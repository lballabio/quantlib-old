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080" windowHeight="11445" activeTab="2"/>
  </bookViews>
  <sheets>
    <sheet name="General Settings" sheetId="3" r:id="rId1"/>
    <sheet name="RateHelpers" sheetId="7" r:id="rId2"/>
    <sheet name="Selected" sheetId="8" r:id="rId3"/>
    <sheet name="Deposits" sheetId="11" r:id="rId4"/>
    <sheet name="Swaps" sheetId="6" r:id="rId5"/>
    <sheet name="Monitor" sheetId="12" r:id="rId6"/>
  </sheets>
  <definedNames>
    <definedName name="_xlnm._FilterDatabase" localSheetId="5" hidden="1">Monitor!$B$11:$F$3558</definedName>
    <definedName name="Accuracy">'General Settings'!$D$23</definedName>
    <definedName name="BondBasisDayCounter">'General Settings'!$J$15</definedName>
    <definedName name="Calendar">'General Settings'!$D$18</definedName>
    <definedName name="CheckDeposits">Monitor!$J$48</definedName>
    <definedName name="Currency">'General Settings'!$D$4</definedName>
    <definedName name="DataTable" localSheetId="5">Monitor!$B$3:$K$16</definedName>
    <definedName name="DayCounter">'General Settings'!$D$19</definedName>
    <definedName name="DepoInclusionCriteria" localSheetId="2">Selected!$B$5</definedName>
    <definedName name="DepositsDates">Monitor!$N$19</definedName>
    <definedName name="DepositsNull">Monitor!$P$19</definedName>
    <definedName name="DepositsQuotes">Monitor!$O$19</definedName>
    <definedName name="DepositsSeries">IF(CheckDeposits=FALSE,DepositsNull,DepositsQuotes)</definedName>
    <definedName name="Discounting">'General Settings'!$J$13</definedName>
    <definedName name="Discounting2">'General Settings'!$J$14</definedName>
    <definedName name="FamilyName">'General Settings'!$J$11</definedName>
    <definedName name="FileOverwrite">'General Settings'!$J$6</definedName>
    <definedName name="FrontFuturesRollingDays" localSheetId="2">Selected!$B$4</definedName>
    <definedName name="IborIndex" localSheetId="5">Monitor!$Y$16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RateHelpers!$G$2:$G$13</definedName>
    <definedName name="MoneyMarketDayCounter">'General Settings'!$J$16</definedName>
    <definedName name="Months">'General Settings'!$D$5</definedName>
    <definedName name="NDays">'General Settings'!$D$17</definedName>
    <definedName name="nIMMFutures" localSheetId="2">Selected!$B$2</definedName>
    <definedName name="nSerialFutures" localSheetId="2">Selected!$B$3</definedName>
    <definedName name="ObjectOverwrite">'General Settings'!$D$12</definedName>
    <definedName name="ONQuotes" localSheetId="5">Monitor!$Z$19:$Z$363</definedName>
    <definedName name="ONValueDates" localSheetId="5">Monitor!$X$19:$X$363</definedName>
    <definedName name="OverNightIndex" localSheetId="5">Monitor!$Z$16</definedName>
    <definedName name="Permanent">'General Settings'!$D$10</definedName>
    <definedName name="QuoteSuffix">'General Settings'!$J$12</definedName>
    <definedName name="RateHelperConstructors" localSheetId="4">Swaps!$K$6:$K$16</definedName>
    <definedName name="RateHelperPrefix">'General Settings'!$D$9</definedName>
    <definedName name="RateHelpers">RateHelpers!$A$2:$A$13</definedName>
    <definedName name="RateHelpersIncluded">RateHelpers!$E$2:$E$13</definedName>
    <definedName name="RateHelpersPriority">RateHelpers!$F$2:$F$13</definedName>
    <definedName name="RateHelpersSelected">Selected!$A$7</definedName>
    <definedName name="RecalcTrigger" localSheetId="5">Monitor!$J$20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T22" i="12" l="1" a="1"/>
  <c r="T19" i="12" l="1" a="1"/>
  <c r="K4" i="6"/>
  <c r="K10" i="6" s="1"/>
  <c r="K7" i="6"/>
  <c r="K8" i="6"/>
  <c r="K15" i="6"/>
  <c r="K12" i="6"/>
  <c r="K6" i="6"/>
  <c r="K9" i="6"/>
  <c r="K13" i="6"/>
  <c r="K16" i="6"/>
  <c r="K11" i="6"/>
  <c r="K14" i="6"/>
  <c r="D1" i="11" l="1"/>
  <c r="B3" i="11"/>
  <c r="D3" i="11" l="1"/>
  <c r="C6" i="12"/>
  <c r="C5" i="12"/>
  <c r="C7" i="12" l="1"/>
  <c r="C3" i="11"/>
  <c r="P19" i="12" l="1"/>
  <c r="V538" i="12" l="1"/>
  <c r="V539" i="12" s="1"/>
  <c r="V540" i="12" s="1"/>
  <c r="V541" i="12" s="1"/>
  <c r="V542" i="12" s="1"/>
  <c r="V543" i="12" s="1"/>
  <c r="V544" i="12" s="1"/>
  <c r="V545" i="12" s="1"/>
  <c r="V546" i="12" s="1"/>
  <c r="V547" i="12" s="1"/>
  <c r="V548" i="12" s="1"/>
  <c r="V549" i="12" s="1"/>
  <c r="V550" i="12" s="1"/>
  <c r="V551" i="12" s="1"/>
  <c r="V552" i="12" s="1"/>
  <c r="V553" i="12" s="1"/>
  <c r="V554" i="12" s="1"/>
  <c r="V555" i="12" s="1"/>
  <c r="V556" i="12" s="1"/>
  <c r="V557" i="12" s="1"/>
  <c r="V558" i="12" s="1"/>
  <c r="V559" i="12" s="1"/>
  <c r="V560" i="12" s="1"/>
  <c r="V561" i="12" s="1"/>
  <c r="V562" i="12" s="1"/>
  <c r="V563" i="12" s="1"/>
  <c r="V564" i="12" s="1"/>
  <c r="V565" i="12" s="1"/>
  <c r="V566" i="12" s="1"/>
  <c r="V567" i="12" s="1"/>
  <c r="V568" i="12" s="1"/>
  <c r="V569" i="12" s="1"/>
  <c r="V570" i="12" s="1"/>
  <c r="V571" i="12" s="1"/>
  <c r="V572" i="12" s="1"/>
  <c r="V573" i="12" s="1"/>
  <c r="V574" i="12" s="1"/>
  <c r="V575" i="12" s="1"/>
  <c r="V576" i="12" s="1"/>
  <c r="V577" i="12" s="1"/>
  <c r="V578" i="12" s="1"/>
  <c r="V579" i="12" s="1"/>
  <c r="V580" i="12" s="1"/>
  <c r="V581" i="12" s="1"/>
  <c r="V582" i="12" s="1"/>
  <c r="V583" i="12" s="1"/>
  <c r="V584" i="12" s="1"/>
  <c r="V585" i="12" s="1"/>
  <c r="V586" i="12" s="1"/>
  <c r="V587" i="12" s="1"/>
  <c r="V588" i="12" s="1"/>
  <c r="V589" i="12" s="1"/>
  <c r="V590" i="12" s="1"/>
  <c r="V591" i="12" s="1"/>
  <c r="V592" i="12" s="1"/>
  <c r="V593" i="12" s="1"/>
  <c r="V594" i="12" s="1"/>
  <c r="V595" i="12" s="1"/>
  <c r="V596" i="12" s="1"/>
  <c r="V597" i="12" s="1"/>
  <c r="V598" i="12" s="1"/>
  <c r="V599" i="12" s="1"/>
  <c r="V600" i="12" s="1"/>
  <c r="V601" i="12" s="1"/>
  <c r="V602" i="12" s="1"/>
  <c r="V603" i="12" s="1"/>
  <c r="V604" i="12" s="1"/>
  <c r="V605" i="12" s="1"/>
  <c r="V606" i="12" s="1"/>
  <c r="V607" i="12" s="1"/>
  <c r="V608" i="12" s="1"/>
  <c r="V609" i="12" s="1"/>
  <c r="V610" i="12" s="1"/>
  <c r="V611" i="12" s="1"/>
  <c r="V612" i="12" s="1"/>
  <c r="V613" i="12" s="1"/>
  <c r="V614" i="12" s="1"/>
  <c r="V615" i="12" s="1"/>
  <c r="V616" i="12" s="1"/>
  <c r="V617" i="12" s="1"/>
  <c r="V618" i="12" s="1"/>
  <c r="V619" i="12" s="1"/>
  <c r="V620" i="12" s="1"/>
  <c r="V621" i="12" s="1"/>
  <c r="V622" i="12" s="1"/>
  <c r="V623" i="12" s="1"/>
  <c r="V624" i="12" s="1"/>
  <c r="V625" i="12" s="1"/>
  <c r="V626" i="12" s="1"/>
  <c r="V627" i="12" s="1"/>
  <c r="V628" i="12" s="1"/>
  <c r="V629" i="12" s="1"/>
  <c r="V630" i="12" s="1"/>
  <c r="V631" i="12" s="1"/>
  <c r="V632" i="12" s="1"/>
  <c r="V633" i="12" s="1"/>
  <c r="V634" i="12" s="1"/>
  <c r="V635" i="12" s="1"/>
  <c r="V636" i="12" s="1"/>
  <c r="V637" i="12" s="1"/>
  <c r="V638" i="12" s="1"/>
  <c r="V639" i="12" s="1"/>
  <c r="V640" i="12" s="1"/>
  <c r="V641" i="12" s="1"/>
  <c r="V642" i="12" s="1"/>
  <c r="V643" i="12" s="1"/>
  <c r="V644" i="12" s="1"/>
  <c r="V645" i="12" s="1"/>
  <c r="V646" i="12" s="1"/>
  <c r="V647" i="12" s="1"/>
  <c r="V648" i="12" s="1"/>
  <c r="V649" i="12" s="1"/>
  <c r="V650" i="12" s="1"/>
  <c r="V651" i="12" s="1"/>
  <c r="V652" i="12" s="1"/>
  <c r="V653" i="12" s="1"/>
  <c r="V654" i="12" s="1"/>
  <c r="V655" i="12" s="1"/>
  <c r="V656" i="12" s="1"/>
  <c r="V657" i="12" s="1"/>
  <c r="V658" i="12" s="1"/>
  <c r="V659" i="12" s="1"/>
  <c r="V660" i="12" s="1"/>
  <c r="V661" i="12" s="1"/>
  <c r="V662" i="12" s="1"/>
  <c r="V663" i="12" s="1"/>
  <c r="V664" i="12" s="1"/>
  <c r="V665" i="12" s="1"/>
  <c r="V666" i="12" s="1"/>
  <c r="V667" i="12" s="1"/>
  <c r="V668" i="12" s="1"/>
  <c r="V669" i="12" s="1"/>
  <c r="V670" i="12" s="1"/>
  <c r="V671" i="12" s="1"/>
  <c r="V672" i="12" s="1"/>
  <c r="V673" i="12" s="1"/>
  <c r="V674" i="12" s="1"/>
  <c r="V675" i="12" s="1"/>
  <c r="V676" i="12" s="1"/>
  <c r="V677" i="12" s="1"/>
  <c r="V678" i="12" s="1"/>
  <c r="V679" i="12" s="1"/>
  <c r="V680" i="12" s="1"/>
  <c r="V681" i="12" s="1"/>
  <c r="V682" i="12" s="1"/>
  <c r="V683" i="12" s="1"/>
  <c r="V684" i="12" s="1"/>
  <c r="V685" i="12" s="1"/>
  <c r="V686" i="12" s="1"/>
  <c r="V687" i="12" s="1"/>
  <c r="V688" i="12" s="1"/>
  <c r="V689" i="12" s="1"/>
  <c r="V690" i="12" s="1"/>
  <c r="V691" i="12" s="1"/>
  <c r="V692" i="12" s="1"/>
  <c r="V693" i="12" s="1"/>
  <c r="V694" i="12" s="1"/>
  <c r="V695" i="12" s="1"/>
  <c r="V696" i="12" s="1"/>
  <c r="V697" i="12" s="1"/>
  <c r="V698" i="12" s="1"/>
  <c r="V699" i="12" s="1"/>
  <c r="V700" i="12" s="1"/>
  <c r="V701" i="12" s="1"/>
  <c r="V702" i="12" s="1"/>
  <c r="V703" i="12" s="1"/>
  <c r="V704" i="12" s="1"/>
  <c r="V705" i="12" s="1"/>
  <c r="V706" i="12" s="1"/>
  <c r="V707" i="12" s="1"/>
  <c r="V708" i="12" s="1"/>
  <c r="V709" i="12" s="1"/>
  <c r="V710" i="12" s="1"/>
  <c r="V711" i="12" s="1"/>
  <c r="V712" i="12" s="1"/>
  <c r="V713" i="12" s="1"/>
  <c r="V714" i="12" s="1"/>
  <c r="V715" i="12" s="1"/>
  <c r="V716" i="12" s="1"/>
  <c r="V717" i="12" s="1"/>
  <c r="V718" i="12" s="1"/>
  <c r="V719" i="12" s="1"/>
  <c r="V720" i="12" s="1"/>
  <c r="V721" i="12" s="1"/>
  <c r="V722" i="12" s="1"/>
  <c r="V723" i="12" s="1"/>
  <c r="V724" i="12" s="1"/>
  <c r="V725" i="12" s="1"/>
  <c r="V726" i="12" s="1"/>
  <c r="V727" i="12" s="1"/>
  <c r="V728" i="12" s="1"/>
  <c r="V729" i="12" s="1"/>
  <c r="V730" i="12" s="1"/>
  <c r="V731" i="12" s="1"/>
  <c r="V732" i="12" s="1"/>
  <c r="V733" i="12" s="1"/>
  <c r="V734" i="12" s="1"/>
  <c r="V735" i="12" s="1"/>
  <c r="V736" i="12" s="1"/>
  <c r="V737" i="12" s="1"/>
  <c r="V738" i="12" s="1"/>
  <c r="V739" i="12" s="1"/>
  <c r="V740" i="12" s="1"/>
  <c r="V741" i="12" s="1"/>
  <c r="V742" i="12" s="1"/>
  <c r="V743" i="12" s="1"/>
  <c r="V744" i="12" s="1"/>
  <c r="V745" i="12" s="1"/>
  <c r="V746" i="12" s="1"/>
  <c r="V747" i="12" s="1"/>
  <c r="V748" i="12" s="1"/>
  <c r="V749" i="12" s="1"/>
  <c r="V750" i="12" s="1"/>
  <c r="V751" i="12" s="1"/>
  <c r="V752" i="12" s="1"/>
  <c r="V753" i="12" s="1"/>
  <c r="V754" i="12" s="1"/>
  <c r="V755" i="12" s="1"/>
  <c r="V756" i="12" s="1"/>
  <c r="V757" i="12" s="1"/>
  <c r="V758" i="12" s="1"/>
  <c r="V759" i="12" s="1"/>
  <c r="V760" i="12" s="1"/>
  <c r="V761" i="12" s="1"/>
  <c r="V762" i="12" s="1"/>
  <c r="V763" i="12" s="1"/>
  <c r="V764" i="12" s="1"/>
  <c r="V765" i="12" s="1"/>
  <c r="V766" i="12" s="1"/>
  <c r="V767" i="12" s="1"/>
  <c r="V768" i="12" s="1"/>
  <c r="V769" i="12" s="1"/>
  <c r="V770" i="12" s="1"/>
  <c r="V771" i="12" s="1"/>
  <c r="V772" i="12" s="1"/>
  <c r="V773" i="12" s="1"/>
  <c r="V774" i="12" s="1"/>
  <c r="V775" i="12" s="1"/>
  <c r="V776" i="12" s="1"/>
  <c r="V777" i="12" s="1"/>
  <c r="V778" i="12" s="1"/>
  <c r="V779" i="12" s="1"/>
  <c r="V780" i="12" s="1"/>
  <c r="V781" i="12" s="1"/>
  <c r="V782" i="12" s="1"/>
  <c r="V783" i="12" s="1"/>
  <c r="V784" i="12" s="1"/>
  <c r="V785" i="12" s="1"/>
  <c r="V786" i="12" s="1"/>
  <c r="V787" i="12" s="1"/>
  <c r="V788" i="12" s="1"/>
  <c r="V789" i="12" s="1"/>
  <c r="V790" i="12" s="1"/>
  <c r="V791" i="12" s="1"/>
  <c r="V792" i="12" s="1"/>
  <c r="V793" i="12" s="1"/>
  <c r="V794" i="12" s="1"/>
  <c r="V795" i="12" s="1"/>
  <c r="V796" i="12" s="1"/>
  <c r="V797" i="12" s="1"/>
  <c r="V798" i="12" s="1"/>
  <c r="V799" i="12" s="1"/>
  <c r="V800" i="12" s="1"/>
  <c r="V801" i="12" s="1"/>
  <c r="V802" i="12" s="1"/>
  <c r="V803" i="12" s="1"/>
  <c r="V804" i="12" s="1"/>
  <c r="V805" i="12" s="1"/>
  <c r="V806" i="12" s="1"/>
  <c r="V807" i="12" s="1"/>
  <c r="V808" i="12" s="1"/>
  <c r="V809" i="12" s="1"/>
  <c r="V810" i="12" s="1"/>
  <c r="V811" i="12" s="1"/>
  <c r="V812" i="12" s="1"/>
  <c r="V813" i="12" s="1"/>
  <c r="V814" i="12" s="1"/>
  <c r="V815" i="12" s="1"/>
  <c r="V816" i="12" s="1"/>
  <c r="V817" i="12" s="1"/>
  <c r="V818" i="12" s="1"/>
  <c r="V819" i="12" s="1"/>
  <c r="V820" i="12" s="1"/>
  <c r="V821" i="12" s="1"/>
  <c r="V822" i="12" s="1"/>
  <c r="V823" i="12" s="1"/>
  <c r="V824" i="12" s="1"/>
  <c r="V825" i="12" s="1"/>
  <c r="V826" i="12" s="1"/>
  <c r="V827" i="12" s="1"/>
  <c r="V828" i="12" s="1"/>
  <c r="V829" i="12" s="1"/>
  <c r="V830" i="12" s="1"/>
  <c r="V831" i="12" s="1"/>
  <c r="V832" i="12" s="1"/>
  <c r="V833" i="12" s="1"/>
  <c r="V834" i="12" s="1"/>
  <c r="V835" i="12" s="1"/>
  <c r="V836" i="12" s="1"/>
  <c r="V837" i="12" s="1"/>
  <c r="V838" i="12" s="1"/>
  <c r="V839" i="12" s="1"/>
  <c r="V840" i="12" s="1"/>
  <c r="V841" i="12" s="1"/>
  <c r="V842" i="12" s="1"/>
  <c r="V843" i="12" s="1"/>
  <c r="V844" i="12" s="1"/>
  <c r="V845" i="12" s="1"/>
  <c r="V846" i="12" s="1"/>
  <c r="V847" i="12" s="1"/>
  <c r="V848" i="12" s="1"/>
  <c r="V849" i="12" s="1"/>
  <c r="V850" i="12" s="1"/>
  <c r="V851" i="12" s="1"/>
  <c r="V852" i="12" s="1"/>
  <c r="V853" i="12" s="1"/>
  <c r="V854" i="12" s="1"/>
  <c r="V855" i="12" s="1"/>
  <c r="V856" i="12" s="1"/>
  <c r="V857" i="12" s="1"/>
  <c r="V858" i="12" s="1"/>
  <c r="V859" i="12" s="1"/>
  <c r="V860" i="12" s="1"/>
  <c r="V861" i="12" s="1"/>
  <c r="V862" i="12" s="1"/>
  <c r="V863" i="12" s="1"/>
  <c r="V864" i="12" s="1"/>
  <c r="V865" i="12" s="1"/>
  <c r="V866" i="12" s="1"/>
  <c r="V867" i="12" s="1"/>
  <c r="V868" i="12" s="1"/>
  <c r="V869" i="12" s="1"/>
  <c r="V870" i="12" s="1"/>
  <c r="V871" i="12" s="1"/>
  <c r="V872" i="12" s="1"/>
  <c r="V873" i="12" s="1"/>
  <c r="V874" i="12" s="1"/>
  <c r="V875" i="12" s="1"/>
  <c r="V876" i="12" s="1"/>
  <c r="V877" i="12" s="1"/>
  <c r="V878" i="12" s="1"/>
  <c r="V879" i="12" s="1"/>
  <c r="V880" i="12" s="1"/>
  <c r="V881" i="12" s="1"/>
  <c r="V882" i="12" s="1"/>
  <c r="V883" i="12" s="1"/>
  <c r="V884" i="12" s="1"/>
  <c r="V885" i="12" s="1"/>
  <c r="V886" i="12" s="1"/>
  <c r="V887" i="12" s="1"/>
  <c r="V888" i="12" s="1"/>
  <c r="V889" i="12" s="1"/>
  <c r="V890" i="12" s="1"/>
  <c r="V891" i="12" s="1"/>
  <c r="V892" i="12" s="1"/>
  <c r="V893" i="12" s="1"/>
  <c r="V894" i="12" s="1"/>
  <c r="V895" i="12" s="1"/>
  <c r="V896" i="12" s="1"/>
  <c r="V897" i="12" s="1"/>
  <c r="V898" i="12" s="1"/>
  <c r="V899" i="12" s="1"/>
  <c r="V900" i="12" s="1"/>
  <c r="V901" i="12" s="1"/>
  <c r="V902" i="12" s="1"/>
  <c r="V903" i="12" s="1"/>
  <c r="V904" i="12" s="1"/>
  <c r="V905" i="12" s="1"/>
  <c r="V906" i="12" s="1"/>
  <c r="V907" i="12" s="1"/>
  <c r="V908" i="12" s="1"/>
  <c r="V909" i="12" s="1"/>
  <c r="V910" i="12" s="1"/>
  <c r="V911" i="12" s="1"/>
  <c r="V912" i="12" s="1"/>
  <c r="V913" i="12" s="1"/>
  <c r="V914" i="12" s="1"/>
  <c r="V915" i="12" s="1"/>
  <c r="V916" i="12" s="1"/>
  <c r="V917" i="12" s="1"/>
  <c r="V918" i="12" s="1"/>
  <c r="V919" i="12" s="1"/>
  <c r="V920" i="12" s="1"/>
  <c r="V921" i="12" s="1"/>
  <c r="V922" i="12" s="1"/>
  <c r="V923" i="12" s="1"/>
  <c r="V924" i="12" s="1"/>
  <c r="V925" i="12" s="1"/>
  <c r="V926" i="12" s="1"/>
  <c r="V927" i="12" s="1"/>
  <c r="V928" i="12" s="1"/>
  <c r="V929" i="12" s="1"/>
  <c r="V930" i="12" s="1"/>
  <c r="V931" i="12" s="1"/>
  <c r="V932" i="12" s="1"/>
  <c r="V933" i="12" s="1"/>
  <c r="V934" i="12" s="1"/>
  <c r="V935" i="12" s="1"/>
  <c r="V936" i="12" s="1"/>
  <c r="V937" i="12" s="1"/>
  <c r="V938" i="12" s="1"/>
  <c r="V939" i="12" s="1"/>
  <c r="V940" i="12" s="1"/>
  <c r="V941" i="12" s="1"/>
  <c r="V942" i="12" s="1"/>
  <c r="V943" i="12" s="1"/>
  <c r="V944" i="12" s="1"/>
  <c r="V945" i="12" s="1"/>
  <c r="V946" i="12" s="1"/>
  <c r="V947" i="12" s="1"/>
  <c r="V948" i="12" s="1"/>
  <c r="V949" i="12" s="1"/>
  <c r="V950" i="12" s="1"/>
  <c r="V951" i="12" s="1"/>
  <c r="V952" i="12" s="1"/>
  <c r="V953" i="12" s="1"/>
  <c r="V954" i="12" s="1"/>
  <c r="V955" i="12" s="1"/>
  <c r="V956" i="12" s="1"/>
  <c r="V957" i="12" s="1"/>
  <c r="V958" i="12" s="1"/>
  <c r="V959" i="12" s="1"/>
  <c r="V960" i="12" s="1"/>
  <c r="V961" i="12" s="1"/>
  <c r="V962" i="12" s="1"/>
  <c r="V963" i="12" s="1"/>
  <c r="V964" i="12" s="1"/>
  <c r="V965" i="12" s="1"/>
  <c r="V966" i="12" s="1"/>
  <c r="V967" i="12" s="1"/>
  <c r="V968" i="12" s="1"/>
  <c r="V969" i="12" s="1"/>
  <c r="V970" i="12" s="1"/>
  <c r="V971" i="12" s="1"/>
  <c r="V972" i="12" s="1"/>
  <c r="V973" i="12" s="1"/>
  <c r="V974" i="12" s="1"/>
  <c r="V975" i="12" s="1"/>
  <c r="V976" i="12" s="1"/>
  <c r="V977" i="12" s="1"/>
  <c r="V978" i="12" s="1"/>
  <c r="V979" i="12" s="1"/>
  <c r="V980" i="12" s="1"/>
  <c r="V981" i="12" s="1"/>
  <c r="V982" i="12" s="1"/>
  <c r="V983" i="12" s="1"/>
  <c r="V984" i="12" s="1"/>
  <c r="V985" i="12" s="1"/>
  <c r="V986" i="12" s="1"/>
  <c r="V987" i="12" s="1"/>
  <c r="V988" i="12" s="1"/>
  <c r="V989" i="12" s="1"/>
  <c r="V990" i="12" s="1"/>
  <c r="V991" i="12" s="1"/>
  <c r="V992" i="12" s="1"/>
  <c r="V993" i="12" s="1"/>
  <c r="V994" i="12" s="1"/>
  <c r="V995" i="12" s="1"/>
  <c r="V996" i="12" s="1"/>
  <c r="V997" i="12" s="1"/>
  <c r="V998" i="12" s="1"/>
  <c r="V999" i="12" s="1"/>
  <c r="V1000" i="12" s="1"/>
  <c r="V1001" i="12" s="1"/>
  <c r="V1002" i="12" s="1"/>
  <c r="V1003" i="12" s="1"/>
  <c r="V1004" i="12" s="1"/>
  <c r="V1005" i="12" s="1"/>
  <c r="V1006" i="12" s="1"/>
  <c r="V1007" i="12" s="1"/>
  <c r="V1008" i="12" s="1"/>
  <c r="V1009" i="12" s="1"/>
  <c r="V1010" i="12" s="1"/>
  <c r="V1011" i="12" s="1"/>
  <c r="V1012" i="12" s="1"/>
  <c r="V1013" i="12" s="1"/>
  <c r="V1014" i="12" s="1"/>
  <c r="V1015" i="12" s="1"/>
  <c r="V1016" i="12" s="1"/>
  <c r="V1017" i="12" s="1"/>
  <c r="V1018" i="12" s="1"/>
  <c r="V1019" i="12" s="1"/>
  <c r="V1020" i="12" s="1"/>
  <c r="V1021" i="12" s="1"/>
  <c r="V1022" i="12" s="1"/>
  <c r="V1023" i="12" s="1"/>
  <c r="V1024" i="12" s="1"/>
  <c r="V1025" i="12" s="1"/>
  <c r="V1026" i="12" s="1"/>
  <c r="V1027" i="12" s="1"/>
  <c r="V1028" i="12" s="1"/>
  <c r="V1029" i="12" s="1"/>
  <c r="V1030" i="12" s="1"/>
  <c r="V1031" i="12" s="1"/>
  <c r="V1032" i="12" s="1"/>
  <c r="V1033" i="12" s="1"/>
  <c r="V1034" i="12" s="1"/>
  <c r="V1035" i="12" s="1"/>
  <c r="V1036" i="12" s="1"/>
  <c r="V1037" i="12" s="1"/>
  <c r="V1038" i="12" s="1"/>
  <c r="V1039" i="12" s="1"/>
  <c r="V1040" i="12" s="1"/>
  <c r="V1041" i="12" s="1"/>
  <c r="V1042" i="12" s="1"/>
  <c r="V1043" i="12" s="1"/>
  <c r="V1044" i="12" s="1"/>
  <c r="V1045" i="12" s="1"/>
  <c r="V1046" i="12" s="1"/>
  <c r="V1047" i="12" s="1"/>
  <c r="V1048" i="12" s="1"/>
  <c r="V1049" i="12" s="1"/>
  <c r="V1050" i="12" s="1"/>
  <c r="V1051" i="12" s="1"/>
  <c r="V1052" i="12" s="1"/>
  <c r="V1053" i="12" s="1"/>
  <c r="V1054" i="12" s="1"/>
  <c r="V1055" i="12" s="1"/>
  <c r="V1056" i="12" s="1"/>
  <c r="V1057" i="12" s="1"/>
  <c r="V1058" i="12" s="1"/>
  <c r="V1059" i="12" s="1"/>
  <c r="V1060" i="12" s="1"/>
  <c r="V1061" i="12" s="1"/>
  <c r="V1062" i="12" s="1"/>
  <c r="V1063" i="12" s="1"/>
  <c r="V1064" i="12" s="1"/>
  <c r="V1065" i="12" s="1"/>
  <c r="V1066" i="12" s="1"/>
  <c r="V1067" i="12" s="1"/>
  <c r="V1068" i="12" s="1"/>
  <c r="V1069" i="12" s="1"/>
  <c r="V1070" i="12" s="1"/>
  <c r="V1071" i="12" s="1"/>
  <c r="V1072" i="12" s="1"/>
  <c r="V1073" i="12" s="1"/>
  <c r="V1074" i="12" s="1"/>
  <c r="V1075" i="12" s="1"/>
  <c r="V1076" i="12" s="1"/>
  <c r="V1077" i="12" s="1"/>
  <c r="V1078" i="12" s="1"/>
  <c r="V1079" i="12" s="1"/>
  <c r="V1080" i="12" s="1"/>
  <c r="V1081" i="12" s="1"/>
  <c r="V1082" i="12" s="1"/>
  <c r="V1083" i="12" s="1"/>
  <c r="V1084" i="12" s="1"/>
  <c r="V1085" i="12" s="1"/>
  <c r="V1086" i="12" s="1"/>
  <c r="V1087" i="12" s="1"/>
  <c r="V1088" i="12" s="1"/>
  <c r="V1089" i="12" s="1"/>
  <c r="V1090" i="12" s="1"/>
  <c r="V1091" i="12" s="1"/>
  <c r="V1092" i="12" s="1"/>
  <c r="V1093" i="12" s="1"/>
  <c r="V1094" i="12" s="1"/>
  <c r="V1095" i="12" s="1"/>
  <c r="V1096" i="12" s="1"/>
  <c r="V1097" i="12" s="1"/>
  <c r="V1098" i="12" s="1"/>
  <c r="V1099" i="12" s="1"/>
  <c r="V1100" i="12" s="1"/>
  <c r="V1101" i="12" s="1"/>
  <c r="V1102" i="12" s="1"/>
  <c r="V1103" i="12" s="1"/>
  <c r="V1104" i="12" s="1"/>
  <c r="V1105" i="12" s="1"/>
  <c r="V1106" i="12" s="1"/>
  <c r="V1107" i="12" s="1"/>
  <c r="V1108" i="12" s="1"/>
  <c r="V1109" i="12" s="1"/>
  <c r="V1110" i="12" s="1"/>
  <c r="V1111" i="12" s="1"/>
  <c r="V1112" i="12" s="1"/>
  <c r="V1113" i="12" s="1"/>
  <c r="V1114" i="12" s="1"/>
  <c r="V1115" i="12" s="1"/>
  <c r="V1116" i="12" s="1"/>
  <c r="V1117" i="12" s="1"/>
  <c r="V1118" i="12" s="1"/>
  <c r="V1119" i="12" s="1"/>
  <c r="V1120" i="12" s="1"/>
  <c r="V1121" i="12" s="1"/>
  <c r="V1122" i="12" s="1"/>
  <c r="V1123" i="12" s="1"/>
  <c r="V1124" i="12" s="1"/>
  <c r="V1125" i="12" s="1"/>
  <c r="V1126" i="12" s="1"/>
  <c r="V1127" i="12" s="1"/>
  <c r="V1128" i="12" s="1"/>
  <c r="V1129" i="12" s="1"/>
  <c r="V1130" i="12" s="1"/>
  <c r="V1131" i="12" s="1"/>
  <c r="V1132" i="12" s="1"/>
  <c r="V1133" i="12" s="1"/>
  <c r="V1134" i="12" s="1"/>
  <c r="V1135" i="12" s="1"/>
  <c r="V1136" i="12" s="1"/>
  <c r="V1137" i="12" s="1"/>
  <c r="V1138" i="12" s="1"/>
  <c r="V1139" i="12" s="1"/>
  <c r="V1140" i="12" s="1"/>
  <c r="V1141" i="12" s="1"/>
  <c r="V1142" i="12" s="1"/>
  <c r="V1143" i="12" s="1"/>
  <c r="V1144" i="12" s="1"/>
  <c r="V1145" i="12" s="1"/>
  <c r="V1146" i="12" s="1"/>
  <c r="V1147" i="12" s="1"/>
  <c r="V1148" i="12" s="1"/>
  <c r="V1149" i="12" s="1"/>
  <c r="V1150" i="12" s="1"/>
  <c r="V1151" i="12" s="1"/>
  <c r="V1152" i="12" s="1"/>
  <c r="V1153" i="12" s="1"/>
  <c r="V1154" i="12" s="1"/>
  <c r="V1155" i="12" s="1"/>
  <c r="V1156" i="12" s="1"/>
  <c r="V1157" i="12" s="1"/>
  <c r="V1158" i="12" s="1"/>
  <c r="V1159" i="12" s="1"/>
  <c r="V1160" i="12" s="1"/>
  <c r="V1161" i="12" s="1"/>
  <c r="V1162" i="12" s="1"/>
  <c r="V1163" i="12" s="1"/>
  <c r="V1164" i="12" s="1"/>
  <c r="V1165" i="12" s="1"/>
  <c r="V1166" i="12" s="1"/>
  <c r="V1167" i="12" s="1"/>
  <c r="V1168" i="12" s="1"/>
  <c r="V1169" i="12" s="1"/>
  <c r="V1170" i="12" s="1"/>
  <c r="V1171" i="12" s="1"/>
  <c r="V1172" i="12" s="1"/>
  <c r="V1173" i="12" s="1"/>
  <c r="V1174" i="12" s="1"/>
  <c r="V1175" i="12" s="1"/>
  <c r="V1176" i="12" s="1"/>
  <c r="V1177" i="12" s="1"/>
  <c r="V1178" i="12" s="1"/>
  <c r="V1179" i="12" s="1"/>
  <c r="V1180" i="12" s="1"/>
  <c r="V1181" i="12" s="1"/>
  <c r="V1182" i="12" s="1"/>
  <c r="V1183" i="12" s="1"/>
  <c r="V1184" i="12" s="1"/>
  <c r="V1185" i="12" s="1"/>
  <c r="V1186" i="12" s="1"/>
  <c r="V1187" i="12" s="1"/>
  <c r="V1188" i="12" s="1"/>
  <c r="V1189" i="12" s="1"/>
  <c r="V1190" i="12" s="1"/>
  <c r="V1191" i="12" s="1"/>
  <c r="V1192" i="12" s="1"/>
  <c r="V1193" i="12" s="1"/>
  <c r="V1194" i="12" s="1"/>
  <c r="V1195" i="12" s="1"/>
  <c r="V1196" i="12" s="1"/>
  <c r="V1197" i="12" s="1"/>
  <c r="V1198" i="12" s="1"/>
  <c r="V1199" i="12" s="1"/>
  <c r="V1200" i="12" s="1"/>
  <c r="V1201" i="12" s="1"/>
  <c r="V1202" i="12" s="1"/>
  <c r="V1203" i="12" s="1"/>
  <c r="V1204" i="12" s="1"/>
  <c r="V1205" i="12" s="1"/>
  <c r="V1206" i="12" s="1"/>
  <c r="V1207" i="12" s="1"/>
  <c r="V1208" i="12" s="1"/>
  <c r="V1209" i="12" s="1"/>
  <c r="V1210" i="12" s="1"/>
  <c r="V1211" i="12" s="1"/>
  <c r="V1212" i="12" s="1"/>
  <c r="V1213" i="12" s="1"/>
  <c r="V1214" i="12" s="1"/>
  <c r="V1215" i="12" s="1"/>
  <c r="V1216" i="12" s="1"/>
  <c r="V1217" i="12" s="1"/>
  <c r="V1218" i="12" s="1"/>
  <c r="V1219" i="12" s="1"/>
  <c r="V1220" i="12" s="1"/>
  <c r="V1221" i="12" s="1"/>
  <c r="V1222" i="12" s="1"/>
  <c r="V1223" i="12" s="1"/>
  <c r="V1224" i="12" s="1"/>
  <c r="V1225" i="12" s="1"/>
  <c r="V1226" i="12" s="1"/>
  <c r="V1227" i="12" s="1"/>
  <c r="V1228" i="12" s="1"/>
  <c r="V1229" i="12" s="1"/>
  <c r="V1230" i="12" s="1"/>
  <c r="V1231" i="12" s="1"/>
  <c r="V1232" i="12" s="1"/>
  <c r="V1233" i="12" s="1"/>
  <c r="V1234" i="12" s="1"/>
  <c r="V1235" i="12" s="1"/>
  <c r="V1236" i="12" s="1"/>
  <c r="V1237" i="12" s="1"/>
  <c r="V1238" i="12" s="1"/>
  <c r="V1239" i="12" s="1"/>
  <c r="V1240" i="12" s="1"/>
  <c r="V1241" i="12" s="1"/>
  <c r="V1242" i="12" s="1"/>
  <c r="V1243" i="12" s="1"/>
  <c r="V1244" i="12" s="1"/>
  <c r="V1245" i="12" s="1"/>
  <c r="V1246" i="12" s="1"/>
  <c r="V1247" i="12" s="1"/>
  <c r="V1248" i="12" s="1"/>
  <c r="V1249" i="12" s="1"/>
  <c r="V1250" i="12" s="1"/>
  <c r="V1251" i="12" s="1"/>
  <c r="V1252" i="12" s="1"/>
  <c r="V1253" i="12" s="1"/>
  <c r="V1254" i="12" s="1"/>
  <c r="V1255" i="12" s="1"/>
  <c r="V1256" i="12" s="1"/>
  <c r="V1257" i="12" s="1"/>
  <c r="V1258" i="12" s="1"/>
  <c r="V1259" i="12" s="1"/>
  <c r="V1260" i="12" s="1"/>
  <c r="V1261" i="12" s="1"/>
  <c r="V1262" i="12" s="1"/>
  <c r="V1263" i="12" s="1"/>
  <c r="V1264" i="12" s="1"/>
  <c r="V1265" i="12" s="1"/>
  <c r="V1266" i="12" s="1"/>
  <c r="V1267" i="12" s="1"/>
  <c r="V1268" i="12" s="1"/>
  <c r="V1269" i="12" s="1"/>
  <c r="V1270" i="12" s="1"/>
  <c r="V1271" i="12" s="1"/>
  <c r="V1272" i="12" s="1"/>
  <c r="V1273" i="12" s="1"/>
  <c r="V1274" i="12" s="1"/>
  <c r="V1275" i="12" s="1"/>
  <c r="V1276" i="12" s="1"/>
  <c r="V1277" i="12" s="1"/>
  <c r="V1278" i="12" s="1"/>
  <c r="V1279" i="12" s="1"/>
  <c r="V1280" i="12" s="1"/>
  <c r="V1281" i="12" s="1"/>
  <c r="V1282" i="12" s="1"/>
  <c r="V1283" i="12" s="1"/>
  <c r="V1284" i="12" s="1"/>
  <c r="V1285" i="12" s="1"/>
  <c r="V1286" i="12" s="1"/>
  <c r="V1287" i="12" s="1"/>
  <c r="V1288" i="12" s="1"/>
  <c r="V1289" i="12" s="1"/>
  <c r="V1290" i="12" s="1"/>
  <c r="V1291" i="12" s="1"/>
  <c r="V1292" i="12" s="1"/>
  <c r="V1293" i="12" s="1"/>
  <c r="V1294" i="12" s="1"/>
  <c r="V1295" i="12" s="1"/>
  <c r="V1296" i="12" s="1"/>
  <c r="V1297" i="12" s="1"/>
  <c r="V1298" i="12" s="1"/>
  <c r="V1299" i="12" s="1"/>
  <c r="V1300" i="12" s="1"/>
  <c r="V1301" i="12" s="1"/>
  <c r="V1302" i="12" s="1"/>
  <c r="V1303" i="12" s="1"/>
  <c r="V1304" i="12" s="1"/>
  <c r="V1305" i="12" s="1"/>
  <c r="V1306" i="12" s="1"/>
  <c r="V1307" i="12" s="1"/>
  <c r="V1308" i="12" s="1"/>
  <c r="V1309" i="12" s="1"/>
  <c r="V1310" i="12" s="1"/>
  <c r="V1311" i="12" s="1"/>
  <c r="V1312" i="12" s="1"/>
  <c r="V1313" i="12" s="1"/>
  <c r="V1314" i="12" s="1"/>
  <c r="V1315" i="12" s="1"/>
  <c r="V1316" i="12" s="1"/>
  <c r="V1317" i="12" s="1"/>
  <c r="V1318" i="12" s="1"/>
  <c r="V1319" i="12" s="1"/>
  <c r="V1320" i="12" s="1"/>
  <c r="V1321" i="12" s="1"/>
  <c r="V1322" i="12" s="1"/>
  <c r="V1323" i="12" s="1"/>
  <c r="V1324" i="12" s="1"/>
  <c r="V1325" i="12" s="1"/>
  <c r="V1326" i="12" s="1"/>
  <c r="V1327" i="12" s="1"/>
  <c r="V1328" i="12" s="1"/>
  <c r="V1329" i="12" s="1"/>
  <c r="V1330" i="12" s="1"/>
  <c r="V1331" i="12" s="1"/>
  <c r="V1332" i="12" s="1"/>
  <c r="V1333" i="12" s="1"/>
  <c r="V1334" i="12" s="1"/>
  <c r="V1335" i="12" s="1"/>
  <c r="V1336" i="12" s="1"/>
  <c r="V1337" i="12" s="1"/>
  <c r="V1338" i="12" s="1"/>
  <c r="V1339" i="12" s="1"/>
  <c r="V1340" i="12" s="1"/>
  <c r="V1341" i="12" s="1"/>
  <c r="V1342" i="12" s="1"/>
  <c r="V1343" i="12" s="1"/>
  <c r="V1344" i="12" s="1"/>
  <c r="V1345" i="12" s="1"/>
  <c r="V1346" i="12" s="1"/>
  <c r="V1347" i="12" s="1"/>
  <c r="V1348" i="12" s="1"/>
  <c r="V1349" i="12" s="1"/>
  <c r="V1350" i="12" s="1"/>
  <c r="V1351" i="12" s="1"/>
  <c r="V1352" i="12" s="1"/>
  <c r="V1353" i="12" s="1"/>
  <c r="V1354" i="12" s="1"/>
  <c r="V1355" i="12" s="1"/>
  <c r="V1356" i="12" s="1"/>
  <c r="V1357" i="12" s="1"/>
  <c r="V1358" i="12" s="1"/>
  <c r="V1359" i="12" s="1"/>
  <c r="V1360" i="12" s="1"/>
  <c r="V1361" i="12" s="1"/>
  <c r="V1362" i="12" s="1"/>
  <c r="V1363" i="12" s="1"/>
  <c r="V1364" i="12" s="1"/>
  <c r="V1365" i="12" s="1"/>
  <c r="V1366" i="12" s="1"/>
  <c r="V1367" i="12" s="1"/>
  <c r="V1368" i="12" s="1"/>
  <c r="V1369" i="12" s="1"/>
  <c r="V1370" i="12" s="1"/>
  <c r="V1371" i="12" s="1"/>
  <c r="V1372" i="12" s="1"/>
  <c r="V1373" i="12" s="1"/>
  <c r="V1374" i="12" s="1"/>
  <c r="V1375" i="12" s="1"/>
  <c r="V1376" i="12" s="1"/>
  <c r="V1377" i="12" s="1"/>
  <c r="V1378" i="12" s="1"/>
  <c r="V1379" i="12" s="1"/>
  <c r="V1380" i="12" s="1"/>
  <c r="V1381" i="12" s="1"/>
  <c r="V1382" i="12" s="1"/>
  <c r="V1383" i="12" s="1"/>
  <c r="V1384" i="12" s="1"/>
  <c r="V1385" i="12" s="1"/>
  <c r="V1386" i="12" s="1"/>
  <c r="V1387" i="12" s="1"/>
  <c r="V1388" i="12" s="1"/>
  <c r="V1389" i="12" s="1"/>
  <c r="V1390" i="12" s="1"/>
  <c r="V1391" i="12" s="1"/>
  <c r="V1392" i="12" s="1"/>
  <c r="V1393" i="12" s="1"/>
  <c r="V1394" i="12" s="1"/>
  <c r="V1395" i="12" s="1"/>
  <c r="V1396" i="12" s="1"/>
  <c r="V1397" i="12" s="1"/>
  <c r="V1398" i="12" s="1"/>
  <c r="V1399" i="12" s="1"/>
  <c r="V1400" i="12" s="1"/>
  <c r="V1401" i="12" s="1"/>
  <c r="V1402" i="12" s="1"/>
  <c r="V1403" i="12" s="1"/>
  <c r="V1404" i="12" s="1"/>
  <c r="V1405" i="12" s="1"/>
  <c r="V1406" i="12" s="1"/>
  <c r="V1407" i="12" s="1"/>
  <c r="V1408" i="12" s="1"/>
  <c r="V1409" i="12" s="1"/>
  <c r="V1410" i="12" s="1"/>
  <c r="V1411" i="12" s="1"/>
  <c r="V1412" i="12" s="1"/>
  <c r="V1413" i="12" s="1"/>
  <c r="V1414" i="12" s="1"/>
  <c r="V1415" i="12" s="1"/>
  <c r="V1416" i="12" s="1"/>
  <c r="V1417" i="12" s="1"/>
  <c r="V1418" i="12" s="1"/>
  <c r="V1419" i="12" s="1"/>
  <c r="V1420" i="12" s="1"/>
  <c r="V1421" i="12" s="1"/>
  <c r="V1422" i="12" s="1"/>
  <c r="V1423" i="12" s="1"/>
  <c r="V1424" i="12" s="1"/>
  <c r="V1425" i="12" s="1"/>
  <c r="V1426" i="12" s="1"/>
  <c r="V1427" i="12" s="1"/>
  <c r="V1428" i="12" s="1"/>
  <c r="V1429" i="12" s="1"/>
  <c r="V1430" i="12" s="1"/>
  <c r="V1431" i="12" s="1"/>
  <c r="V1432" i="12" s="1"/>
  <c r="V1433" i="12" s="1"/>
  <c r="V1434" i="12" s="1"/>
  <c r="V1435" i="12" s="1"/>
  <c r="V1436" i="12" s="1"/>
  <c r="V1437" i="12" s="1"/>
  <c r="V1438" i="12" s="1"/>
  <c r="V1439" i="12" s="1"/>
  <c r="V1440" i="12" s="1"/>
  <c r="V1441" i="12" s="1"/>
  <c r="V1442" i="12" s="1"/>
  <c r="V1443" i="12" s="1"/>
  <c r="V1444" i="12" s="1"/>
  <c r="V1445" i="12" s="1"/>
  <c r="V1446" i="12" s="1"/>
  <c r="V1447" i="12" s="1"/>
  <c r="V1448" i="12" s="1"/>
  <c r="V1449" i="12" s="1"/>
  <c r="V1450" i="12" s="1"/>
  <c r="V1451" i="12" s="1"/>
  <c r="V1452" i="12" s="1"/>
  <c r="V1453" i="12" s="1"/>
  <c r="V1454" i="12" s="1"/>
  <c r="V1455" i="12" s="1"/>
  <c r="V1456" i="12" s="1"/>
  <c r="V1457" i="12" s="1"/>
  <c r="V1458" i="12" s="1"/>
  <c r="V1459" i="12" s="1"/>
  <c r="V1460" i="12" s="1"/>
  <c r="V1461" i="12" s="1"/>
  <c r="V1462" i="12" s="1"/>
  <c r="V1463" i="12" s="1"/>
  <c r="V1464" i="12" s="1"/>
  <c r="V1465" i="12" s="1"/>
  <c r="V1466" i="12" s="1"/>
  <c r="V1467" i="12" s="1"/>
  <c r="V1468" i="12" s="1"/>
  <c r="V1469" i="12" s="1"/>
  <c r="V1470" i="12" s="1"/>
  <c r="V1471" i="12" s="1"/>
  <c r="V1472" i="12" s="1"/>
  <c r="V1473" i="12" s="1"/>
  <c r="V1474" i="12" s="1"/>
  <c r="V1475" i="12" s="1"/>
  <c r="V1476" i="12" s="1"/>
  <c r="V1477" i="12" s="1"/>
  <c r="V1478" i="12" s="1"/>
  <c r="V1479" i="12" s="1"/>
  <c r="V1480" i="12" s="1"/>
  <c r="V1481" i="12" s="1"/>
  <c r="V1482" i="12" s="1"/>
  <c r="V1483" i="12" s="1"/>
  <c r="V1484" i="12" s="1"/>
  <c r="V1485" i="12" s="1"/>
  <c r="V1486" i="12" s="1"/>
  <c r="V1487" i="12" s="1"/>
  <c r="V1488" i="12" s="1"/>
  <c r="V1489" i="12" s="1"/>
  <c r="V1490" i="12" s="1"/>
  <c r="V1491" i="12" s="1"/>
  <c r="V1492" i="12" s="1"/>
  <c r="V1493" i="12" s="1"/>
  <c r="V1494" i="12" s="1"/>
  <c r="V1495" i="12" s="1"/>
  <c r="V1496" i="12" s="1"/>
  <c r="V1497" i="12" s="1"/>
  <c r="V1498" i="12" s="1"/>
  <c r="V1499" i="12" s="1"/>
  <c r="V1500" i="12" s="1"/>
  <c r="V1501" i="12" s="1"/>
  <c r="V1502" i="12" s="1"/>
  <c r="V1503" i="12" s="1"/>
  <c r="V1504" i="12" s="1"/>
  <c r="V1505" i="12" s="1"/>
  <c r="V1506" i="12" s="1"/>
  <c r="V1507" i="12" s="1"/>
  <c r="V1508" i="12" s="1"/>
  <c r="V1509" i="12" s="1"/>
  <c r="V1510" i="12" s="1"/>
  <c r="V1511" i="12" s="1"/>
  <c r="V1512" i="12" s="1"/>
  <c r="V1513" i="12" s="1"/>
  <c r="V1514" i="12" s="1"/>
  <c r="V1515" i="12" s="1"/>
  <c r="V1516" i="12" s="1"/>
  <c r="V1517" i="12" s="1"/>
  <c r="V1518" i="12" s="1"/>
  <c r="V1519" i="12" s="1"/>
  <c r="V1520" i="12" s="1"/>
  <c r="V1521" i="12" s="1"/>
  <c r="V1522" i="12" s="1"/>
  <c r="V1523" i="12" s="1"/>
  <c r="V1524" i="12" s="1"/>
  <c r="V1525" i="12" s="1"/>
  <c r="V1526" i="12" s="1"/>
  <c r="V1527" i="12" s="1"/>
  <c r="V1528" i="12" s="1"/>
  <c r="V1529" i="12" s="1"/>
  <c r="V1530" i="12" s="1"/>
  <c r="V1531" i="12" s="1"/>
  <c r="V1532" i="12" s="1"/>
  <c r="V1533" i="12" s="1"/>
  <c r="V1534" i="12" s="1"/>
  <c r="V1535" i="12" s="1"/>
  <c r="V1536" i="12" s="1"/>
  <c r="V1537" i="12" s="1"/>
  <c r="V1538" i="12" s="1"/>
  <c r="V1539" i="12" s="1"/>
  <c r="V1540" i="12" s="1"/>
  <c r="V1541" i="12" s="1"/>
  <c r="V1542" i="12" s="1"/>
  <c r="V1543" i="12" s="1"/>
  <c r="V1544" i="12" s="1"/>
  <c r="V1545" i="12" s="1"/>
  <c r="V1546" i="12" s="1"/>
  <c r="V1547" i="12" s="1"/>
  <c r="V1548" i="12" s="1"/>
  <c r="V1549" i="12" s="1"/>
  <c r="V1550" i="12" s="1"/>
  <c r="V1551" i="12" s="1"/>
  <c r="V1552" i="12" s="1"/>
  <c r="V1553" i="12" s="1"/>
  <c r="V1554" i="12" s="1"/>
  <c r="V1555" i="12" s="1"/>
  <c r="V1556" i="12" s="1"/>
  <c r="V1557" i="12" s="1"/>
  <c r="V1558" i="12" s="1"/>
  <c r="V1559" i="12" s="1"/>
  <c r="V1560" i="12" s="1"/>
  <c r="V1561" i="12" s="1"/>
  <c r="V1562" i="12" s="1"/>
  <c r="V1563" i="12" s="1"/>
  <c r="V1564" i="12" s="1"/>
  <c r="V1565" i="12" s="1"/>
  <c r="V1566" i="12" s="1"/>
  <c r="V1567" i="12" s="1"/>
  <c r="V1568" i="12" s="1"/>
  <c r="V1569" i="12" s="1"/>
  <c r="V1570" i="12" s="1"/>
  <c r="V1571" i="12" s="1"/>
  <c r="V1572" i="12" s="1"/>
  <c r="V1573" i="12" s="1"/>
  <c r="V1574" i="12" s="1"/>
  <c r="V1575" i="12" s="1"/>
  <c r="V1576" i="12" s="1"/>
  <c r="V1577" i="12" s="1"/>
  <c r="V1578" i="12" s="1"/>
  <c r="V1579" i="12" s="1"/>
  <c r="V1580" i="12" s="1"/>
  <c r="V1581" i="12" s="1"/>
  <c r="V1582" i="12" s="1"/>
  <c r="V1583" i="12" s="1"/>
  <c r="V1584" i="12" s="1"/>
  <c r="V1585" i="12" s="1"/>
  <c r="V1586" i="12" s="1"/>
  <c r="V1587" i="12" s="1"/>
  <c r="V1588" i="12" s="1"/>
  <c r="V1589" i="12" s="1"/>
  <c r="V1590" i="12" s="1"/>
  <c r="V1591" i="12" s="1"/>
  <c r="V1592" i="12" s="1"/>
  <c r="V1593" i="12" s="1"/>
  <c r="V1594" i="12" s="1"/>
  <c r="V1595" i="12" s="1"/>
  <c r="V1596" i="12" s="1"/>
  <c r="V1597" i="12" s="1"/>
  <c r="V1598" i="12" s="1"/>
  <c r="V1599" i="12" s="1"/>
  <c r="V1600" i="12" s="1"/>
  <c r="V1601" i="12" s="1"/>
  <c r="V1602" i="12" s="1"/>
  <c r="V1603" i="12" s="1"/>
  <c r="V1604" i="12" s="1"/>
  <c r="V1605" i="12" s="1"/>
  <c r="V1606" i="12" s="1"/>
  <c r="V1607" i="12" s="1"/>
  <c r="V1608" i="12" s="1"/>
  <c r="V1609" i="12" s="1"/>
  <c r="V1610" i="12" s="1"/>
  <c r="V1611" i="12" s="1"/>
  <c r="V1612" i="12" s="1"/>
  <c r="V1613" i="12" s="1"/>
  <c r="V1614" i="12" s="1"/>
  <c r="V1615" i="12" s="1"/>
  <c r="V1616" i="12" s="1"/>
  <c r="V1617" i="12" s="1"/>
  <c r="V1618" i="12" s="1"/>
  <c r="V1619" i="12" s="1"/>
  <c r="V1620" i="12" s="1"/>
  <c r="V1621" i="12" s="1"/>
  <c r="V1622" i="12" s="1"/>
  <c r="V1623" i="12" s="1"/>
  <c r="V1624" i="12" s="1"/>
  <c r="V1625" i="12" s="1"/>
  <c r="V1626" i="12" s="1"/>
  <c r="V1627" i="12" s="1"/>
  <c r="V1628" i="12" s="1"/>
  <c r="V1629" i="12" s="1"/>
  <c r="V1630" i="12" s="1"/>
  <c r="V1631" i="12" s="1"/>
  <c r="V1632" i="12" s="1"/>
  <c r="V1633" i="12" s="1"/>
  <c r="V1634" i="12" s="1"/>
  <c r="V1635" i="12" s="1"/>
  <c r="V1636" i="12" s="1"/>
  <c r="V1637" i="12" s="1"/>
  <c r="V1638" i="12" s="1"/>
  <c r="V1639" i="12" s="1"/>
  <c r="V1640" i="12" s="1"/>
  <c r="V1641" i="12" s="1"/>
  <c r="V1642" i="12" s="1"/>
  <c r="V1643" i="12" s="1"/>
  <c r="V1644" i="12" s="1"/>
  <c r="V1645" i="12" s="1"/>
  <c r="V1646" i="12" s="1"/>
  <c r="V1647" i="12" s="1"/>
  <c r="V1648" i="12" s="1"/>
  <c r="V1649" i="12" s="1"/>
  <c r="V1650" i="12" s="1"/>
  <c r="V1651" i="12" s="1"/>
  <c r="V1652" i="12" s="1"/>
  <c r="V1653" i="12" s="1"/>
  <c r="V1654" i="12" s="1"/>
  <c r="V1655" i="12" s="1"/>
  <c r="V1656" i="12" s="1"/>
  <c r="V1657" i="12" s="1"/>
  <c r="V1658" i="12" s="1"/>
  <c r="V1659" i="12" s="1"/>
  <c r="V1660" i="12" s="1"/>
  <c r="V1661" i="12" s="1"/>
  <c r="V1662" i="12" s="1"/>
  <c r="V1663" i="12" s="1"/>
  <c r="V1664" i="12" s="1"/>
  <c r="V1665" i="12" s="1"/>
  <c r="V1666" i="12" s="1"/>
  <c r="V1667" i="12" s="1"/>
  <c r="V1668" i="12" s="1"/>
  <c r="V1669" i="12" s="1"/>
  <c r="V1670" i="12" s="1"/>
  <c r="V1671" i="12" s="1"/>
  <c r="V1672" i="12" s="1"/>
  <c r="V1673" i="12" s="1"/>
  <c r="V1674" i="12" s="1"/>
  <c r="V1675" i="12" s="1"/>
  <c r="V1676" i="12" s="1"/>
  <c r="V1677" i="12" s="1"/>
  <c r="V1678" i="12" s="1"/>
  <c r="V1679" i="12" s="1"/>
  <c r="V1680" i="12" s="1"/>
  <c r="V1681" i="12" s="1"/>
  <c r="V1682" i="12" s="1"/>
  <c r="V1683" i="12" s="1"/>
  <c r="V1684" i="12" s="1"/>
  <c r="V1685" i="12" s="1"/>
  <c r="V1686" i="12" s="1"/>
  <c r="V1687" i="12" s="1"/>
  <c r="V1688" i="12" s="1"/>
  <c r="V1689" i="12" s="1"/>
  <c r="V1690" i="12" s="1"/>
  <c r="V1691" i="12" s="1"/>
  <c r="V1692" i="12" s="1"/>
  <c r="V1693" i="12" s="1"/>
  <c r="V1694" i="12" s="1"/>
  <c r="V1695" i="12" s="1"/>
  <c r="V1696" i="12" s="1"/>
  <c r="V1697" i="12" s="1"/>
  <c r="V1698" i="12" s="1"/>
  <c r="V1699" i="12" s="1"/>
  <c r="V1700" i="12" s="1"/>
  <c r="V1701" i="12" s="1"/>
  <c r="V1702" i="12" s="1"/>
  <c r="V1703" i="12" s="1"/>
  <c r="V1704" i="12" s="1"/>
  <c r="V1705" i="12" s="1"/>
  <c r="V1706" i="12" s="1"/>
  <c r="V1707" i="12" s="1"/>
  <c r="V1708" i="12" s="1"/>
  <c r="V1709" i="12" s="1"/>
  <c r="V1710" i="12" s="1"/>
  <c r="V1711" i="12" s="1"/>
  <c r="V1712" i="12" s="1"/>
  <c r="V1713" i="12" s="1"/>
  <c r="V1714" i="12" s="1"/>
  <c r="V1715" i="12" s="1"/>
  <c r="V1716" i="12" s="1"/>
  <c r="V1717" i="12" s="1"/>
  <c r="V1718" i="12" s="1"/>
  <c r="V1719" i="12" s="1"/>
  <c r="V1720" i="12" s="1"/>
  <c r="V1721" i="12" s="1"/>
  <c r="V1722" i="12" s="1"/>
  <c r="V1723" i="12" s="1"/>
  <c r="V1724" i="12" s="1"/>
  <c r="V1725" i="12" s="1"/>
  <c r="V1726" i="12" s="1"/>
  <c r="V1727" i="12" s="1"/>
  <c r="V1728" i="12" s="1"/>
  <c r="V1729" i="12" s="1"/>
  <c r="V1730" i="12" s="1"/>
  <c r="V1731" i="12" s="1"/>
  <c r="V1732" i="12" s="1"/>
  <c r="V1733" i="12" s="1"/>
  <c r="V1734" i="12" s="1"/>
  <c r="V1735" i="12" s="1"/>
  <c r="V1736" i="12" s="1"/>
  <c r="V1737" i="12" s="1"/>
  <c r="V1738" i="12" s="1"/>
  <c r="V1739" i="12" s="1"/>
  <c r="V1740" i="12" s="1"/>
  <c r="V1741" i="12" s="1"/>
  <c r="V1742" i="12" s="1"/>
  <c r="V1743" i="12" s="1"/>
  <c r="V1744" i="12" s="1"/>
  <c r="V1745" i="12" s="1"/>
  <c r="V1746" i="12" s="1"/>
  <c r="V1747" i="12" s="1"/>
  <c r="V1748" i="12" s="1"/>
  <c r="V1749" i="12" s="1"/>
  <c r="V1750" i="12" s="1"/>
  <c r="V1751" i="12" s="1"/>
  <c r="V1752" i="12" s="1"/>
  <c r="V1753" i="12" s="1"/>
  <c r="V1754" i="12" s="1"/>
  <c r="V1755" i="12" s="1"/>
  <c r="V1756" i="12" s="1"/>
  <c r="V1757" i="12" s="1"/>
  <c r="V1758" i="12" s="1"/>
  <c r="V1759" i="12" s="1"/>
  <c r="V1760" i="12" s="1"/>
  <c r="V1761" i="12" s="1"/>
  <c r="V1762" i="12" s="1"/>
  <c r="V1763" i="12" s="1"/>
  <c r="V1764" i="12" s="1"/>
  <c r="V1765" i="12" s="1"/>
  <c r="V1766" i="12" s="1"/>
  <c r="V1767" i="12" s="1"/>
  <c r="V1768" i="12" s="1"/>
  <c r="V1769" i="12" s="1"/>
  <c r="V1770" i="12" s="1"/>
  <c r="V1771" i="12" s="1"/>
  <c r="V1772" i="12" s="1"/>
  <c r="V1773" i="12" s="1"/>
  <c r="V1774" i="12" s="1"/>
  <c r="V1775" i="12" s="1"/>
  <c r="V1776" i="12" s="1"/>
  <c r="V1777" i="12" s="1"/>
  <c r="V1778" i="12" s="1"/>
  <c r="V1779" i="12" s="1"/>
  <c r="V1780" i="12" s="1"/>
  <c r="V1781" i="12" s="1"/>
  <c r="V1782" i="12" s="1"/>
  <c r="V1783" i="12" s="1"/>
  <c r="V1784" i="12" s="1"/>
  <c r="V1785" i="12" s="1"/>
  <c r="V1786" i="12" s="1"/>
  <c r="V1787" i="12" s="1"/>
  <c r="V1788" i="12" s="1"/>
  <c r="V1789" i="12" s="1"/>
  <c r="V1790" i="12" s="1"/>
  <c r="V1791" i="12" s="1"/>
  <c r="V1792" i="12" s="1"/>
  <c r="V1793" i="12" s="1"/>
  <c r="V1794" i="12" s="1"/>
  <c r="V1795" i="12" s="1"/>
  <c r="V1796" i="12" s="1"/>
  <c r="V1797" i="12" s="1"/>
  <c r="V1798" i="12" s="1"/>
  <c r="V1799" i="12" s="1"/>
  <c r="V1800" i="12" s="1"/>
  <c r="V1801" i="12" s="1"/>
  <c r="V1802" i="12" s="1"/>
  <c r="V1803" i="12" s="1"/>
  <c r="V1804" i="12" s="1"/>
  <c r="V1805" i="12" s="1"/>
  <c r="V1806" i="12" s="1"/>
  <c r="V1807" i="12" s="1"/>
  <c r="V1808" i="12" s="1"/>
  <c r="V1809" i="12" s="1"/>
  <c r="V1810" i="12" s="1"/>
  <c r="V1811" i="12" s="1"/>
  <c r="V1812" i="12" s="1"/>
  <c r="V1813" i="12" s="1"/>
  <c r="V1814" i="12" s="1"/>
  <c r="V1815" i="12" s="1"/>
  <c r="V1816" i="12" s="1"/>
  <c r="V1817" i="12" s="1"/>
  <c r="V1818" i="12" s="1"/>
  <c r="V1819" i="12" s="1"/>
  <c r="V1820" i="12" s="1"/>
  <c r="V1821" i="12" s="1"/>
  <c r="V1822" i="12" s="1"/>
  <c r="V1823" i="12" s="1"/>
  <c r="V1824" i="12" s="1"/>
  <c r="V1825" i="12" s="1"/>
  <c r="V1826" i="12" s="1"/>
  <c r="V1827" i="12" s="1"/>
  <c r="V1828" i="12" s="1"/>
  <c r="V1829" i="12" s="1"/>
  <c r="V1830" i="12" s="1"/>
  <c r="V1831" i="12" s="1"/>
  <c r="V1832" i="12" s="1"/>
  <c r="V1833" i="12" s="1"/>
  <c r="V1834" i="12" s="1"/>
  <c r="V1835" i="12" s="1"/>
  <c r="V1836" i="12" s="1"/>
  <c r="V1837" i="12" s="1"/>
  <c r="V1838" i="12" s="1"/>
  <c r="V1839" i="12" s="1"/>
  <c r="V1840" i="12" s="1"/>
  <c r="V1841" i="12" s="1"/>
  <c r="V1842" i="12" s="1"/>
  <c r="V1843" i="12" s="1"/>
  <c r="V1844" i="12" s="1"/>
  <c r="V1845" i="12" s="1"/>
  <c r="V1846" i="12" s="1"/>
  <c r="V1847" i="12" s="1"/>
  <c r="V1848" i="12" s="1"/>
  <c r="V1849" i="12" s="1"/>
  <c r="V1850" i="12" s="1"/>
  <c r="V1851" i="12" s="1"/>
  <c r="V1852" i="12" s="1"/>
  <c r="V1853" i="12" s="1"/>
  <c r="V1854" i="12" s="1"/>
  <c r="V1855" i="12" s="1"/>
  <c r="V1856" i="12" s="1"/>
  <c r="V1857" i="12" s="1"/>
  <c r="V1858" i="12" s="1"/>
  <c r="V1859" i="12" s="1"/>
  <c r="V1860" i="12" s="1"/>
  <c r="V1861" i="12" s="1"/>
  <c r="V1862" i="12" s="1"/>
  <c r="V1863" i="12" s="1"/>
  <c r="V1864" i="12" s="1"/>
  <c r="V1865" i="12" s="1"/>
  <c r="V1866" i="12" s="1"/>
  <c r="V1867" i="12" s="1"/>
  <c r="V1868" i="12" s="1"/>
  <c r="V1869" i="12" s="1"/>
  <c r="V1870" i="12" s="1"/>
  <c r="V1871" i="12" s="1"/>
  <c r="V1872" i="12" s="1"/>
  <c r="V1873" i="12" s="1"/>
  <c r="V1874" i="12" s="1"/>
  <c r="V1875" i="12" s="1"/>
  <c r="V1876" i="12" s="1"/>
  <c r="V1877" i="12" s="1"/>
  <c r="V1878" i="12" s="1"/>
  <c r="V1879" i="12" s="1"/>
  <c r="V1880" i="12" s="1"/>
  <c r="V1881" i="12" s="1"/>
  <c r="V1882" i="12" s="1"/>
  <c r="V1883" i="12" s="1"/>
  <c r="V1884" i="12" s="1"/>
  <c r="V1885" i="12" s="1"/>
  <c r="V1886" i="12" s="1"/>
  <c r="V1887" i="12" s="1"/>
  <c r="V1888" i="12" s="1"/>
  <c r="V1889" i="12" s="1"/>
  <c r="V1890" i="12" s="1"/>
  <c r="V1891" i="12" s="1"/>
  <c r="V1892" i="12" s="1"/>
  <c r="V1893" i="12" s="1"/>
  <c r="V1894" i="12" s="1"/>
  <c r="V1895" i="12" s="1"/>
  <c r="V1896" i="12" s="1"/>
  <c r="V1897" i="12" s="1"/>
  <c r="V1898" i="12" s="1"/>
  <c r="V1899" i="12" s="1"/>
  <c r="V1900" i="12" s="1"/>
  <c r="V1901" i="12" s="1"/>
  <c r="V1902" i="12" s="1"/>
  <c r="V1903" i="12" s="1"/>
  <c r="V1904" i="12" s="1"/>
  <c r="V1905" i="12" s="1"/>
  <c r="V1906" i="12" s="1"/>
  <c r="V1907" i="12" s="1"/>
  <c r="V1908" i="12" s="1"/>
  <c r="V1909" i="12" s="1"/>
  <c r="V1910" i="12" s="1"/>
  <c r="V1911" i="12" s="1"/>
  <c r="V1912" i="12" s="1"/>
  <c r="V1913" i="12" s="1"/>
  <c r="V1914" i="12" s="1"/>
  <c r="V1915" i="12" s="1"/>
  <c r="V1916" i="12" s="1"/>
  <c r="V1917" i="12" s="1"/>
  <c r="V1918" i="12" s="1"/>
  <c r="V1919" i="12" s="1"/>
  <c r="V1920" i="12" s="1"/>
  <c r="V1921" i="12" s="1"/>
  <c r="V1922" i="12" s="1"/>
  <c r="V1923" i="12" s="1"/>
  <c r="V1924" i="12" s="1"/>
  <c r="V1925" i="12" s="1"/>
  <c r="V1926" i="12" s="1"/>
  <c r="V1927" i="12" s="1"/>
  <c r="V1928" i="12" s="1"/>
  <c r="V1929" i="12" s="1"/>
  <c r="V1930" i="12" s="1"/>
  <c r="V1931" i="12" s="1"/>
  <c r="V1932" i="12" s="1"/>
  <c r="V1933" i="12" s="1"/>
  <c r="V1934" i="12" s="1"/>
  <c r="V1935" i="12" s="1"/>
  <c r="V1936" i="12" s="1"/>
  <c r="V1937" i="12" s="1"/>
  <c r="V1938" i="12" s="1"/>
  <c r="V1939" i="12" s="1"/>
  <c r="V1940" i="12" s="1"/>
  <c r="V1941" i="12" s="1"/>
  <c r="V1942" i="12" s="1"/>
  <c r="V1943" i="12" s="1"/>
  <c r="V1944" i="12" s="1"/>
  <c r="V1945" i="12" s="1"/>
  <c r="V1946" i="12" s="1"/>
  <c r="V1947" i="12" s="1"/>
  <c r="V1948" i="12" s="1"/>
  <c r="V1949" i="12" s="1"/>
  <c r="V1950" i="12" s="1"/>
  <c r="V1951" i="12" s="1"/>
  <c r="V1952" i="12" s="1"/>
  <c r="V1953" i="12" s="1"/>
  <c r="V1954" i="12" s="1"/>
  <c r="V1955" i="12" s="1"/>
  <c r="V1956" i="12" s="1"/>
  <c r="V1957" i="12" s="1"/>
  <c r="V1958" i="12" s="1"/>
  <c r="V1959" i="12" s="1"/>
  <c r="V1960" i="12" s="1"/>
  <c r="V1961" i="12" s="1"/>
  <c r="V1962" i="12" s="1"/>
  <c r="V1963" i="12" s="1"/>
  <c r="V1964" i="12" s="1"/>
  <c r="V1965" i="12" s="1"/>
  <c r="V1966" i="12" s="1"/>
  <c r="V1967" i="12" s="1"/>
  <c r="V1968" i="12" s="1"/>
  <c r="V1969" i="12" s="1"/>
  <c r="V1970" i="12" s="1"/>
  <c r="V1971" i="12" s="1"/>
  <c r="V1972" i="12" s="1"/>
  <c r="V1973" i="12" s="1"/>
  <c r="V1974" i="12" s="1"/>
  <c r="V1975" i="12" s="1"/>
  <c r="V1976" i="12" s="1"/>
  <c r="V1977" i="12" s="1"/>
  <c r="V1978" i="12" s="1"/>
  <c r="V1979" i="12" s="1"/>
  <c r="V1980" i="12" s="1"/>
  <c r="V1981" i="12" s="1"/>
  <c r="V1982" i="12" s="1"/>
  <c r="V1983" i="12" s="1"/>
  <c r="V1984" i="12" s="1"/>
  <c r="V1985" i="12" s="1"/>
  <c r="V1986" i="12" s="1"/>
  <c r="V1987" i="12" s="1"/>
  <c r="V1988" i="12" s="1"/>
  <c r="V1989" i="12" s="1"/>
  <c r="V1990" i="12" s="1"/>
  <c r="V1991" i="12" s="1"/>
  <c r="V1992" i="12" s="1"/>
  <c r="V1993" i="12" s="1"/>
  <c r="V1994" i="12" s="1"/>
  <c r="V1995" i="12" s="1"/>
  <c r="V1996" i="12" s="1"/>
  <c r="V1997" i="12" s="1"/>
  <c r="V1998" i="12" s="1"/>
  <c r="V1999" i="12" s="1"/>
  <c r="V2000" i="12" s="1"/>
  <c r="V2001" i="12" s="1"/>
  <c r="V2002" i="12" s="1"/>
  <c r="V2003" i="12" s="1"/>
  <c r="V2004" i="12" s="1"/>
  <c r="V2005" i="12" s="1"/>
  <c r="V2006" i="12" s="1"/>
  <c r="V2007" i="12" s="1"/>
  <c r="V2008" i="12" s="1"/>
  <c r="V2009" i="12" s="1"/>
  <c r="V2010" i="12" s="1"/>
  <c r="V2011" i="12" s="1"/>
  <c r="V2012" i="12" s="1"/>
  <c r="V2013" i="12" s="1"/>
  <c r="V2014" i="12" s="1"/>
  <c r="V2015" i="12" s="1"/>
  <c r="V2016" i="12" s="1"/>
  <c r="V2017" i="12" s="1"/>
  <c r="V2018" i="12" s="1"/>
  <c r="V2019" i="12" s="1"/>
  <c r="V2020" i="12" s="1"/>
  <c r="V2021" i="12" s="1"/>
  <c r="V2022" i="12" s="1"/>
  <c r="V2023" i="12" s="1"/>
  <c r="V2024" i="12" s="1"/>
  <c r="V2025" i="12" s="1"/>
  <c r="V2026" i="12" s="1"/>
  <c r="V2027" i="12" s="1"/>
  <c r="V2028" i="12" s="1"/>
  <c r="V2029" i="12" s="1"/>
  <c r="V2030" i="12" s="1"/>
  <c r="V2031" i="12" s="1"/>
  <c r="V2032" i="12" s="1"/>
  <c r="V2033" i="12" s="1"/>
  <c r="V2034" i="12" s="1"/>
  <c r="V2035" i="12" s="1"/>
  <c r="V2036" i="12" s="1"/>
  <c r="V2037" i="12" s="1"/>
  <c r="V2038" i="12" s="1"/>
  <c r="V2039" i="12" s="1"/>
  <c r="V2040" i="12" s="1"/>
  <c r="V2041" i="12" s="1"/>
  <c r="V2042" i="12" s="1"/>
  <c r="V2043" i="12" s="1"/>
  <c r="V2044" i="12" s="1"/>
  <c r="V2045" i="12" s="1"/>
  <c r="V2046" i="12" s="1"/>
  <c r="V2047" i="12" s="1"/>
  <c r="V2048" i="12" s="1"/>
  <c r="V2049" i="12" s="1"/>
  <c r="V2050" i="12" s="1"/>
  <c r="V2051" i="12" s="1"/>
  <c r="V2052" i="12" s="1"/>
  <c r="V2053" i="12" s="1"/>
  <c r="V2054" i="12" s="1"/>
  <c r="V2055" i="12" s="1"/>
  <c r="V2056" i="12" s="1"/>
  <c r="V2057" i="12" s="1"/>
  <c r="V2058" i="12" s="1"/>
  <c r="V2059" i="12" s="1"/>
  <c r="V2060" i="12" s="1"/>
  <c r="V2061" i="12" s="1"/>
  <c r="V2062" i="12" s="1"/>
  <c r="V2063" i="12" s="1"/>
  <c r="V2064" i="12" s="1"/>
  <c r="V2065" i="12" s="1"/>
  <c r="V2066" i="12" s="1"/>
  <c r="V2067" i="12" s="1"/>
  <c r="V2068" i="12" s="1"/>
  <c r="V2069" i="12" s="1"/>
  <c r="V2070" i="12" s="1"/>
  <c r="V2071" i="12" s="1"/>
  <c r="V2072" i="12" s="1"/>
  <c r="V2073" i="12" s="1"/>
  <c r="V2074" i="12" s="1"/>
  <c r="V2075" i="12" s="1"/>
  <c r="V2076" i="12" s="1"/>
  <c r="V2077" i="12" s="1"/>
  <c r="V2078" i="12" s="1"/>
  <c r="V2079" i="12" s="1"/>
  <c r="V2080" i="12" s="1"/>
  <c r="V2081" i="12" s="1"/>
  <c r="V2082" i="12" s="1"/>
  <c r="V2083" i="12" s="1"/>
  <c r="V2084" i="12" s="1"/>
  <c r="V2085" i="12" s="1"/>
  <c r="V2086" i="12" s="1"/>
  <c r="V2087" i="12" s="1"/>
  <c r="V2088" i="12" s="1"/>
  <c r="V2089" i="12" s="1"/>
  <c r="V2090" i="12" s="1"/>
  <c r="V2091" i="12" s="1"/>
  <c r="V2092" i="12" s="1"/>
  <c r="V2093" i="12" s="1"/>
  <c r="V2094" i="12" s="1"/>
  <c r="V2095" i="12" s="1"/>
  <c r="V2096" i="12" s="1"/>
  <c r="V2097" i="12" s="1"/>
  <c r="V2098" i="12" s="1"/>
  <c r="V2099" i="12" s="1"/>
  <c r="V2100" i="12" s="1"/>
  <c r="V2101" i="12" s="1"/>
  <c r="V2102" i="12" s="1"/>
  <c r="V2103" i="12" s="1"/>
  <c r="V2104" i="12" s="1"/>
  <c r="V2105" i="12" s="1"/>
  <c r="V2106" i="12" s="1"/>
  <c r="V2107" i="12" s="1"/>
  <c r="V2108" i="12" s="1"/>
  <c r="V2109" i="12" s="1"/>
  <c r="V2110" i="12" s="1"/>
  <c r="V2111" i="12" s="1"/>
  <c r="V2112" i="12" s="1"/>
  <c r="V2113" i="12" s="1"/>
  <c r="V2114" i="12" s="1"/>
  <c r="V2115" i="12" s="1"/>
  <c r="V2116" i="12" s="1"/>
  <c r="V2117" i="12" s="1"/>
  <c r="V2118" i="12" s="1"/>
  <c r="V2119" i="12" s="1"/>
  <c r="V2120" i="12" s="1"/>
  <c r="V2121" i="12" s="1"/>
  <c r="V2122" i="12" s="1"/>
  <c r="V2123" i="12" s="1"/>
  <c r="V2124" i="12" s="1"/>
  <c r="V2125" i="12" s="1"/>
  <c r="V2126" i="12" s="1"/>
  <c r="V2127" i="12" s="1"/>
  <c r="V2128" i="12" s="1"/>
  <c r="V2129" i="12" s="1"/>
  <c r="V2130" i="12" s="1"/>
  <c r="V2131" i="12" s="1"/>
  <c r="V2132" i="12" s="1"/>
  <c r="V2133" i="12" s="1"/>
  <c r="V2134" i="12" s="1"/>
  <c r="V2135" i="12" s="1"/>
  <c r="V2136" i="12" s="1"/>
  <c r="V2137" i="12" s="1"/>
  <c r="V2138" i="12" s="1"/>
  <c r="V2139" i="12" s="1"/>
  <c r="V2140" i="12" s="1"/>
  <c r="V2141" i="12" s="1"/>
  <c r="V2142" i="12" s="1"/>
  <c r="V2143" i="12" s="1"/>
  <c r="V2144" i="12" s="1"/>
  <c r="V2145" i="12" s="1"/>
  <c r="V2146" i="12" s="1"/>
  <c r="V2147" i="12" s="1"/>
  <c r="V2148" i="12" s="1"/>
  <c r="V2149" i="12" s="1"/>
  <c r="V2150" i="12" s="1"/>
  <c r="V2151" i="12" s="1"/>
  <c r="V2152" i="12" s="1"/>
  <c r="V2153" i="12" s="1"/>
  <c r="V2154" i="12" s="1"/>
  <c r="V2155" i="12" s="1"/>
  <c r="V2156" i="12" s="1"/>
  <c r="V2157" i="12" s="1"/>
  <c r="V2158" i="12" s="1"/>
  <c r="V2159" i="12" s="1"/>
  <c r="V2160" i="12" s="1"/>
  <c r="V2161" i="12" s="1"/>
  <c r="V2162" i="12" s="1"/>
  <c r="V2163" i="12" s="1"/>
  <c r="V2164" i="12" s="1"/>
  <c r="V2165" i="12" s="1"/>
  <c r="V2166" i="12" s="1"/>
  <c r="V2167" i="12" s="1"/>
  <c r="V2168" i="12" s="1"/>
  <c r="V2169" i="12" s="1"/>
  <c r="V2170" i="12" s="1"/>
  <c r="V2171" i="12" s="1"/>
  <c r="V2172" i="12" s="1"/>
  <c r="V2173" i="12" s="1"/>
  <c r="V2174" i="12" s="1"/>
  <c r="V2175" i="12" s="1"/>
  <c r="V2176" i="12" s="1"/>
  <c r="V2177" i="12" s="1"/>
  <c r="V2178" i="12" s="1"/>
  <c r="V2179" i="12" s="1"/>
  <c r="V2180" i="12" s="1"/>
  <c r="V2181" i="12" s="1"/>
  <c r="V2182" i="12" s="1"/>
  <c r="V2183" i="12" s="1"/>
  <c r="V2184" i="12" s="1"/>
  <c r="V2185" i="12" s="1"/>
  <c r="V2186" i="12" s="1"/>
  <c r="V2187" i="12" s="1"/>
  <c r="V2188" i="12" s="1"/>
  <c r="V2189" i="12" s="1"/>
  <c r="V2190" i="12" s="1"/>
  <c r="V2191" i="12" s="1"/>
  <c r="V2192" i="12" s="1"/>
  <c r="V2193" i="12" s="1"/>
  <c r="V2194" i="12" s="1"/>
  <c r="V2195" i="12" s="1"/>
  <c r="V2196" i="12" s="1"/>
  <c r="V2197" i="12" s="1"/>
  <c r="V2198" i="12" s="1"/>
  <c r="V2199" i="12" s="1"/>
  <c r="V2200" i="12" s="1"/>
  <c r="V2201" i="12" s="1"/>
  <c r="V2202" i="12" s="1"/>
  <c r="V2203" i="12" s="1"/>
  <c r="V2204" i="12" s="1"/>
  <c r="V2205" i="12" s="1"/>
  <c r="V2206" i="12" s="1"/>
  <c r="V2207" i="12" s="1"/>
  <c r="V2208" i="12" s="1"/>
  <c r="V2209" i="12" s="1"/>
  <c r="V2210" i="12" s="1"/>
  <c r="V2211" i="12" s="1"/>
  <c r="V2212" i="12" s="1"/>
  <c r="V2213" i="12" s="1"/>
  <c r="V2214" i="12" s="1"/>
  <c r="V2215" i="12" s="1"/>
  <c r="V2216" i="12" s="1"/>
  <c r="V2217" i="12" s="1"/>
  <c r="V2218" i="12" s="1"/>
  <c r="V2219" i="12" s="1"/>
  <c r="V2220" i="12" s="1"/>
  <c r="V2221" i="12" s="1"/>
  <c r="V2222" i="12" s="1"/>
  <c r="V2223" i="12" s="1"/>
  <c r="V2224" i="12" s="1"/>
  <c r="V2225" i="12" s="1"/>
  <c r="V2226" i="12" s="1"/>
  <c r="V2227" i="12" s="1"/>
  <c r="V2228" i="12" s="1"/>
  <c r="V2229" i="12" s="1"/>
  <c r="V2230" i="12" s="1"/>
  <c r="V2231" i="12" s="1"/>
  <c r="V2232" i="12" s="1"/>
  <c r="V2233" i="12" s="1"/>
  <c r="V2234" i="12" s="1"/>
  <c r="V2235" i="12" s="1"/>
  <c r="V2236" i="12" s="1"/>
  <c r="V2237" i="12" s="1"/>
  <c r="V2238" i="12" s="1"/>
  <c r="V2239" i="12" s="1"/>
  <c r="V2240" i="12" s="1"/>
  <c r="V2241" i="12" s="1"/>
  <c r="V2242" i="12" s="1"/>
  <c r="V2243" i="12" s="1"/>
  <c r="V2244" i="12" s="1"/>
  <c r="V2245" i="12" s="1"/>
  <c r="V2246" i="12" s="1"/>
  <c r="V2247" i="12" s="1"/>
  <c r="V2248" i="12" s="1"/>
  <c r="V2249" i="12" s="1"/>
  <c r="V2250" i="12" s="1"/>
  <c r="V2251" i="12" s="1"/>
  <c r="V2252" i="12" s="1"/>
  <c r="V2253" i="12" s="1"/>
  <c r="V2254" i="12" s="1"/>
  <c r="V2255" i="12" s="1"/>
  <c r="V2256" i="12" s="1"/>
  <c r="V2257" i="12" s="1"/>
  <c r="V2258" i="12" s="1"/>
  <c r="V2259" i="12" s="1"/>
  <c r="V2260" i="12" s="1"/>
  <c r="V2261" i="12" s="1"/>
  <c r="V2262" i="12" s="1"/>
  <c r="V2263" i="12" s="1"/>
  <c r="V2264" i="12" s="1"/>
  <c r="V2265" i="12" s="1"/>
  <c r="V2266" i="12" s="1"/>
  <c r="V2267" i="12" s="1"/>
  <c r="V2268" i="12" s="1"/>
  <c r="V2269" i="12" s="1"/>
  <c r="V2270" i="12" s="1"/>
  <c r="V2271" i="12" s="1"/>
  <c r="V2272" i="12" s="1"/>
  <c r="V2273" i="12" s="1"/>
  <c r="V2274" i="12" s="1"/>
  <c r="V2275" i="12" s="1"/>
  <c r="V2276" i="12" s="1"/>
  <c r="V2277" i="12" s="1"/>
  <c r="V2278" i="12" s="1"/>
  <c r="V2279" i="12" s="1"/>
  <c r="V2280" i="12" s="1"/>
  <c r="V2281" i="12" s="1"/>
  <c r="V2282" i="12" s="1"/>
  <c r="V2283" i="12" s="1"/>
  <c r="V2284" i="12" s="1"/>
  <c r="V2285" i="12" s="1"/>
  <c r="V2286" i="12" s="1"/>
  <c r="V2287" i="12" s="1"/>
  <c r="V2288" i="12" s="1"/>
  <c r="V2289" i="12" s="1"/>
  <c r="V2290" i="12" s="1"/>
  <c r="V2291" i="12" s="1"/>
  <c r="V2292" i="12" s="1"/>
  <c r="V2293" i="12" s="1"/>
  <c r="V2294" i="12" s="1"/>
  <c r="V2295" i="12" s="1"/>
  <c r="V2296" i="12" s="1"/>
  <c r="V2297" i="12" s="1"/>
  <c r="V2298" i="12" s="1"/>
  <c r="V2299" i="12" s="1"/>
  <c r="V2300" i="12" s="1"/>
  <c r="V2301" i="12" s="1"/>
  <c r="V2302" i="12" s="1"/>
  <c r="V2303" i="12" s="1"/>
  <c r="V2304" i="12" s="1"/>
  <c r="V2305" i="12" s="1"/>
  <c r="V2306" i="12" s="1"/>
  <c r="V2307" i="12" s="1"/>
  <c r="V2308" i="12" s="1"/>
  <c r="V2309" i="12" s="1"/>
  <c r="V2310" i="12" s="1"/>
  <c r="V2311" i="12" s="1"/>
  <c r="V2312" i="12" s="1"/>
  <c r="V2313" i="12" s="1"/>
  <c r="V2314" i="12" s="1"/>
  <c r="V2315" i="12" s="1"/>
  <c r="V2316" i="12" s="1"/>
  <c r="V2317" i="12" s="1"/>
  <c r="V2318" i="12" s="1"/>
  <c r="V2319" i="12" s="1"/>
  <c r="V2320" i="12" s="1"/>
  <c r="V2321" i="12" s="1"/>
  <c r="V2322" i="12" s="1"/>
  <c r="V2323" i="12" s="1"/>
  <c r="V2324" i="12" s="1"/>
  <c r="V2325" i="12" s="1"/>
  <c r="V2326" i="12" s="1"/>
  <c r="V2327" i="12" s="1"/>
  <c r="V2328" i="12" s="1"/>
  <c r="V2329" i="12" s="1"/>
  <c r="V2330" i="12" s="1"/>
  <c r="V2331" i="12" s="1"/>
  <c r="V2332" i="12" s="1"/>
  <c r="V2333" i="12" s="1"/>
  <c r="V2334" i="12" s="1"/>
  <c r="V2335" i="12" s="1"/>
  <c r="V2336" i="12" s="1"/>
  <c r="V2337" i="12" s="1"/>
  <c r="V2338" i="12" s="1"/>
  <c r="V2339" i="12" s="1"/>
  <c r="V2340" i="12" s="1"/>
  <c r="V2341" i="12" s="1"/>
  <c r="V2342" i="12" s="1"/>
  <c r="V2343" i="12" s="1"/>
  <c r="V2344" i="12" s="1"/>
  <c r="V2345" i="12" s="1"/>
  <c r="V2346" i="12" s="1"/>
  <c r="V2347" i="12" s="1"/>
  <c r="V2348" i="12" s="1"/>
  <c r="V2349" i="12" s="1"/>
  <c r="V2350" i="12" s="1"/>
  <c r="V2351" i="12" s="1"/>
  <c r="V2352" i="12" s="1"/>
  <c r="V2353" i="12" s="1"/>
  <c r="V2354" i="12" s="1"/>
  <c r="V2355" i="12" s="1"/>
  <c r="V2356" i="12" s="1"/>
  <c r="V2357" i="12" s="1"/>
  <c r="V2358" i="12" s="1"/>
  <c r="V2359" i="12" s="1"/>
  <c r="V2360" i="12" s="1"/>
  <c r="V2361" i="12" s="1"/>
  <c r="V2362" i="12" s="1"/>
  <c r="V2363" i="12" s="1"/>
  <c r="V2364" i="12" s="1"/>
  <c r="V2365" i="12" s="1"/>
  <c r="V2366" i="12" s="1"/>
  <c r="V2367" i="12" s="1"/>
  <c r="V2368" i="12" s="1"/>
  <c r="V2369" i="12" s="1"/>
  <c r="V2370" i="12" s="1"/>
  <c r="V2371" i="12" s="1"/>
  <c r="V2372" i="12" s="1"/>
  <c r="V2373" i="12" s="1"/>
  <c r="V2374" i="12" s="1"/>
  <c r="V2375" i="12" s="1"/>
  <c r="V2376" i="12" s="1"/>
  <c r="V2377" i="12" s="1"/>
  <c r="V2378" i="12" s="1"/>
  <c r="V2379" i="12" s="1"/>
  <c r="V2380" i="12" s="1"/>
  <c r="V2381" i="12" s="1"/>
  <c r="V2382" i="12" s="1"/>
  <c r="V2383" i="12" s="1"/>
  <c r="V2384" i="12" s="1"/>
  <c r="V2385" i="12" s="1"/>
  <c r="V2386" i="12" s="1"/>
  <c r="V2387" i="12" s="1"/>
  <c r="V2388" i="12" s="1"/>
  <c r="V2389" i="12" s="1"/>
  <c r="V2390" i="12" s="1"/>
  <c r="V2391" i="12" s="1"/>
  <c r="V2392" i="12" s="1"/>
  <c r="V2393" i="12" s="1"/>
  <c r="V2394" i="12" s="1"/>
  <c r="V2395" i="12" s="1"/>
  <c r="V2396" i="12" s="1"/>
  <c r="V2397" i="12" s="1"/>
  <c r="V2398" i="12" s="1"/>
  <c r="V2399" i="12" s="1"/>
  <c r="V2400" i="12" s="1"/>
  <c r="V2401" i="12" s="1"/>
  <c r="V2402" i="12" s="1"/>
  <c r="V2403" i="12" s="1"/>
  <c r="V2404" i="12" s="1"/>
  <c r="V2405" i="12" s="1"/>
  <c r="V2406" i="12" s="1"/>
  <c r="V2407" i="12" s="1"/>
  <c r="V2408" i="12" s="1"/>
  <c r="V2409" i="12" s="1"/>
  <c r="V2410" i="12" s="1"/>
  <c r="V2411" i="12" s="1"/>
  <c r="V2412" i="12" s="1"/>
  <c r="V2413" i="12" s="1"/>
  <c r="V2414" i="12" s="1"/>
  <c r="V2415" i="12" s="1"/>
  <c r="V2416" i="12" s="1"/>
  <c r="V2417" i="12" s="1"/>
  <c r="V2418" i="12" s="1"/>
  <c r="V2419" i="12" s="1"/>
  <c r="V2420" i="12" s="1"/>
  <c r="V2421" i="12" s="1"/>
  <c r="V2422" i="12" s="1"/>
  <c r="V2423" i="12" s="1"/>
  <c r="V2424" i="12" s="1"/>
  <c r="V2425" i="12" s="1"/>
  <c r="V2426" i="12" s="1"/>
  <c r="V2427" i="12" s="1"/>
  <c r="V2428" i="12" s="1"/>
  <c r="V2429" i="12" s="1"/>
  <c r="V2430" i="12" s="1"/>
  <c r="V2431" i="12" s="1"/>
  <c r="V2432" i="12" s="1"/>
  <c r="V2433" i="12" s="1"/>
  <c r="V2434" i="12" s="1"/>
  <c r="V2435" i="12" s="1"/>
  <c r="V2436" i="12" s="1"/>
  <c r="V2437" i="12" s="1"/>
  <c r="V2438" i="12" s="1"/>
  <c r="V2439" i="12" s="1"/>
  <c r="V2440" i="12" s="1"/>
  <c r="V2441" i="12" s="1"/>
  <c r="V2442" i="12" s="1"/>
  <c r="V2443" i="12" s="1"/>
  <c r="V2444" i="12" s="1"/>
  <c r="V2445" i="12" s="1"/>
  <c r="V2446" i="12" s="1"/>
  <c r="V2447" i="12" s="1"/>
  <c r="V2448" i="12" s="1"/>
  <c r="V2449" i="12" s="1"/>
  <c r="V2450" i="12" s="1"/>
  <c r="V2451" i="12" s="1"/>
  <c r="V2452" i="12" s="1"/>
  <c r="V2453" i="12" s="1"/>
  <c r="V2454" i="12" s="1"/>
  <c r="V2455" i="12" s="1"/>
  <c r="V2456" i="12" s="1"/>
  <c r="V2457" i="12" s="1"/>
  <c r="V2458" i="12" s="1"/>
  <c r="V2459" i="12" s="1"/>
  <c r="V2460" i="12" s="1"/>
  <c r="V2461" i="12" s="1"/>
  <c r="V2462" i="12" s="1"/>
  <c r="V2463" i="12" s="1"/>
  <c r="V2464" i="12" s="1"/>
  <c r="V2465" i="12" s="1"/>
  <c r="V2466" i="12" s="1"/>
  <c r="V2467" i="12" s="1"/>
  <c r="V2468" i="12" s="1"/>
  <c r="V2469" i="12" s="1"/>
  <c r="V2470" i="12" s="1"/>
  <c r="V2471" i="12" s="1"/>
  <c r="V2472" i="12" s="1"/>
  <c r="V2473" i="12" s="1"/>
  <c r="V2474" i="12" s="1"/>
  <c r="V2475" i="12" s="1"/>
  <c r="V2476" i="12" s="1"/>
  <c r="V2477" i="12" s="1"/>
  <c r="V2478" i="12" s="1"/>
  <c r="V2479" i="12" s="1"/>
  <c r="V2480" i="12" s="1"/>
  <c r="V2481" i="12" s="1"/>
  <c r="V2482" i="12" s="1"/>
  <c r="V2483" i="12" s="1"/>
  <c r="V2484" i="12" s="1"/>
  <c r="V2485" i="12" s="1"/>
  <c r="V2486" i="12" s="1"/>
  <c r="V2487" i="12" s="1"/>
  <c r="V2488" i="12" s="1"/>
  <c r="V2489" i="12" s="1"/>
  <c r="V2490" i="12" s="1"/>
  <c r="V2491" i="12" s="1"/>
  <c r="V2492" i="12" s="1"/>
  <c r="V2493" i="12" s="1"/>
  <c r="V2494" i="12" s="1"/>
  <c r="V2495" i="12" s="1"/>
  <c r="V2496" i="12" s="1"/>
  <c r="V2497" i="12" s="1"/>
  <c r="V2498" i="12" s="1"/>
  <c r="V2499" i="12" s="1"/>
  <c r="V2500" i="12" s="1"/>
  <c r="V2501" i="12" s="1"/>
  <c r="V2502" i="12" s="1"/>
  <c r="V2503" i="12" s="1"/>
  <c r="V2504" i="12" s="1"/>
  <c r="V2505" i="12" s="1"/>
  <c r="V2506" i="12" s="1"/>
  <c r="V2507" i="12" s="1"/>
  <c r="V2508" i="12" s="1"/>
  <c r="V2509" i="12" s="1"/>
  <c r="V2510" i="12" s="1"/>
  <c r="V2511" i="12" s="1"/>
  <c r="V2512" i="12" s="1"/>
  <c r="V2513" i="12" s="1"/>
  <c r="V2514" i="12" s="1"/>
  <c r="V2515" i="12" s="1"/>
  <c r="V2516" i="12" s="1"/>
  <c r="V2517" i="12" s="1"/>
  <c r="V2518" i="12" s="1"/>
  <c r="V2519" i="12" s="1"/>
  <c r="V2520" i="12" s="1"/>
  <c r="V2521" i="12" s="1"/>
  <c r="V2522" i="12" s="1"/>
  <c r="V2523" i="12" s="1"/>
  <c r="V2524" i="12" s="1"/>
  <c r="V2525" i="12" s="1"/>
  <c r="V2526" i="12" s="1"/>
  <c r="V2527" i="12" s="1"/>
  <c r="V2528" i="12" s="1"/>
  <c r="V2529" i="12" s="1"/>
  <c r="V2530" i="12" s="1"/>
  <c r="V2531" i="12" s="1"/>
  <c r="V2532" i="12" s="1"/>
  <c r="V2533" i="12" s="1"/>
  <c r="V2534" i="12" s="1"/>
  <c r="V2535" i="12" s="1"/>
  <c r="V2536" i="12" s="1"/>
  <c r="V2537" i="12" s="1"/>
  <c r="V2538" i="12" s="1"/>
  <c r="V2539" i="12" s="1"/>
  <c r="V2540" i="12" s="1"/>
  <c r="V2541" i="12" s="1"/>
  <c r="V2542" i="12" s="1"/>
  <c r="V2543" i="12" s="1"/>
  <c r="V2544" i="12" s="1"/>
  <c r="V2545" i="12" s="1"/>
  <c r="V2546" i="12" s="1"/>
  <c r="V2547" i="12" s="1"/>
  <c r="V2548" i="12" s="1"/>
  <c r="V2549" i="12" s="1"/>
  <c r="V2550" i="12" s="1"/>
  <c r="V2551" i="12" s="1"/>
  <c r="V2552" i="12" s="1"/>
  <c r="V2553" i="12" s="1"/>
  <c r="V2554" i="12" s="1"/>
  <c r="V2555" i="12" s="1"/>
  <c r="V2556" i="12" s="1"/>
  <c r="V2557" i="12" s="1"/>
  <c r="V2558" i="12" s="1"/>
  <c r="V2559" i="12" s="1"/>
  <c r="V2560" i="12" s="1"/>
  <c r="V2561" i="12" s="1"/>
  <c r="V2562" i="12" s="1"/>
  <c r="V2563" i="12" s="1"/>
  <c r="V2564" i="12" s="1"/>
  <c r="V2565" i="12" s="1"/>
  <c r="V2566" i="12" s="1"/>
  <c r="V2567" i="12" s="1"/>
  <c r="V2568" i="12" s="1"/>
  <c r="V2569" i="12" s="1"/>
  <c r="V2570" i="12" s="1"/>
  <c r="V2571" i="12" s="1"/>
  <c r="V2572" i="12" s="1"/>
  <c r="V2573" i="12" s="1"/>
  <c r="V2574" i="12" s="1"/>
  <c r="V2575" i="12" s="1"/>
  <c r="V2576" i="12" s="1"/>
  <c r="V2577" i="12" s="1"/>
  <c r="V2578" i="12" s="1"/>
  <c r="V2579" i="12" s="1"/>
  <c r="V2580" i="12" s="1"/>
  <c r="V2581" i="12" s="1"/>
  <c r="V2582" i="12" s="1"/>
  <c r="V2583" i="12" s="1"/>
  <c r="V2584" i="12" s="1"/>
  <c r="V2585" i="12" s="1"/>
  <c r="V2586" i="12" s="1"/>
  <c r="V2587" i="12" s="1"/>
  <c r="V2588" i="12" s="1"/>
  <c r="V2589" i="12" s="1"/>
  <c r="V2590" i="12" s="1"/>
  <c r="V2591" i="12" s="1"/>
  <c r="V2592" i="12" s="1"/>
  <c r="V2593" i="12" s="1"/>
  <c r="V2594" i="12" s="1"/>
  <c r="V2595" i="12" s="1"/>
  <c r="V2596" i="12" s="1"/>
  <c r="V2597" i="12" s="1"/>
  <c r="V2598" i="12" s="1"/>
  <c r="V2599" i="12" s="1"/>
  <c r="V2600" i="12" s="1"/>
  <c r="V2601" i="12" s="1"/>
  <c r="V2602" i="12" s="1"/>
  <c r="V2603" i="12" s="1"/>
  <c r="V2604" i="12" s="1"/>
  <c r="V2605" i="12" s="1"/>
  <c r="V2606" i="12" s="1"/>
  <c r="V2607" i="12" s="1"/>
  <c r="V2608" i="12" s="1"/>
  <c r="V2609" i="12" s="1"/>
  <c r="V2610" i="12" s="1"/>
  <c r="V2611" i="12" s="1"/>
  <c r="V2612" i="12" s="1"/>
  <c r="V2613" i="12" s="1"/>
  <c r="V2614" i="12" s="1"/>
  <c r="V2615" i="12" s="1"/>
  <c r="V2616" i="12" s="1"/>
  <c r="V2617" i="12" s="1"/>
  <c r="V2618" i="12" s="1"/>
  <c r="V2619" i="12" s="1"/>
  <c r="V2620" i="12" s="1"/>
  <c r="V2621" i="12" s="1"/>
  <c r="V2622" i="12" s="1"/>
  <c r="V2623" i="12" s="1"/>
  <c r="V2624" i="12" s="1"/>
  <c r="V2625" i="12" s="1"/>
  <c r="V2626" i="12" s="1"/>
  <c r="V2627" i="12" s="1"/>
  <c r="V2628" i="12" s="1"/>
  <c r="V2629" i="12" s="1"/>
  <c r="V2630" i="12" s="1"/>
  <c r="V2631" i="12" s="1"/>
  <c r="V2632" i="12" s="1"/>
  <c r="V2633" i="12" s="1"/>
  <c r="V2634" i="12" s="1"/>
  <c r="V2635" i="12" s="1"/>
  <c r="V2636" i="12" s="1"/>
  <c r="V2637" i="12" s="1"/>
  <c r="V2638" i="12" s="1"/>
  <c r="V2639" i="12" s="1"/>
  <c r="V2640" i="12" s="1"/>
  <c r="V2641" i="12" s="1"/>
  <c r="V2642" i="12" s="1"/>
  <c r="V2643" i="12" s="1"/>
  <c r="V2644" i="12" s="1"/>
  <c r="V2645" i="12" s="1"/>
  <c r="V2646" i="12" s="1"/>
  <c r="V2647" i="12" s="1"/>
  <c r="V2648" i="12" s="1"/>
  <c r="V2649" i="12" s="1"/>
  <c r="V2650" i="12" s="1"/>
  <c r="V2651" i="12" s="1"/>
  <c r="V2652" i="12" s="1"/>
  <c r="V2653" i="12" s="1"/>
  <c r="V2654" i="12" s="1"/>
  <c r="V2655" i="12" s="1"/>
  <c r="V2656" i="12" s="1"/>
  <c r="V2657" i="12" s="1"/>
  <c r="V2658" i="12" s="1"/>
  <c r="V2659" i="12" s="1"/>
  <c r="V2660" i="12" s="1"/>
  <c r="V2661" i="12" s="1"/>
  <c r="V2662" i="12" s="1"/>
  <c r="V2663" i="12" s="1"/>
  <c r="V2664" i="12" s="1"/>
  <c r="V2665" i="12" s="1"/>
  <c r="V2666" i="12" s="1"/>
  <c r="V2667" i="12" s="1"/>
  <c r="V2668" i="12" s="1"/>
  <c r="V2669" i="12" s="1"/>
  <c r="V2670" i="12" s="1"/>
  <c r="V2671" i="12" s="1"/>
  <c r="V2672" i="12" s="1"/>
  <c r="V2673" i="12" s="1"/>
  <c r="V2674" i="12" s="1"/>
  <c r="V2675" i="12" s="1"/>
  <c r="V2676" i="12" s="1"/>
  <c r="V2677" i="12" s="1"/>
  <c r="V2678" i="12" s="1"/>
  <c r="V2679" i="12" s="1"/>
  <c r="V2680" i="12" s="1"/>
  <c r="V2681" i="12" s="1"/>
  <c r="V2682" i="12" s="1"/>
  <c r="V2683" i="12" s="1"/>
  <c r="V2684" i="12" s="1"/>
  <c r="V2685" i="12" s="1"/>
  <c r="V2686" i="12" s="1"/>
  <c r="V2687" i="12" s="1"/>
  <c r="V2688" i="12" s="1"/>
  <c r="V2689" i="12" s="1"/>
  <c r="V2690" i="12" s="1"/>
  <c r="V2691" i="12" s="1"/>
  <c r="V2692" i="12" s="1"/>
  <c r="V2693" i="12" s="1"/>
  <c r="V2694" i="12" s="1"/>
  <c r="V2695" i="12" s="1"/>
  <c r="V2696" i="12" s="1"/>
  <c r="V2697" i="12" s="1"/>
  <c r="V2698" i="12" s="1"/>
  <c r="V2699" i="12" s="1"/>
  <c r="V2700" i="12" s="1"/>
  <c r="V2701" i="12" s="1"/>
  <c r="V2702" i="12" s="1"/>
  <c r="V2703" i="12" s="1"/>
  <c r="V2704" i="12" s="1"/>
  <c r="V2705" i="12" s="1"/>
  <c r="V2706" i="12" s="1"/>
  <c r="V2707" i="12" s="1"/>
  <c r="V2708" i="12" s="1"/>
  <c r="V2709" i="12" s="1"/>
  <c r="V2710" i="12" s="1"/>
  <c r="V2711" i="12" s="1"/>
  <c r="V2712" i="12" s="1"/>
  <c r="V2713" i="12" s="1"/>
  <c r="V2714" i="12" s="1"/>
  <c r="V2715" i="12" s="1"/>
  <c r="V2716" i="12" s="1"/>
  <c r="V2717" i="12" s="1"/>
  <c r="V2718" i="12" s="1"/>
  <c r="V2719" i="12" s="1"/>
  <c r="V2720" i="12" s="1"/>
  <c r="V2721" i="12" s="1"/>
  <c r="V2722" i="12" s="1"/>
  <c r="V2723" i="12" s="1"/>
  <c r="V2724" i="12" s="1"/>
  <c r="V2725" i="12" s="1"/>
  <c r="V2726" i="12" s="1"/>
  <c r="V2727" i="12" s="1"/>
  <c r="V2728" i="12" s="1"/>
  <c r="V2729" i="12" s="1"/>
  <c r="V2730" i="12" s="1"/>
  <c r="V2731" i="12" s="1"/>
  <c r="V2732" i="12" s="1"/>
  <c r="V2733" i="12" s="1"/>
  <c r="V2734" i="12" s="1"/>
  <c r="V2735" i="12" s="1"/>
  <c r="V2736" i="12" s="1"/>
  <c r="V2737" i="12" s="1"/>
  <c r="V2738" i="12" s="1"/>
  <c r="V2739" i="12" s="1"/>
  <c r="V2740" i="12" s="1"/>
  <c r="V2741" i="12" s="1"/>
  <c r="V2742" i="12" s="1"/>
  <c r="V2743" i="12" s="1"/>
  <c r="V2744" i="12" s="1"/>
  <c r="V2745" i="12" s="1"/>
  <c r="V2746" i="12" s="1"/>
  <c r="V2747" i="12" s="1"/>
  <c r="V2748" i="12" s="1"/>
  <c r="V2749" i="12" s="1"/>
  <c r="V2750" i="12" s="1"/>
  <c r="V2751" i="12" s="1"/>
  <c r="V2752" i="12" s="1"/>
  <c r="V2753" i="12" s="1"/>
  <c r="V2754" i="12" s="1"/>
  <c r="V2755" i="12" s="1"/>
  <c r="V2756" i="12" s="1"/>
  <c r="V2757" i="12" s="1"/>
  <c r="V2758" i="12" s="1"/>
  <c r="V2759" i="12" s="1"/>
  <c r="V2760" i="12" s="1"/>
  <c r="V2761" i="12" s="1"/>
  <c r="V2762" i="12" s="1"/>
  <c r="V2763" i="12" s="1"/>
  <c r="V2764" i="12" s="1"/>
  <c r="V2765" i="12" s="1"/>
  <c r="V2766" i="12" s="1"/>
  <c r="V2767" i="12" s="1"/>
  <c r="V2768" i="12" s="1"/>
  <c r="V2769" i="12" s="1"/>
  <c r="V2770" i="12" s="1"/>
  <c r="V2771" i="12" s="1"/>
  <c r="V2772" i="12" s="1"/>
  <c r="V2773" i="12" s="1"/>
  <c r="V2774" i="12" s="1"/>
  <c r="V2775" i="12" s="1"/>
  <c r="V2776" i="12" s="1"/>
  <c r="V2777" i="12" s="1"/>
  <c r="V2778" i="12" s="1"/>
  <c r="V2779" i="12" s="1"/>
  <c r="V2780" i="12" s="1"/>
  <c r="V2781" i="12" s="1"/>
  <c r="V2782" i="12" s="1"/>
  <c r="V2783" i="12" s="1"/>
  <c r="V2784" i="12" s="1"/>
  <c r="V2785" i="12" s="1"/>
  <c r="V2786" i="12" s="1"/>
  <c r="V2787" i="12" s="1"/>
  <c r="V2788" i="12" s="1"/>
  <c r="V2789" i="12" s="1"/>
  <c r="V2790" i="12" s="1"/>
  <c r="V2791" i="12" s="1"/>
  <c r="V2792" i="12" s="1"/>
  <c r="V2793" i="12" s="1"/>
  <c r="V2794" i="12" s="1"/>
  <c r="V2795" i="12" s="1"/>
  <c r="V2796" i="12" s="1"/>
  <c r="V2797" i="12" s="1"/>
  <c r="V2798" i="12" s="1"/>
  <c r="V2799" i="12" s="1"/>
  <c r="V2800" i="12" s="1"/>
  <c r="V2801" i="12" s="1"/>
  <c r="V2802" i="12" s="1"/>
  <c r="V2803" i="12" s="1"/>
  <c r="V2804" i="12" s="1"/>
  <c r="V2805" i="12" s="1"/>
  <c r="V2806" i="12" s="1"/>
  <c r="V2807" i="12" s="1"/>
  <c r="V2808" i="12" s="1"/>
  <c r="V2809" i="12" s="1"/>
  <c r="V2810" i="12" s="1"/>
  <c r="V2811" i="12" s="1"/>
  <c r="V2812" i="12" s="1"/>
  <c r="V2813" i="12" s="1"/>
  <c r="V2814" i="12" s="1"/>
  <c r="V2815" i="12" s="1"/>
  <c r="V2816" i="12" s="1"/>
  <c r="V2817" i="12" s="1"/>
  <c r="V2818" i="12" s="1"/>
  <c r="V2819" i="12" s="1"/>
  <c r="V2820" i="12" s="1"/>
  <c r="V2821" i="12" s="1"/>
  <c r="V2822" i="12" s="1"/>
  <c r="V2823" i="12" s="1"/>
  <c r="V2824" i="12" s="1"/>
  <c r="V2825" i="12" s="1"/>
  <c r="V2826" i="12" s="1"/>
  <c r="V2827" i="12" s="1"/>
  <c r="V2828" i="12" s="1"/>
  <c r="V2829" i="12" s="1"/>
  <c r="V2830" i="12" s="1"/>
  <c r="V2831" i="12" s="1"/>
  <c r="V2832" i="12" s="1"/>
  <c r="V2833" i="12" s="1"/>
  <c r="V2834" i="12" s="1"/>
  <c r="V2835" i="12" s="1"/>
  <c r="V2836" i="12" s="1"/>
  <c r="V2837" i="12" s="1"/>
  <c r="V2838" i="12" s="1"/>
  <c r="V2839" i="12" s="1"/>
  <c r="V2840" i="12" s="1"/>
  <c r="V2841" i="12" s="1"/>
  <c r="V2842" i="12" s="1"/>
  <c r="V2843" i="12" s="1"/>
  <c r="V2844" i="12" s="1"/>
  <c r="V2845" i="12" s="1"/>
  <c r="V2846" i="12" s="1"/>
  <c r="V2847" i="12" s="1"/>
  <c r="V2848" i="12" s="1"/>
  <c r="V2849" i="12" s="1"/>
  <c r="V2850" i="12" s="1"/>
  <c r="V2851" i="12" s="1"/>
  <c r="V2852" i="12" s="1"/>
  <c r="V2853" i="12" s="1"/>
  <c r="V2854" i="12" s="1"/>
  <c r="V2855" i="12" s="1"/>
  <c r="V2856" i="12" s="1"/>
  <c r="V2857" i="12" s="1"/>
  <c r="V2858" i="12" s="1"/>
  <c r="V2859" i="12" s="1"/>
  <c r="V2860" i="12" s="1"/>
  <c r="V2861" i="12" s="1"/>
  <c r="V2862" i="12" s="1"/>
  <c r="V2863" i="12" s="1"/>
  <c r="V2864" i="12" s="1"/>
  <c r="V2865" i="12" s="1"/>
  <c r="V2866" i="12" s="1"/>
  <c r="V2867" i="12" s="1"/>
  <c r="V2868" i="12" s="1"/>
  <c r="V2869" i="12" s="1"/>
  <c r="V2870" i="12" s="1"/>
  <c r="V2871" i="12" s="1"/>
  <c r="V2872" i="12" s="1"/>
  <c r="V2873" i="12" s="1"/>
  <c r="V2874" i="12" s="1"/>
  <c r="V2875" i="12" s="1"/>
  <c r="V2876" i="12" s="1"/>
  <c r="V2877" i="12" s="1"/>
  <c r="V2878" i="12" s="1"/>
  <c r="V2879" i="12" s="1"/>
  <c r="V2880" i="12" s="1"/>
  <c r="V2881" i="12" s="1"/>
  <c r="V2882" i="12" s="1"/>
  <c r="V2883" i="12" s="1"/>
  <c r="V2884" i="12" s="1"/>
  <c r="V2885" i="12" s="1"/>
  <c r="V2886" i="12" s="1"/>
  <c r="V2887" i="12" s="1"/>
  <c r="V2888" i="12" s="1"/>
  <c r="V2889" i="12" s="1"/>
  <c r="V2890" i="12" s="1"/>
  <c r="V2891" i="12" s="1"/>
  <c r="V2892" i="12" s="1"/>
  <c r="V2893" i="12" s="1"/>
  <c r="V2894" i="12" s="1"/>
  <c r="V2895" i="12" s="1"/>
  <c r="V2896" i="12" s="1"/>
  <c r="V2897" i="12" s="1"/>
  <c r="V2898" i="12" s="1"/>
  <c r="V2899" i="12" s="1"/>
  <c r="V2900" i="12" s="1"/>
  <c r="V2901" i="12" s="1"/>
  <c r="V2902" i="12" s="1"/>
  <c r="V2903" i="12" s="1"/>
  <c r="V2904" i="12" s="1"/>
  <c r="V2905" i="12" s="1"/>
  <c r="V2906" i="12" s="1"/>
  <c r="V2907" i="12" s="1"/>
  <c r="V2908" i="12" s="1"/>
  <c r="V2909" i="12" s="1"/>
  <c r="V2910" i="12" s="1"/>
  <c r="V2911" i="12" s="1"/>
  <c r="V2912" i="12" s="1"/>
  <c r="V2913" i="12" s="1"/>
  <c r="V2914" i="12" s="1"/>
  <c r="V2915" i="12" s="1"/>
  <c r="V2916" i="12" s="1"/>
  <c r="V2917" i="12" s="1"/>
  <c r="V2918" i="12" s="1"/>
  <c r="V2919" i="12" s="1"/>
  <c r="V2920" i="12" s="1"/>
  <c r="V2921" i="12" s="1"/>
  <c r="V2922" i="12" s="1"/>
  <c r="V2923" i="12" s="1"/>
  <c r="V2924" i="12" s="1"/>
  <c r="V2925" i="12" s="1"/>
  <c r="V2926" i="12" s="1"/>
  <c r="V2927" i="12" s="1"/>
  <c r="V2928" i="12" s="1"/>
  <c r="V2929" i="12" s="1"/>
  <c r="V2930" i="12" s="1"/>
  <c r="V2931" i="12" s="1"/>
  <c r="V2932" i="12" s="1"/>
  <c r="V2933" i="12" s="1"/>
  <c r="V2934" i="12" s="1"/>
  <c r="V2935" i="12" s="1"/>
  <c r="V2936" i="12" s="1"/>
  <c r="V2937" i="12" s="1"/>
  <c r="V2938" i="12" s="1"/>
  <c r="V2939" i="12" s="1"/>
  <c r="V2940" i="12" s="1"/>
  <c r="V2941" i="12" s="1"/>
  <c r="V2942" i="12" s="1"/>
  <c r="V2943" i="12" s="1"/>
  <c r="V2944" i="12" s="1"/>
  <c r="V2945" i="12" s="1"/>
  <c r="V2946" i="12" s="1"/>
  <c r="V2947" i="12" s="1"/>
  <c r="V2948" i="12" s="1"/>
  <c r="V2949" i="12" s="1"/>
  <c r="V2950" i="12" s="1"/>
  <c r="V2951" i="12" s="1"/>
  <c r="V2952" i="12" s="1"/>
  <c r="V2953" i="12" s="1"/>
  <c r="V2954" i="12" s="1"/>
  <c r="V2955" i="12" s="1"/>
  <c r="V2956" i="12" s="1"/>
  <c r="V2957" i="12" s="1"/>
  <c r="V2958" i="12" s="1"/>
  <c r="V2959" i="12" s="1"/>
  <c r="V2960" i="12" s="1"/>
  <c r="V2961" i="12" s="1"/>
  <c r="V2962" i="12" s="1"/>
  <c r="V2963" i="12" s="1"/>
  <c r="V2964" i="12" s="1"/>
  <c r="V2965" i="12" s="1"/>
  <c r="V2966" i="12" s="1"/>
  <c r="V2967" i="12" s="1"/>
  <c r="V2968" i="12" s="1"/>
  <c r="V2969" i="12" s="1"/>
  <c r="V2970" i="12" s="1"/>
  <c r="V2971" i="12" s="1"/>
  <c r="V2972" i="12" s="1"/>
  <c r="V2973" i="12" s="1"/>
  <c r="V2974" i="12" s="1"/>
  <c r="V2975" i="12" s="1"/>
  <c r="V2976" i="12" s="1"/>
  <c r="V2977" i="12" s="1"/>
  <c r="V2978" i="12" s="1"/>
  <c r="V2979" i="12" s="1"/>
  <c r="V2980" i="12" s="1"/>
  <c r="V2981" i="12" s="1"/>
  <c r="V2982" i="12" s="1"/>
  <c r="V2983" i="12" s="1"/>
  <c r="V2984" i="12" s="1"/>
  <c r="V2985" i="12" s="1"/>
  <c r="V2986" i="12" s="1"/>
  <c r="V2987" i="12" s="1"/>
  <c r="V2988" i="12" s="1"/>
  <c r="V2989" i="12" s="1"/>
  <c r="V2990" i="12" s="1"/>
  <c r="V2991" i="12" s="1"/>
  <c r="V2992" i="12" s="1"/>
  <c r="V2993" i="12" s="1"/>
  <c r="V2994" i="12" s="1"/>
  <c r="V2995" i="12" s="1"/>
  <c r="V2996" i="12" s="1"/>
  <c r="V2997" i="12" s="1"/>
  <c r="V2998" i="12" s="1"/>
  <c r="V2999" i="12" s="1"/>
  <c r="V3000" i="12" s="1"/>
  <c r="V3001" i="12" s="1"/>
  <c r="V3002" i="12" s="1"/>
  <c r="V3003" i="12" s="1"/>
  <c r="V3004" i="12" s="1"/>
  <c r="V3005" i="12" s="1"/>
  <c r="V3006" i="12" s="1"/>
  <c r="V3007" i="12" s="1"/>
  <c r="V3008" i="12" s="1"/>
  <c r="V3009" i="12" s="1"/>
  <c r="V3010" i="12" s="1"/>
  <c r="V3011" i="12" s="1"/>
  <c r="V3012" i="12" s="1"/>
  <c r="V3013" i="12" s="1"/>
  <c r="V3014" i="12" s="1"/>
  <c r="V3015" i="12" s="1"/>
  <c r="V3016" i="12" s="1"/>
  <c r="V3017" i="12" s="1"/>
  <c r="V3018" i="12" s="1"/>
  <c r="V3019" i="12" s="1"/>
  <c r="V3020" i="12" s="1"/>
  <c r="V3021" i="12" s="1"/>
  <c r="V3022" i="12" s="1"/>
  <c r="V3023" i="12" s="1"/>
  <c r="V3024" i="12" s="1"/>
  <c r="V3025" i="12" s="1"/>
  <c r="V3026" i="12" s="1"/>
  <c r="V3027" i="12" s="1"/>
  <c r="V3028" i="12" s="1"/>
  <c r="V3029" i="12" s="1"/>
  <c r="V3030" i="12" s="1"/>
  <c r="V3031" i="12" s="1"/>
  <c r="V3032" i="12" s="1"/>
  <c r="V3033" i="12" s="1"/>
  <c r="V3034" i="12" s="1"/>
  <c r="V3035" i="12" s="1"/>
  <c r="V3036" i="12" s="1"/>
  <c r="V3037" i="12" s="1"/>
  <c r="V3038" i="12" s="1"/>
  <c r="V3039" i="12" s="1"/>
  <c r="V3040" i="12" s="1"/>
  <c r="V3041" i="12" s="1"/>
  <c r="V3042" i="12" s="1"/>
  <c r="V3043" i="12" s="1"/>
  <c r="V3044" i="12" s="1"/>
  <c r="V3045" i="12" s="1"/>
  <c r="V3046" i="12" s="1"/>
  <c r="V3047" i="12" s="1"/>
  <c r="V3048" i="12" s="1"/>
  <c r="V3049" i="12" s="1"/>
  <c r="V3050" i="12" s="1"/>
  <c r="V3051" i="12" s="1"/>
  <c r="V3052" i="12" s="1"/>
  <c r="V3053" i="12" s="1"/>
  <c r="V3054" i="12" s="1"/>
  <c r="V3055" i="12" s="1"/>
  <c r="V3056" i="12" s="1"/>
  <c r="V3057" i="12" s="1"/>
  <c r="V3058" i="12" s="1"/>
  <c r="V3059" i="12" s="1"/>
  <c r="V3060" i="12" s="1"/>
  <c r="V3061" i="12" s="1"/>
  <c r="V3062" i="12" s="1"/>
  <c r="V3063" i="12" s="1"/>
  <c r="V3064" i="12" s="1"/>
  <c r="V3065" i="12" s="1"/>
  <c r="V3066" i="12" s="1"/>
  <c r="V3067" i="12" s="1"/>
  <c r="V3068" i="12" s="1"/>
  <c r="V3069" i="12" s="1"/>
  <c r="V3070" i="12" s="1"/>
  <c r="V3071" i="12" s="1"/>
  <c r="V3072" i="12" s="1"/>
  <c r="V3073" i="12" s="1"/>
  <c r="V3074" i="12" s="1"/>
  <c r="V3075" i="12" s="1"/>
  <c r="V3076" i="12" s="1"/>
  <c r="V3077" i="12" s="1"/>
  <c r="V3078" i="12" s="1"/>
  <c r="V3079" i="12" s="1"/>
  <c r="V3080" i="12" s="1"/>
  <c r="V3081" i="12" s="1"/>
  <c r="V3082" i="12" s="1"/>
  <c r="V3083" i="12" s="1"/>
  <c r="V3084" i="12" s="1"/>
  <c r="V3085" i="12" s="1"/>
  <c r="V3086" i="12" s="1"/>
  <c r="V3087" i="12" s="1"/>
  <c r="V3088" i="12" s="1"/>
  <c r="V3089" i="12" s="1"/>
  <c r="V3090" i="12" s="1"/>
  <c r="V3091" i="12" s="1"/>
  <c r="V3092" i="12" s="1"/>
  <c r="V3093" i="12" s="1"/>
  <c r="V3094" i="12" s="1"/>
  <c r="V3095" i="12" s="1"/>
  <c r="V3096" i="12" s="1"/>
  <c r="V3097" i="12" s="1"/>
  <c r="V3098" i="12" s="1"/>
  <c r="V3099" i="12" s="1"/>
  <c r="V3100" i="12" s="1"/>
  <c r="V3101" i="12" s="1"/>
  <c r="V3102" i="12" s="1"/>
  <c r="V3103" i="12" s="1"/>
  <c r="V3104" i="12" s="1"/>
  <c r="V3105" i="12" s="1"/>
  <c r="V3106" i="12" s="1"/>
  <c r="V3107" i="12" s="1"/>
  <c r="V3108" i="12" s="1"/>
  <c r="V3109" i="12" s="1"/>
  <c r="V3110" i="12" s="1"/>
  <c r="V3111" i="12" s="1"/>
  <c r="V3112" i="12" s="1"/>
  <c r="V3113" i="12" s="1"/>
  <c r="V3114" i="12" s="1"/>
  <c r="V3115" i="12" s="1"/>
  <c r="V3116" i="12" s="1"/>
  <c r="V3117" i="12" s="1"/>
  <c r="V3118" i="12" s="1"/>
  <c r="V3119" i="12" s="1"/>
  <c r="V3120" i="12" s="1"/>
  <c r="V3121" i="12" s="1"/>
  <c r="V3122" i="12" s="1"/>
  <c r="V3123" i="12" s="1"/>
  <c r="V3124" i="12" s="1"/>
  <c r="V3125" i="12" s="1"/>
  <c r="V3126" i="12" s="1"/>
  <c r="V3127" i="12" s="1"/>
  <c r="V3128" i="12" s="1"/>
  <c r="V3129" i="12" s="1"/>
  <c r="V3130" i="12" s="1"/>
  <c r="V3131" i="12" s="1"/>
  <c r="V3132" i="12" s="1"/>
  <c r="V3133" i="12" s="1"/>
  <c r="V3134" i="12" s="1"/>
  <c r="V3135" i="12" s="1"/>
  <c r="V3136" i="12" s="1"/>
  <c r="V3137" i="12" s="1"/>
  <c r="V3138" i="12" s="1"/>
  <c r="V3139" i="12" s="1"/>
  <c r="V3140" i="12" s="1"/>
  <c r="V3141" i="12" s="1"/>
  <c r="V3142" i="12" s="1"/>
  <c r="V3143" i="12" s="1"/>
  <c r="V3144" i="12" s="1"/>
  <c r="V3145" i="12" s="1"/>
  <c r="V3146" i="12" s="1"/>
  <c r="V3147" i="12" s="1"/>
  <c r="V3148" i="12" s="1"/>
  <c r="V3149" i="12" s="1"/>
  <c r="V3150" i="12" s="1"/>
  <c r="V3151" i="12" s="1"/>
  <c r="V3152" i="12" s="1"/>
  <c r="V3153" i="12" s="1"/>
  <c r="V3154" i="12" s="1"/>
  <c r="V3155" i="12" s="1"/>
  <c r="V3156" i="12" s="1"/>
  <c r="V3157" i="12" s="1"/>
  <c r="V3158" i="12" s="1"/>
  <c r="V3159" i="12" s="1"/>
  <c r="V3160" i="12" s="1"/>
  <c r="V3161" i="12" s="1"/>
  <c r="V3162" i="12" s="1"/>
  <c r="V3163" i="12" s="1"/>
  <c r="V3164" i="12" s="1"/>
  <c r="V3165" i="12" s="1"/>
  <c r="V3166" i="12" s="1"/>
  <c r="V3167" i="12" s="1"/>
  <c r="V3168" i="12" s="1"/>
  <c r="V3169" i="12" s="1"/>
  <c r="V3170" i="12" s="1"/>
  <c r="V3171" i="12" s="1"/>
  <c r="V3172" i="12" s="1"/>
  <c r="V3173" i="12" s="1"/>
  <c r="V3174" i="12" s="1"/>
  <c r="V3175" i="12" s="1"/>
  <c r="V3176" i="12" s="1"/>
  <c r="V3177" i="12" s="1"/>
  <c r="V3178" i="12" s="1"/>
  <c r="V3179" i="12" s="1"/>
  <c r="V3180" i="12" s="1"/>
  <c r="V3181" i="12" s="1"/>
  <c r="V3182" i="12" s="1"/>
  <c r="V3183" i="12" s="1"/>
  <c r="V3184" i="12" s="1"/>
  <c r="V3185" i="12" s="1"/>
  <c r="V3186" i="12" s="1"/>
  <c r="V3187" i="12" s="1"/>
  <c r="V3188" i="12" s="1"/>
  <c r="V3189" i="12" s="1"/>
  <c r="V3190" i="12" s="1"/>
  <c r="V3191" i="12" s="1"/>
  <c r="V3192" i="12" s="1"/>
  <c r="V3193" i="12" s="1"/>
  <c r="V3194" i="12" s="1"/>
  <c r="V3195" i="12" s="1"/>
  <c r="V3196" i="12" s="1"/>
  <c r="V3197" i="12" s="1"/>
  <c r="V3198" i="12" s="1"/>
  <c r="V3199" i="12" s="1"/>
  <c r="V3200" i="12" s="1"/>
  <c r="V3201" i="12" s="1"/>
  <c r="V3202" i="12" s="1"/>
  <c r="V3203" i="12" s="1"/>
  <c r="V3204" i="12" s="1"/>
  <c r="V3205" i="12" s="1"/>
  <c r="V3206" i="12" s="1"/>
  <c r="V3207" i="12" s="1"/>
  <c r="V3208" i="12" s="1"/>
  <c r="V3209" i="12" s="1"/>
  <c r="V3210" i="12" s="1"/>
  <c r="V3211" i="12" s="1"/>
  <c r="V3212" i="12" s="1"/>
  <c r="V3213" i="12" s="1"/>
  <c r="V3214" i="12" s="1"/>
  <c r="V3215" i="12" s="1"/>
  <c r="V3216" i="12" s="1"/>
  <c r="V3217" i="12" s="1"/>
  <c r="V3218" i="12" s="1"/>
  <c r="V3219" i="12" s="1"/>
  <c r="V3220" i="12" s="1"/>
  <c r="V3221" i="12" s="1"/>
  <c r="V3222" i="12" s="1"/>
  <c r="V3223" i="12" s="1"/>
  <c r="V3224" i="12" s="1"/>
  <c r="V3225" i="12" s="1"/>
  <c r="V3226" i="12" s="1"/>
  <c r="V3227" i="12" s="1"/>
  <c r="V3228" i="12" s="1"/>
  <c r="V3229" i="12" s="1"/>
  <c r="V3230" i="12" s="1"/>
  <c r="V3231" i="12" s="1"/>
  <c r="V3232" i="12" s="1"/>
  <c r="V3233" i="12" s="1"/>
  <c r="V3234" i="12" s="1"/>
  <c r="V3235" i="12" s="1"/>
  <c r="V3236" i="12" s="1"/>
  <c r="V3237" i="12" s="1"/>
  <c r="V3238" i="12" s="1"/>
  <c r="V3239" i="12" s="1"/>
  <c r="V3240" i="12" s="1"/>
  <c r="V3241" i="12" s="1"/>
  <c r="V3242" i="12" s="1"/>
  <c r="V3243" i="12" s="1"/>
  <c r="V3244" i="12" s="1"/>
  <c r="V3245" i="12" s="1"/>
  <c r="V3246" i="12" s="1"/>
  <c r="V3247" i="12" s="1"/>
  <c r="V3248" i="12" s="1"/>
  <c r="V3249" i="12" s="1"/>
  <c r="V3250" i="12" s="1"/>
  <c r="V3251" i="12" s="1"/>
  <c r="V3252" i="12" s="1"/>
  <c r="V3253" i="12" s="1"/>
  <c r="V3254" i="12" s="1"/>
  <c r="V3255" i="12" s="1"/>
  <c r="V3256" i="12" s="1"/>
  <c r="V3257" i="12" s="1"/>
  <c r="V3258" i="12" s="1"/>
  <c r="V3259" i="12" s="1"/>
  <c r="V3260" i="12" s="1"/>
  <c r="V3261" i="12" s="1"/>
  <c r="V3262" i="12" s="1"/>
  <c r="V3263" i="12" s="1"/>
  <c r="V3264" i="12" s="1"/>
  <c r="V3265" i="12" s="1"/>
  <c r="V3266" i="12" s="1"/>
  <c r="V3267" i="12" s="1"/>
  <c r="V3268" i="12" s="1"/>
  <c r="V3269" i="12" s="1"/>
  <c r="V3270" i="12" s="1"/>
  <c r="V3271" i="12" s="1"/>
  <c r="V3272" i="12" s="1"/>
  <c r="V3273" i="12" s="1"/>
  <c r="V3274" i="12" s="1"/>
  <c r="V3275" i="12" s="1"/>
  <c r="V3276" i="12" s="1"/>
  <c r="V3277" i="12" s="1"/>
  <c r="V3278" i="12" s="1"/>
  <c r="V3279" i="12" s="1"/>
  <c r="V3280" i="12" s="1"/>
  <c r="V3281" i="12" s="1"/>
  <c r="V3282" i="12" s="1"/>
  <c r="V3283" i="12" s="1"/>
  <c r="V3284" i="12" s="1"/>
  <c r="V3285" i="12" s="1"/>
  <c r="V3286" i="12" s="1"/>
  <c r="V3287" i="12" s="1"/>
  <c r="V3288" i="12" s="1"/>
  <c r="V3289" i="12" s="1"/>
  <c r="V3290" i="12" s="1"/>
  <c r="V3291" i="12" s="1"/>
  <c r="V3292" i="12" s="1"/>
  <c r="V3293" i="12" s="1"/>
  <c r="V3294" i="12" s="1"/>
  <c r="V3295" i="12" s="1"/>
  <c r="V3296" i="12" s="1"/>
  <c r="V3297" i="12" s="1"/>
  <c r="V3298" i="12" s="1"/>
  <c r="V3299" i="12" s="1"/>
  <c r="V3300" i="12" s="1"/>
  <c r="V3301" i="12" s="1"/>
  <c r="V3302" i="12" s="1"/>
  <c r="V3303" i="12" s="1"/>
  <c r="V3304" i="12" s="1"/>
  <c r="V3305" i="12" s="1"/>
  <c r="V3306" i="12" s="1"/>
  <c r="V3307" i="12" s="1"/>
  <c r="V3308" i="12" s="1"/>
  <c r="V3309" i="12" s="1"/>
  <c r="V3310" i="12" s="1"/>
  <c r="V3311" i="12" s="1"/>
  <c r="V3312" i="12" s="1"/>
  <c r="V3313" i="12" s="1"/>
  <c r="V3314" i="12" s="1"/>
  <c r="V3315" i="12" s="1"/>
  <c r="V3316" i="12" s="1"/>
  <c r="V3317" i="12" s="1"/>
  <c r="V3318" i="12" s="1"/>
  <c r="V3319" i="12" s="1"/>
  <c r="V3320" i="12" s="1"/>
  <c r="V3321" i="12" s="1"/>
  <c r="V3322" i="12" s="1"/>
  <c r="V3323" i="12" s="1"/>
  <c r="V3324" i="12" s="1"/>
  <c r="V3325" i="12" s="1"/>
  <c r="V3326" i="12" s="1"/>
  <c r="V3327" i="12" s="1"/>
  <c r="V3328" i="12" s="1"/>
  <c r="V3329" i="12" s="1"/>
  <c r="V3330" i="12" s="1"/>
  <c r="V3331" i="12" s="1"/>
  <c r="V3332" i="12" s="1"/>
  <c r="V3333" i="12" s="1"/>
  <c r="V3334" i="12" s="1"/>
  <c r="V3335" i="12" s="1"/>
  <c r="V3336" i="12" s="1"/>
  <c r="V3337" i="12" s="1"/>
  <c r="V3338" i="12" s="1"/>
  <c r="V3339" i="12" s="1"/>
  <c r="V3340" i="12" s="1"/>
  <c r="V3341" i="12" s="1"/>
  <c r="V3342" i="12" s="1"/>
  <c r="V3343" i="12" s="1"/>
  <c r="V3344" i="12" s="1"/>
  <c r="V3345" i="12" s="1"/>
  <c r="V3346" i="12" s="1"/>
  <c r="V3347" i="12" s="1"/>
  <c r="V3348" i="12" s="1"/>
  <c r="V3349" i="12" s="1"/>
  <c r="V3350" i="12" s="1"/>
  <c r="V3351" i="12" s="1"/>
  <c r="V3352" i="12" s="1"/>
  <c r="V3353" i="12" s="1"/>
  <c r="V3354" i="12" s="1"/>
  <c r="V3355" i="12" s="1"/>
  <c r="V3356" i="12" s="1"/>
  <c r="V3357" i="12" s="1"/>
  <c r="V3358" i="12" s="1"/>
  <c r="V3359" i="12" s="1"/>
  <c r="V3360" i="12" s="1"/>
  <c r="V3361" i="12" s="1"/>
  <c r="V3362" i="12" s="1"/>
  <c r="V3363" i="12" s="1"/>
  <c r="V3364" i="12" s="1"/>
  <c r="V3365" i="12" s="1"/>
  <c r="V3366" i="12" s="1"/>
  <c r="V3367" i="12" s="1"/>
  <c r="V3368" i="12" s="1"/>
  <c r="V3369" i="12" s="1"/>
  <c r="V3370" i="12" s="1"/>
  <c r="V3371" i="12" s="1"/>
  <c r="V3372" i="12" s="1"/>
  <c r="V3373" i="12" s="1"/>
  <c r="V3374" i="12" s="1"/>
  <c r="V3375" i="12" s="1"/>
  <c r="V3376" i="12" s="1"/>
  <c r="V3377" i="12" s="1"/>
  <c r="V3378" i="12" s="1"/>
  <c r="V3379" i="12" s="1"/>
  <c r="V3380" i="12" s="1"/>
  <c r="V3381" i="12" s="1"/>
  <c r="V3382" i="12" s="1"/>
  <c r="V3383" i="12" s="1"/>
  <c r="V3384" i="12" s="1"/>
  <c r="V3385" i="12" s="1"/>
  <c r="V3386" i="12" s="1"/>
  <c r="V3387" i="12" s="1"/>
  <c r="V3388" i="12" s="1"/>
  <c r="V3389" i="12" s="1"/>
  <c r="V3390" i="12" s="1"/>
  <c r="V3391" i="12" s="1"/>
  <c r="V3392" i="12" s="1"/>
  <c r="V3393" i="12" s="1"/>
  <c r="V3394" i="12" s="1"/>
  <c r="V3395" i="12" s="1"/>
  <c r="V3396" i="12" s="1"/>
  <c r="V3397" i="12" s="1"/>
  <c r="V3398" i="12" s="1"/>
  <c r="V3399" i="12" s="1"/>
  <c r="V3400" i="12" s="1"/>
  <c r="V3401" i="12" s="1"/>
  <c r="V3402" i="12" s="1"/>
  <c r="V3403" i="12" s="1"/>
  <c r="V3404" i="12" s="1"/>
  <c r="V3405" i="12" s="1"/>
  <c r="V3406" i="12" s="1"/>
  <c r="V3407" i="12" s="1"/>
  <c r="V3408" i="12" s="1"/>
  <c r="V3409" i="12" s="1"/>
  <c r="V3410" i="12" s="1"/>
  <c r="V3411" i="12" s="1"/>
  <c r="V3412" i="12" s="1"/>
  <c r="V3413" i="12" s="1"/>
  <c r="V3414" i="12" s="1"/>
  <c r="V3415" i="12" s="1"/>
  <c r="V3416" i="12" s="1"/>
  <c r="V3417" i="12" s="1"/>
  <c r="V3418" i="12" s="1"/>
  <c r="V3419" i="12" s="1"/>
  <c r="V3420" i="12" s="1"/>
  <c r="V3421" i="12" s="1"/>
  <c r="V3422" i="12" s="1"/>
  <c r="V3423" i="12" s="1"/>
  <c r="V3424" i="12" s="1"/>
  <c r="V3425" i="12" s="1"/>
  <c r="V3426" i="12" s="1"/>
  <c r="V3427" i="12" s="1"/>
  <c r="V3428" i="12" s="1"/>
  <c r="V3429" i="12" s="1"/>
  <c r="V3430" i="12" s="1"/>
  <c r="V3431" i="12" s="1"/>
  <c r="V3432" i="12" s="1"/>
  <c r="V3433" i="12" s="1"/>
  <c r="V3434" i="12" s="1"/>
  <c r="V3435" i="12" s="1"/>
  <c r="V3436" i="12" s="1"/>
  <c r="V3437" i="12" s="1"/>
  <c r="V3438" i="12" s="1"/>
  <c r="V3439" i="12" s="1"/>
  <c r="V3440" i="12" s="1"/>
  <c r="V3441" i="12" s="1"/>
  <c r="V3442" i="12" s="1"/>
  <c r="V3443" i="12" s="1"/>
  <c r="V3444" i="12" s="1"/>
  <c r="V3445" i="12" s="1"/>
  <c r="V3446" i="12" s="1"/>
  <c r="V3447" i="12" s="1"/>
  <c r="V3448" i="12" s="1"/>
  <c r="V3449" i="12" s="1"/>
  <c r="V3450" i="12" s="1"/>
  <c r="V3451" i="12" s="1"/>
  <c r="V3452" i="12" s="1"/>
  <c r="V3453" i="12" s="1"/>
  <c r="V3454" i="12" s="1"/>
  <c r="V3455" i="12" s="1"/>
  <c r="V3456" i="12" s="1"/>
  <c r="V3457" i="12" s="1"/>
  <c r="V3458" i="12" s="1"/>
  <c r="V3459" i="12" s="1"/>
  <c r="V3460" i="12" s="1"/>
  <c r="V3461" i="12" s="1"/>
  <c r="V3462" i="12" s="1"/>
  <c r="V3463" i="12" s="1"/>
  <c r="V3464" i="12" s="1"/>
  <c r="V3465" i="12" s="1"/>
  <c r="V3466" i="12" s="1"/>
  <c r="V3467" i="12" s="1"/>
  <c r="V3468" i="12" s="1"/>
  <c r="V3469" i="12" s="1"/>
  <c r="V3470" i="12" s="1"/>
  <c r="V3471" i="12" s="1"/>
  <c r="V3472" i="12" s="1"/>
  <c r="V3473" i="12" s="1"/>
  <c r="V3474" i="12" s="1"/>
  <c r="V3475" i="12" s="1"/>
  <c r="V3476" i="12" s="1"/>
  <c r="V3477" i="12" s="1"/>
  <c r="V3478" i="12" s="1"/>
  <c r="V3479" i="12" s="1"/>
  <c r="V3480" i="12" s="1"/>
  <c r="V3481" i="12" s="1"/>
  <c r="V3482" i="12" s="1"/>
  <c r="V3483" i="12" s="1"/>
  <c r="V3484" i="12" s="1"/>
  <c r="V3485" i="12" s="1"/>
  <c r="V3486" i="12" s="1"/>
  <c r="V3487" i="12" s="1"/>
  <c r="V3488" i="12" s="1"/>
  <c r="V3489" i="12" s="1"/>
  <c r="V3490" i="12" s="1"/>
  <c r="V3491" i="12" s="1"/>
  <c r="V3492" i="12" s="1"/>
  <c r="V3493" i="12" s="1"/>
  <c r="V3494" i="12" s="1"/>
  <c r="V3495" i="12" s="1"/>
  <c r="V3496" i="12" s="1"/>
  <c r="V3497" i="12" s="1"/>
  <c r="V3498" i="12" s="1"/>
  <c r="V3499" i="12" s="1"/>
  <c r="V3500" i="12" s="1"/>
  <c r="V3501" i="12" s="1"/>
  <c r="V3502" i="12" s="1"/>
  <c r="V3503" i="12" s="1"/>
  <c r="V3504" i="12" s="1"/>
  <c r="V3505" i="12" s="1"/>
  <c r="V3506" i="12" s="1"/>
  <c r="V3507" i="12" s="1"/>
  <c r="V3508" i="12" s="1"/>
  <c r="V3509" i="12" s="1"/>
  <c r="V3510" i="12" s="1"/>
  <c r="V3511" i="12" s="1"/>
  <c r="V3512" i="12" s="1"/>
  <c r="V3513" i="12" s="1"/>
  <c r="V3514" i="12" s="1"/>
  <c r="V3515" i="12" s="1"/>
  <c r="V3516" i="12" s="1"/>
  <c r="V3517" i="12" s="1"/>
  <c r="V3518" i="12" s="1"/>
  <c r="V3519" i="12" s="1"/>
  <c r="V3520" i="12" s="1"/>
  <c r="V3521" i="12" s="1"/>
  <c r="V3522" i="12" s="1"/>
  <c r="V3523" i="12" s="1"/>
  <c r="V3524" i="12" s="1"/>
  <c r="V3525" i="12" s="1"/>
  <c r="V3526" i="12" s="1"/>
  <c r="V3527" i="12" s="1"/>
  <c r="V3528" i="12" s="1"/>
  <c r="V3529" i="12" s="1"/>
  <c r="V3530" i="12" s="1"/>
  <c r="V3531" i="12" s="1"/>
  <c r="V3532" i="12" s="1"/>
  <c r="V3533" i="12" s="1"/>
  <c r="V3534" i="12" s="1"/>
  <c r="V3535" i="12" s="1"/>
  <c r="V3536" i="12" s="1"/>
  <c r="V3537" i="12" s="1"/>
  <c r="V3538" i="12" s="1"/>
  <c r="V3539" i="12" s="1"/>
  <c r="V3540" i="12" s="1"/>
  <c r="V3541" i="12" s="1"/>
  <c r="V3542" i="12" s="1"/>
  <c r="V3543" i="12" s="1"/>
  <c r="V3544" i="12" s="1"/>
  <c r="V3545" i="12" s="1"/>
  <c r="V3546" i="12" s="1"/>
  <c r="V3547" i="12" s="1"/>
  <c r="V3548" i="12" s="1"/>
  <c r="V3549" i="12" s="1"/>
  <c r="V3550" i="12" s="1"/>
  <c r="V3551" i="12" s="1"/>
  <c r="V3552" i="12" s="1"/>
  <c r="V20" i="12"/>
  <c r="V21" i="12" s="1"/>
  <c r="V22" i="12" s="1"/>
  <c r="V23" i="12" s="1"/>
  <c r="V24" i="12" s="1"/>
  <c r="V25" i="12" s="1"/>
  <c r="V26" i="12" s="1"/>
  <c r="V27" i="12" s="1"/>
  <c r="V28" i="12" s="1"/>
  <c r="V29" i="12" s="1"/>
  <c r="V30" i="12" s="1"/>
  <c r="V31" i="12" s="1"/>
  <c r="V32" i="12" s="1"/>
  <c r="V33" i="12" s="1"/>
  <c r="V34" i="12" s="1"/>
  <c r="V35" i="12" s="1"/>
  <c r="V36" i="12" s="1"/>
  <c r="V37" i="12" s="1"/>
  <c r="V38" i="12" s="1"/>
  <c r="V39" i="12" s="1"/>
  <c r="V40" i="12" s="1"/>
  <c r="V41" i="12" s="1"/>
  <c r="V42" i="12" s="1"/>
  <c r="V43" i="12" s="1"/>
  <c r="V44" i="12" s="1"/>
  <c r="V45" i="12" s="1"/>
  <c r="V46" i="12" s="1"/>
  <c r="V47" i="12" s="1"/>
  <c r="V48" i="12" s="1"/>
  <c r="V49" i="12" s="1"/>
  <c r="V50" i="12" s="1"/>
  <c r="V51" i="12" s="1"/>
  <c r="V52" i="12" s="1"/>
  <c r="V53" i="12" s="1"/>
  <c r="V54" i="12" s="1"/>
  <c r="V55" i="12" s="1"/>
  <c r="V56" i="12" s="1"/>
  <c r="V57" i="12" s="1"/>
  <c r="V58" i="12" s="1"/>
  <c r="V59" i="12" s="1"/>
  <c r="V60" i="12" s="1"/>
  <c r="V61" i="12" s="1"/>
  <c r="V62" i="12" s="1"/>
  <c r="V63" i="12" s="1"/>
  <c r="V64" i="12" s="1"/>
  <c r="V65" i="12" s="1"/>
  <c r="V66" i="12" s="1"/>
  <c r="V67" i="12" s="1"/>
  <c r="V68" i="12" s="1"/>
  <c r="V69" i="12" s="1"/>
  <c r="V70" i="12" s="1"/>
  <c r="V71" i="12" s="1"/>
  <c r="V72" i="12" s="1"/>
  <c r="V73" i="12" s="1"/>
  <c r="V74" i="12" s="1"/>
  <c r="V75" i="12" s="1"/>
  <c r="V76" i="12" s="1"/>
  <c r="V77" i="12" s="1"/>
  <c r="V78" i="12" s="1"/>
  <c r="V79" i="12" s="1"/>
  <c r="V80" i="12" s="1"/>
  <c r="V81" i="12" s="1"/>
  <c r="V82" i="12" s="1"/>
  <c r="V83" i="12" s="1"/>
  <c r="V84" i="12" s="1"/>
  <c r="V85" i="12" s="1"/>
  <c r="V86" i="12" s="1"/>
  <c r="V87" i="12" s="1"/>
  <c r="V88" i="12" s="1"/>
  <c r="V89" i="12" s="1"/>
  <c r="V90" i="12" s="1"/>
  <c r="V91" i="12" s="1"/>
  <c r="V92" i="12" s="1"/>
  <c r="V93" i="12" s="1"/>
  <c r="V94" i="12" s="1"/>
  <c r="V95" i="12" s="1"/>
  <c r="V96" i="12" s="1"/>
  <c r="V97" i="12" s="1"/>
  <c r="V98" i="12" s="1"/>
  <c r="V99" i="12" s="1"/>
  <c r="V100" i="12" s="1"/>
  <c r="V101" i="12" s="1"/>
  <c r="V102" i="12" s="1"/>
  <c r="V103" i="12" s="1"/>
  <c r="V104" i="12" s="1"/>
  <c r="V105" i="12" s="1"/>
  <c r="V106" i="12" s="1"/>
  <c r="V107" i="12" s="1"/>
  <c r="V108" i="12" s="1"/>
  <c r="V109" i="12" s="1"/>
  <c r="V110" i="12" s="1"/>
  <c r="V111" i="12" s="1"/>
  <c r="V112" i="12" s="1"/>
  <c r="V113" i="12" s="1"/>
  <c r="V114" i="12" s="1"/>
  <c r="V115" i="12" s="1"/>
  <c r="V116" i="12" s="1"/>
  <c r="V117" i="12" s="1"/>
  <c r="V118" i="12" s="1"/>
  <c r="V119" i="12" s="1"/>
  <c r="V120" i="12" s="1"/>
  <c r="V121" i="12" s="1"/>
  <c r="V122" i="12" s="1"/>
  <c r="V123" i="12" s="1"/>
  <c r="V124" i="12" s="1"/>
  <c r="V125" i="12" s="1"/>
  <c r="V126" i="12" s="1"/>
  <c r="V127" i="12" s="1"/>
  <c r="V128" i="12" s="1"/>
  <c r="V129" i="12" s="1"/>
  <c r="V130" i="12" s="1"/>
  <c r="V131" i="12" s="1"/>
  <c r="V132" i="12" s="1"/>
  <c r="V133" i="12" s="1"/>
  <c r="V134" i="12" s="1"/>
  <c r="V135" i="12" s="1"/>
  <c r="V136" i="12" s="1"/>
  <c r="V137" i="12" s="1"/>
  <c r="V138" i="12" s="1"/>
  <c r="V139" i="12" s="1"/>
  <c r="V140" i="12" s="1"/>
  <c r="V141" i="12" s="1"/>
  <c r="V142" i="12" s="1"/>
  <c r="V143" i="12" s="1"/>
  <c r="V144" i="12" s="1"/>
  <c r="V145" i="12" s="1"/>
  <c r="V146" i="12" s="1"/>
  <c r="V147" i="12" s="1"/>
  <c r="V148" i="12" s="1"/>
  <c r="V149" i="12" s="1"/>
  <c r="V150" i="12" s="1"/>
  <c r="V151" i="12" s="1"/>
  <c r="V152" i="12" s="1"/>
  <c r="V153" i="12" s="1"/>
  <c r="V154" i="12" s="1"/>
  <c r="V155" i="12" s="1"/>
  <c r="V156" i="12" s="1"/>
  <c r="V157" i="12" s="1"/>
  <c r="V158" i="12" s="1"/>
  <c r="V159" i="12" s="1"/>
  <c r="V160" i="12" s="1"/>
  <c r="V161" i="12" s="1"/>
  <c r="V162" i="12" s="1"/>
  <c r="V163" i="12" s="1"/>
  <c r="V164" i="12" s="1"/>
  <c r="V165" i="12" s="1"/>
  <c r="V166" i="12" s="1"/>
  <c r="V167" i="12" s="1"/>
  <c r="V168" i="12" s="1"/>
  <c r="V169" i="12" s="1"/>
  <c r="V170" i="12" s="1"/>
  <c r="V171" i="12" s="1"/>
  <c r="V172" i="12" s="1"/>
  <c r="V173" i="12" s="1"/>
  <c r="V174" i="12" s="1"/>
  <c r="V175" i="12" s="1"/>
  <c r="V176" i="12" s="1"/>
  <c r="V177" i="12" s="1"/>
  <c r="V178" i="12" s="1"/>
  <c r="V179" i="12" s="1"/>
  <c r="V180" i="12" s="1"/>
  <c r="V181" i="12" s="1"/>
  <c r="V182" i="12" s="1"/>
  <c r="V183" i="12" s="1"/>
  <c r="V184" i="12" s="1"/>
  <c r="V185" i="12" s="1"/>
  <c r="V186" i="12" s="1"/>
  <c r="V187" i="12" s="1"/>
  <c r="V188" i="12" s="1"/>
  <c r="V189" i="12" s="1"/>
  <c r="V190" i="12" s="1"/>
  <c r="V191" i="12" s="1"/>
  <c r="V192" i="12" s="1"/>
  <c r="V193" i="12" s="1"/>
  <c r="V194" i="12" s="1"/>
  <c r="V195" i="12" s="1"/>
  <c r="V196" i="12" s="1"/>
  <c r="V197" i="12" s="1"/>
  <c r="V198" i="12" s="1"/>
  <c r="V199" i="12" s="1"/>
  <c r="V200" i="12" s="1"/>
  <c r="V201" i="12" s="1"/>
  <c r="V202" i="12" s="1"/>
  <c r="V203" i="12" s="1"/>
  <c r="V204" i="12" s="1"/>
  <c r="V205" i="12" s="1"/>
  <c r="V206" i="12" s="1"/>
  <c r="V207" i="12" s="1"/>
  <c r="V208" i="12" s="1"/>
  <c r="V209" i="12" s="1"/>
  <c r="V210" i="12" s="1"/>
  <c r="V211" i="12" s="1"/>
  <c r="V212" i="12" s="1"/>
  <c r="V213" i="12" s="1"/>
  <c r="V214" i="12" s="1"/>
  <c r="V215" i="12" s="1"/>
  <c r="V216" i="12" s="1"/>
  <c r="V217" i="12" s="1"/>
  <c r="V218" i="12" s="1"/>
  <c r="V219" i="12" s="1"/>
  <c r="V220" i="12" s="1"/>
  <c r="V221" i="12" s="1"/>
  <c r="V222" i="12" s="1"/>
  <c r="V223" i="12" s="1"/>
  <c r="V224" i="12" s="1"/>
  <c r="V225" i="12" s="1"/>
  <c r="V226" i="12" s="1"/>
  <c r="V227" i="12" s="1"/>
  <c r="V228" i="12" s="1"/>
  <c r="V229" i="12" s="1"/>
  <c r="V230" i="12" s="1"/>
  <c r="V231" i="12" s="1"/>
  <c r="V232" i="12" s="1"/>
  <c r="V233" i="12" s="1"/>
  <c r="V234" i="12" s="1"/>
  <c r="V235" i="12" s="1"/>
  <c r="V236" i="12" s="1"/>
  <c r="V237" i="12" s="1"/>
  <c r="V238" i="12" s="1"/>
  <c r="V239" i="12" s="1"/>
  <c r="V240" i="12" s="1"/>
  <c r="V241" i="12" s="1"/>
  <c r="V242" i="12" s="1"/>
  <c r="V243" i="12" s="1"/>
  <c r="V244" i="12" s="1"/>
  <c r="V245" i="12" s="1"/>
  <c r="V246" i="12" s="1"/>
  <c r="V247" i="12" s="1"/>
  <c r="V248" i="12" s="1"/>
  <c r="V249" i="12" s="1"/>
  <c r="V250" i="12" s="1"/>
  <c r="V251" i="12" s="1"/>
  <c r="V252" i="12" s="1"/>
  <c r="V253" i="12" s="1"/>
  <c r="V254" i="12" s="1"/>
  <c r="V255" i="12" s="1"/>
  <c r="V256" i="12" s="1"/>
  <c r="V257" i="12" s="1"/>
  <c r="V258" i="12" s="1"/>
  <c r="V259" i="12" s="1"/>
  <c r="V260" i="12" s="1"/>
  <c r="V261" i="12" s="1"/>
  <c r="V262" i="12" s="1"/>
  <c r="V263" i="12" s="1"/>
  <c r="V264" i="12" s="1"/>
  <c r="V265" i="12" s="1"/>
  <c r="V266" i="12" s="1"/>
  <c r="V267" i="12" s="1"/>
  <c r="V268" i="12" s="1"/>
  <c r="V269" i="12" s="1"/>
  <c r="V270" i="12" s="1"/>
  <c r="V271" i="12" s="1"/>
  <c r="V272" i="12" s="1"/>
  <c r="V273" i="12" s="1"/>
  <c r="V274" i="12" s="1"/>
  <c r="V275" i="12" s="1"/>
  <c r="V276" i="12" s="1"/>
  <c r="V277" i="12" s="1"/>
  <c r="V278" i="12" s="1"/>
  <c r="V279" i="12" s="1"/>
  <c r="V280" i="12" s="1"/>
  <c r="V281" i="12" s="1"/>
  <c r="V282" i="12" s="1"/>
  <c r="V283" i="12" s="1"/>
  <c r="V284" i="12" s="1"/>
  <c r="V285" i="12" s="1"/>
  <c r="V286" i="12" s="1"/>
  <c r="V287" i="12" s="1"/>
  <c r="V288" i="12" s="1"/>
  <c r="V289" i="12" s="1"/>
  <c r="V290" i="12" s="1"/>
  <c r="V291" i="12" s="1"/>
  <c r="V292" i="12" s="1"/>
  <c r="V293" i="12" s="1"/>
  <c r="V294" i="12" s="1"/>
  <c r="V295" i="12" s="1"/>
  <c r="V296" i="12" s="1"/>
  <c r="V297" i="12" s="1"/>
  <c r="V298" i="12" s="1"/>
  <c r="V299" i="12" s="1"/>
  <c r="V300" i="12" s="1"/>
  <c r="V301" i="12" s="1"/>
  <c r="V302" i="12" s="1"/>
  <c r="V303" i="12" s="1"/>
  <c r="V304" i="12" s="1"/>
  <c r="V305" i="12" s="1"/>
  <c r="V306" i="12" s="1"/>
  <c r="V307" i="12" s="1"/>
  <c r="V308" i="12" s="1"/>
  <c r="V309" i="12" s="1"/>
  <c r="V310" i="12" s="1"/>
  <c r="V311" i="12" s="1"/>
  <c r="V312" i="12" s="1"/>
  <c r="V313" i="12" s="1"/>
  <c r="V314" i="12" s="1"/>
  <c r="V315" i="12" s="1"/>
  <c r="V316" i="12" s="1"/>
  <c r="V317" i="12" s="1"/>
  <c r="V318" i="12" s="1"/>
  <c r="V319" i="12" s="1"/>
  <c r="V320" i="12" s="1"/>
  <c r="V321" i="12" s="1"/>
  <c r="V322" i="12" s="1"/>
  <c r="V323" i="12" s="1"/>
  <c r="V324" i="12" s="1"/>
  <c r="V325" i="12" s="1"/>
  <c r="V326" i="12" s="1"/>
  <c r="V327" i="12" s="1"/>
  <c r="V328" i="12" s="1"/>
  <c r="V329" i="12" s="1"/>
  <c r="V330" i="12" s="1"/>
  <c r="V331" i="12" s="1"/>
  <c r="V332" i="12" s="1"/>
  <c r="V333" i="12" s="1"/>
  <c r="V334" i="12" s="1"/>
  <c r="V335" i="12" s="1"/>
  <c r="V336" i="12" s="1"/>
  <c r="V337" i="12" s="1"/>
  <c r="V338" i="12" s="1"/>
  <c r="V339" i="12" s="1"/>
  <c r="V340" i="12" s="1"/>
  <c r="V341" i="12" s="1"/>
  <c r="V342" i="12" s="1"/>
  <c r="V343" i="12" s="1"/>
  <c r="V344" i="12" s="1"/>
  <c r="V345" i="12" s="1"/>
  <c r="V346" i="12" s="1"/>
  <c r="V347" i="12" s="1"/>
  <c r="V348" i="12" s="1"/>
  <c r="V349" i="12" s="1"/>
  <c r="V350" i="12" s="1"/>
  <c r="V351" i="12" s="1"/>
  <c r="V352" i="12" s="1"/>
  <c r="V353" i="12" s="1"/>
  <c r="V354" i="12" s="1"/>
  <c r="V355" i="12" s="1"/>
  <c r="V356" i="12" s="1"/>
  <c r="V357" i="12" s="1"/>
  <c r="V358" i="12" s="1"/>
  <c r="V359" i="12" s="1"/>
  <c r="V360" i="12" s="1"/>
  <c r="V361" i="12" s="1"/>
  <c r="V362" i="12" s="1"/>
  <c r="V363" i="12" s="1"/>
  <c r="V364" i="12" s="1"/>
  <c r="V365" i="12" s="1"/>
  <c r="V366" i="12" s="1"/>
  <c r="V367" i="12" s="1"/>
  <c r="V368" i="12" s="1"/>
  <c r="V369" i="12" s="1"/>
  <c r="V370" i="12" s="1"/>
  <c r="V371" i="12" s="1"/>
  <c r="V372" i="12" s="1"/>
  <c r="V373" i="12" s="1"/>
  <c r="V374" i="12" s="1"/>
  <c r="V375" i="12" s="1"/>
  <c r="V376" i="12" s="1"/>
  <c r="V377" i="12" s="1"/>
  <c r="V378" i="12" s="1"/>
  <c r="V379" i="12" s="1"/>
  <c r="V380" i="12" s="1"/>
  <c r="V381" i="12" s="1"/>
  <c r="V382" i="12" s="1"/>
  <c r="V383" i="12" s="1"/>
  <c r="V384" i="12" s="1"/>
  <c r="V385" i="12" s="1"/>
  <c r="V386" i="12" s="1"/>
  <c r="V387" i="12" s="1"/>
  <c r="V388" i="12" s="1"/>
  <c r="V389" i="12" s="1"/>
  <c r="V390" i="12" s="1"/>
  <c r="V391" i="12" s="1"/>
  <c r="V392" i="12" s="1"/>
  <c r="V393" i="12" s="1"/>
  <c r="V394" i="12" s="1"/>
  <c r="V395" i="12" s="1"/>
  <c r="V396" i="12" s="1"/>
  <c r="V397" i="12" s="1"/>
  <c r="V398" i="12" s="1"/>
  <c r="V399" i="12" s="1"/>
  <c r="V400" i="12" s="1"/>
  <c r="V401" i="12" s="1"/>
  <c r="V402" i="12" s="1"/>
  <c r="V403" i="12" s="1"/>
  <c r="V404" i="12" s="1"/>
  <c r="V405" i="12" s="1"/>
  <c r="V406" i="12" s="1"/>
  <c r="V407" i="12" s="1"/>
  <c r="V408" i="12" s="1"/>
  <c r="V409" i="12" s="1"/>
  <c r="V410" i="12" s="1"/>
  <c r="V411" i="12" s="1"/>
  <c r="V412" i="12" s="1"/>
  <c r="V413" i="12" s="1"/>
  <c r="V414" i="12" s="1"/>
  <c r="V415" i="12" s="1"/>
  <c r="V416" i="12" s="1"/>
  <c r="V417" i="12" s="1"/>
  <c r="V418" i="12" s="1"/>
  <c r="V419" i="12" s="1"/>
  <c r="V420" i="12" s="1"/>
  <c r="V421" i="12" s="1"/>
  <c r="V422" i="12" s="1"/>
  <c r="V423" i="12" s="1"/>
  <c r="V424" i="12" s="1"/>
  <c r="V425" i="12" s="1"/>
  <c r="V426" i="12" s="1"/>
  <c r="V427" i="12" s="1"/>
  <c r="V428" i="12" s="1"/>
  <c r="V429" i="12" s="1"/>
  <c r="V430" i="12" s="1"/>
  <c r="V431" i="12" s="1"/>
  <c r="V432" i="12" s="1"/>
  <c r="V433" i="12" s="1"/>
  <c r="V434" i="12" s="1"/>
  <c r="V435" i="12" s="1"/>
  <c r="V436" i="12" s="1"/>
  <c r="V437" i="12" s="1"/>
  <c r="V438" i="12" s="1"/>
  <c r="V439" i="12" s="1"/>
  <c r="V440" i="12" s="1"/>
  <c r="V441" i="12" s="1"/>
  <c r="V442" i="12" s="1"/>
  <c r="V443" i="12" s="1"/>
  <c r="V444" i="12" s="1"/>
  <c r="V445" i="12" s="1"/>
  <c r="V446" i="12" s="1"/>
  <c r="V447" i="12" s="1"/>
  <c r="V448" i="12" s="1"/>
  <c r="V449" i="12" s="1"/>
  <c r="V450" i="12" s="1"/>
  <c r="V451" i="12" s="1"/>
  <c r="V452" i="12" s="1"/>
  <c r="V453" i="12" s="1"/>
  <c r="V454" i="12" s="1"/>
  <c r="V455" i="12" s="1"/>
  <c r="V456" i="12" s="1"/>
  <c r="V457" i="12" s="1"/>
  <c r="V458" i="12" s="1"/>
  <c r="V459" i="12" s="1"/>
  <c r="V460" i="12" s="1"/>
  <c r="V461" i="12" s="1"/>
  <c r="V462" i="12" s="1"/>
  <c r="V463" i="12" s="1"/>
  <c r="V464" i="12" s="1"/>
  <c r="V465" i="12" s="1"/>
  <c r="V466" i="12" s="1"/>
  <c r="V467" i="12" s="1"/>
  <c r="V468" i="12" s="1"/>
  <c r="V469" i="12" s="1"/>
  <c r="V470" i="12" s="1"/>
  <c r="V471" i="12" s="1"/>
  <c r="V472" i="12" s="1"/>
  <c r="V473" i="12" s="1"/>
  <c r="V474" i="12" s="1"/>
  <c r="V475" i="12" s="1"/>
  <c r="V476" i="12" s="1"/>
  <c r="V477" i="12" s="1"/>
  <c r="V478" i="12" s="1"/>
  <c r="V479" i="12" s="1"/>
  <c r="V480" i="12" s="1"/>
  <c r="V481" i="12" s="1"/>
  <c r="V482" i="12" s="1"/>
  <c r="V483" i="12" s="1"/>
  <c r="V484" i="12" s="1"/>
  <c r="V485" i="12" s="1"/>
  <c r="V486" i="12" s="1"/>
  <c r="V487" i="12" s="1"/>
  <c r="V488" i="12" s="1"/>
  <c r="V489" i="12" s="1"/>
  <c r="V490" i="12" s="1"/>
  <c r="V491" i="12" s="1"/>
  <c r="V492" i="12" s="1"/>
  <c r="V493" i="12" s="1"/>
  <c r="V494" i="12" s="1"/>
  <c r="V495" i="12" s="1"/>
  <c r="V496" i="12" s="1"/>
  <c r="V497" i="12" s="1"/>
  <c r="V498" i="12" s="1"/>
  <c r="V499" i="12" s="1"/>
  <c r="V500" i="12" s="1"/>
  <c r="V501" i="12" s="1"/>
  <c r="V502" i="12" s="1"/>
  <c r="V503" i="12" s="1"/>
  <c r="V504" i="12" s="1"/>
  <c r="V505" i="12" s="1"/>
  <c r="V506" i="12" s="1"/>
  <c r="V507" i="12" s="1"/>
  <c r="V508" i="12" s="1"/>
  <c r="V509" i="12" s="1"/>
  <c r="V510" i="12" s="1"/>
  <c r="V511" i="12" s="1"/>
  <c r="V512" i="12" s="1"/>
  <c r="V513" i="12" s="1"/>
  <c r="V514" i="12" s="1"/>
  <c r="V515" i="12" s="1"/>
  <c r="V516" i="12" s="1"/>
  <c r="V517" i="12" s="1"/>
  <c r="V518" i="12" s="1"/>
  <c r="V519" i="12" s="1"/>
  <c r="V520" i="12" s="1"/>
  <c r="V521" i="12" s="1"/>
  <c r="V522" i="12" s="1"/>
  <c r="V523" i="12" s="1"/>
  <c r="V524" i="12" s="1"/>
  <c r="V525" i="12" s="1"/>
  <c r="V526" i="12" s="1"/>
  <c r="V527" i="12" s="1"/>
  <c r="V528" i="12" s="1"/>
  <c r="V529" i="12" s="1"/>
  <c r="V530" i="12" s="1"/>
  <c r="V531" i="12" s="1"/>
  <c r="V532" i="12" s="1"/>
  <c r="V533" i="12" s="1"/>
  <c r="V534" i="12" s="1"/>
  <c r="V535" i="12" s="1"/>
  <c r="V536" i="12" s="1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B4" i="12"/>
  <c r="B5" i="12"/>
  <c r="B8" i="12"/>
  <c r="B3" i="12"/>
  <c r="B9" i="12"/>
  <c r="B6" i="12"/>
  <c r="B7" i="12"/>
  <c r="D23" i="3" l="1"/>
  <c r="C30" i="3" l="1"/>
  <c r="C3" i="12"/>
  <c r="W19" i="12"/>
  <c r="E3" i="11"/>
  <c r="C4" i="12" l="1"/>
  <c r="C11" i="12" s="1"/>
  <c r="C12" i="12"/>
  <c r="C10" i="12"/>
  <c r="A2" i="7"/>
  <c r="W20" i="12"/>
  <c r="X19" i="12"/>
  <c r="E12" i="12" l="1"/>
  <c r="E16" i="12"/>
  <c r="E9" i="12"/>
  <c r="E5" i="12"/>
  <c r="E15" i="12"/>
  <c r="E10" i="12"/>
  <c r="E7" i="12"/>
  <c r="E13" i="12"/>
  <c r="E11" i="12"/>
  <c r="E8" i="12"/>
  <c r="E3" i="12"/>
  <c r="E4" i="12"/>
  <c r="E6" i="12"/>
  <c r="E14" i="12"/>
  <c r="C13" i="12"/>
  <c r="C8" i="12"/>
  <c r="X20" i="12"/>
  <c r="C14" i="12" l="1"/>
  <c r="C15" i="12" l="1"/>
  <c r="C9" i="12"/>
  <c r="C16" i="12" s="1"/>
  <c r="C2" i="7"/>
  <c r="B2" i="7"/>
  <c r="W21" i="12"/>
  <c r="E2" i="7" l="1"/>
  <c r="J2" i="6"/>
  <c r="H6" i="6"/>
  <c r="J6" i="6"/>
  <c r="H7" i="6"/>
  <c r="J7" i="6"/>
  <c r="H8" i="6"/>
  <c r="J8" i="6"/>
  <c r="H9" i="6"/>
  <c r="J9" i="6"/>
  <c r="H10" i="6"/>
  <c r="J10" i="6"/>
  <c r="H11" i="6"/>
  <c r="J11" i="6"/>
  <c r="H12" i="6"/>
  <c r="J12" i="6"/>
  <c r="H13" i="6"/>
  <c r="J13" i="6"/>
  <c r="H14" i="6"/>
  <c r="J14" i="6"/>
  <c r="H15" i="6"/>
  <c r="J15" i="6"/>
  <c r="H16" i="6"/>
  <c r="J16" i="6"/>
  <c r="D6" i="3"/>
  <c r="K3" i="6"/>
  <c r="X21" i="12"/>
  <c r="D21" i="3"/>
  <c r="L19" i="12" a="1"/>
  <c r="B1" i="3"/>
  <c r="W22" i="12"/>
  <c r="L4" i="6"/>
  <c r="W23" i="12"/>
  <c r="X22" i="12"/>
  <c r="L19" i="12" l="1"/>
  <c r="K2" i="6"/>
  <c r="D16" i="3"/>
  <c r="A8" i="7"/>
  <c r="A3" i="7"/>
  <c r="A13" i="7"/>
  <c r="A11" i="7"/>
  <c r="A5" i="7"/>
  <c r="A4" i="7"/>
  <c r="A6" i="7"/>
  <c r="A7" i="7"/>
  <c r="A12" i="7"/>
  <c r="A10" i="7"/>
  <c r="A9" i="7"/>
  <c r="E21" i="3"/>
  <c r="D20" i="3"/>
  <c r="D9" i="3"/>
  <c r="E20" i="3"/>
  <c r="D8" i="7"/>
  <c r="C9" i="7"/>
  <c r="B13" i="7"/>
  <c r="I4" i="7"/>
  <c r="C6" i="7"/>
  <c r="C5" i="7"/>
  <c r="D7" i="7"/>
  <c r="C7" i="7"/>
  <c r="B4" i="7"/>
  <c r="B11" i="7"/>
  <c r="L14" i="6"/>
  <c r="C13" i="7"/>
  <c r="H5" i="7"/>
  <c r="I11" i="7"/>
  <c r="L11" i="6"/>
  <c r="D5" i="7"/>
  <c r="I10" i="7"/>
  <c r="I6" i="7"/>
  <c r="I9" i="7"/>
  <c r="B5" i="7"/>
  <c r="N19" i="12"/>
  <c r="X23" i="12"/>
  <c r="D11" i="7"/>
  <c r="D4" i="7"/>
  <c r="L15" i="6"/>
  <c r="L9" i="6"/>
  <c r="M19" i="12"/>
  <c r="B8" i="7"/>
  <c r="C4" i="7"/>
  <c r="H4" i="7"/>
  <c r="L13" i="6"/>
  <c r="D13" i="7"/>
  <c r="B3" i="7"/>
  <c r="I12" i="7"/>
  <c r="L3" i="6"/>
  <c r="H9" i="7"/>
  <c r="H10" i="7"/>
  <c r="W24" i="12"/>
  <c r="D6" i="7"/>
  <c r="H3" i="7"/>
  <c r="B10" i="7"/>
  <c r="H6" i="7"/>
  <c r="I5" i="7"/>
  <c r="D12" i="7"/>
  <c r="H13" i="7"/>
  <c r="H11" i="7"/>
  <c r="D3" i="7"/>
  <c r="H2" i="7"/>
  <c r="C10" i="7"/>
  <c r="B6" i="7"/>
  <c r="I3" i="7"/>
  <c r="L12" i="6"/>
  <c r="B9" i="7"/>
  <c r="L8" i="6"/>
  <c r="B12" i="7"/>
  <c r="L6" i="6"/>
  <c r="B7" i="7"/>
  <c r="C8" i="7"/>
  <c r="L16" i="6"/>
  <c r="I8" i="7"/>
  <c r="D9" i="7"/>
  <c r="L10" i="6"/>
  <c r="H12" i="7"/>
  <c r="C3" i="7"/>
  <c r="C12" i="7"/>
  <c r="C11" i="7"/>
  <c r="I7" i="7"/>
  <c r="L7" i="6"/>
  <c r="I13" i="7"/>
  <c r="X24" i="12"/>
  <c r="I2" i="7"/>
  <c r="H8" i="7"/>
  <c r="H7" i="7"/>
  <c r="D10" i="7"/>
  <c r="E8" i="7" l="1"/>
  <c r="E5" i="7"/>
  <c r="E3" i="7"/>
  <c r="E11" i="7"/>
  <c r="E9" i="7"/>
  <c r="E7" i="7"/>
  <c r="E12" i="7"/>
  <c r="E13" i="7"/>
  <c r="E10" i="7"/>
  <c r="E6" i="7"/>
  <c r="E4" i="7"/>
  <c r="P22" i="12" a="1"/>
  <c r="D2" i="8" a="1"/>
  <c r="W25" i="12"/>
  <c r="L22" i="12" a="1"/>
  <c r="E1" i="11" l="1"/>
  <c r="D62" i="8"/>
  <c r="D87" i="8"/>
  <c r="D36" i="8"/>
  <c r="D29" i="8"/>
  <c r="D14" i="8"/>
  <c r="D35" i="8"/>
  <c r="D38" i="8"/>
  <c r="D56" i="8"/>
  <c r="D16" i="8"/>
  <c r="D84" i="8"/>
  <c r="D5" i="8"/>
  <c r="D20" i="8"/>
  <c r="D58" i="8"/>
  <c r="D102" i="8"/>
  <c r="D76" i="8"/>
  <c r="D91" i="8"/>
  <c r="D31" i="8"/>
  <c r="L29" i="12"/>
  <c r="D19" i="8"/>
  <c r="L30" i="12"/>
  <c r="D52" i="8"/>
  <c r="D37" i="8"/>
  <c r="L32" i="12"/>
  <c r="L23" i="12"/>
  <c r="D107" i="8"/>
  <c r="D54" i="8"/>
  <c r="D43" i="8"/>
  <c r="D15" i="8"/>
  <c r="D88" i="8"/>
  <c r="D71" i="8"/>
  <c r="L22" i="12"/>
  <c r="D101" i="8"/>
  <c r="D90" i="8"/>
  <c r="D100" i="8"/>
  <c r="D125" i="8"/>
  <c r="P32" i="12"/>
  <c r="D98" i="8"/>
  <c r="D115" i="8"/>
  <c r="D18" i="8"/>
  <c r="D23" i="8"/>
  <c r="D32" i="8"/>
  <c r="D111" i="8"/>
  <c r="D25" i="8"/>
  <c r="P22" i="12"/>
  <c r="D49" i="8"/>
  <c r="D67" i="8"/>
  <c r="D57" i="8"/>
  <c r="D65" i="8"/>
  <c r="D4" i="8"/>
  <c r="D63" i="8"/>
  <c r="D122" i="8"/>
  <c r="D113" i="8"/>
  <c r="D24" i="8"/>
  <c r="D72" i="8"/>
  <c r="D41" i="8"/>
  <c r="L28" i="12"/>
  <c r="D118" i="8"/>
  <c r="D95" i="8"/>
  <c r="D34" i="8"/>
  <c r="D70" i="8"/>
  <c r="D30" i="8"/>
  <c r="D75" i="8"/>
  <c r="D39" i="8"/>
  <c r="D59" i="8"/>
  <c r="P23" i="12"/>
  <c r="D77" i="8"/>
  <c r="D108" i="8"/>
  <c r="D64" i="8"/>
  <c r="D93" i="8"/>
  <c r="D44" i="8"/>
  <c r="D27" i="8"/>
  <c r="D83" i="8"/>
  <c r="D79" i="8"/>
  <c r="D120" i="8"/>
  <c r="L25" i="12"/>
  <c r="D26" i="8"/>
  <c r="D96" i="8"/>
  <c r="D40" i="8"/>
  <c r="D45" i="8"/>
  <c r="D12" i="8"/>
  <c r="D110" i="8"/>
  <c r="D55" i="8"/>
  <c r="D105" i="8"/>
  <c r="D99" i="8"/>
  <c r="D47" i="8"/>
  <c r="D86" i="8"/>
  <c r="L31" i="12"/>
  <c r="D10" i="8"/>
  <c r="D42" i="8"/>
  <c r="D117" i="8"/>
  <c r="D50" i="8"/>
  <c r="D103" i="8"/>
  <c r="D66" i="8"/>
  <c r="P27" i="12"/>
  <c r="D123" i="8"/>
  <c r="D119" i="8"/>
  <c r="D17" i="8"/>
  <c r="D2" i="8"/>
  <c r="D11" i="8"/>
  <c r="D94" i="8"/>
  <c r="D109" i="8"/>
  <c r="D73" i="8"/>
  <c r="D78" i="8"/>
  <c r="D85" i="8"/>
  <c r="D89" i="8"/>
  <c r="D46" i="8"/>
  <c r="L26" i="12"/>
  <c r="D21" i="8"/>
  <c r="D7" i="8"/>
  <c r="D104" i="8"/>
  <c r="D126" i="8"/>
  <c r="D22" i="8"/>
  <c r="P24" i="12"/>
  <c r="D80" i="8"/>
  <c r="D28" i="8"/>
  <c r="D112" i="8"/>
  <c r="D124" i="8"/>
  <c r="D106" i="8"/>
  <c r="D51" i="8"/>
  <c r="D8" i="8"/>
  <c r="D82" i="8"/>
  <c r="L27" i="12"/>
  <c r="D9" i="8"/>
  <c r="P26" i="12"/>
  <c r="D3" i="8"/>
  <c r="L24" i="12"/>
  <c r="D114" i="8"/>
  <c r="D33" i="8"/>
  <c r="D74" i="8"/>
  <c r="D48" i="8"/>
  <c r="P31" i="12"/>
  <c r="D116" i="8"/>
  <c r="P30" i="12"/>
  <c r="D13" i="8"/>
  <c r="D81" i="8"/>
  <c r="D60" i="8"/>
  <c r="D92" i="8"/>
  <c r="D53" i="8"/>
  <c r="D61" i="8"/>
  <c r="D97" i="8"/>
  <c r="P28" i="12"/>
  <c r="D121" i="8"/>
  <c r="P25" i="12"/>
  <c r="D68" i="8"/>
  <c r="P29" i="12"/>
  <c r="D6" i="8"/>
  <c r="D69" i="8"/>
  <c r="E52" i="8"/>
  <c r="F79" i="8"/>
  <c r="F73" i="8"/>
  <c r="E50" i="8"/>
  <c r="I70" i="8"/>
  <c r="H62" i="8"/>
  <c r="E47" i="8"/>
  <c r="H20" i="8"/>
  <c r="I120" i="8"/>
  <c r="F4" i="8"/>
  <c r="F119" i="8"/>
  <c r="F7" i="8"/>
  <c r="G53" i="8"/>
  <c r="G25" i="8"/>
  <c r="G11" i="8"/>
  <c r="E95" i="8"/>
  <c r="F78" i="8"/>
  <c r="G14" i="8"/>
  <c r="F36" i="8"/>
  <c r="I54" i="8"/>
  <c r="I125" i="8"/>
  <c r="F80" i="8"/>
  <c r="F77" i="8"/>
  <c r="M27" i="12"/>
  <c r="E13" i="8"/>
  <c r="H117" i="8"/>
  <c r="F8" i="8"/>
  <c r="F121" i="8"/>
  <c r="F84" i="8"/>
  <c r="F42" i="8"/>
  <c r="M24" i="12"/>
  <c r="H5" i="8"/>
  <c r="F61" i="8"/>
  <c r="G49" i="8"/>
  <c r="I27" i="8"/>
  <c r="H82" i="8"/>
  <c r="G98" i="8"/>
  <c r="F64" i="8"/>
  <c r="H60" i="8"/>
  <c r="H68" i="8"/>
  <c r="G57" i="8"/>
  <c r="F9" i="8"/>
  <c r="E101" i="8"/>
  <c r="G78" i="8"/>
  <c r="F75" i="8"/>
  <c r="H84" i="8"/>
  <c r="E33" i="8"/>
  <c r="I85" i="8"/>
  <c r="H124" i="8"/>
  <c r="F120" i="8"/>
  <c r="H33" i="8"/>
  <c r="E82" i="8"/>
  <c r="E40" i="8"/>
  <c r="F118" i="8"/>
  <c r="H92" i="8"/>
  <c r="G73" i="8"/>
  <c r="E106" i="8"/>
  <c r="E22" i="8"/>
  <c r="E103" i="8"/>
  <c r="I80" i="8"/>
  <c r="E94" i="8"/>
  <c r="I20" i="8"/>
  <c r="G67" i="8"/>
  <c r="F112" i="8"/>
  <c r="F115" i="8"/>
  <c r="G100" i="8"/>
  <c r="E25" i="8"/>
  <c r="I18" i="8"/>
  <c r="I10" i="8"/>
  <c r="G103" i="8"/>
  <c r="E20" i="8"/>
  <c r="F21" i="8"/>
  <c r="H125" i="8"/>
  <c r="I61" i="8"/>
  <c r="G88" i="8"/>
  <c r="H87" i="8"/>
  <c r="F81" i="8"/>
  <c r="G27" i="8"/>
  <c r="H42" i="8"/>
  <c r="E77" i="8"/>
  <c r="F52" i="8"/>
  <c r="H22" i="8"/>
  <c r="G17" i="8"/>
  <c r="Q23" i="12"/>
  <c r="E111" i="8"/>
  <c r="I86" i="8"/>
  <c r="F43" i="8"/>
  <c r="I4" i="8"/>
  <c r="G77" i="8"/>
  <c r="G52" i="8"/>
  <c r="H110" i="8"/>
  <c r="H100" i="8"/>
  <c r="G120" i="8"/>
  <c r="H34" i="8"/>
  <c r="F51" i="8"/>
  <c r="G97" i="8"/>
  <c r="H67" i="8"/>
  <c r="F33" i="8"/>
  <c r="E104" i="8"/>
  <c r="G99" i="8"/>
  <c r="G5" i="8"/>
  <c r="I118" i="8"/>
  <c r="F102" i="8"/>
  <c r="H55" i="8"/>
  <c r="E108" i="8"/>
  <c r="I58" i="8"/>
  <c r="E51" i="8"/>
  <c r="H119" i="8"/>
  <c r="H89" i="8"/>
  <c r="F70" i="8"/>
  <c r="F27" i="8"/>
  <c r="H123" i="8"/>
  <c r="E120" i="8"/>
  <c r="H30" i="8"/>
  <c r="I95" i="8"/>
  <c r="H29" i="8"/>
  <c r="I39" i="8"/>
  <c r="I7" i="8"/>
  <c r="I60" i="8"/>
  <c r="I96" i="8"/>
  <c r="H120" i="8"/>
  <c r="G23" i="8"/>
  <c r="I15" i="8"/>
  <c r="E48" i="8"/>
  <c r="G43" i="8"/>
  <c r="M29" i="12"/>
  <c r="I9" i="8"/>
  <c r="H38" i="8"/>
  <c r="E2" i="8"/>
  <c r="N29" i="12"/>
  <c r="E99" i="8"/>
  <c r="E62" i="8"/>
  <c r="I103" i="8"/>
  <c r="H79" i="8"/>
  <c r="G39" i="8"/>
  <c r="I33" i="8"/>
  <c r="I25" i="8"/>
  <c r="H25" i="8"/>
  <c r="F110" i="8"/>
  <c r="F10" i="8"/>
  <c r="M22" i="12"/>
  <c r="E14" i="8"/>
  <c r="I56" i="8"/>
  <c r="F90" i="8"/>
  <c r="N32" i="12"/>
  <c r="E105" i="8"/>
  <c r="F11" i="8"/>
  <c r="E27" i="8"/>
  <c r="I34" i="8"/>
  <c r="I59" i="8"/>
  <c r="G22" i="8"/>
  <c r="H6" i="8"/>
  <c r="E67" i="8"/>
  <c r="H112" i="8"/>
  <c r="G119" i="8"/>
  <c r="H48" i="8"/>
  <c r="F19" i="8"/>
  <c r="I46" i="8"/>
  <c r="F116" i="8"/>
  <c r="H73" i="8"/>
  <c r="I52" i="8"/>
  <c r="I6" i="8"/>
  <c r="H23" i="8"/>
  <c r="F59" i="8"/>
  <c r="E42" i="8"/>
  <c r="N25" i="12"/>
  <c r="E69" i="8"/>
  <c r="Q22" i="12"/>
  <c r="I11" i="8"/>
  <c r="N24" i="12"/>
  <c r="G121" i="8"/>
  <c r="F114" i="8"/>
  <c r="I108" i="8"/>
  <c r="E80" i="8"/>
  <c r="G92" i="8"/>
  <c r="H113" i="8"/>
  <c r="E71" i="8"/>
  <c r="H91" i="8"/>
  <c r="I65" i="8"/>
  <c r="H74" i="8"/>
  <c r="H4" i="8"/>
  <c r="H99" i="8"/>
  <c r="I113" i="8"/>
  <c r="H44" i="8"/>
  <c r="I124" i="8"/>
  <c r="I77" i="8"/>
  <c r="E38" i="8"/>
  <c r="G125" i="8"/>
  <c r="F20" i="8"/>
  <c r="H90" i="8"/>
  <c r="E107" i="8"/>
  <c r="I119" i="8"/>
  <c r="F17" i="8"/>
  <c r="H19" i="8"/>
  <c r="G70" i="8"/>
  <c r="E83" i="8"/>
  <c r="H101" i="8"/>
  <c r="F48" i="8"/>
  <c r="G74" i="8"/>
  <c r="I121" i="8"/>
  <c r="I117" i="8"/>
  <c r="E124" i="8"/>
  <c r="E113" i="8"/>
  <c r="F12" i="8"/>
  <c r="G8" i="8"/>
  <c r="F29" i="8"/>
  <c r="E41" i="8"/>
  <c r="E32" i="8"/>
  <c r="F92" i="8"/>
  <c r="F38" i="8"/>
  <c r="N30" i="12"/>
  <c r="H114" i="8"/>
  <c r="H106" i="8"/>
  <c r="E39" i="8"/>
  <c r="I12" i="8"/>
  <c r="F50" i="8"/>
  <c r="G68" i="8"/>
  <c r="G29" i="8"/>
  <c r="H103" i="8"/>
  <c r="H76" i="8"/>
  <c r="E85" i="8"/>
  <c r="E79" i="8"/>
  <c r="F113" i="8"/>
  <c r="G83" i="8"/>
  <c r="H41" i="8"/>
  <c r="G19" i="8"/>
  <c r="H7" i="8"/>
  <c r="H53" i="8"/>
  <c r="E63" i="8"/>
  <c r="I51" i="8"/>
  <c r="I40" i="8"/>
  <c r="I112" i="8"/>
  <c r="E123" i="8"/>
  <c r="G7" i="8"/>
  <c r="F16" i="8"/>
  <c r="M31" i="12"/>
  <c r="H98" i="8"/>
  <c r="F124" i="8"/>
  <c r="G21" i="8"/>
  <c r="G26" i="8"/>
  <c r="F88" i="8"/>
  <c r="E91" i="8"/>
  <c r="F47" i="8"/>
  <c r="I49" i="8"/>
  <c r="G34" i="8"/>
  <c r="G72" i="8"/>
  <c r="E12" i="8"/>
  <c r="E68" i="8"/>
  <c r="I98" i="8"/>
  <c r="E126" i="8"/>
  <c r="Q27" i="12"/>
  <c r="H54" i="8"/>
  <c r="E100" i="8"/>
  <c r="E43" i="8"/>
  <c r="I21" i="8"/>
  <c r="F39" i="8"/>
  <c r="I32" i="8"/>
  <c r="E9" i="8"/>
  <c r="F14" i="8"/>
  <c r="F85" i="8"/>
  <c r="I106" i="8"/>
  <c r="E75" i="8"/>
  <c r="I102" i="8"/>
  <c r="H21" i="8"/>
  <c r="G9" i="8"/>
  <c r="E30" i="8"/>
  <c r="G50" i="8"/>
  <c r="H12" i="8"/>
  <c r="H45" i="8"/>
  <c r="E6" i="8"/>
  <c r="E64" i="8"/>
  <c r="I17" i="8"/>
  <c r="H81" i="8"/>
  <c r="G55" i="8"/>
  <c r="I48" i="8"/>
  <c r="M23" i="12"/>
  <c r="E15" i="8"/>
  <c r="I68" i="8"/>
  <c r="I19" i="8"/>
  <c r="F53" i="8"/>
  <c r="E88" i="8"/>
  <c r="I97" i="8"/>
  <c r="H105" i="8"/>
  <c r="I36" i="8"/>
  <c r="F58" i="8"/>
  <c r="I50" i="8"/>
  <c r="G16" i="8"/>
  <c r="E114" i="8"/>
  <c r="E97" i="8"/>
  <c r="F41" i="8"/>
  <c r="G93" i="8"/>
  <c r="Q25" i="12"/>
  <c r="G62" i="8"/>
  <c r="H16" i="8"/>
  <c r="E118" i="8"/>
  <c r="F83" i="8"/>
  <c r="H107" i="8"/>
  <c r="G101" i="8"/>
  <c r="E16" i="8"/>
  <c r="E21" i="8"/>
  <c r="I75" i="8"/>
  <c r="E56" i="8"/>
  <c r="F71" i="8"/>
  <c r="F89" i="8"/>
  <c r="E93" i="8"/>
  <c r="E4" i="8"/>
  <c r="H9" i="8"/>
  <c r="F104" i="8"/>
  <c r="I57" i="8"/>
  <c r="W26" i="12"/>
  <c r="I81" i="8"/>
  <c r="I109" i="8"/>
  <c r="F108" i="8"/>
  <c r="F46" i="8"/>
  <c r="H47" i="8"/>
  <c r="F26" i="8"/>
  <c r="F125" i="8"/>
  <c r="G95" i="8"/>
  <c r="G75" i="8"/>
  <c r="F109" i="8"/>
  <c r="G44" i="8"/>
  <c r="H77" i="8"/>
  <c r="N28" i="12"/>
  <c r="H116" i="8"/>
  <c r="G94" i="8"/>
  <c r="G12" i="8"/>
  <c r="G33" i="8"/>
  <c r="I83" i="8"/>
  <c r="F22" i="8"/>
  <c r="N26" i="12"/>
  <c r="F82" i="8"/>
  <c r="F87" i="8"/>
  <c r="I23" i="8"/>
  <c r="E121" i="8"/>
  <c r="F3" i="8"/>
  <c r="F95" i="8"/>
  <c r="H65" i="8"/>
  <c r="E53" i="8"/>
  <c r="H43" i="8"/>
  <c r="E78" i="8"/>
  <c r="E87" i="8"/>
  <c r="G2" i="8"/>
  <c r="H63" i="8"/>
  <c r="G69" i="8"/>
  <c r="H97" i="8"/>
  <c r="G61" i="8"/>
  <c r="F67" i="8"/>
  <c r="I22" i="8"/>
  <c r="I29" i="8"/>
  <c r="E59" i="8"/>
  <c r="I8" i="8"/>
  <c r="F60" i="8"/>
  <c r="I14" i="8"/>
  <c r="Q24" i="12"/>
  <c r="N31" i="12"/>
  <c r="F35" i="8"/>
  <c r="H17" i="8"/>
  <c r="G108" i="8"/>
  <c r="H104" i="8"/>
  <c r="H46" i="8"/>
  <c r="M26" i="12"/>
  <c r="H72" i="8"/>
  <c r="G10" i="8"/>
  <c r="H80" i="8"/>
  <c r="I44" i="8"/>
  <c r="E65" i="8"/>
  <c r="G116" i="8"/>
  <c r="F74" i="8"/>
  <c r="H3" i="8"/>
  <c r="F49" i="8"/>
  <c r="H83" i="8"/>
  <c r="G40" i="8"/>
  <c r="E58" i="8"/>
  <c r="I73" i="8"/>
  <c r="E10" i="8"/>
  <c r="E70" i="8"/>
  <c r="F103" i="8"/>
  <c r="E29" i="8"/>
  <c r="F56" i="8"/>
  <c r="H31" i="8"/>
  <c r="E19" i="8"/>
  <c r="G111" i="8"/>
  <c r="I62" i="8"/>
  <c r="G117" i="8"/>
  <c r="F31" i="8"/>
  <c r="G48" i="8"/>
  <c r="F45" i="8"/>
  <c r="F65" i="8"/>
  <c r="I69" i="8"/>
  <c r="X25" i="12"/>
  <c r="G32" i="8"/>
  <c r="F54" i="8"/>
  <c r="H10" i="8"/>
  <c r="G58" i="8"/>
  <c r="M30" i="12"/>
  <c r="I82" i="8"/>
  <c r="M28" i="12"/>
  <c r="H85" i="8"/>
  <c r="I92" i="8"/>
  <c r="G41" i="8"/>
  <c r="G109" i="8"/>
  <c r="I72" i="8"/>
  <c r="G106" i="8"/>
  <c r="F117" i="8"/>
  <c r="I114" i="8"/>
  <c r="F99" i="8"/>
  <c r="G24" i="8"/>
  <c r="F6" i="8"/>
  <c r="H37" i="8"/>
  <c r="G13" i="8"/>
  <c r="G114" i="8"/>
  <c r="F37" i="8"/>
  <c r="H108" i="8"/>
  <c r="E28" i="8"/>
  <c r="G51" i="8"/>
  <c r="I42" i="8"/>
  <c r="I41" i="8"/>
  <c r="G15" i="8"/>
  <c r="H51" i="8"/>
  <c r="I35" i="8"/>
  <c r="I76" i="8"/>
  <c r="E110" i="8"/>
  <c r="G90" i="8"/>
  <c r="G115" i="8"/>
  <c r="H64" i="8"/>
  <c r="I55" i="8"/>
  <c r="H121" i="8"/>
  <c r="H78" i="8"/>
  <c r="E8" i="8"/>
  <c r="G79" i="8"/>
  <c r="H28" i="8"/>
  <c r="I47" i="8"/>
  <c r="I105" i="8"/>
  <c r="G37" i="8"/>
  <c r="F30" i="8"/>
  <c r="G107" i="8"/>
  <c r="E76" i="8"/>
  <c r="E36" i="8"/>
  <c r="M25" i="12"/>
  <c r="I100" i="8"/>
  <c r="H61" i="8"/>
  <c r="I38" i="8"/>
  <c r="F68" i="8"/>
  <c r="E35" i="8"/>
  <c r="H86" i="8"/>
  <c r="E46" i="8"/>
  <c r="H2" i="8"/>
  <c r="I116" i="8"/>
  <c r="I31" i="8"/>
  <c r="E125" i="8"/>
  <c r="Q32" i="12"/>
  <c r="H70" i="8"/>
  <c r="H14" i="8"/>
  <c r="H75" i="8"/>
  <c r="I66" i="8"/>
  <c r="I30" i="8"/>
  <c r="G104" i="8"/>
  <c r="F100" i="8"/>
  <c r="E49" i="8"/>
  <c r="G59" i="8"/>
  <c r="F126" i="8"/>
  <c r="E98" i="8"/>
  <c r="E11" i="8"/>
  <c r="F106" i="8"/>
  <c r="G81" i="8"/>
  <c r="I5" i="8"/>
  <c r="H126" i="8"/>
  <c r="E109" i="8"/>
  <c r="F111" i="8"/>
  <c r="Q29" i="12"/>
  <c r="H26" i="8"/>
  <c r="F94" i="8"/>
  <c r="I71" i="8"/>
  <c r="F2" i="8"/>
  <c r="G110" i="8"/>
  <c r="I115" i="8"/>
  <c r="G85" i="8"/>
  <c r="F86" i="8"/>
  <c r="H118" i="8"/>
  <c r="H32" i="8"/>
  <c r="E55" i="8"/>
  <c r="F5" i="8"/>
  <c r="F123" i="8"/>
  <c r="E119" i="8"/>
  <c r="G54" i="8"/>
  <c r="F34" i="8"/>
  <c r="I16" i="8"/>
  <c r="F107" i="8"/>
  <c r="E81" i="8"/>
  <c r="G91" i="8"/>
  <c r="F55" i="8"/>
  <c r="G126" i="8"/>
  <c r="G28" i="8"/>
  <c r="H11" i="8"/>
  <c r="G86" i="8"/>
  <c r="G6" i="8"/>
  <c r="E84" i="8"/>
  <c r="F97" i="8"/>
  <c r="E17" i="8"/>
  <c r="H95" i="8"/>
  <c r="N23" i="12"/>
  <c r="E72" i="8"/>
  <c r="Q26" i="12"/>
  <c r="E89" i="8"/>
  <c r="H52" i="8"/>
  <c r="F13" i="8"/>
  <c r="E86" i="8"/>
  <c r="F32" i="8"/>
  <c r="H35" i="8"/>
  <c r="I53" i="8"/>
  <c r="F101" i="8"/>
  <c r="I123" i="8"/>
  <c r="F105" i="8"/>
  <c r="E7" i="8"/>
  <c r="M32" i="12"/>
  <c r="H88" i="8"/>
  <c r="H69" i="8"/>
  <c r="G82" i="8"/>
  <c r="E112" i="8"/>
  <c r="H24" i="8"/>
  <c r="G36" i="8"/>
  <c r="G47" i="8"/>
  <c r="G124" i="8"/>
  <c r="H18" i="8"/>
  <c r="I2" i="8"/>
  <c r="H15" i="8"/>
  <c r="H93" i="8"/>
  <c r="E34" i="8"/>
  <c r="I107" i="8"/>
  <c r="F93" i="8"/>
  <c r="E23" i="8"/>
  <c r="F23" i="8"/>
  <c r="E117" i="8"/>
  <c r="G123" i="8"/>
  <c r="I78" i="8"/>
  <c r="Q31" i="12"/>
  <c r="F25" i="8"/>
  <c r="G4" i="8"/>
  <c r="H39" i="8"/>
  <c r="G66" i="8"/>
  <c r="E90" i="8"/>
  <c r="F18" i="8"/>
  <c r="I104" i="8"/>
  <c r="H13" i="8"/>
  <c r="H56" i="8"/>
  <c r="G30" i="8"/>
  <c r="I101" i="8"/>
  <c r="G35" i="8"/>
  <c r="G113" i="8"/>
  <c r="E18" i="8"/>
  <c r="G18" i="8"/>
  <c r="I37" i="8"/>
  <c r="I88" i="8"/>
  <c r="G46" i="8"/>
  <c r="H102" i="8"/>
  <c r="H71" i="8"/>
  <c r="D14" i="3"/>
  <c r="E73" i="8"/>
  <c r="J1" i="8" a="1"/>
  <c r="I43" i="8"/>
  <c r="I90" i="8"/>
  <c r="G3" i="8"/>
  <c r="F24" i="8"/>
  <c r="E66" i="8"/>
  <c r="G96" i="8"/>
  <c r="F28" i="8"/>
  <c r="N27" i="12"/>
  <c r="E3" i="8"/>
  <c r="G31" i="8"/>
  <c r="I63" i="8"/>
  <c r="E96" i="8"/>
  <c r="E102" i="8"/>
  <c r="E57" i="8"/>
  <c r="H122" i="8"/>
  <c r="H50" i="8"/>
  <c r="I84" i="8"/>
  <c r="G80" i="8"/>
  <c r="H111" i="8"/>
  <c r="Z16" i="12"/>
  <c r="H66" i="8"/>
  <c r="I45" i="8"/>
  <c r="H40" i="8"/>
  <c r="G122" i="8"/>
  <c r="I89" i="8"/>
  <c r="I64" i="8"/>
  <c r="Q30" i="12"/>
  <c r="G102" i="8"/>
  <c r="E122" i="8"/>
  <c r="H36" i="8"/>
  <c r="E115" i="8"/>
  <c r="G87" i="8"/>
  <c r="G71" i="8"/>
  <c r="I13" i="8"/>
  <c r="F122" i="8"/>
  <c r="I79" i="8"/>
  <c r="H59" i="8"/>
  <c r="N22" i="12"/>
  <c r="G56" i="8"/>
  <c r="H96" i="8"/>
  <c r="Q28" i="12"/>
  <c r="G45" i="8"/>
  <c r="H58" i="8"/>
  <c r="I111" i="8"/>
  <c r="H49" i="8"/>
  <c r="G84" i="8"/>
  <c r="I24" i="8"/>
  <c r="H94" i="8"/>
  <c r="H109" i="8"/>
  <c r="F40" i="8"/>
  <c r="F44" i="8"/>
  <c r="I122" i="8"/>
  <c r="G42" i="8"/>
  <c r="I74" i="8"/>
  <c r="G64" i="8"/>
  <c r="G112" i="8"/>
  <c r="G89" i="8"/>
  <c r="I93" i="8"/>
  <c r="I67" i="8"/>
  <c r="H27" i="8"/>
  <c r="I28" i="8"/>
  <c r="I126" i="8"/>
  <c r="Y16" i="12"/>
  <c r="E116" i="8"/>
  <c r="I87" i="8"/>
  <c r="F96" i="8"/>
  <c r="I110" i="8"/>
  <c r="H115" i="8"/>
  <c r="E44" i="8"/>
  <c r="E37" i="8"/>
  <c r="G105" i="8"/>
  <c r="I94" i="8"/>
  <c r="H8" i="8"/>
  <c r="I3" i="8"/>
  <c r="E54" i="8"/>
  <c r="G38" i="8"/>
  <c r="G63" i="8"/>
  <c r="F69" i="8"/>
  <c r="H57" i="8"/>
  <c r="E5" i="8"/>
  <c r="E31" i="8"/>
  <c r="E74" i="8"/>
  <c r="F62" i="8"/>
  <c r="E24" i="8"/>
  <c r="E61" i="8"/>
  <c r="F15" i="8"/>
  <c r="I26" i="8"/>
  <c r="E60" i="8"/>
  <c r="G76" i="8"/>
  <c r="F66" i="8"/>
  <c r="E92" i="8"/>
  <c r="I91" i="8"/>
  <c r="G60" i="8"/>
  <c r="F63" i="8"/>
  <c r="F98" i="8"/>
  <c r="G65" i="8"/>
  <c r="F72" i="8"/>
  <c r="I99" i="8"/>
  <c r="F57" i="8"/>
  <c r="G20" i="8"/>
  <c r="F91" i="8"/>
  <c r="F76" i="8"/>
  <c r="E45" i="8"/>
  <c r="G118" i="8"/>
  <c r="R28" i="12"/>
  <c r="E26" i="8"/>
  <c r="O22" i="12"/>
  <c r="R32" i="12"/>
  <c r="R27" i="12"/>
  <c r="C28" i="3"/>
  <c r="Q19" i="12"/>
  <c r="R24" i="12"/>
  <c r="R25" i="12"/>
  <c r="R19" i="12"/>
  <c r="R22" i="12"/>
  <c r="R23" i="12"/>
  <c r="W27" i="12"/>
  <c r="X26" i="12"/>
  <c r="D15" i="3"/>
  <c r="O29" i="12"/>
  <c r="O30" i="12"/>
  <c r="O32" i="12"/>
  <c r="O24" i="12"/>
  <c r="O25" i="12"/>
  <c r="C27" i="3"/>
  <c r="O28" i="12"/>
  <c r="D30" i="3"/>
  <c r="O23" i="12"/>
  <c r="O27" i="12"/>
  <c r="O19" i="12"/>
  <c r="O31" i="12"/>
  <c r="O26" i="12"/>
  <c r="W28" i="12"/>
  <c r="X27" i="12"/>
  <c r="X28" i="12"/>
  <c r="S27" i="12" l="1"/>
  <c r="S32" i="12"/>
  <c r="S28" i="12"/>
  <c r="J94" i="8"/>
  <c r="J88" i="8"/>
  <c r="J98" i="8"/>
  <c r="J111" i="8"/>
  <c r="J64" i="8"/>
  <c r="J113" i="8"/>
  <c r="J117" i="8"/>
  <c r="J102" i="8"/>
  <c r="J30" i="8"/>
  <c r="J90" i="8"/>
  <c r="J39" i="8"/>
  <c r="J48" i="8"/>
  <c r="J22" i="8"/>
  <c r="J95" i="8"/>
  <c r="J107" i="8"/>
  <c r="J86" i="8"/>
  <c r="J2" i="8"/>
  <c r="J50" i="8"/>
  <c r="J73" i="8"/>
  <c r="J96" i="8"/>
  <c r="J21" i="8"/>
  <c r="J12" i="8"/>
  <c r="J103" i="8"/>
  <c r="J125" i="8"/>
  <c r="J53" i="8"/>
  <c r="J8" i="8"/>
  <c r="J82" i="8"/>
  <c r="J101" i="8"/>
  <c r="J42" i="8"/>
  <c r="J79" i="8"/>
  <c r="J124" i="8"/>
  <c r="J123" i="8"/>
  <c r="J114" i="8"/>
  <c r="J121" i="8"/>
  <c r="J60" i="8"/>
  <c r="J37" i="8"/>
  <c r="J71" i="8"/>
  <c r="J66" i="8"/>
  <c r="J52" i="8"/>
  <c r="J29" i="8"/>
  <c r="J41" i="8"/>
  <c r="J109" i="8"/>
  <c r="J3" i="8"/>
  <c r="J4" i="8"/>
  <c r="J108" i="8"/>
  <c r="J115" i="8"/>
  <c r="J54" i="8"/>
  <c r="J20" i="8"/>
  <c r="J17" i="8"/>
  <c r="J19" i="8"/>
  <c r="J11" i="8"/>
  <c r="J7" i="8"/>
  <c r="J99" i="8"/>
  <c r="J68" i="8"/>
  <c r="J80" i="8"/>
  <c r="J118" i="8"/>
  <c r="J72" i="8"/>
  <c r="J43" i="8"/>
  <c r="J23" i="8"/>
  <c r="J69" i="8"/>
  <c r="J32" i="8"/>
  <c r="J14" i="8"/>
  <c r="J92" i="8"/>
  <c r="J25" i="8"/>
  <c r="J81" i="8"/>
  <c r="J87" i="8"/>
  <c r="J24" i="8"/>
  <c r="J83" i="8"/>
  <c r="J33" i="8"/>
  <c r="J51" i="8"/>
  <c r="J15" i="8"/>
  <c r="J74" i="8"/>
  <c r="J100" i="8"/>
  <c r="J40" i="8"/>
  <c r="J1" i="8"/>
  <c r="J119" i="8"/>
  <c r="J104" i="8"/>
  <c r="J76" i="8"/>
  <c r="J44" i="8"/>
  <c r="J55" i="8"/>
  <c r="J58" i="8"/>
  <c r="J27" i="8"/>
  <c r="J61" i="8"/>
  <c r="J9" i="8"/>
  <c r="J6" i="8"/>
  <c r="J59" i="8"/>
  <c r="J28" i="8"/>
  <c r="J26" i="8"/>
  <c r="J75" i="8"/>
  <c r="J63" i="8"/>
  <c r="J106" i="8"/>
  <c r="J5" i="8"/>
  <c r="J78" i="8"/>
  <c r="J91" i="8"/>
  <c r="J47" i="8"/>
  <c r="J13" i="8"/>
  <c r="J46" i="8"/>
  <c r="J84" i="8"/>
  <c r="J126" i="8"/>
  <c r="J85" i="8"/>
  <c r="J35" i="8"/>
  <c r="J16" i="8"/>
  <c r="J105" i="8"/>
  <c r="J65" i="8"/>
  <c r="J38" i="8"/>
  <c r="J62" i="8"/>
  <c r="J31" i="8"/>
  <c r="J18" i="8"/>
  <c r="J120" i="8"/>
  <c r="J122" i="8"/>
  <c r="J89" i="8"/>
  <c r="J112" i="8"/>
  <c r="J93" i="8"/>
  <c r="J116" i="8"/>
  <c r="J57" i="8"/>
  <c r="J10" i="8"/>
  <c r="J34" i="8"/>
  <c r="J110" i="8"/>
  <c r="J70" i="8"/>
  <c r="J67" i="8"/>
  <c r="J97" i="8"/>
  <c r="J56" i="8"/>
  <c r="J49" i="8"/>
  <c r="J77" i="8"/>
  <c r="J36" i="8"/>
  <c r="J45" i="8"/>
  <c r="S24" i="12"/>
  <c r="S23" i="12"/>
  <c r="S22" i="12"/>
  <c r="S19" i="12"/>
  <c r="T19" i="12" s="1"/>
  <c r="S25" i="12"/>
  <c r="W29" i="12"/>
  <c r="R31" i="12"/>
  <c r="R30" i="12"/>
  <c r="R29" i="12"/>
  <c r="R26" i="12"/>
  <c r="D29" i="3"/>
  <c r="W30" i="12"/>
  <c r="X29" i="12"/>
  <c r="W31" i="12"/>
  <c r="X30" i="12"/>
  <c r="W32" i="12"/>
  <c r="X31" i="12"/>
  <c r="X32" i="12"/>
  <c r="W33" i="12"/>
  <c r="W34" i="12"/>
  <c r="X33" i="12"/>
  <c r="W35" i="12"/>
  <c r="X34" i="12"/>
  <c r="X35" i="12"/>
  <c r="W36" i="12"/>
  <c r="W37" i="12"/>
  <c r="X36" i="12"/>
  <c r="W38" i="12"/>
  <c r="X37" i="12"/>
  <c r="W39" i="12"/>
  <c r="X38" i="12"/>
  <c r="W40" i="12"/>
  <c r="X39" i="12"/>
  <c r="W41" i="12"/>
  <c r="X40" i="12"/>
  <c r="W42" i="12"/>
  <c r="X41" i="12"/>
  <c r="X42" i="12"/>
  <c r="W43" i="12"/>
  <c r="X43" i="12"/>
  <c r="W44" i="12"/>
  <c r="X44" i="12"/>
  <c r="W45" i="12"/>
  <c r="W46" i="12"/>
  <c r="X45" i="12"/>
  <c r="W47" i="12"/>
  <c r="X46" i="12"/>
  <c r="W48" i="12"/>
  <c r="X47" i="12"/>
  <c r="X48" i="12"/>
  <c r="W49" i="12"/>
  <c r="X49" i="12"/>
  <c r="W50" i="12"/>
  <c r="W51" i="12"/>
  <c r="X50" i="12"/>
  <c r="W52" i="12"/>
  <c r="X51" i="12"/>
  <c r="W53" i="12"/>
  <c r="X52" i="12"/>
  <c r="W54" i="12"/>
  <c r="X53" i="12"/>
  <c r="X54" i="12"/>
  <c r="W55" i="12"/>
  <c r="W56" i="12"/>
  <c r="X55" i="12"/>
  <c r="X56" i="12"/>
  <c r="W57" i="12"/>
  <c r="X57" i="12"/>
  <c r="W58" i="12"/>
  <c r="X58" i="12"/>
  <c r="W59" i="12"/>
  <c r="X59" i="12"/>
  <c r="W60" i="12"/>
  <c r="X60" i="12"/>
  <c r="W61" i="12"/>
  <c r="W62" i="12"/>
  <c r="X61" i="12"/>
  <c r="W63" i="12"/>
  <c r="X62" i="12"/>
  <c r="X63" i="12"/>
  <c r="W64" i="12"/>
  <c r="W65" i="12"/>
  <c r="X64" i="12"/>
  <c r="W66" i="12"/>
  <c r="X65" i="12"/>
  <c r="W67" i="12"/>
  <c r="X66" i="12"/>
  <c r="X67" i="12"/>
  <c r="W68" i="12"/>
  <c r="W69" i="12"/>
  <c r="X68" i="12"/>
  <c r="W70" i="12"/>
  <c r="X69" i="12"/>
  <c r="W71" i="12"/>
  <c r="X70" i="12"/>
  <c r="X71" i="12"/>
  <c r="W72" i="12"/>
  <c r="X72" i="12"/>
  <c r="W73" i="12"/>
  <c r="W74" i="12"/>
  <c r="X73" i="12"/>
  <c r="W75" i="12"/>
  <c r="X74" i="12"/>
  <c r="W76" i="12"/>
  <c r="X75" i="12"/>
  <c r="W77" i="12"/>
  <c r="X76" i="12"/>
  <c r="W78" i="12"/>
  <c r="X77" i="12"/>
  <c r="W79" i="12"/>
  <c r="X78" i="12"/>
  <c r="W80" i="12"/>
  <c r="X79" i="12"/>
  <c r="X80" i="12"/>
  <c r="W81" i="12"/>
  <c r="W82" i="12"/>
  <c r="X81" i="12"/>
  <c r="X82" i="12"/>
  <c r="W83" i="12"/>
  <c r="X83" i="12"/>
  <c r="W84" i="12"/>
  <c r="X84" i="12"/>
  <c r="W85" i="12"/>
  <c r="W86" i="12"/>
  <c r="X85" i="12"/>
  <c r="X86" i="12"/>
  <c r="W87" i="12"/>
  <c r="X87" i="12"/>
  <c r="W88" i="12"/>
  <c r="W89" i="12"/>
  <c r="X88" i="12"/>
  <c r="X89" i="12"/>
  <c r="W90" i="12"/>
  <c r="X90" i="12"/>
  <c r="W91" i="12"/>
  <c r="X91" i="12"/>
  <c r="W92" i="12"/>
  <c r="X92" i="12"/>
  <c r="W93" i="12"/>
  <c r="W94" i="12"/>
  <c r="X93" i="12"/>
  <c r="W95" i="12"/>
  <c r="X94" i="12"/>
  <c r="X95" i="12"/>
  <c r="W96" i="12"/>
  <c r="X96" i="12"/>
  <c r="W97" i="12"/>
  <c r="X97" i="12"/>
  <c r="W98" i="12"/>
  <c r="X98" i="12"/>
  <c r="W99" i="12"/>
  <c r="X99" i="12"/>
  <c r="W100" i="12"/>
  <c r="W101" i="12"/>
  <c r="X100" i="12"/>
  <c r="W102" i="12"/>
  <c r="X101" i="12"/>
  <c r="X102" i="12"/>
  <c r="W103" i="12"/>
  <c r="X103" i="12"/>
  <c r="W104" i="12"/>
  <c r="X104" i="12"/>
  <c r="W105" i="12"/>
  <c r="W106" i="12"/>
  <c r="X105" i="12"/>
  <c r="X106" i="12"/>
  <c r="W107" i="12"/>
  <c r="W108" i="12"/>
  <c r="X107" i="12"/>
  <c r="W109" i="12"/>
  <c r="X108" i="12"/>
  <c r="W110" i="12"/>
  <c r="X109" i="12"/>
  <c r="X110" i="12"/>
  <c r="W111" i="12"/>
  <c r="W112" i="12"/>
  <c r="X111" i="12"/>
  <c r="W113" i="12"/>
  <c r="X112" i="12"/>
  <c r="W114" i="12"/>
  <c r="X113" i="12"/>
  <c r="W115" i="12"/>
  <c r="X114" i="12"/>
  <c r="X115" i="12"/>
  <c r="W116" i="12"/>
  <c r="W117" i="12"/>
  <c r="X116" i="12"/>
  <c r="W118" i="12"/>
  <c r="X117" i="12"/>
  <c r="X118" i="12"/>
  <c r="W119" i="12"/>
  <c r="X119" i="12"/>
  <c r="W120" i="12"/>
  <c r="W121" i="12"/>
  <c r="X120" i="12"/>
  <c r="X121" i="12"/>
  <c r="W122" i="12"/>
  <c r="X122" i="12"/>
  <c r="W123" i="12"/>
  <c r="W124" i="12"/>
  <c r="X123" i="12"/>
  <c r="X124" i="12"/>
  <c r="W125" i="12"/>
  <c r="W126" i="12"/>
  <c r="X125" i="12"/>
  <c r="W127" i="12"/>
  <c r="X126" i="12"/>
  <c r="W128" i="12"/>
  <c r="X127" i="12"/>
  <c r="W129" i="12"/>
  <c r="X128" i="12"/>
  <c r="X129" i="12"/>
  <c r="W130" i="12"/>
  <c r="X130" i="12"/>
  <c r="W131" i="12"/>
  <c r="W132" i="12"/>
  <c r="X131" i="12"/>
  <c r="X132" i="12"/>
  <c r="W133" i="12"/>
  <c r="W134" i="12"/>
  <c r="X133" i="12"/>
  <c r="X134" i="12"/>
  <c r="W135" i="12"/>
  <c r="X135" i="12"/>
  <c r="W136" i="12"/>
  <c r="W137" i="12"/>
  <c r="X136" i="12"/>
  <c r="W138" i="12"/>
  <c r="X137" i="12"/>
  <c r="X138" i="12"/>
  <c r="W139" i="12"/>
  <c r="X139" i="12"/>
  <c r="W140" i="12"/>
  <c r="X140" i="12"/>
  <c r="W141" i="12"/>
  <c r="W142" i="12"/>
  <c r="X141" i="12"/>
  <c r="X142" i="12"/>
  <c r="W143" i="12"/>
  <c r="X143" i="12"/>
  <c r="W144" i="12"/>
  <c r="W145" i="12"/>
  <c r="X144" i="12"/>
  <c r="X145" i="12"/>
  <c r="W146" i="12"/>
  <c r="W147" i="12"/>
  <c r="X146" i="12"/>
  <c r="X147" i="12"/>
  <c r="W148" i="12"/>
  <c r="X148" i="12"/>
  <c r="W149" i="12"/>
  <c r="W150" i="12"/>
  <c r="X149" i="12"/>
  <c r="X150" i="12"/>
  <c r="W151" i="12"/>
  <c r="X151" i="12"/>
  <c r="W152" i="12"/>
  <c r="W153" i="12"/>
  <c r="X152" i="12"/>
  <c r="W154" i="12"/>
  <c r="X153" i="12"/>
  <c r="X154" i="12"/>
  <c r="W155" i="12"/>
  <c r="W156" i="12"/>
  <c r="X155" i="12"/>
  <c r="W157" i="12"/>
  <c r="X156" i="12"/>
  <c r="X157" i="12"/>
  <c r="W158" i="12"/>
  <c r="X158" i="12"/>
  <c r="W159" i="12"/>
  <c r="X159" i="12"/>
  <c r="W160" i="12"/>
  <c r="X160" i="12"/>
  <c r="W161" i="12"/>
  <c r="X161" i="12"/>
  <c r="W162" i="12"/>
  <c r="X162" i="12"/>
  <c r="W163" i="12"/>
  <c r="X163" i="12"/>
  <c r="W164" i="12"/>
  <c r="X164" i="12"/>
  <c r="W165" i="12"/>
  <c r="X165" i="12"/>
  <c r="W166" i="12"/>
  <c r="X166" i="12"/>
  <c r="W167" i="12"/>
  <c r="W168" i="12"/>
  <c r="X167" i="12"/>
  <c r="X168" i="12"/>
  <c r="W169" i="12"/>
  <c r="X169" i="12"/>
  <c r="W170" i="12"/>
  <c r="X170" i="12"/>
  <c r="W171" i="12"/>
  <c r="W172" i="12"/>
  <c r="X171" i="12"/>
  <c r="W173" i="12"/>
  <c r="X172" i="12"/>
  <c r="W174" i="12"/>
  <c r="X173" i="12"/>
  <c r="X174" i="12"/>
  <c r="W175" i="12"/>
  <c r="X175" i="12"/>
  <c r="W176" i="12"/>
  <c r="X176" i="12"/>
  <c r="W177" i="12"/>
  <c r="X177" i="12"/>
  <c r="W178" i="12"/>
  <c r="W179" i="12"/>
  <c r="X178" i="12"/>
  <c r="X179" i="12"/>
  <c r="W180" i="12"/>
  <c r="W181" i="12"/>
  <c r="X180" i="12"/>
  <c r="W182" i="12"/>
  <c r="X181" i="12"/>
  <c r="W183" i="12"/>
  <c r="X182" i="12"/>
  <c r="X183" i="12"/>
  <c r="W184" i="12"/>
  <c r="W185" i="12"/>
  <c r="X184" i="12"/>
  <c r="X185" i="12"/>
  <c r="W186" i="12"/>
  <c r="X186" i="12"/>
  <c r="W187" i="12"/>
  <c r="W188" i="12"/>
  <c r="X187" i="12"/>
  <c r="X188" i="12"/>
  <c r="W189" i="12"/>
  <c r="X189" i="12"/>
  <c r="W190" i="12"/>
  <c r="W191" i="12"/>
  <c r="X190" i="12"/>
  <c r="W192" i="12"/>
  <c r="X191" i="12"/>
  <c r="X192" i="12"/>
  <c r="W193" i="12"/>
  <c r="X193" i="12"/>
  <c r="W194" i="12"/>
  <c r="W195" i="12"/>
  <c r="X194" i="12"/>
  <c r="X195" i="12"/>
  <c r="W196" i="12"/>
  <c r="W197" i="12"/>
  <c r="X196" i="12"/>
  <c r="W198" i="12"/>
  <c r="X197" i="12"/>
  <c r="W199" i="12"/>
  <c r="X198" i="12"/>
  <c r="W200" i="12"/>
  <c r="X199" i="12"/>
  <c r="W201" i="12"/>
  <c r="X200" i="12"/>
  <c r="W202" i="12"/>
  <c r="X201" i="12"/>
  <c r="W203" i="12"/>
  <c r="X202" i="12"/>
  <c r="X203" i="12"/>
  <c r="W204" i="12"/>
  <c r="X204" i="12"/>
  <c r="W205" i="12"/>
  <c r="X205" i="12"/>
  <c r="W206" i="12"/>
  <c r="W207" i="12"/>
  <c r="X206" i="12"/>
  <c r="W208" i="12"/>
  <c r="X207" i="12"/>
  <c r="W209" i="12"/>
  <c r="X208" i="12"/>
  <c r="W210" i="12"/>
  <c r="X209" i="12"/>
  <c r="X210" i="12"/>
  <c r="W211" i="12"/>
  <c r="W212" i="12"/>
  <c r="X211" i="12"/>
  <c r="X212" i="12"/>
  <c r="W213" i="12"/>
  <c r="X213" i="12"/>
  <c r="W214" i="12"/>
  <c r="W215" i="12"/>
  <c r="X214" i="12"/>
  <c r="X215" i="12"/>
  <c r="W216" i="12"/>
  <c r="X216" i="12"/>
  <c r="W217" i="12"/>
  <c r="W218" i="12"/>
  <c r="X217" i="12"/>
  <c r="W219" i="12"/>
  <c r="X218" i="12"/>
  <c r="X219" i="12"/>
  <c r="W220" i="12"/>
  <c r="W221" i="12"/>
  <c r="X220" i="12"/>
  <c r="W222" i="12"/>
  <c r="X221" i="12"/>
  <c r="W223" i="12"/>
  <c r="X222" i="12"/>
  <c r="X223" i="12"/>
  <c r="W224" i="12"/>
  <c r="W225" i="12"/>
  <c r="X224" i="12"/>
  <c r="X225" i="12"/>
  <c r="W226" i="12"/>
  <c r="W227" i="12"/>
  <c r="X226" i="12"/>
  <c r="X227" i="12"/>
  <c r="W228" i="12"/>
  <c r="W229" i="12"/>
  <c r="X228" i="12"/>
  <c r="W230" i="12"/>
  <c r="X229" i="12"/>
  <c r="X230" i="12"/>
  <c r="W231" i="12"/>
  <c r="W232" i="12"/>
  <c r="X231" i="12"/>
  <c r="X232" i="12"/>
  <c r="W233" i="12"/>
  <c r="W234" i="12"/>
  <c r="X233" i="12"/>
  <c r="W235" i="12"/>
  <c r="X234" i="12"/>
  <c r="X235" i="12"/>
  <c r="W236" i="12"/>
  <c r="W237" i="12"/>
  <c r="X236" i="12"/>
  <c r="X237" i="12"/>
  <c r="W238" i="12"/>
  <c r="W239" i="12"/>
  <c r="X238" i="12"/>
  <c r="W240" i="12"/>
  <c r="X239" i="12"/>
  <c r="X240" i="12"/>
  <c r="W241" i="12"/>
  <c r="W242" i="12"/>
  <c r="X241" i="12"/>
  <c r="X242" i="12"/>
  <c r="W243" i="12"/>
  <c r="X243" i="12"/>
  <c r="W244" i="12"/>
  <c r="W245" i="12"/>
  <c r="X244" i="12"/>
  <c r="X245" i="12"/>
  <c r="W246" i="12"/>
  <c r="W247" i="12"/>
  <c r="X246" i="12"/>
  <c r="X247" i="12"/>
  <c r="W248" i="12"/>
  <c r="W249" i="12"/>
  <c r="X248" i="12"/>
  <c r="W250" i="12"/>
  <c r="X249" i="12"/>
  <c r="X250" i="12"/>
  <c r="W251" i="12"/>
  <c r="X251" i="12"/>
  <c r="W252" i="12"/>
  <c r="W253" i="12"/>
  <c r="X252" i="12"/>
  <c r="W254" i="12"/>
  <c r="X253" i="12"/>
  <c r="W255" i="12"/>
  <c r="X254" i="12"/>
  <c r="X255" i="12"/>
  <c r="W256" i="12"/>
  <c r="X256" i="12"/>
  <c r="W257" i="12"/>
  <c r="X257" i="12"/>
  <c r="W258" i="12"/>
  <c r="X258" i="12"/>
  <c r="W259" i="12"/>
  <c r="W260" i="12"/>
  <c r="X259" i="12"/>
  <c r="W261" i="12"/>
  <c r="X260" i="12"/>
  <c r="W262" i="12"/>
  <c r="X261" i="12"/>
  <c r="X262" i="12"/>
  <c r="W263" i="12"/>
  <c r="W264" i="12"/>
  <c r="X263" i="12"/>
  <c r="W265" i="12"/>
  <c r="X264" i="12"/>
  <c r="X265" i="12"/>
  <c r="W266" i="12"/>
  <c r="X266" i="12"/>
  <c r="W267" i="12"/>
  <c r="W268" i="12"/>
  <c r="X267" i="12"/>
  <c r="W269" i="12"/>
  <c r="X268" i="12"/>
  <c r="X269" i="12"/>
  <c r="W270" i="12"/>
  <c r="X270" i="12"/>
  <c r="W271" i="12"/>
  <c r="X271" i="12"/>
  <c r="W272" i="12"/>
  <c r="X272" i="12"/>
  <c r="W273" i="12"/>
  <c r="W274" i="12"/>
  <c r="X273" i="12"/>
  <c r="W275" i="12"/>
  <c r="X274" i="12"/>
  <c r="W276" i="12"/>
  <c r="X275" i="12"/>
  <c r="W277" i="12"/>
  <c r="X276" i="12"/>
  <c r="X277" i="12"/>
  <c r="W278" i="12"/>
  <c r="X278" i="12"/>
  <c r="W279" i="12"/>
  <c r="W280" i="12"/>
  <c r="X279" i="12"/>
  <c r="W281" i="12"/>
  <c r="X280" i="12"/>
  <c r="W282" i="12"/>
  <c r="X281" i="12"/>
  <c r="X282" i="12"/>
  <c r="W283" i="12"/>
  <c r="W284" i="12"/>
  <c r="X283" i="12"/>
  <c r="W285" i="12"/>
  <c r="X284" i="12"/>
  <c r="W286" i="12"/>
  <c r="X285" i="12"/>
  <c r="W287" i="12"/>
  <c r="X286" i="12"/>
  <c r="W288" i="12"/>
  <c r="X287" i="12"/>
  <c r="X288" i="12"/>
  <c r="W289" i="12"/>
  <c r="W290" i="12"/>
  <c r="X289" i="12"/>
  <c r="X290" i="12"/>
  <c r="W291" i="12"/>
  <c r="X291" i="12"/>
  <c r="W292" i="12"/>
  <c r="W293" i="12"/>
  <c r="X292" i="12"/>
  <c r="W294" i="12"/>
  <c r="X293" i="12"/>
  <c r="X294" i="12"/>
  <c r="W295" i="12"/>
  <c r="W296" i="12"/>
  <c r="X295" i="12"/>
  <c r="W297" i="12"/>
  <c r="X296" i="12"/>
  <c r="X297" i="12"/>
  <c r="W298" i="12"/>
  <c r="W299" i="12"/>
  <c r="X298" i="12"/>
  <c r="W300" i="12"/>
  <c r="X299" i="12"/>
  <c r="W301" i="12"/>
  <c r="X300" i="12"/>
  <c r="W302" i="12"/>
  <c r="X301" i="12"/>
  <c r="W303" i="12"/>
  <c r="X302" i="12"/>
  <c r="W304" i="12"/>
  <c r="X303" i="12"/>
  <c r="X304" i="12"/>
  <c r="W305" i="12"/>
  <c r="W306" i="12"/>
  <c r="X305" i="12"/>
  <c r="X306" i="12"/>
  <c r="W307" i="12"/>
  <c r="X307" i="12"/>
  <c r="W308" i="12"/>
  <c r="W309" i="12"/>
  <c r="X308" i="12"/>
  <c r="X309" i="12"/>
  <c r="W310" i="12"/>
  <c r="W311" i="12"/>
  <c r="X310" i="12"/>
  <c r="W312" i="12"/>
  <c r="X311" i="12"/>
  <c r="X312" i="12"/>
  <c r="W313" i="12"/>
  <c r="W314" i="12"/>
  <c r="X313" i="12"/>
  <c r="X314" i="12"/>
  <c r="W315" i="12"/>
  <c r="W316" i="12"/>
  <c r="X315" i="12"/>
  <c r="X316" i="12"/>
  <c r="W317" i="12"/>
  <c r="X317" i="12"/>
  <c r="W318" i="12"/>
  <c r="W319" i="12"/>
  <c r="X318" i="12"/>
  <c r="X319" i="12"/>
  <c r="W320" i="12"/>
  <c r="X320" i="12"/>
  <c r="W321" i="12"/>
  <c r="W322" i="12"/>
  <c r="X321" i="12"/>
  <c r="X322" i="12"/>
  <c r="W323" i="12"/>
  <c r="X323" i="12"/>
  <c r="W324" i="12"/>
  <c r="X324" i="12"/>
  <c r="W325" i="12"/>
  <c r="X325" i="12"/>
  <c r="W326" i="12"/>
  <c r="X326" i="12"/>
  <c r="W327" i="12"/>
  <c r="W328" i="12"/>
  <c r="X327" i="12"/>
  <c r="X328" i="12"/>
  <c r="W329" i="12"/>
  <c r="X329" i="12"/>
  <c r="W330" i="12"/>
  <c r="X330" i="12"/>
  <c r="W331" i="12"/>
  <c r="X331" i="12"/>
  <c r="W332" i="12"/>
  <c r="W333" i="12"/>
  <c r="X332" i="12"/>
  <c r="W334" i="12"/>
  <c r="X333" i="12"/>
  <c r="W335" i="12"/>
  <c r="X334" i="12"/>
  <c r="W336" i="12"/>
  <c r="X335" i="12"/>
  <c r="X336" i="12"/>
  <c r="W337" i="12"/>
  <c r="W338" i="12"/>
  <c r="X337" i="12"/>
  <c r="X338" i="12"/>
  <c r="W339" i="12"/>
  <c r="X339" i="12"/>
  <c r="W340" i="12"/>
  <c r="W341" i="12"/>
  <c r="X340" i="12"/>
  <c r="X341" i="12"/>
  <c r="W342" i="12"/>
  <c r="X342" i="12"/>
  <c r="W343" i="12"/>
  <c r="W344" i="12"/>
  <c r="X343" i="12"/>
  <c r="X344" i="12"/>
  <c r="W345" i="12"/>
  <c r="X345" i="12"/>
  <c r="W346" i="12"/>
  <c r="X346" i="12"/>
  <c r="W347" i="12"/>
  <c r="W348" i="12"/>
  <c r="X347" i="12"/>
  <c r="X348" i="12"/>
  <c r="W349" i="12"/>
  <c r="X349" i="12"/>
  <c r="W350" i="12"/>
  <c r="W351" i="12"/>
  <c r="X350" i="12"/>
  <c r="W352" i="12"/>
  <c r="X351" i="12"/>
  <c r="X352" i="12"/>
  <c r="W353" i="12"/>
  <c r="W354" i="12"/>
  <c r="X353" i="12"/>
  <c r="X354" i="12"/>
  <c r="W355" i="12"/>
  <c r="X355" i="12"/>
  <c r="W356" i="12"/>
  <c r="X356" i="12"/>
  <c r="W357" i="12"/>
  <c r="X357" i="12"/>
  <c r="W358" i="12"/>
  <c r="X358" i="12"/>
  <c r="W359" i="12"/>
  <c r="X359" i="12"/>
  <c r="W360" i="12"/>
  <c r="X360" i="12"/>
  <c r="W361" i="12"/>
  <c r="X361" i="12"/>
  <c r="W362" i="12"/>
  <c r="W363" i="12"/>
  <c r="X362" i="12"/>
  <c r="W364" i="12"/>
  <c r="X363" i="12"/>
  <c r="W365" i="12"/>
  <c r="X364" i="12"/>
  <c r="W366" i="12"/>
  <c r="X365" i="12"/>
  <c r="X366" i="12"/>
  <c r="W367" i="12"/>
  <c r="W368" i="12"/>
  <c r="X367" i="12"/>
  <c r="X368" i="12"/>
  <c r="W369" i="12"/>
  <c r="X369" i="12"/>
  <c r="W370" i="12"/>
  <c r="X370" i="12"/>
  <c r="W371" i="12"/>
  <c r="X371" i="12"/>
  <c r="W372" i="12"/>
  <c r="W373" i="12"/>
  <c r="X372" i="12"/>
  <c r="X373" i="12"/>
  <c r="W374" i="12"/>
  <c r="W375" i="12"/>
  <c r="X374" i="12"/>
  <c r="X375" i="12"/>
  <c r="W376" i="12"/>
  <c r="X376" i="12"/>
  <c r="W377" i="12"/>
  <c r="W378" i="12"/>
  <c r="X377" i="12"/>
  <c r="X378" i="12"/>
  <c r="W379" i="12"/>
  <c r="X379" i="12"/>
  <c r="W380" i="12"/>
  <c r="X380" i="12"/>
  <c r="W381" i="12"/>
  <c r="X381" i="12"/>
  <c r="W382" i="12"/>
  <c r="W383" i="12"/>
  <c r="X382" i="12"/>
  <c r="W384" i="12"/>
  <c r="X383" i="12"/>
  <c r="X384" i="12"/>
  <c r="W385" i="12"/>
  <c r="X385" i="12"/>
  <c r="W386" i="12"/>
  <c r="W387" i="12"/>
  <c r="X386" i="12"/>
  <c r="W388" i="12"/>
  <c r="X387" i="12"/>
  <c r="W389" i="12"/>
  <c r="X388" i="12"/>
  <c r="X389" i="12"/>
  <c r="W390" i="12"/>
  <c r="X390" i="12"/>
  <c r="W391" i="12"/>
  <c r="W392" i="12"/>
  <c r="X391" i="12"/>
  <c r="X392" i="12"/>
  <c r="W393" i="12"/>
  <c r="X393" i="12"/>
  <c r="W394" i="12"/>
  <c r="W395" i="12"/>
  <c r="X394" i="12"/>
  <c r="X395" i="12"/>
  <c r="W396" i="12"/>
  <c r="W397" i="12"/>
  <c r="X396" i="12"/>
  <c r="W398" i="12"/>
  <c r="X397" i="12"/>
  <c r="X398" i="12"/>
  <c r="W399" i="12"/>
  <c r="W400" i="12"/>
  <c r="X399" i="12"/>
  <c r="W401" i="12"/>
  <c r="X400" i="12"/>
  <c r="X401" i="12"/>
  <c r="W402" i="12"/>
  <c r="W403" i="12"/>
  <c r="X402" i="12"/>
  <c r="W404" i="12"/>
  <c r="X403" i="12"/>
  <c r="X404" i="12"/>
  <c r="W405" i="12"/>
  <c r="X405" i="12"/>
  <c r="W406" i="12"/>
  <c r="W407" i="12"/>
  <c r="X406" i="12"/>
  <c r="W408" i="12"/>
  <c r="X407" i="12"/>
  <c r="X408" i="12"/>
  <c r="W409" i="12"/>
  <c r="W410" i="12"/>
  <c r="X409" i="12"/>
  <c r="W411" i="12"/>
  <c r="X410" i="12"/>
  <c r="X411" i="12"/>
  <c r="W412" i="12"/>
  <c r="X412" i="12"/>
  <c r="W413" i="12"/>
  <c r="X413" i="12"/>
  <c r="W414" i="12"/>
  <c r="X414" i="12"/>
  <c r="W415" i="12"/>
  <c r="W416" i="12"/>
  <c r="X415" i="12"/>
  <c r="W417" i="12"/>
  <c r="X416" i="12"/>
  <c r="X417" i="12"/>
  <c r="W418" i="12"/>
  <c r="X418" i="12"/>
  <c r="W419" i="12"/>
  <c r="X419" i="12"/>
  <c r="W420" i="12"/>
  <c r="W421" i="12"/>
  <c r="X420" i="12"/>
  <c r="X421" i="12"/>
  <c r="W422" i="12"/>
  <c r="W423" i="12"/>
  <c r="X422" i="12"/>
  <c r="X423" i="12"/>
  <c r="W424" i="12"/>
  <c r="W425" i="12"/>
  <c r="X424" i="12"/>
  <c r="X425" i="12"/>
  <c r="W426" i="12"/>
  <c r="W427" i="12"/>
  <c r="X426" i="12"/>
  <c r="W428" i="12"/>
  <c r="X427" i="12"/>
  <c r="X428" i="12"/>
  <c r="W429" i="12"/>
  <c r="W430" i="12"/>
  <c r="X429" i="12"/>
  <c r="W431" i="12"/>
  <c r="X430" i="12"/>
  <c r="X431" i="12"/>
  <c r="W432" i="12"/>
  <c r="W433" i="12"/>
  <c r="X432" i="12"/>
  <c r="W434" i="12"/>
  <c r="X433" i="12"/>
  <c r="W435" i="12"/>
  <c r="X434" i="12"/>
  <c r="X435" i="12"/>
  <c r="W436" i="12"/>
  <c r="W437" i="12"/>
  <c r="X436" i="12"/>
  <c r="X437" i="12"/>
  <c r="W438" i="12"/>
  <c r="W439" i="12"/>
  <c r="X438" i="12"/>
  <c r="X439" i="12"/>
  <c r="W440" i="12"/>
  <c r="X440" i="12"/>
  <c r="W441" i="12"/>
  <c r="X441" i="12"/>
  <c r="W442" i="12"/>
  <c r="X442" i="12"/>
  <c r="W443" i="12"/>
  <c r="X443" i="12"/>
  <c r="W444" i="12"/>
  <c r="X444" i="12"/>
  <c r="W445" i="12"/>
  <c r="W446" i="12"/>
  <c r="X445" i="12"/>
  <c r="X446" i="12"/>
  <c r="W447" i="12"/>
  <c r="W448" i="12"/>
  <c r="X447" i="12"/>
  <c r="W449" i="12"/>
  <c r="X448" i="12"/>
  <c r="W450" i="12"/>
  <c r="X449" i="12"/>
  <c r="X450" i="12"/>
  <c r="W451" i="12"/>
  <c r="X451" i="12"/>
  <c r="W452" i="12"/>
  <c r="W453" i="12"/>
  <c r="X452" i="12"/>
  <c r="W454" i="12"/>
  <c r="X453" i="12"/>
  <c r="X454" i="12"/>
  <c r="W455" i="12"/>
  <c r="W456" i="12"/>
  <c r="X455" i="12"/>
  <c r="W457" i="12"/>
  <c r="X456" i="12"/>
  <c r="W458" i="12"/>
  <c r="X457" i="12"/>
  <c r="W459" i="12"/>
  <c r="X458" i="12"/>
  <c r="W460" i="12"/>
  <c r="X459" i="12"/>
  <c r="W461" i="12"/>
  <c r="X460" i="12"/>
  <c r="W462" i="12"/>
  <c r="X461" i="12"/>
  <c r="X462" i="12"/>
  <c r="W463" i="12"/>
  <c r="W464" i="12"/>
  <c r="X463" i="12"/>
  <c r="X464" i="12"/>
  <c r="W465" i="12"/>
  <c r="X465" i="12"/>
  <c r="W466" i="12"/>
  <c r="W467" i="12"/>
  <c r="X466" i="12"/>
  <c r="X467" i="12"/>
  <c r="W468" i="12"/>
  <c r="W469" i="12"/>
  <c r="X468" i="12"/>
  <c r="X469" i="12"/>
  <c r="W470" i="12"/>
  <c r="X470" i="12"/>
  <c r="W471" i="12"/>
  <c r="W472" i="12"/>
  <c r="X471" i="12"/>
  <c r="W473" i="12"/>
  <c r="X472" i="12"/>
  <c r="W474" i="12"/>
  <c r="X473" i="12"/>
  <c r="W475" i="12"/>
  <c r="X474" i="12"/>
  <c r="W476" i="12"/>
  <c r="X475" i="12"/>
  <c r="X476" i="12"/>
  <c r="W477" i="12"/>
  <c r="W478" i="12"/>
  <c r="X477" i="12"/>
  <c r="X478" i="12"/>
  <c r="W479" i="12"/>
  <c r="X479" i="12"/>
  <c r="W480" i="12"/>
  <c r="W481" i="12"/>
  <c r="X480" i="12"/>
  <c r="X481" i="12"/>
  <c r="W482" i="12"/>
  <c r="W483" i="12"/>
  <c r="X482" i="12"/>
  <c r="X483" i="12"/>
  <c r="W484" i="12"/>
  <c r="W485" i="12"/>
  <c r="X484" i="12"/>
  <c r="W486" i="12"/>
  <c r="X485" i="12"/>
  <c r="W487" i="12"/>
  <c r="X486" i="12"/>
  <c r="W488" i="12"/>
  <c r="X487" i="12"/>
  <c r="X488" i="12"/>
  <c r="W489" i="12"/>
  <c r="W490" i="12"/>
  <c r="X489" i="12"/>
  <c r="W491" i="12"/>
  <c r="X490" i="12"/>
  <c r="X491" i="12"/>
  <c r="W492" i="12"/>
  <c r="X492" i="12"/>
  <c r="W493" i="12"/>
  <c r="W494" i="12"/>
  <c r="X493" i="12"/>
  <c r="X494" i="12"/>
  <c r="W495" i="12"/>
  <c r="W496" i="12"/>
  <c r="X495" i="12"/>
  <c r="X496" i="12"/>
  <c r="W497" i="12"/>
  <c r="X497" i="12"/>
  <c r="W498" i="12"/>
  <c r="W499" i="12"/>
  <c r="X498" i="12"/>
  <c r="W500" i="12"/>
  <c r="X499" i="12"/>
  <c r="X500" i="12"/>
  <c r="W501" i="12"/>
  <c r="X501" i="12"/>
  <c r="W502" i="12"/>
  <c r="X502" i="12"/>
  <c r="W503" i="12"/>
  <c r="X503" i="12"/>
  <c r="W504" i="12"/>
  <c r="X504" i="12"/>
  <c r="W505" i="12"/>
  <c r="X505" i="12"/>
  <c r="W506" i="12"/>
  <c r="X506" i="12"/>
  <c r="W507" i="12"/>
  <c r="X507" i="12"/>
  <c r="W508" i="12"/>
  <c r="X508" i="12"/>
  <c r="W509" i="12"/>
  <c r="X509" i="12"/>
  <c r="W510" i="12"/>
  <c r="X510" i="12"/>
  <c r="W511" i="12"/>
  <c r="X511" i="12"/>
  <c r="W512" i="12"/>
  <c r="X512" i="12"/>
  <c r="W513" i="12"/>
  <c r="W514" i="12"/>
  <c r="X513" i="12"/>
  <c r="W515" i="12"/>
  <c r="X514" i="12"/>
  <c r="W516" i="12"/>
  <c r="X515" i="12"/>
  <c r="X516" i="12"/>
  <c r="W517" i="12"/>
  <c r="W518" i="12"/>
  <c r="X517" i="12"/>
  <c r="W519" i="12"/>
  <c r="X518" i="12"/>
  <c r="X519" i="12"/>
  <c r="W520" i="12"/>
  <c r="W521" i="12"/>
  <c r="X520" i="12"/>
  <c r="X521" i="12"/>
  <c r="W522" i="12"/>
  <c r="W523" i="12"/>
  <c r="X522" i="12"/>
  <c r="W524" i="12"/>
  <c r="X523" i="12"/>
  <c r="W525" i="12"/>
  <c r="X524" i="12"/>
  <c r="X525" i="12"/>
  <c r="W526" i="12"/>
  <c r="W527" i="12"/>
  <c r="X526" i="12"/>
  <c r="W528" i="12"/>
  <c r="X527" i="12"/>
  <c r="X528" i="12"/>
  <c r="W529" i="12"/>
  <c r="X529" i="12"/>
  <c r="W530" i="12"/>
  <c r="W531" i="12"/>
  <c r="X530" i="12"/>
  <c r="X531" i="12"/>
  <c r="W532" i="12"/>
  <c r="X532" i="12"/>
  <c r="W533" i="12"/>
  <c r="X533" i="12"/>
  <c r="W534" i="12"/>
  <c r="X534" i="12"/>
  <c r="W535" i="12"/>
  <c r="X535" i="12"/>
  <c r="W536" i="12"/>
  <c r="W537" i="12"/>
  <c r="X536" i="12"/>
  <c r="X537" i="12"/>
  <c r="W538" i="12"/>
  <c r="W539" i="12"/>
  <c r="X538" i="12"/>
  <c r="W540" i="12"/>
  <c r="X539" i="12"/>
  <c r="X540" i="12"/>
  <c r="W541" i="12"/>
  <c r="X541" i="12"/>
  <c r="W542" i="12"/>
  <c r="W543" i="12"/>
  <c r="X542" i="12"/>
  <c r="X543" i="12"/>
  <c r="W544" i="12"/>
  <c r="W545" i="12"/>
  <c r="X544" i="12"/>
  <c r="W546" i="12"/>
  <c r="X545" i="12"/>
  <c r="X546" i="12"/>
  <c r="W547" i="12"/>
  <c r="W548" i="12"/>
  <c r="X547" i="12"/>
  <c r="X548" i="12"/>
  <c r="W549" i="12"/>
  <c r="W550" i="12"/>
  <c r="X549" i="12"/>
  <c r="X550" i="12"/>
  <c r="W551" i="12"/>
  <c r="X551" i="12"/>
  <c r="W552" i="12"/>
  <c r="W553" i="12"/>
  <c r="X552" i="12"/>
  <c r="X553" i="12"/>
  <c r="W554" i="12"/>
  <c r="W555" i="12"/>
  <c r="X554" i="12"/>
  <c r="W556" i="12"/>
  <c r="X555" i="12"/>
  <c r="W557" i="12"/>
  <c r="X556" i="12"/>
  <c r="X557" i="12"/>
  <c r="W558" i="12"/>
  <c r="X558" i="12"/>
  <c r="W559" i="12"/>
  <c r="X559" i="12"/>
  <c r="W560" i="12"/>
  <c r="W561" i="12"/>
  <c r="X560" i="12"/>
  <c r="X561" i="12"/>
  <c r="W562" i="12"/>
  <c r="X562" i="12"/>
  <c r="W563" i="12"/>
  <c r="X563" i="12"/>
  <c r="W564" i="12"/>
  <c r="X564" i="12"/>
  <c r="W565" i="12"/>
  <c r="W566" i="12"/>
  <c r="X565" i="12"/>
  <c r="X566" i="12"/>
  <c r="W567" i="12"/>
  <c r="X567" i="12"/>
  <c r="W568" i="12"/>
  <c r="W569" i="12"/>
  <c r="X568" i="12"/>
  <c r="W570" i="12"/>
  <c r="X569" i="12"/>
  <c r="W571" i="12"/>
  <c r="X570" i="12"/>
  <c r="W572" i="12"/>
  <c r="X571" i="12"/>
  <c r="X572" i="12"/>
  <c r="W573" i="12"/>
  <c r="X573" i="12"/>
  <c r="W574" i="12"/>
  <c r="W575" i="12"/>
  <c r="X574" i="12"/>
  <c r="X575" i="12"/>
  <c r="W576" i="12"/>
  <c r="W577" i="12"/>
  <c r="X576" i="12"/>
  <c r="W578" i="12"/>
  <c r="X577" i="12"/>
  <c r="X578" i="12"/>
  <c r="W579" i="12"/>
  <c r="W580" i="12"/>
  <c r="X579" i="12"/>
  <c r="W581" i="12"/>
  <c r="X580" i="12"/>
  <c r="W582" i="12"/>
  <c r="X581" i="12"/>
  <c r="X582" i="12"/>
  <c r="W583" i="12"/>
  <c r="X583" i="12"/>
  <c r="W584" i="12"/>
  <c r="X584" i="12"/>
  <c r="W585" i="12"/>
  <c r="W586" i="12"/>
  <c r="X585" i="12"/>
  <c r="X586" i="12"/>
  <c r="W587" i="12"/>
  <c r="X587" i="12"/>
  <c r="W588" i="12"/>
  <c r="X588" i="12"/>
  <c r="W589" i="12"/>
  <c r="X589" i="12"/>
  <c r="W590" i="12"/>
  <c r="X590" i="12"/>
  <c r="W591" i="12"/>
  <c r="X591" i="12"/>
  <c r="W592" i="12"/>
  <c r="W593" i="12"/>
  <c r="X592" i="12"/>
  <c r="X593" i="12"/>
  <c r="W594" i="12"/>
  <c r="W595" i="12"/>
  <c r="X594" i="12"/>
  <c r="X595" i="12"/>
  <c r="W596" i="12"/>
  <c r="W597" i="12"/>
  <c r="X596" i="12"/>
  <c r="W598" i="12"/>
  <c r="X597" i="12"/>
  <c r="X598" i="12"/>
  <c r="W599" i="12"/>
  <c r="X599" i="12"/>
  <c r="W600" i="12"/>
  <c r="X600" i="12"/>
  <c r="W601" i="12"/>
  <c r="W602" i="12"/>
  <c r="X601" i="12"/>
  <c r="X602" i="12"/>
  <c r="W603" i="12"/>
  <c r="W604" i="12"/>
  <c r="X603" i="12"/>
  <c r="X604" i="12"/>
  <c r="W605" i="12"/>
  <c r="W606" i="12"/>
  <c r="X605" i="12"/>
  <c r="X606" i="12"/>
  <c r="W607" i="12"/>
  <c r="W608" i="12"/>
  <c r="X607" i="12"/>
  <c r="W609" i="12"/>
  <c r="X608" i="12"/>
  <c r="X609" i="12"/>
  <c r="W610" i="12"/>
  <c r="X610" i="12"/>
  <c r="W611" i="12"/>
  <c r="W612" i="12"/>
  <c r="X611" i="12"/>
  <c r="W613" i="12"/>
  <c r="X612" i="12"/>
  <c r="W614" i="12"/>
  <c r="X613" i="12"/>
  <c r="X614" i="12"/>
  <c r="W615" i="12"/>
  <c r="W616" i="12"/>
  <c r="X615" i="12"/>
  <c r="X616" i="12"/>
  <c r="W617" i="12"/>
  <c r="X617" i="12"/>
  <c r="W618" i="12"/>
  <c r="W619" i="12"/>
  <c r="X618" i="12"/>
  <c r="X619" i="12"/>
  <c r="W620" i="12"/>
  <c r="X620" i="12"/>
  <c r="W621" i="12"/>
  <c r="W622" i="12"/>
  <c r="X621" i="12"/>
  <c r="X622" i="12"/>
  <c r="W623" i="12"/>
  <c r="X623" i="12"/>
  <c r="W624" i="12"/>
  <c r="W625" i="12"/>
  <c r="X624" i="12"/>
  <c r="W626" i="12"/>
  <c r="X625" i="12"/>
  <c r="W627" i="12"/>
  <c r="X626" i="12"/>
  <c r="W628" i="12"/>
  <c r="X627" i="12"/>
  <c r="W629" i="12"/>
  <c r="X628" i="12"/>
  <c r="W630" i="12"/>
  <c r="X629" i="12"/>
  <c r="X630" i="12"/>
  <c r="W631" i="12"/>
  <c r="W632" i="12"/>
  <c r="X631" i="12"/>
  <c r="W633" i="12"/>
  <c r="X632" i="12"/>
  <c r="W634" i="12"/>
  <c r="X633" i="12"/>
  <c r="X634" i="12"/>
  <c r="W635" i="12"/>
  <c r="X635" i="12"/>
  <c r="W636" i="12"/>
  <c r="W637" i="12"/>
  <c r="X636" i="12"/>
  <c r="W638" i="12"/>
  <c r="X637" i="12"/>
  <c r="X638" i="12"/>
  <c r="W639" i="12"/>
  <c r="X639" i="12"/>
  <c r="W640" i="12"/>
  <c r="W641" i="12"/>
  <c r="X640" i="12"/>
  <c r="W642" i="12"/>
  <c r="X641" i="12"/>
  <c r="X642" i="12"/>
  <c r="W643" i="12"/>
  <c r="W644" i="12"/>
  <c r="X643" i="12"/>
  <c r="W645" i="12"/>
  <c r="X644" i="12"/>
  <c r="W646" i="12"/>
  <c r="X645" i="12"/>
  <c r="X646" i="12"/>
  <c r="W647" i="12"/>
  <c r="X647" i="12"/>
  <c r="W648" i="12"/>
  <c r="W649" i="12"/>
  <c r="X648" i="12"/>
  <c r="X649" i="12"/>
  <c r="W650" i="12"/>
  <c r="X650" i="12"/>
  <c r="W651" i="12"/>
  <c r="X651" i="12"/>
  <c r="W652" i="12"/>
  <c r="W653" i="12"/>
  <c r="X652" i="12"/>
  <c r="X653" i="12"/>
  <c r="W654" i="12"/>
  <c r="W655" i="12"/>
  <c r="X654" i="12"/>
  <c r="X655" i="12"/>
  <c r="W656" i="12"/>
  <c r="X656" i="12"/>
  <c r="W657" i="12"/>
  <c r="X657" i="12"/>
  <c r="W658" i="12"/>
  <c r="X658" i="12"/>
  <c r="W659" i="12"/>
  <c r="W660" i="12"/>
  <c r="X659" i="12"/>
  <c r="W661" i="12"/>
  <c r="X660" i="12"/>
  <c r="W662" i="12"/>
  <c r="X661" i="12"/>
  <c r="W663" i="12"/>
  <c r="X662" i="12"/>
  <c r="X663" i="12"/>
  <c r="W664" i="12"/>
  <c r="X664" i="12"/>
  <c r="W665" i="12"/>
  <c r="X665" i="12"/>
  <c r="W666" i="12"/>
  <c r="X666" i="12"/>
  <c r="W667" i="12"/>
  <c r="W668" i="12"/>
  <c r="X667" i="12"/>
  <c r="W669" i="12"/>
  <c r="X668" i="12"/>
  <c r="W670" i="12"/>
  <c r="X669" i="12"/>
  <c r="X670" i="12"/>
  <c r="W671" i="12"/>
  <c r="W672" i="12"/>
  <c r="X671" i="12"/>
  <c r="X672" i="12"/>
  <c r="W673" i="12"/>
  <c r="W674" i="12"/>
  <c r="X673" i="12"/>
  <c r="X674" i="12"/>
  <c r="W675" i="12"/>
  <c r="W676" i="12"/>
  <c r="X675" i="12"/>
  <c r="X676" i="12"/>
  <c r="W677" i="12"/>
  <c r="W678" i="12"/>
  <c r="X677" i="12"/>
  <c r="X678" i="12"/>
  <c r="W679" i="12"/>
  <c r="W680" i="12"/>
  <c r="X679" i="12"/>
  <c r="X680" i="12"/>
  <c r="W681" i="12"/>
  <c r="W682" i="12"/>
  <c r="X681" i="12"/>
  <c r="X682" i="12"/>
  <c r="W683" i="12"/>
  <c r="W684" i="12"/>
  <c r="X683" i="12"/>
  <c r="X684" i="12"/>
  <c r="W685" i="12"/>
  <c r="W686" i="12"/>
  <c r="X685" i="12"/>
  <c r="W687" i="12"/>
  <c r="X686" i="12"/>
  <c r="X687" i="12"/>
  <c r="W688" i="12"/>
  <c r="X688" i="12"/>
  <c r="W689" i="12"/>
  <c r="X689" i="12"/>
  <c r="W690" i="12"/>
  <c r="W691" i="12"/>
  <c r="X690" i="12"/>
  <c r="W692" i="12"/>
  <c r="X691" i="12"/>
  <c r="W693" i="12"/>
  <c r="X692" i="12"/>
  <c r="W694" i="12"/>
  <c r="X693" i="12"/>
  <c r="X694" i="12"/>
  <c r="W695" i="12"/>
  <c r="W696" i="12"/>
  <c r="X695" i="12"/>
  <c r="X696" i="12"/>
  <c r="W697" i="12"/>
  <c r="X697" i="12"/>
  <c r="W698" i="12"/>
  <c r="W699" i="12"/>
  <c r="X698" i="12"/>
  <c r="W700" i="12"/>
  <c r="X699" i="12"/>
  <c r="W701" i="12"/>
  <c r="X700" i="12"/>
  <c r="X701" i="12"/>
  <c r="W702" i="12"/>
  <c r="X702" i="12"/>
  <c r="W703" i="12"/>
  <c r="X703" i="12"/>
  <c r="W704" i="12"/>
  <c r="W705" i="12"/>
  <c r="X704" i="12"/>
  <c r="W706" i="12"/>
  <c r="X705" i="12"/>
  <c r="X706" i="12"/>
  <c r="W707" i="12"/>
  <c r="W708" i="12"/>
  <c r="X707" i="12"/>
  <c r="W709" i="12"/>
  <c r="X708" i="12"/>
  <c r="X709" i="12"/>
  <c r="W710" i="12"/>
  <c r="X710" i="12"/>
  <c r="W711" i="12"/>
  <c r="W712" i="12"/>
  <c r="X711" i="12"/>
  <c r="X712" i="12"/>
  <c r="W713" i="12"/>
  <c r="X713" i="12"/>
  <c r="W714" i="12"/>
  <c r="W715" i="12"/>
  <c r="X714" i="12"/>
  <c r="X715" i="12"/>
  <c r="W716" i="12"/>
  <c r="X716" i="12"/>
  <c r="W717" i="12"/>
  <c r="W718" i="12"/>
  <c r="X717" i="12"/>
  <c r="X718" i="12"/>
  <c r="W719" i="12"/>
  <c r="X719" i="12"/>
  <c r="W720" i="12"/>
  <c r="X720" i="12"/>
  <c r="W721" i="12"/>
  <c r="X721" i="12"/>
  <c r="W722" i="12"/>
  <c r="X722" i="12"/>
  <c r="W723" i="12"/>
  <c r="X723" i="12"/>
  <c r="W724" i="12"/>
  <c r="W725" i="12"/>
  <c r="X724" i="12"/>
  <c r="W726" i="12"/>
  <c r="X725" i="12"/>
  <c r="X726" i="12"/>
  <c r="W727" i="12"/>
  <c r="X727" i="12"/>
  <c r="W728" i="12"/>
  <c r="X728" i="12"/>
  <c r="W729" i="12"/>
  <c r="W730" i="12"/>
  <c r="X729" i="12"/>
  <c r="X730" i="12"/>
  <c r="W731" i="12"/>
  <c r="W732" i="12"/>
  <c r="X731" i="12"/>
  <c r="W733" i="12"/>
  <c r="X732" i="12"/>
  <c r="W734" i="12"/>
  <c r="X733" i="12"/>
  <c r="X734" i="12"/>
  <c r="W735" i="12"/>
  <c r="X735" i="12"/>
  <c r="W736" i="12"/>
  <c r="W737" i="12"/>
  <c r="X736" i="12"/>
  <c r="X737" i="12"/>
  <c r="W738" i="12"/>
  <c r="W739" i="12"/>
  <c r="X738" i="12"/>
  <c r="X739" i="12"/>
  <c r="W740" i="12"/>
  <c r="X740" i="12"/>
  <c r="W741" i="12"/>
  <c r="W742" i="12"/>
  <c r="X741" i="12"/>
  <c r="W743" i="12"/>
  <c r="X742" i="12"/>
  <c r="W744" i="12"/>
  <c r="X743" i="12"/>
  <c r="X744" i="12"/>
  <c r="W745" i="12"/>
  <c r="X745" i="12"/>
  <c r="W746" i="12"/>
  <c r="W747" i="12"/>
  <c r="X746" i="12"/>
  <c r="W748" i="12"/>
  <c r="X747" i="12"/>
  <c r="W749" i="12"/>
  <c r="X748" i="12"/>
  <c r="X749" i="12"/>
  <c r="W750" i="12"/>
  <c r="X750" i="12"/>
  <c r="W751" i="12"/>
  <c r="W752" i="12"/>
  <c r="X751" i="12"/>
  <c r="W753" i="12"/>
  <c r="X752" i="12"/>
  <c r="X753" i="12"/>
  <c r="W754" i="12"/>
  <c r="W755" i="12"/>
  <c r="X754" i="12"/>
  <c r="W756" i="12"/>
  <c r="X755" i="12"/>
  <c r="W757" i="12"/>
  <c r="X756" i="12"/>
  <c r="W758" i="12"/>
  <c r="X757" i="12"/>
  <c r="X758" i="12"/>
  <c r="W759" i="12"/>
  <c r="W760" i="12"/>
  <c r="X759" i="12"/>
  <c r="X760" i="12"/>
  <c r="W761" i="12"/>
  <c r="W762" i="12"/>
  <c r="X761" i="12"/>
  <c r="X762" i="12"/>
  <c r="W763" i="12"/>
  <c r="X763" i="12"/>
  <c r="W764" i="12"/>
  <c r="X764" i="12"/>
  <c r="W765" i="12"/>
  <c r="W766" i="12"/>
  <c r="X765" i="12"/>
  <c r="X766" i="12"/>
  <c r="W767" i="12"/>
  <c r="W768" i="12"/>
  <c r="X767" i="12"/>
  <c r="W769" i="12"/>
  <c r="X768" i="12"/>
  <c r="X769" i="12"/>
  <c r="W770" i="12"/>
  <c r="W771" i="12"/>
  <c r="X770" i="12"/>
  <c r="W772" i="12"/>
  <c r="X771" i="12"/>
  <c r="W773" i="12"/>
  <c r="X772" i="12"/>
  <c r="W774" i="12"/>
  <c r="X773" i="12"/>
  <c r="W775" i="12"/>
  <c r="X774" i="12"/>
  <c r="W776" i="12"/>
  <c r="X775" i="12"/>
  <c r="X776" i="12"/>
  <c r="W777" i="12"/>
  <c r="X777" i="12"/>
  <c r="W778" i="12"/>
  <c r="W779" i="12"/>
  <c r="X778" i="12"/>
  <c r="X779" i="12"/>
  <c r="W780" i="12"/>
  <c r="X780" i="12"/>
  <c r="W781" i="12"/>
  <c r="X781" i="12"/>
  <c r="W782" i="12"/>
  <c r="W783" i="12"/>
  <c r="X782" i="12"/>
  <c r="W784" i="12"/>
  <c r="X783" i="12"/>
  <c r="X784" i="12"/>
  <c r="W785" i="12"/>
  <c r="W786" i="12"/>
  <c r="X785" i="12"/>
  <c r="X786" i="12"/>
  <c r="W787" i="12"/>
  <c r="W788" i="12"/>
  <c r="X787" i="12"/>
  <c r="X788" i="12"/>
  <c r="W789" i="12"/>
  <c r="X789" i="12"/>
  <c r="W790" i="12"/>
  <c r="W791" i="12"/>
  <c r="X790" i="12"/>
  <c r="X791" i="12"/>
  <c r="W792" i="12"/>
  <c r="X792" i="12"/>
  <c r="W793" i="12"/>
  <c r="X793" i="12"/>
  <c r="W794" i="12"/>
  <c r="X794" i="12"/>
  <c r="W795" i="12"/>
  <c r="X795" i="12"/>
  <c r="W796" i="12"/>
  <c r="X796" i="12"/>
  <c r="W797" i="12"/>
  <c r="X797" i="12"/>
  <c r="W798" i="12"/>
  <c r="W799" i="12"/>
  <c r="X798" i="12"/>
  <c r="X799" i="12"/>
  <c r="W800" i="12"/>
  <c r="X800" i="12"/>
  <c r="W801" i="12"/>
  <c r="X801" i="12"/>
  <c r="W802" i="12"/>
  <c r="X802" i="12"/>
  <c r="W803" i="12"/>
  <c r="X803" i="12"/>
  <c r="W804" i="12"/>
  <c r="X804" i="12"/>
  <c r="W805" i="12"/>
  <c r="X805" i="12"/>
  <c r="W806" i="12"/>
  <c r="W807" i="12"/>
  <c r="X806" i="12"/>
  <c r="W808" i="12"/>
  <c r="X807" i="12"/>
  <c r="W809" i="12"/>
  <c r="X808" i="12"/>
  <c r="X809" i="12"/>
  <c r="W810" i="12"/>
  <c r="W811" i="12"/>
  <c r="X810" i="12"/>
  <c r="X811" i="12"/>
  <c r="W812" i="12"/>
  <c r="W813" i="12"/>
  <c r="X812" i="12"/>
  <c r="X813" i="12"/>
  <c r="W814" i="12"/>
  <c r="W815" i="12"/>
  <c r="X814" i="12"/>
  <c r="W816" i="12"/>
  <c r="X815" i="12"/>
  <c r="X816" i="12"/>
  <c r="W817" i="12"/>
  <c r="X817" i="12"/>
  <c r="W818" i="12"/>
  <c r="X818" i="12"/>
  <c r="W819" i="12"/>
  <c r="X819" i="12"/>
  <c r="W820" i="12"/>
  <c r="W821" i="12"/>
  <c r="X820" i="12"/>
  <c r="X821" i="12"/>
  <c r="W822" i="12"/>
  <c r="W823" i="12"/>
  <c r="X822" i="12"/>
  <c r="W824" i="12"/>
  <c r="X823" i="12"/>
  <c r="X824" i="12"/>
  <c r="W825" i="12"/>
  <c r="X825" i="12"/>
  <c r="W826" i="12"/>
  <c r="X826" i="12"/>
  <c r="W827" i="12"/>
  <c r="W828" i="12"/>
  <c r="X827" i="12"/>
  <c r="X828" i="12"/>
  <c r="W829" i="12"/>
  <c r="X829" i="12"/>
  <c r="W830" i="12"/>
  <c r="X830" i="12"/>
  <c r="W831" i="12"/>
  <c r="X831" i="12"/>
  <c r="W832" i="12"/>
  <c r="X832" i="12"/>
  <c r="W833" i="12"/>
  <c r="X833" i="12"/>
  <c r="W834" i="12"/>
  <c r="X834" i="12"/>
  <c r="W835" i="12"/>
  <c r="W836" i="12"/>
  <c r="X835" i="12"/>
  <c r="W837" i="12"/>
  <c r="X836" i="12"/>
  <c r="X837" i="12"/>
  <c r="W838" i="12"/>
  <c r="X838" i="12"/>
  <c r="W839" i="12"/>
  <c r="W840" i="12"/>
  <c r="X839" i="12"/>
  <c r="W841" i="12"/>
  <c r="X840" i="12"/>
  <c r="X841" i="12"/>
  <c r="W842" i="12"/>
  <c r="W843" i="12"/>
  <c r="X842" i="12"/>
  <c r="X843" i="12"/>
  <c r="W844" i="12"/>
  <c r="X844" i="12"/>
  <c r="W845" i="12"/>
  <c r="X845" i="12"/>
  <c r="W846" i="12"/>
  <c r="X846" i="12"/>
  <c r="W847" i="12"/>
  <c r="W848" i="12"/>
  <c r="X847" i="12"/>
  <c r="X848" i="12"/>
  <c r="W849" i="12"/>
  <c r="W850" i="12"/>
  <c r="X849" i="12"/>
  <c r="X850" i="12"/>
  <c r="W851" i="12"/>
  <c r="X851" i="12"/>
  <c r="W852" i="12"/>
  <c r="X852" i="12"/>
  <c r="W853" i="12"/>
  <c r="W854" i="12"/>
  <c r="X853" i="12"/>
  <c r="X854" i="12"/>
  <c r="W855" i="12"/>
  <c r="W856" i="12"/>
  <c r="X855" i="12"/>
  <c r="X856" i="12"/>
  <c r="W857" i="12"/>
  <c r="X857" i="12"/>
  <c r="W858" i="12"/>
  <c r="X858" i="12"/>
  <c r="W859" i="12"/>
  <c r="X859" i="12"/>
  <c r="W860" i="12"/>
  <c r="W861" i="12"/>
  <c r="X860" i="12"/>
  <c r="X861" i="12"/>
  <c r="W862" i="12"/>
  <c r="W863" i="12"/>
  <c r="X862" i="12"/>
  <c r="W864" i="12"/>
  <c r="X863" i="12"/>
  <c r="X864" i="12"/>
  <c r="W865" i="12"/>
  <c r="W866" i="12"/>
  <c r="X865" i="12"/>
  <c r="W867" i="12"/>
  <c r="X866" i="12"/>
  <c r="X867" i="12"/>
  <c r="W868" i="12"/>
  <c r="W869" i="12"/>
  <c r="X868" i="12"/>
  <c r="W870" i="12"/>
  <c r="X869" i="12"/>
  <c r="W871" i="12"/>
  <c r="X870" i="12"/>
  <c r="W872" i="12"/>
  <c r="X871" i="12"/>
  <c r="X872" i="12"/>
  <c r="W873" i="12"/>
  <c r="X873" i="12"/>
  <c r="W874" i="12"/>
  <c r="X874" i="12"/>
  <c r="W875" i="12"/>
  <c r="W876" i="12"/>
  <c r="X875" i="12"/>
  <c r="W877" i="12"/>
  <c r="X876" i="12"/>
  <c r="X877" i="12"/>
  <c r="W878" i="12"/>
  <c r="X878" i="12"/>
  <c r="W879" i="12"/>
  <c r="X879" i="12"/>
  <c r="W880" i="12"/>
  <c r="X880" i="12"/>
  <c r="W881" i="12"/>
  <c r="X881" i="12"/>
  <c r="W882" i="12"/>
  <c r="W883" i="12"/>
  <c r="X882" i="12"/>
  <c r="X883" i="12"/>
  <c r="W884" i="12"/>
  <c r="X884" i="12"/>
  <c r="W885" i="12"/>
  <c r="X885" i="12"/>
  <c r="W886" i="12"/>
  <c r="X886" i="12"/>
  <c r="W887" i="12"/>
  <c r="X887" i="12"/>
  <c r="W888" i="12"/>
  <c r="W889" i="12"/>
  <c r="X888" i="12"/>
  <c r="X889" i="12"/>
  <c r="W890" i="12"/>
  <c r="X890" i="12"/>
  <c r="W891" i="12"/>
  <c r="X891" i="12"/>
  <c r="W892" i="12"/>
  <c r="W893" i="12"/>
  <c r="X892" i="12"/>
  <c r="X893" i="12"/>
  <c r="W894" i="12"/>
  <c r="X894" i="12"/>
  <c r="W895" i="12"/>
  <c r="X895" i="12"/>
  <c r="W896" i="12"/>
  <c r="X896" i="12"/>
  <c r="W897" i="12"/>
  <c r="W898" i="12"/>
  <c r="X897" i="12"/>
  <c r="W899" i="12"/>
  <c r="X898" i="12"/>
  <c r="X899" i="12"/>
  <c r="W900" i="12"/>
  <c r="X900" i="12"/>
  <c r="W901" i="12"/>
  <c r="W902" i="12"/>
  <c r="X901" i="12"/>
  <c r="X902" i="12"/>
  <c r="W903" i="12"/>
  <c r="W904" i="12"/>
  <c r="X903" i="12"/>
  <c r="W905" i="12"/>
  <c r="X904" i="12"/>
  <c r="X905" i="12"/>
  <c r="W906" i="12"/>
  <c r="X906" i="12"/>
  <c r="W907" i="12"/>
  <c r="W908" i="12"/>
  <c r="X907" i="12"/>
  <c r="W909" i="12"/>
  <c r="X908" i="12"/>
  <c r="X909" i="12"/>
  <c r="W910" i="12"/>
  <c r="X910" i="12"/>
  <c r="W911" i="12"/>
  <c r="W912" i="12"/>
  <c r="X911" i="12"/>
  <c r="W913" i="12"/>
  <c r="X912" i="12"/>
  <c r="X913" i="12"/>
  <c r="W914" i="12"/>
  <c r="X914" i="12"/>
  <c r="W915" i="12"/>
  <c r="X915" i="12"/>
  <c r="W916" i="12"/>
  <c r="W917" i="12"/>
  <c r="X916" i="12"/>
  <c r="W918" i="12"/>
  <c r="X917" i="12"/>
  <c r="W919" i="12"/>
  <c r="X918" i="12"/>
  <c r="X919" i="12"/>
  <c r="W920" i="12"/>
  <c r="W921" i="12"/>
  <c r="X920" i="12"/>
  <c r="X921" i="12"/>
  <c r="W922" i="12"/>
  <c r="X922" i="12"/>
  <c r="W923" i="12"/>
  <c r="X923" i="12"/>
  <c r="W924" i="12"/>
  <c r="W925" i="12"/>
  <c r="X924" i="12"/>
  <c r="X925" i="12"/>
  <c r="W926" i="12"/>
  <c r="X926" i="12"/>
  <c r="W927" i="12"/>
  <c r="X927" i="12"/>
  <c r="W928" i="12"/>
  <c r="W929" i="12"/>
  <c r="X928" i="12"/>
  <c r="X929" i="12"/>
  <c r="W930" i="12"/>
  <c r="X930" i="12"/>
  <c r="W931" i="12"/>
  <c r="W932" i="12"/>
  <c r="X931" i="12"/>
  <c r="X932" i="12"/>
  <c r="W933" i="12"/>
  <c r="W934" i="12"/>
  <c r="X933" i="12"/>
  <c r="W935" i="12"/>
  <c r="X934" i="12"/>
  <c r="W936" i="12"/>
  <c r="X935" i="12"/>
  <c r="X936" i="12"/>
  <c r="W937" i="12"/>
  <c r="X937" i="12"/>
  <c r="W938" i="12"/>
  <c r="W939" i="12"/>
  <c r="X938" i="12"/>
  <c r="W940" i="12"/>
  <c r="X939" i="12"/>
  <c r="W941" i="12"/>
  <c r="X940" i="12"/>
  <c r="X941" i="12"/>
  <c r="W942" i="12"/>
  <c r="X942" i="12"/>
  <c r="W943" i="12"/>
  <c r="X943" i="12"/>
  <c r="W944" i="12"/>
  <c r="W945" i="12"/>
  <c r="X944" i="12"/>
  <c r="X945" i="12"/>
  <c r="W946" i="12"/>
  <c r="X946" i="12"/>
  <c r="W947" i="12"/>
  <c r="W948" i="12"/>
  <c r="X947" i="12"/>
  <c r="X948" i="12"/>
  <c r="W949" i="12"/>
  <c r="X949" i="12"/>
  <c r="W950" i="12"/>
  <c r="W951" i="12"/>
  <c r="X950" i="12"/>
  <c r="X951" i="12"/>
  <c r="W952" i="12"/>
  <c r="W953" i="12"/>
  <c r="X952" i="12"/>
  <c r="X953" i="12"/>
  <c r="W954" i="12"/>
  <c r="X954" i="12"/>
  <c r="W955" i="12"/>
  <c r="W956" i="12"/>
  <c r="X955" i="12"/>
  <c r="X956" i="12"/>
  <c r="W957" i="12"/>
  <c r="W958" i="12"/>
  <c r="X957" i="12"/>
  <c r="W959" i="12"/>
  <c r="X958" i="12"/>
  <c r="X959" i="12"/>
  <c r="W960" i="12"/>
  <c r="X960" i="12"/>
  <c r="W961" i="12"/>
  <c r="X961" i="12"/>
  <c r="W962" i="12"/>
  <c r="W963" i="12"/>
  <c r="X962" i="12"/>
  <c r="X963" i="12"/>
  <c r="W964" i="12"/>
  <c r="W965" i="12"/>
  <c r="X964" i="12"/>
  <c r="W966" i="12"/>
  <c r="X965" i="12"/>
  <c r="W967" i="12"/>
  <c r="X966" i="12"/>
  <c r="W968" i="12"/>
  <c r="X967" i="12"/>
  <c r="X968" i="12"/>
  <c r="W969" i="12"/>
  <c r="X969" i="12"/>
  <c r="W970" i="12"/>
  <c r="W971" i="12"/>
  <c r="X970" i="12"/>
  <c r="X971" i="12"/>
  <c r="W972" i="12"/>
  <c r="W973" i="12"/>
  <c r="X972" i="12"/>
  <c r="W974" i="12"/>
  <c r="X973" i="12"/>
  <c r="X974" i="12"/>
  <c r="W975" i="12"/>
  <c r="X975" i="12"/>
  <c r="W976" i="12"/>
  <c r="W977" i="12"/>
  <c r="X976" i="12"/>
  <c r="W978" i="12"/>
  <c r="X977" i="12"/>
  <c r="W979" i="12"/>
  <c r="X978" i="12"/>
  <c r="W980" i="12"/>
  <c r="X979" i="12"/>
  <c r="W981" i="12"/>
  <c r="X980" i="12"/>
  <c r="W982" i="12"/>
  <c r="X981" i="12"/>
  <c r="X982" i="12"/>
  <c r="W983" i="12"/>
  <c r="X983" i="12"/>
  <c r="W984" i="12"/>
  <c r="W985" i="12"/>
  <c r="X984" i="12"/>
  <c r="W986" i="12"/>
  <c r="X985" i="12"/>
  <c r="W987" i="12"/>
  <c r="X986" i="12"/>
  <c r="W988" i="12"/>
  <c r="X987" i="12"/>
  <c r="W989" i="12"/>
  <c r="X988" i="12"/>
  <c r="W990" i="12"/>
  <c r="X989" i="12"/>
  <c r="X990" i="12"/>
  <c r="W991" i="12"/>
  <c r="W992" i="12"/>
  <c r="X991" i="12"/>
  <c r="X992" i="12"/>
  <c r="W993" i="12"/>
  <c r="W994" i="12"/>
  <c r="X993" i="12"/>
  <c r="W995" i="12"/>
  <c r="X994" i="12"/>
  <c r="X995" i="12"/>
  <c r="W996" i="12"/>
  <c r="W997" i="12"/>
  <c r="X996" i="12"/>
  <c r="W998" i="12"/>
  <c r="X997" i="12"/>
  <c r="W999" i="12"/>
  <c r="X998" i="12"/>
  <c r="X999" i="12"/>
  <c r="W1000" i="12"/>
  <c r="X1000" i="12"/>
  <c r="W1001" i="12"/>
  <c r="X1001" i="12"/>
  <c r="W1002" i="12"/>
  <c r="X1002" i="12"/>
  <c r="W1003" i="12"/>
  <c r="X1003" i="12"/>
  <c r="W1004" i="12"/>
  <c r="W1005" i="12"/>
  <c r="X1004" i="12"/>
  <c r="X1005" i="12"/>
  <c r="W1006" i="12"/>
  <c r="X1006" i="12"/>
  <c r="W1007" i="12"/>
  <c r="W1008" i="12"/>
  <c r="X1007" i="12"/>
  <c r="X1008" i="12"/>
  <c r="W1009" i="12"/>
  <c r="X1009" i="12"/>
  <c r="W1010" i="12"/>
  <c r="W1011" i="12"/>
  <c r="X1010" i="12"/>
  <c r="W1012" i="12"/>
  <c r="X1011" i="12"/>
  <c r="X1012" i="12"/>
  <c r="W1013" i="12"/>
  <c r="X1013" i="12"/>
  <c r="W1014" i="12"/>
  <c r="X1014" i="12"/>
  <c r="W1015" i="12"/>
  <c r="X1015" i="12"/>
  <c r="W1016" i="12"/>
  <c r="W1017" i="12"/>
  <c r="X1016" i="12"/>
  <c r="X1017" i="12"/>
  <c r="W1018" i="12"/>
  <c r="X1018" i="12"/>
  <c r="W1019" i="12"/>
  <c r="X1019" i="12"/>
  <c r="W1020" i="12"/>
  <c r="W1021" i="12"/>
  <c r="X1020" i="12"/>
  <c r="W1022" i="12"/>
  <c r="X1021" i="12"/>
  <c r="X1022" i="12"/>
  <c r="W1023" i="12"/>
  <c r="W1024" i="12"/>
  <c r="X1023" i="12"/>
  <c r="X1024" i="12"/>
  <c r="W1025" i="12"/>
  <c r="W1026" i="12"/>
  <c r="X1025" i="12"/>
  <c r="X1026" i="12"/>
  <c r="W1027" i="12"/>
  <c r="W1028" i="12"/>
  <c r="X1027" i="12"/>
  <c r="W1029" i="12"/>
  <c r="X1028" i="12"/>
  <c r="X1029" i="12"/>
  <c r="W1030" i="12"/>
  <c r="W1031" i="12"/>
  <c r="X1030" i="12"/>
  <c r="X1031" i="12"/>
  <c r="W1032" i="12"/>
  <c r="X1032" i="12"/>
  <c r="W1033" i="12"/>
  <c r="W1034" i="12"/>
  <c r="X1033" i="12"/>
  <c r="W1035" i="12"/>
  <c r="X1034" i="12"/>
  <c r="X1035" i="12"/>
  <c r="W1036" i="12"/>
  <c r="X1036" i="12"/>
  <c r="W1037" i="12"/>
  <c r="X1037" i="12"/>
  <c r="W1038" i="12"/>
  <c r="W1039" i="12"/>
  <c r="X1038" i="12"/>
  <c r="W1040" i="12"/>
  <c r="X1039" i="12"/>
  <c r="X1040" i="12"/>
  <c r="W1041" i="12"/>
  <c r="W1042" i="12"/>
  <c r="X1041" i="12"/>
  <c r="W1043" i="12"/>
  <c r="X1042" i="12"/>
  <c r="X1043" i="12"/>
  <c r="W1044" i="12"/>
  <c r="W1045" i="12"/>
  <c r="X1044" i="12"/>
  <c r="W1046" i="12"/>
  <c r="X1045" i="12"/>
  <c r="W1047" i="12"/>
  <c r="X1046" i="12"/>
  <c r="X1047" i="12"/>
  <c r="W1048" i="12"/>
  <c r="W1049" i="12"/>
  <c r="X1048" i="12"/>
  <c r="X1049" i="12"/>
  <c r="W1050" i="12"/>
  <c r="W1051" i="12"/>
  <c r="X1050" i="12"/>
  <c r="W1052" i="12"/>
  <c r="X1051" i="12"/>
  <c r="W1053" i="12"/>
  <c r="X1052" i="12"/>
  <c r="X1053" i="12"/>
  <c r="W1054" i="12"/>
  <c r="X1054" i="12"/>
  <c r="W1055" i="12"/>
  <c r="X1055" i="12"/>
  <c r="W1056" i="12"/>
  <c r="W1057" i="12"/>
  <c r="X1056" i="12"/>
  <c r="X1057" i="12"/>
  <c r="W1058" i="12"/>
  <c r="W1059" i="12"/>
  <c r="X1058" i="12"/>
  <c r="W1060" i="12"/>
  <c r="X1059" i="12"/>
  <c r="W1061" i="12"/>
  <c r="X1060" i="12"/>
  <c r="X1061" i="12"/>
  <c r="W1062" i="12"/>
  <c r="X1062" i="12"/>
  <c r="W1063" i="12"/>
  <c r="X1063" i="12"/>
  <c r="W1064" i="12"/>
  <c r="X1064" i="12"/>
  <c r="W1065" i="12"/>
  <c r="X1065" i="12"/>
  <c r="W1066" i="12"/>
  <c r="X1066" i="12"/>
  <c r="W1067" i="12"/>
  <c r="W1068" i="12"/>
  <c r="X1067" i="12"/>
  <c r="W1069" i="12"/>
  <c r="X1068" i="12"/>
  <c r="W1070" i="12"/>
  <c r="X1069" i="12"/>
  <c r="W1071" i="12"/>
  <c r="X1070" i="12"/>
  <c r="W1072" i="12"/>
  <c r="X1071" i="12"/>
  <c r="X1072" i="12"/>
  <c r="W1073" i="12"/>
  <c r="W1074" i="12"/>
  <c r="X1073" i="12"/>
  <c r="X1074" i="12"/>
  <c r="W1075" i="12"/>
  <c r="W1076" i="12"/>
  <c r="X1075" i="12"/>
  <c r="W1077" i="12"/>
  <c r="X1076" i="12"/>
  <c r="X1077" i="12"/>
  <c r="W1078" i="12"/>
  <c r="X1078" i="12"/>
  <c r="W1079" i="12"/>
  <c r="W1080" i="12"/>
  <c r="X1079" i="12"/>
  <c r="W1081" i="12"/>
  <c r="X1080" i="12"/>
  <c r="W1082" i="12"/>
  <c r="X1081" i="12"/>
  <c r="W1083" i="12"/>
  <c r="X1082" i="12"/>
  <c r="W1084" i="12"/>
  <c r="X1083" i="12"/>
  <c r="X1084" i="12"/>
  <c r="W1085" i="12"/>
  <c r="W1086" i="12"/>
  <c r="X1085" i="12"/>
  <c r="W1087" i="12"/>
  <c r="X1086" i="12"/>
  <c r="W1088" i="12"/>
  <c r="X1087" i="12"/>
  <c r="W1089" i="12"/>
  <c r="X1088" i="12"/>
  <c r="X1089" i="12"/>
  <c r="W1090" i="12"/>
  <c r="X1090" i="12"/>
  <c r="W1091" i="12"/>
  <c r="W1092" i="12"/>
  <c r="X1091" i="12"/>
  <c r="X1092" i="12"/>
  <c r="W1093" i="12"/>
  <c r="X1093" i="12"/>
  <c r="W1094" i="12"/>
  <c r="X1094" i="12"/>
  <c r="W1095" i="12"/>
  <c r="W1096" i="12"/>
  <c r="X1095" i="12"/>
  <c r="X1096" i="12"/>
  <c r="W1097" i="12"/>
  <c r="W1098" i="12"/>
  <c r="X1097" i="12"/>
  <c r="W1099" i="12"/>
  <c r="X1098" i="12"/>
  <c r="X1099" i="12"/>
  <c r="W1100" i="12"/>
  <c r="W1101" i="12"/>
  <c r="X1100" i="12"/>
  <c r="W1102" i="12"/>
  <c r="X1101" i="12"/>
  <c r="W1103" i="12"/>
  <c r="X1102" i="12"/>
  <c r="W1104" i="12"/>
  <c r="X1103" i="12"/>
  <c r="W1105" i="12"/>
  <c r="X1104" i="12"/>
  <c r="W1106" i="12"/>
  <c r="X1105" i="12"/>
  <c r="W1107" i="12"/>
  <c r="X1106" i="12"/>
  <c r="X1107" i="12"/>
  <c r="W1108" i="12"/>
  <c r="X1108" i="12"/>
  <c r="W1109" i="12"/>
  <c r="W1110" i="12"/>
  <c r="X1109" i="12"/>
  <c r="W1111" i="12"/>
  <c r="X1110" i="12"/>
  <c r="X1111" i="12"/>
  <c r="W1112" i="12"/>
  <c r="W1113" i="12"/>
  <c r="X1112" i="12"/>
  <c r="X1113" i="12"/>
  <c r="W1114" i="12"/>
  <c r="W1115" i="12"/>
  <c r="X1114" i="12"/>
  <c r="W1116" i="12"/>
  <c r="X1115" i="12"/>
  <c r="W1117" i="12"/>
  <c r="X1116" i="12"/>
  <c r="X1117" i="12"/>
  <c r="W1118" i="12"/>
  <c r="X1118" i="12"/>
  <c r="W1119" i="12"/>
  <c r="W1120" i="12"/>
  <c r="X1119" i="12"/>
  <c r="W1121" i="12"/>
  <c r="X1120" i="12"/>
  <c r="W1122" i="12"/>
  <c r="X1121" i="12"/>
  <c r="X1122" i="12"/>
  <c r="W1123" i="12"/>
  <c r="W1124" i="12"/>
  <c r="X1123" i="12"/>
  <c r="X1124" i="12"/>
  <c r="W1125" i="12"/>
  <c r="X1125" i="12"/>
  <c r="W1126" i="12"/>
  <c r="X1126" i="12"/>
  <c r="W1127" i="12"/>
  <c r="X1127" i="12"/>
  <c r="W1128" i="12"/>
  <c r="W1129" i="12"/>
  <c r="X1128" i="12"/>
  <c r="X1129" i="12"/>
  <c r="W1130" i="12"/>
  <c r="W1131" i="12"/>
  <c r="X1130" i="12"/>
  <c r="W1132" i="12"/>
  <c r="X1131" i="12"/>
  <c r="X1132" i="12"/>
  <c r="W1133" i="12"/>
  <c r="W1134" i="12"/>
  <c r="X1133" i="12"/>
  <c r="X1134" i="12"/>
  <c r="W1135" i="12"/>
  <c r="X1135" i="12"/>
  <c r="W1136" i="12"/>
  <c r="W1137" i="12"/>
  <c r="X1136" i="12"/>
  <c r="X1137" i="12"/>
  <c r="W1138" i="12"/>
  <c r="W1139" i="12"/>
  <c r="X1138" i="12"/>
  <c r="W1140" i="12"/>
  <c r="X1139" i="12"/>
  <c r="X1140" i="12"/>
  <c r="W1141" i="12"/>
  <c r="X1141" i="12"/>
  <c r="W1142" i="12"/>
  <c r="W1143" i="12"/>
  <c r="X1142" i="12"/>
  <c r="X1143" i="12"/>
  <c r="W1144" i="12"/>
  <c r="W1145" i="12"/>
  <c r="X1144" i="12"/>
  <c r="X1145" i="12"/>
  <c r="W1146" i="12"/>
  <c r="W1147" i="12"/>
  <c r="X1146" i="12"/>
  <c r="X1147" i="12"/>
  <c r="W1148" i="12"/>
  <c r="W1149" i="12"/>
  <c r="X1148" i="12"/>
  <c r="X1149" i="12"/>
  <c r="W1150" i="12"/>
  <c r="W1151" i="12"/>
  <c r="X1150" i="12"/>
  <c r="X1151" i="12"/>
  <c r="W1152" i="12"/>
  <c r="W1153" i="12"/>
  <c r="X1152" i="12"/>
  <c r="W1154" i="12"/>
  <c r="X1153" i="12"/>
  <c r="X1154" i="12"/>
  <c r="W1155" i="12"/>
  <c r="X1155" i="12"/>
  <c r="W1156" i="12"/>
  <c r="W1157" i="12"/>
  <c r="X1156" i="12"/>
  <c r="W1158" i="12"/>
  <c r="X1157" i="12"/>
  <c r="X1158" i="12"/>
  <c r="W1159" i="12"/>
  <c r="X1159" i="12"/>
  <c r="W1160" i="12"/>
  <c r="X1160" i="12"/>
  <c r="W1161" i="12"/>
  <c r="X1161" i="12"/>
  <c r="W1162" i="12"/>
  <c r="W1163" i="12"/>
  <c r="X1162" i="12"/>
  <c r="W1164" i="12"/>
  <c r="X1163" i="12"/>
  <c r="X1164" i="12"/>
  <c r="W1165" i="12"/>
  <c r="X1165" i="12"/>
  <c r="W1166" i="12"/>
  <c r="X1166" i="12"/>
  <c r="W1167" i="12"/>
  <c r="X1167" i="12"/>
  <c r="W1168" i="12"/>
  <c r="W1169" i="12"/>
  <c r="X1168" i="12"/>
  <c r="W1170" i="12"/>
  <c r="X1169" i="12"/>
  <c r="W1171" i="12"/>
  <c r="X1170" i="12"/>
  <c r="W1172" i="12"/>
  <c r="X1171" i="12"/>
  <c r="X1172" i="12"/>
  <c r="W1173" i="12"/>
  <c r="W1174" i="12"/>
  <c r="X1173" i="12"/>
  <c r="X1174" i="12"/>
  <c r="W1175" i="12"/>
  <c r="X1175" i="12"/>
  <c r="W1176" i="12"/>
  <c r="X1176" i="12"/>
  <c r="W1177" i="12"/>
  <c r="W1178" i="12"/>
  <c r="X1177" i="12"/>
  <c r="W1179" i="12"/>
  <c r="X1178" i="12"/>
  <c r="X1179" i="12"/>
  <c r="W1180" i="12"/>
  <c r="X1180" i="12"/>
  <c r="W1181" i="12"/>
  <c r="X1181" i="12"/>
  <c r="W1182" i="12"/>
  <c r="X1182" i="12"/>
  <c r="W1183" i="12"/>
  <c r="X1183" i="12"/>
  <c r="W1184" i="12"/>
  <c r="X1184" i="12"/>
  <c r="W1185" i="12"/>
  <c r="X1185" i="12"/>
  <c r="W1186" i="12"/>
  <c r="X1186" i="12"/>
  <c r="W1187" i="12"/>
  <c r="X1187" i="12"/>
  <c r="W1188" i="12"/>
  <c r="W1189" i="12"/>
  <c r="X1188" i="12"/>
  <c r="X1189" i="12"/>
  <c r="W1190" i="12"/>
  <c r="X1190" i="12"/>
  <c r="W1191" i="12"/>
  <c r="X1191" i="12"/>
  <c r="W1192" i="12"/>
  <c r="X1192" i="12"/>
  <c r="W1193" i="12"/>
  <c r="W1194" i="12"/>
  <c r="X1193" i="12"/>
  <c r="W1195" i="12"/>
  <c r="X1194" i="12"/>
  <c r="X1195" i="12"/>
  <c r="W1196" i="12"/>
  <c r="W1197" i="12"/>
  <c r="X1196" i="12"/>
  <c r="W1198" i="12"/>
  <c r="X1197" i="12"/>
  <c r="W1199" i="12"/>
  <c r="X1198" i="12"/>
  <c r="W1200" i="12"/>
  <c r="X1199" i="12"/>
  <c r="X1200" i="12"/>
  <c r="W1201" i="12"/>
  <c r="X1201" i="12"/>
  <c r="W1202" i="12"/>
  <c r="W1203" i="12"/>
  <c r="X1202" i="12"/>
  <c r="W1204" i="12"/>
  <c r="X1203" i="12"/>
  <c r="W1205" i="12"/>
  <c r="X1204" i="12"/>
  <c r="X1205" i="12"/>
  <c r="W1206" i="12"/>
  <c r="X1206" i="12"/>
  <c r="W1207" i="12"/>
  <c r="W1208" i="12"/>
  <c r="X1207" i="12"/>
  <c r="W1209" i="12"/>
  <c r="X1208" i="12"/>
  <c r="X1209" i="12"/>
  <c r="W1210" i="12"/>
  <c r="X1210" i="12"/>
  <c r="W1211" i="12"/>
  <c r="X1211" i="12"/>
  <c r="W1212" i="12"/>
  <c r="W1213" i="12"/>
  <c r="X1212" i="12"/>
  <c r="W1214" i="12"/>
  <c r="X1213" i="12"/>
  <c r="W1215" i="12"/>
  <c r="X1214" i="12"/>
  <c r="X1215" i="12"/>
  <c r="W1216" i="12"/>
  <c r="X1216" i="12"/>
  <c r="W1217" i="12"/>
  <c r="X1217" i="12"/>
  <c r="W1218" i="12"/>
  <c r="W1219" i="12"/>
  <c r="X1218" i="12"/>
  <c r="X1219" i="12"/>
  <c r="W1220" i="12"/>
  <c r="X1220" i="12"/>
  <c r="W1221" i="12"/>
  <c r="W1222" i="12"/>
  <c r="X1221" i="12"/>
  <c r="W1223" i="12"/>
  <c r="X1222" i="12"/>
  <c r="W1224" i="12"/>
  <c r="X1223" i="12"/>
  <c r="X1224" i="12"/>
  <c r="W1225" i="12"/>
  <c r="X1225" i="12"/>
  <c r="W1226" i="12"/>
  <c r="X1226" i="12"/>
  <c r="W1227" i="12"/>
  <c r="X1227" i="12"/>
  <c r="W1228" i="12"/>
  <c r="W1229" i="12"/>
  <c r="X1228" i="12"/>
  <c r="X1229" i="12"/>
  <c r="W1230" i="12"/>
  <c r="W1231" i="12"/>
  <c r="X1230" i="12"/>
  <c r="W1232" i="12"/>
  <c r="X1231" i="12"/>
  <c r="W1233" i="12"/>
  <c r="X1232" i="12"/>
  <c r="X1233" i="12"/>
  <c r="W1234" i="12"/>
  <c r="X1234" i="12"/>
  <c r="W1235" i="12"/>
  <c r="X1235" i="12"/>
  <c r="W1236" i="12"/>
  <c r="X1236" i="12"/>
  <c r="W1237" i="12"/>
  <c r="W1238" i="12"/>
  <c r="X1237" i="12"/>
  <c r="X1238" i="12"/>
  <c r="W1239" i="12"/>
  <c r="X1239" i="12"/>
  <c r="W1240" i="12"/>
  <c r="X1240" i="12"/>
  <c r="W1241" i="12"/>
  <c r="X1241" i="12"/>
  <c r="W1242" i="12"/>
  <c r="X1242" i="12"/>
  <c r="W1243" i="12"/>
  <c r="X1243" i="12"/>
  <c r="W1244" i="12"/>
  <c r="X1244" i="12"/>
  <c r="W1245" i="12"/>
  <c r="W1246" i="12"/>
  <c r="X1245" i="12"/>
  <c r="X1246" i="12"/>
  <c r="W1247" i="12"/>
  <c r="W1248" i="12"/>
  <c r="X1247" i="12"/>
  <c r="W1249" i="12"/>
  <c r="X1248" i="12"/>
  <c r="W1250" i="12"/>
  <c r="X1249" i="12"/>
  <c r="W1251" i="12"/>
  <c r="X1250" i="12"/>
  <c r="X1251" i="12"/>
  <c r="W1252" i="12"/>
  <c r="X1252" i="12"/>
  <c r="W1253" i="12"/>
  <c r="X1253" i="12"/>
  <c r="W1254" i="12"/>
  <c r="X1254" i="12"/>
  <c r="W1255" i="12"/>
  <c r="W1256" i="12"/>
  <c r="X1255" i="12"/>
  <c r="W1257" i="12"/>
  <c r="X1256" i="12"/>
  <c r="X1257" i="12"/>
  <c r="W1258" i="12"/>
  <c r="X1258" i="12"/>
  <c r="W1259" i="12"/>
  <c r="X1259" i="12"/>
  <c r="W1260" i="12"/>
  <c r="X1260" i="12"/>
  <c r="W1261" i="12"/>
  <c r="W1262" i="12"/>
  <c r="X1261" i="12"/>
  <c r="X1262" i="12"/>
  <c r="W1263" i="12"/>
  <c r="W1264" i="12"/>
  <c r="X1263" i="12"/>
  <c r="X1264" i="12"/>
  <c r="W1265" i="12"/>
  <c r="X1265" i="12"/>
  <c r="W1266" i="12"/>
  <c r="X1266" i="12"/>
  <c r="W1267" i="12"/>
  <c r="W1268" i="12"/>
  <c r="X1267" i="12"/>
  <c r="X1268" i="12"/>
  <c r="W1269" i="12"/>
  <c r="X1269" i="12"/>
  <c r="W1270" i="12"/>
  <c r="X1270" i="12"/>
  <c r="W1271" i="12"/>
  <c r="W1272" i="12"/>
  <c r="X1271" i="12"/>
  <c r="W1273" i="12"/>
  <c r="X1272" i="12"/>
  <c r="W1274" i="12"/>
  <c r="X1273" i="12"/>
  <c r="W1275" i="12"/>
  <c r="X1274" i="12"/>
  <c r="W1276" i="12"/>
  <c r="X1275" i="12"/>
  <c r="X1276" i="12"/>
  <c r="W1277" i="12"/>
  <c r="W1278" i="12"/>
  <c r="X1277" i="12"/>
  <c r="X1278" i="12"/>
  <c r="W1279" i="12"/>
  <c r="W1280" i="12"/>
  <c r="X1279" i="12"/>
  <c r="X1280" i="12"/>
  <c r="W1281" i="12"/>
  <c r="W1282" i="12"/>
  <c r="X1281" i="12"/>
  <c r="X1282" i="12"/>
  <c r="W1283" i="12"/>
  <c r="W1284" i="12"/>
  <c r="X1283" i="12"/>
  <c r="W1285" i="12"/>
  <c r="X1284" i="12"/>
  <c r="X1285" i="12"/>
  <c r="W1286" i="12"/>
  <c r="W1287" i="12"/>
  <c r="X1286" i="12"/>
  <c r="X1287" i="12"/>
  <c r="W1288" i="12"/>
  <c r="X1288" i="12"/>
  <c r="W1289" i="12"/>
  <c r="W1290" i="12"/>
  <c r="X1289" i="12"/>
  <c r="W1291" i="12"/>
  <c r="X1290" i="12"/>
  <c r="X1291" i="12"/>
  <c r="W1292" i="12"/>
  <c r="W1293" i="12"/>
  <c r="X1292" i="12"/>
  <c r="W1294" i="12"/>
  <c r="X1293" i="12"/>
  <c r="W1295" i="12"/>
  <c r="X1294" i="12"/>
  <c r="X1295" i="12"/>
  <c r="W1296" i="12"/>
  <c r="W1297" i="12"/>
  <c r="X1296" i="12"/>
  <c r="W1298" i="12"/>
  <c r="X1297" i="12"/>
  <c r="X1298" i="12"/>
  <c r="W1299" i="12"/>
  <c r="W1300" i="12"/>
  <c r="X1299" i="12"/>
  <c r="X1300" i="12"/>
  <c r="W1301" i="12"/>
  <c r="X1301" i="12"/>
  <c r="W1302" i="12"/>
  <c r="W1303" i="12"/>
  <c r="X1302" i="12"/>
  <c r="X1303" i="12"/>
  <c r="W1304" i="12"/>
  <c r="W1305" i="12"/>
  <c r="X1304" i="12"/>
  <c r="W1306" i="12"/>
  <c r="X1305" i="12"/>
  <c r="X1306" i="12"/>
  <c r="W1307" i="12"/>
  <c r="W1308" i="12"/>
  <c r="X1307" i="12"/>
  <c r="X1308" i="12"/>
  <c r="W1309" i="12"/>
  <c r="X1309" i="12"/>
  <c r="W1310" i="12"/>
  <c r="W1311" i="12"/>
  <c r="X1310" i="12"/>
  <c r="X1311" i="12"/>
  <c r="W1312" i="12"/>
  <c r="X1312" i="12"/>
  <c r="W1313" i="12"/>
  <c r="W1314" i="12"/>
  <c r="X1313" i="12"/>
  <c r="X1314" i="12"/>
  <c r="W1315" i="12"/>
  <c r="X1315" i="12"/>
  <c r="W1316" i="12"/>
  <c r="W1317" i="12"/>
  <c r="X1316" i="12"/>
  <c r="X1317" i="12"/>
  <c r="W1318" i="12"/>
  <c r="W1319" i="12"/>
  <c r="X1318" i="12"/>
  <c r="X1319" i="12"/>
  <c r="W1320" i="12"/>
  <c r="X1320" i="12"/>
  <c r="W1321" i="12"/>
  <c r="X1321" i="12"/>
  <c r="W1322" i="12"/>
  <c r="W1323" i="12"/>
  <c r="X1322" i="12"/>
  <c r="X1323" i="12"/>
  <c r="W1324" i="12"/>
  <c r="W1325" i="12"/>
  <c r="X1324" i="12"/>
  <c r="W1326" i="12"/>
  <c r="X1325" i="12"/>
  <c r="W1327" i="12"/>
  <c r="X1326" i="12"/>
  <c r="X1327" i="12"/>
  <c r="W1328" i="12"/>
  <c r="W1329" i="12"/>
  <c r="X1328" i="12"/>
  <c r="W1330" i="12"/>
  <c r="X1329" i="12"/>
  <c r="X1330" i="12"/>
  <c r="W1331" i="12"/>
  <c r="W1332" i="12"/>
  <c r="X1331" i="12"/>
  <c r="W1333" i="12"/>
  <c r="X1332" i="12"/>
  <c r="W1334" i="12"/>
  <c r="X1333" i="12"/>
  <c r="W1335" i="12"/>
  <c r="X1334" i="12"/>
  <c r="X1335" i="12"/>
  <c r="W1336" i="12"/>
  <c r="W1337" i="12"/>
  <c r="X1336" i="12"/>
  <c r="W1338" i="12"/>
  <c r="X1337" i="12"/>
  <c r="X1338" i="12"/>
  <c r="W1339" i="12"/>
  <c r="X1339" i="12"/>
  <c r="W1340" i="12"/>
  <c r="X1340" i="12"/>
  <c r="W1341" i="12"/>
  <c r="W1342" i="12"/>
  <c r="X1341" i="12"/>
  <c r="W1343" i="12"/>
  <c r="X1342" i="12"/>
  <c r="X1343" i="12"/>
  <c r="W1344" i="12"/>
  <c r="X1344" i="12"/>
  <c r="W1345" i="12"/>
  <c r="W1346" i="12"/>
  <c r="X1345" i="12"/>
  <c r="W1347" i="12"/>
  <c r="X1346" i="12"/>
  <c r="X1347" i="12"/>
  <c r="W1348" i="12"/>
  <c r="W1349" i="12"/>
  <c r="X1348" i="12"/>
  <c r="W1350" i="12"/>
  <c r="X1349" i="12"/>
  <c r="X1350" i="12"/>
  <c r="W1351" i="12"/>
  <c r="X1351" i="12"/>
  <c r="W1352" i="12"/>
  <c r="X1352" i="12"/>
  <c r="W1353" i="12"/>
  <c r="W1354" i="12"/>
  <c r="X1353" i="12"/>
  <c r="X1354" i="12"/>
  <c r="W1355" i="12"/>
  <c r="X1355" i="12"/>
  <c r="W1356" i="12"/>
  <c r="W1357" i="12"/>
  <c r="X1356" i="12"/>
  <c r="X1357" i="12"/>
  <c r="W1358" i="12"/>
  <c r="X1358" i="12"/>
  <c r="W1359" i="12"/>
  <c r="W1360" i="12"/>
  <c r="X1359" i="12"/>
  <c r="W1361" i="12"/>
  <c r="X1360" i="12"/>
  <c r="W1362" i="12"/>
  <c r="X1361" i="12"/>
  <c r="W1363" i="12"/>
  <c r="X1362" i="12"/>
  <c r="X1363" i="12"/>
  <c r="W1364" i="12"/>
  <c r="X1364" i="12"/>
  <c r="W1365" i="12"/>
  <c r="W1366" i="12"/>
  <c r="X1365" i="12"/>
  <c r="X1366" i="12"/>
  <c r="W1367" i="12"/>
  <c r="X1367" i="12"/>
  <c r="W1368" i="12"/>
  <c r="W1369" i="12"/>
  <c r="X1368" i="12"/>
  <c r="X1369" i="12"/>
  <c r="W1370" i="12"/>
  <c r="W1371" i="12"/>
  <c r="X1370" i="12"/>
  <c r="X1371" i="12"/>
  <c r="W1372" i="12"/>
  <c r="W1373" i="12"/>
  <c r="X1372" i="12"/>
  <c r="X1373" i="12"/>
  <c r="W1374" i="12"/>
  <c r="X1374" i="12"/>
  <c r="W1375" i="12"/>
  <c r="X1375" i="12"/>
  <c r="W1376" i="12"/>
  <c r="X1376" i="12"/>
  <c r="W1377" i="12"/>
  <c r="W1378" i="12"/>
  <c r="X1377" i="12"/>
  <c r="W1379" i="12"/>
  <c r="X1378" i="12"/>
  <c r="X1379" i="12"/>
  <c r="W1380" i="12"/>
  <c r="X1380" i="12"/>
  <c r="W1381" i="12"/>
  <c r="W1382" i="12"/>
  <c r="X1381" i="12"/>
  <c r="X1382" i="12"/>
  <c r="W1383" i="12"/>
  <c r="X1383" i="12"/>
  <c r="W1384" i="12"/>
  <c r="X1384" i="12"/>
  <c r="W1385" i="12"/>
  <c r="W1386" i="12"/>
  <c r="X1385" i="12"/>
  <c r="W1387" i="12"/>
  <c r="X1386" i="12"/>
  <c r="X1387" i="12"/>
  <c r="W1388" i="12"/>
  <c r="X1388" i="12"/>
  <c r="W1389" i="12"/>
  <c r="X1389" i="12"/>
  <c r="W1390" i="12"/>
  <c r="W1391" i="12"/>
  <c r="X1390" i="12"/>
  <c r="X1391" i="12"/>
  <c r="W1392" i="12"/>
  <c r="X1392" i="12"/>
  <c r="W1393" i="12"/>
  <c r="W1394" i="12"/>
  <c r="X1393" i="12"/>
  <c r="X1394" i="12"/>
  <c r="W1395" i="12"/>
  <c r="X1395" i="12"/>
  <c r="W1396" i="12"/>
  <c r="X1396" i="12"/>
  <c r="W1397" i="12"/>
  <c r="W1398" i="12"/>
  <c r="X1397" i="12"/>
  <c r="W1399" i="12"/>
  <c r="X1398" i="12"/>
  <c r="X1399" i="12"/>
  <c r="W1400" i="12"/>
  <c r="X1400" i="12"/>
  <c r="W1401" i="12"/>
  <c r="W1402" i="12"/>
  <c r="X1401" i="12"/>
  <c r="W1403" i="12"/>
  <c r="X1402" i="12"/>
  <c r="X1403" i="12"/>
  <c r="W1404" i="12"/>
  <c r="W1405" i="12"/>
  <c r="X1404" i="12"/>
  <c r="W1406" i="12"/>
  <c r="X1405" i="12"/>
  <c r="W1407" i="12"/>
  <c r="X1406" i="12"/>
  <c r="X1407" i="12"/>
  <c r="W1408" i="12"/>
  <c r="W1409" i="12"/>
  <c r="X1408" i="12"/>
  <c r="W1410" i="12"/>
  <c r="X1409" i="12"/>
  <c r="W1411" i="12"/>
  <c r="X1410" i="12"/>
  <c r="X1411" i="12"/>
  <c r="W1412" i="12"/>
  <c r="W1413" i="12"/>
  <c r="X1412" i="12"/>
  <c r="W1414" i="12"/>
  <c r="X1413" i="12"/>
  <c r="W1415" i="12"/>
  <c r="X1414" i="12"/>
  <c r="X1415" i="12"/>
  <c r="W1416" i="12"/>
  <c r="X1416" i="12"/>
  <c r="W1417" i="12"/>
  <c r="X1417" i="12"/>
  <c r="W1418" i="12"/>
  <c r="W1419" i="12"/>
  <c r="X1418" i="12"/>
  <c r="X1419" i="12"/>
  <c r="W1420" i="12"/>
  <c r="X1420" i="12"/>
  <c r="W1421" i="12"/>
  <c r="W1422" i="12"/>
  <c r="X1421" i="12"/>
  <c r="W1423" i="12"/>
  <c r="X1422" i="12"/>
  <c r="X1423" i="12"/>
  <c r="W1424" i="12"/>
  <c r="X1424" i="12"/>
  <c r="W1425" i="12"/>
  <c r="X1425" i="12"/>
  <c r="W1426" i="12"/>
  <c r="X1426" i="12"/>
  <c r="W1427" i="12"/>
  <c r="W1428" i="12"/>
  <c r="X1427" i="12"/>
  <c r="X1428" i="12"/>
  <c r="W1429" i="12"/>
  <c r="X1429" i="12"/>
  <c r="W1430" i="12"/>
  <c r="W1431" i="12"/>
  <c r="X1430" i="12"/>
  <c r="W1432" i="12"/>
  <c r="X1431" i="12"/>
  <c r="X1432" i="12"/>
  <c r="W1433" i="12"/>
  <c r="W1434" i="12"/>
  <c r="X1433" i="12"/>
  <c r="W1435" i="12"/>
  <c r="X1434" i="12"/>
  <c r="W1436" i="12"/>
  <c r="X1435" i="12"/>
  <c r="X1436" i="12"/>
  <c r="W1437" i="12"/>
  <c r="X1437" i="12"/>
  <c r="W1438" i="12"/>
  <c r="X1438" i="12"/>
  <c r="W1439" i="12"/>
  <c r="W1440" i="12"/>
  <c r="X1439" i="12"/>
  <c r="X1440" i="12"/>
  <c r="W1441" i="12"/>
  <c r="W1442" i="12"/>
  <c r="X1441" i="12"/>
  <c r="W1443" i="12"/>
  <c r="X1442" i="12"/>
  <c r="W1444" i="12"/>
  <c r="X1443" i="12"/>
  <c r="X1444" i="12"/>
  <c r="W1445" i="12"/>
  <c r="X1445" i="12"/>
  <c r="W1446" i="12"/>
  <c r="X1446" i="12"/>
  <c r="W1447" i="12"/>
  <c r="W1448" i="12"/>
  <c r="X1447" i="12"/>
  <c r="W1449" i="12"/>
  <c r="X1448" i="12"/>
  <c r="W1450" i="12"/>
  <c r="X1449" i="12"/>
  <c r="W1451" i="12"/>
  <c r="X1450" i="12"/>
  <c r="W1452" i="12"/>
  <c r="X1451" i="12"/>
  <c r="X1452" i="12"/>
  <c r="W1453" i="12"/>
  <c r="W1454" i="12"/>
  <c r="X1453" i="12"/>
  <c r="W1455" i="12"/>
  <c r="X1454" i="12"/>
  <c r="W1456" i="12"/>
  <c r="X1455" i="12"/>
  <c r="X1456" i="12"/>
  <c r="W1457" i="12"/>
  <c r="W1458" i="12"/>
  <c r="X1457" i="12"/>
  <c r="X1458" i="12"/>
  <c r="W1459" i="12"/>
  <c r="W1460" i="12"/>
  <c r="X1459" i="12"/>
  <c r="X1460" i="12"/>
  <c r="W1461" i="12"/>
  <c r="X1461" i="12"/>
  <c r="W1462" i="12"/>
  <c r="X1462" i="12"/>
  <c r="W1463" i="12"/>
  <c r="W1464" i="12"/>
  <c r="X1463" i="12"/>
  <c r="W1465" i="12"/>
  <c r="X1464" i="12"/>
  <c r="W1466" i="12"/>
  <c r="X1465" i="12"/>
  <c r="W1467" i="12"/>
  <c r="X1466" i="12"/>
  <c r="X1467" i="12"/>
  <c r="W1468" i="12"/>
  <c r="W1469" i="12"/>
  <c r="X1468" i="12"/>
  <c r="X1469" i="12"/>
  <c r="W1470" i="12"/>
  <c r="W1471" i="12"/>
  <c r="X1470" i="12"/>
  <c r="W1472" i="12"/>
  <c r="X1471" i="12"/>
  <c r="W1473" i="12"/>
  <c r="X1472" i="12"/>
  <c r="W1474" i="12"/>
  <c r="X1473" i="12"/>
  <c r="W1475" i="12"/>
  <c r="X1474" i="12"/>
  <c r="X1475" i="12"/>
  <c r="W1476" i="12"/>
  <c r="W1477" i="12"/>
  <c r="X1476" i="12"/>
  <c r="X1477" i="12"/>
  <c r="W1478" i="12"/>
  <c r="X1478" i="12"/>
  <c r="W1479" i="12"/>
  <c r="W1480" i="12"/>
  <c r="X1479" i="12"/>
  <c r="X1480" i="12"/>
  <c r="W1481" i="12"/>
  <c r="W1482" i="12"/>
  <c r="X1481" i="12"/>
  <c r="X1482" i="12"/>
  <c r="W1483" i="12"/>
  <c r="W1484" i="12"/>
  <c r="X1483" i="12"/>
  <c r="X1484" i="12"/>
  <c r="W1485" i="12"/>
  <c r="X1485" i="12"/>
  <c r="W1486" i="12"/>
  <c r="X1486" i="12"/>
  <c r="W1487" i="12"/>
  <c r="X1487" i="12"/>
  <c r="W1488" i="12"/>
  <c r="X1488" i="12"/>
  <c r="W1489" i="12"/>
  <c r="W1490" i="12"/>
  <c r="X1489" i="12"/>
  <c r="W1491" i="12"/>
  <c r="X1490" i="12"/>
  <c r="X1491" i="12"/>
  <c r="W1492" i="12"/>
  <c r="X1492" i="12"/>
  <c r="W1493" i="12"/>
  <c r="W1494" i="12"/>
  <c r="X1493" i="12"/>
  <c r="X1494" i="12"/>
  <c r="W1495" i="12"/>
  <c r="X1495" i="12"/>
  <c r="W1496" i="12"/>
  <c r="X1496" i="12"/>
  <c r="W1497" i="12"/>
  <c r="X1497" i="12"/>
  <c r="W1498" i="12"/>
  <c r="X1498" i="12"/>
  <c r="W1499" i="12"/>
  <c r="W1500" i="12"/>
  <c r="X1499" i="12"/>
  <c r="W1501" i="12"/>
  <c r="X1500" i="12"/>
  <c r="X1501" i="12"/>
  <c r="W1502" i="12"/>
  <c r="W1503" i="12"/>
  <c r="X1502" i="12"/>
  <c r="W1504" i="12"/>
  <c r="X1503" i="12"/>
  <c r="W1505" i="12"/>
  <c r="X1504" i="12"/>
  <c r="X1505" i="12"/>
  <c r="W1506" i="12"/>
  <c r="X1506" i="12"/>
  <c r="W1507" i="12"/>
  <c r="W1508" i="12"/>
  <c r="X1507" i="12"/>
  <c r="W1509" i="12"/>
  <c r="X1508" i="12"/>
  <c r="W1510" i="12"/>
  <c r="X1509" i="12"/>
  <c r="W1511" i="12"/>
  <c r="X1510" i="12"/>
  <c r="W1512" i="12"/>
  <c r="X1511" i="12"/>
  <c r="X1512" i="12"/>
  <c r="W1513" i="12"/>
  <c r="W1514" i="12"/>
  <c r="X1513" i="12"/>
  <c r="W1515" i="12"/>
  <c r="X1514" i="12"/>
  <c r="X1515" i="12"/>
  <c r="W1516" i="12"/>
  <c r="W1517" i="12"/>
  <c r="X1516" i="12"/>
  <c r="W1518" i="12"/>
  <c r="X1517" i="12"/>
  <c r="W1519" i="12"/>
  <c r="X1518" i="12"/>
  <c r="X1519" i="12"/>
  <c r="W1520" i="12"/>
  <c r="W1521" i="12"/>
  <c r="X1520" i="12"/>
  <c r="W1522" i="12"/>
  <c r="X1521" i="12"/>
  <c r="W1523" i="12"/>
  <c r="X1522" i="12"/>
  <c r="W1524" i="12"/>
  <c r="X1523" i="12"/>
  <c r="W1525" i="12"/>
  <c r="X1524" i="12"/>
  <c r="W1526" i="12"/>
  <c r="X1525" i="12"/>
  <c r="W1527" i="12"/>
  <c r="X1526" i="12"/>
  <c r="X1527" i="12"/>
  <c r="W1528" i="12"/>
  <c r="X1528" i="12"/>
  <c r="W1529" i="12"/>
  <c r="W1530" i="12"/>
  <c r="X1529" i="12"/>
  <c r="W1531" i="12"/>
  <c r="X1530" i="12"/>
  <c r="X1531" i="12"/>
  <c r="W1532" i="12"/>
  <c r="X1532" i="12"/>
  <c r="W1533" i="12"/>
  <c r="W1534" i="12"/>
  <c r="X1533" i="12"/>
  <c r="W1535" i="12"/>
  <c r="X1534" i="12"/>
  <c r="X1535" i="12"/>
  <c r="W1536" i="12"/>
  <c r="X1536" i="12"/>
  <c r="W1537" i="12"/>
  <c r="W1538" i="12"/>
  <c r="X1537" i="12"/>
  <c r="W1539" i="12"/>
  <c r="X1538" i="12"/>
  <c r="X1539" i="12"/>
  <c r="W1540" i="12"/>
  <c r="W1541" i="12"/>
  <c r="X1540" i="12"/>
  <c r="X1541" i="12"/>
  <c r="W1542" i="12"/>
  <c r="X1542" i="12"/>
  <c r="W1543" i="12"/>
  <c r="W1544" i="12"/>
  <c r="X1543" i="12"/>
  <c r="X1544" i="12"/>
  <c r="W1545" i="12"/>
  <c r="X1545" i="12"/>
  <c r="W1546" i="12"/>
  <c r="X1546" i="12"/>
  <c r="W1547" i="12"/>
  <c r="X1547" i="12"/>
  <c r="W1548" i="12"/>
  <c r="W1549" i="12"/>
  <c r="X1548" i="12"/>
  <c r="W1550" i="12"/>
  <c r="X1549" i="12"/>
  <c r="X1550" i="12"/>
  <c r="W1551" i="12"/>
  <c r="W1552" i="12"/>
  <c r="X1551" i="12"/>
  <c r="X1552" i="12"/>
  <c r="W1553" i="12"/>
  <c r="W1554" i="12"/>
  <c r="X1553" i="12"/>
  <c r="W1555" i="12"/>
  <c r="X1554" i="12"/>
  <c r="X1555" i="12"/>
  <c r="W1556" i="12"/>
  <c r="X1556" i="12"/>
  <c r="W1557" i="12"/>
  <c r="X1557" i="12"/>
  <c r="W1558" i="12"/>
  <c r="X1558" i="12"/>
  <c r="W1559" i="12"/>
  <c r="W1560" i="12"/>
  <c r="X1559" i="12"/>
  <c r="W1561" i="12"/>
  <c r="X1560" i="12"/>
  <c r="X1561" i="12"/>
  <c r="W1562" i="12"/>
  <c r="W1563" i="12"/>
  <c r="X1562" i="12"/>
  <c r="X1563" i="12"/>
  <c r="W1564" i="12"/>
  <c r="X1564" i="12"/>
  <c r="W1565" i="12"/>
  <c r="W1566" i="12"/>
  <c r="X1565" i="12"/>
  <c r="W1567" i="12"/>
  <c r="X1566" i="12"/>
  <c r="W1568" i="12"/>
  <c r="X1567" i="12"/>
  <c r="W1569" i="12"/>
  <c r="X1568" i="12"/>
  <c r="X1569" i="12"/>
  <c r="W1570" i="12"/>
  <c r="W1571" i="12"/>
  <c r="X1570" i="12"/>
  <c r="X1571" i="12"/>
  <c r="W1572" i="12"/>
  <c r="W1573" i="12"/>
  <c r="X1572" i="12"/>
  <c r="W1574" i="12"/>
  <c r="X1573" i="12"/>
  <c r="W1575" i="12"/>
  <c r="X1574" i="12"/>
  <c r="X1575" i="12"/>
  <c r="W1576" i="12"/>
  <c r="X1576" i="12"/>
  <c r="W1577" i="12"/>
  <c r="X1577" i="12"/>
  <c r="W1578" i="12"/>
  <c r="W1579" i="12"/>
  <c r="X1578" i="12"/>
  <c r="X1579" i="12"/>
  <c r="W1580" i="12"/>
  <c r="X1580" i="12"/>
  <c r="W1581" i="12"/>
  <c r="W1582" i="12"/>
  <c r="X1581" i="12"/>
  <c r="W1583" i="12"/>
  <c r="X1582" i="12"/>
  <c r="W1584" i="12"/>
  <c r="X1583" i="12"/>
  <c r="W1585" i="12"/>
  <c r="X1584" i="12"/>
  <c r="X1585" i="12"/>
  <c r="W1586" i="12"/>
  <c r="X1586" i="12"/>
  <c r="W1587" i="12"/>
  <c r="X1587" i="12"/>
  <c r="W1588" i="12"/>
  <c r="W1589" i="12"/>
  <c r="X1588" i="12"/>
  <c r="W1590" i="12"/>
  <c r="X1589" i="12"/>
  <c r="W1591" i="12"/>
  <c r="X1590" i="12"/>
  <c r="W1592" i="12"/>
  <c r="X1591" i="12"/>
  <c r="W1593" i="12"/>
  <c r="X1592" i="12"/>
  <c r="X1593" i="12"/>
  <c r="W1594" i="12"/>
  <c r="W1595" i="12"/>
  <c r="X1594" i="12"/>
  <c r="W1596" i="12"/>
  <c r="X1595" i="12"/>
  <c r="X1596" i="12"/>
  <c r="W1597" i="12"/>
  <c r="W1598" i="12"/>
  <c r="X1597" i="12"/>
  <c r="X1598" i="12"/>
  <c r="W1599" i="12"/>
  <c r="X1599" i="12"/>
  <c r="W1600" i="12"/>
  <c r="W1601" i="12"/>
  <c r="X1600" i="12"/>
  <c r="W1602" i="12"/>
  <c r="X1601" i="12"/>
  <c r="W1603" i="12"/>
  <c r="X1602" i="12"/>
  <c r="X1603" i="12"/>
  <c r="W1604" i="12"/>
  <c r="X1604" i="12"/>
  <c r="W1605" i="12"/>
  <c r="X1605" i="12"/>
  <c r="W1606" i="12"/>
  <c r="X1606" i="12"/>
  <c r="W1607" i="12"/>
  <c r="W1608" i="12"/>
  <c r="X1607" i="12"/>
  <c r="X1608" i="12"/>
  <c r="W1609" i="12"/>
  <c r="W1610" i="12"/>
  <c r="X1609" i="12"/>
  <c r="X1610" i="12"/>
  <c r="W1611" i="12"/>
  <c r="W1612" i="12"/>
  <c r="X1611" i="12"/>
  <c r="X1612" i="12"/>
  <c r="W1613" i="12"/>
  <c r="X1613" i="12"/>
  <c r="W1614" i="12"/>
  <c r="W1615" i="12"/>
  <c r="X1614" i="12"/>
  <c r="X1615" i="12"/>
  <c r="W1616" i="12"/>
  <c r="X1616" i="12"/>
  <c r="W1617" i="12"/>
  <c r="X1617" i="12"/>
  <c r="W1618" i="12"/>
  <c r="W1619" i="12"/>
  <c r="X1618" i="12"/>
  <c r="W1620" i="12"/>
  <c r="X1619" i="12"/>
  <c r="X1620" i="12"/>
  <c r="W1621" i="12"/>
  <c r="W1622" i="12"/>
  <c r="X1621" i="12"/>
  <c r="W1623" i="12"/>
  <c r="X1622" i="12"/>
  <c r="W1624" i="12"/>
  <c r="X1623" i="12"/>
  <c r="X1624" i="12"/>
  <c r="W1625" i="12"/>
  <c r="X1625" i="12"/>
  <c r="W1626" i="12"/>
  <c r="W1627" i="12"/>
  <c r="X1626" i="12"/>
  <c r="W1628" i="12"/>
  <c r="X1627" i="12"/>
  <c r="W1629" i="12"/>
  <c r="X1628" i="12"/>
  <c r="X1629" i="12"/>
  <c r="W1630" i="12"/>
  <c r="W1631" i="12"/>
  <c r="X1630" i="12"/>
  <c r="X1631" i="12"/>
  <c r="W1632" i="12"/>
  <c r="X1632" i="12"/>
  <c r="W1633" i="12"/>
  <c r="X1633" i="12"/>
  <c r="W1634" i="12"/>
  <c r="W1635" i="12"/>
  <c r="X1634" i="12"/>
  <c r="X1635" i="12"/>
  <c r="W1636" i="12"/>
  <c r="X1636" i="12"/>
  <c r="W1637" i="12"/>
  <c r="X1637" i="12"/>
  <c r="W1638" i="12"/>
  <c r="X1638" i="12"/>
  <c r="W1639" i="12"/>
  <c r="W1640" i="12"/>
  <c r="X1639" i="12"/>
  <c r="X1640" i="12"/>
  <c r="W1641" i="12"/>
  <c r="X1641" i="12"/>
  <c r="W1642" i="12"/>
  <c r="X1642" i="12"/>
  <c r="W1643" i="12"/>
  <c r="W1644" i="12"/>
  <c r="X1643" i="12"/>
  <c r="X1644" i="12"/>
  <c r="W1645" i="12"/>
  <c r="X1645" i="12"/>
  <c r="W1646" i="12"/>
  <c r="W1647" i="12"/>
  <c r="X1646" i="12"/>
  <c r="W1648" i="12"/>
  <c r="X1647" i="12"/>
  <c r="X1648" i="12"/>
  <c r="W1649" i="12"/>
  <c r="W1650" i="12"/>
  <c r="X1649" i="12"/>
  <c r="W1651" i="12"/>
  <c r="X1650" i="12"/>
  <c r="X1651" i="12"/>
  <c r="W1652" i="12"/>
  <c r="X1652" i="12"/>
  <c r="W1653" i="12"/>
  <c r="X1653" i="12"/>
  <c r="W1654" i="12"/>
  <c r="W1655" i="12"/>
  <c r="X1654" i="12"/>
  <c r="W1656" i="12"/>
  <c r="X1655" i="12"/>
  <c r="X1656" i="12"/>
  <c r="W1657" i="12"/>
  <c r="X1657" i="12"/>
  <c r="W1658" i="12"/>
  <c r="W1659" i="12"/>
  <c r="X1658" i="12"/>
  <c r="W1660" i="12"/>
  <c r="X1659" i="12"/>
  <c r="X1660" i="12"/>
  <c r="W1661" i="12"/>
  <c r="W1662" i="12"/>
  <c r="X1661" i="12"/>
  <c r="W1663" i="12"/>
  <c r="X1662" i="12"/>
  <c r="W1664" i="12"/>
  <c r="X1663" i="12"/>
  <c r="W1665" i="12"/>
  <c r="X1664" i="12"/>
  <c r="W1666" i="12"/>
  <c r="X1665" i="12"/>
  <c r="X1666" i="12"/>
  <c r="W1667" i="12"/>
  <c r="X1667" i="12"/>
  <c r="W1668" i="12"/>
  <c r="W1669" i="12"/>
  <c r="X1668" i="12"/>
  <c r="X1669" i="12"/>
  <c r="W1670" i="12"/>
  <c r="X1670" i="12"/>
  <c r="W1671" i="12"/>
  <c r="X1671" i="12"/>
  <c r="W1672" i="12"/>
  <c r="X1672" i="12"/>
  <c r="W1673" i="12"/>
  <c r="X1673" i="12"/>
  <c r="W1674" i="12"/>
  <c r="X1674" i="12"/>
  <c r="W1675" i="12"/>
  <c r="X1675" i="12"/>
  <c r="W1676" i="12"/>
  <c r="W1677" i="12"/>
  <c r="X1676" i="12"/>
  <c r="X1677" i="12"/>
  <c r="W1678" i="12"/>
  <c r="X1678" i="12"/>
  <c r="W1679" i="12"/>
  <c r="X1679" i="12"/>
  <c r="W1680" i="12"/>
  <c r="W1681" i="12"/>
  <c r="X1680" i="12"/>
  <c r="W1682" i="12"/>
  <c r="X1681" i="12"/>
  <c r="X1682" i="12"/>
  <c r="W1683" i="12"/>
  <c r="W1684" i="12"/>
  <c r="X1683" i="12"/>
  <c r="X1684" i="12"/>
  <c r="W1685" i="12"/>
  <c r="W1686" i="12"/>
  <c r="X1685" i="12"/>
  <c r="X1686" i="12"/>
  <c r="W1687" i="12"/>
  <c r="X1687" i="12"/>
  <c r="W1688" i="12"/>
  <c r="X1688" i="12"/>
  <c r="W1689" i="12"/>
  <c r="W1690" i="12"/>
  <c r="X1689" i="12"/>
  <c r="X1690" i="12"/>
  <c r="W1691" i="12"/>
  <c r="W1692" i="12"/>
  <c r="X1691" i="12"/>
  <c r="X1692" i="12"/>
  <c r="W1693" i="12"/>
  <c r="X1693" i="12"/>
  <c r="W1694" i="12"/>
  <c r="X1694" i="12"/>
  <c r="W1695" i="12"/>
  <c r="X1695" i="12"/>
  <c r="W1696" i="12"/>
  <c r="W1697" i="12"/>
  <c r="X1696" i="12"/>
  <c r="X1697" i="12"/>
  <c r="W1698" i="12"/>
  <c r="W1699" i="12"/>
  <c r="X1698" i="12"/>
  <c r="W1700" i="12"/>
  <c r="X1699" i="12"/>
  <c r="X1700" i="12"/>
  <c r="W1701" i="12"/>
  <c r="W1702" i="12"/>
  <c r="X1701" i="12"/>
  <c r="W1703" i="12"/>
  <c r="X1702" i="12"/>
  <c r="W1704" i="12"/>
  <c r="X1703" i="12"/>
  <c r="X1704" i="12"/>
  <c r="W1705" i="12"/>
  <c r="X1705" i="12"/>
  <c r="W1706" i="12"/>
  <c r="W1707" i="12"/>
  <c r="X1706" i="12"/>
  <c r="W1708" i="12"/>
  <c r="X1707" i="12"/>
  <c r="W1709" i="12"/>
  <c r="X1708" i="12"/>
  <c r="X1709" i="12"/>
  <c r="W1710" i="12"/>
  <c r="W1711" i="12"/>
  <c r="X1710" i="12"/>
  <c r="W1712" i="12"/>
  <c r="X1711" i="12"/>
  <c r="X1712" i="12"/>
  <c r="W1713" i="12"/>
  <c r="W1714" i="12"/>
  <c r="X1713" i="12"/>
  <c r="X1714" i="12"/>
  <c r="W1715" i="12"/>
  <c r="X1715" i="12"/>
  <c r="W1716" i="12"/>
  <c r="X1716" i="12"/>
  <c r="W1717" i="12"/>
  <c r="X1717" i="12"/>
  <c r="W1718" i="12"/>
  <c r="W1719" i="12"/>
  <c r="X1718" i="12"/>
  <c r="X1719" i="12"/>
  <c r="W1720" i="12"/>
  <c r="X1720" i="12"/>
  <c r="W1721" i="12"/>
  <c r="X1721" i="12"/>
  <c r="W1722" i="12"/>
  <c r="X1722" i="12"/>
  <c r="W1723" i="12"/>
  <c r="X1723" i="12"/>
  <c r="W1724" i="12"/>
  <c r="X1724" i="12"/>
  <c r="W1725" i="12"/>
  <c r="X1725" i="12"/>
  <c r="W1726" i="12"/>
  <c r="W1727" i="12"/>
  <c r="X1726" i="12"/>
  <c r="X1727" i="12"/>
  <c r="W1728" i="12"/>
  <c r="W1729" i="12"/>
  <c r="X1728" i="12"/>
  <c r="X1729" i="12"/>
  <c r="W1730" i="12"/>
  <c r="W1731" i="12"/>
  <c r="X1730" i="12"/>
  <c r="W1732" i="12"/>
  <c r="X1731" i="12"/>
  <c r="X1732" i="12"/>
  <c r="W1733" i="12"/>
  <c r="W1734" i="12"/>
  <c r="X1733" i="12"/>
  <c r="X1734" i="12"/>
  <c r="W1735" i="12"/>
  <c r="W1736" i="12"/>
  <c r="X1735" i="12"/>
  <c r="X1736" i="12"/>
  <c r="W1737" i="12"/>
  <c r="X1737" i="12"/>
  <c r="W1738" i="12"/>
  <c r="X1738" i="12"/>
  <c r="W1739" i="12"/>
  <c r="W1740" i="12"/>
  <c r="X1739" i="12"/>
  <c r="W1741" i="12"/>
  <c r="X1740" i="12"/>
  <c r="X1741" i="12"/>
  <c r="W1742" i="12"/>
  <c r="W1743" i="12"/>
  <c r="X1742" i="12"/>
  <c r="W1744" i="12"/>
  <c r="X1743" i="12"/>
  <c r="W1745" i="12"/>
  <c r="X1744" i="12"/>
  <c r="X1745" i="12"/>
  <c r="W1746" i="12"/>
  <c r="W1747" i="12"/>
  <c r="X1746" i="12"/>
  <c r="W1748" i="12"/>
  <c r="X1747" i="12"/>
  <c r="X1748" i="12"/>
  <c r="W1749" i="12"/>
  <c r="X1749" i="12"/>
  <c r="W1750" i="12"/>
  <c r="W1751" i="12"/>
  <c r="X1750" i="12"/>
  <c r="W1752" i="12"/>
  <c r="X1751" i="12"/>
  <c r="X1752" i="12"/>
  <c r="W1753" i="12"/>
  <c r="W1754" i="12"/>
  <c r="X1753" i="12"/>
  <c r="X1754" i="12"/>
  <c r="W1755" i="12"/>
  <c r="W1756" i="12"/>
  <c r="X1755" i="12"/>
  <c r="X1756" i="12"/>
  <c r="W1757" i="12"/>
  <c r="X1757" i="12"/>
  <c r="W1758" i="12"/>
  <c r="W1759" i="12"/>
  <c r="X1758" i="12"/>
  <c r="W1760" i="12"/>
  <c r="X1759" i="12"/>
  <c r="W1761" i="12"/>
  <c r="X1760" i="12"/>
  <c r="X1761" i="12"/>
  <c r="W1762" i="12"/>
  <c r="W1763" i="12"/>
  <c r="X1762" i="12"/>
  <c r="X1763" i="12"/>
  <c r="W1764" i="12"/>
  <c r="X1764" i="12"/>
  <c r="W1765" i="12"/>
  <c r="W1766" i="12"/>
  <c r="X1765" i="12"/>
  <c r="W1767" i="12"/>
  <c r="X1766" i="12"/>
  <c r="X1767" i="12"/>
  <c r="W1768" i="12"/>
  <c r="W1769" i="12"/>
  <c r="X1768" i="12"/>
  <c r="X1769" i="12"/>
  <c r="W1770" i="12"/>
  <c r="W1771" i="12"/>
  <c r="X1770" i="12"/>
  <c r="W1772" i="12"/>
  <c r="X1771" i="12"/>
  <c r="W1773" i="12"/>
  <c r="X1772" i="12"/>
  <c r="X1773" i="12"/>
  <c r="W1774" i="12"/>
  <c r="X1774" i="12"/>
  <c r="W1775" i="12"/>
  <c r="W1776" i="12"/>
  <c r="X1775" i="12"/>
  <c r="W1777" i="12"/>
  <c r="X1776" i="12"/>
  <c r="X1777" i="12"/>
  <c r="W1778" i="12"/>
  <c r="W1779" i="12"/>
  <c r="X1778" i="12"/>
  <c r="W1780" i="12"/>
  <c r="X1779" i="12"/>
  <c r="X1780" i="12"/>
  <c r="W1781" i="12"/>
  <c r="X1781" i="12"/>
  <c r="W1782" i="12"/>
  <c r="W1783" i="12"/>
  <c r="X1782" i="12"/>
  <c r="W1784" i="12"/>
  <c r="X1783" i="12"/>
  <c r="X1784" i="12"/>
  <c r="W1785" i="12"/>
  <c r="W1786" i="12"/>
  <c r="X1785" i="12"/>
  <c r="W1787" i="12"/>
  <c r="X1786" i="12"/>
  <c r="X1787" i="12"/>
  <c r="W1788" i="12"/>
  <c r="X1788" i="12"/>
  <c r="W1789" i="12"/>
  <c r="X1789" i="12"/>
  <c r="W1790" i="12"/>
  <c r="W1791" i="12"/>
  <c r="X1790" i="12"/>
  <c r="W1792" i="12"/>
  <c r="X1791" i="12"/>
  <c r="W1793" i="12"/>
  <c r="X1792" i="12"/>
  <c r="X1793" i="12"/>
  <c r="W1794" i="12"/>
  <c r="W1795" i="12"/>
  <c r="X1794" i="12"/>
  <c r="W1796" i="12"/>
  <c r="X1795" i="12"/>
  <c r="X1796" i="12"/>
  <c r="W1797" i="12"/>
  <c r="W1798" i="12"/>
  <c r="X1797" i="12"/>
  <c r="W1799" i="12"/>
  <c r="X1798" i="12"/>
  <c r="X1799" i="12"/>
  <c r="W1800" i="12"/>
  <c r="X1800" i="12"/>
  <c r="W1801" i="12"/>
  <c r="W1802" i="12"/>
  <c r="X1801" i="12"/>
  <c r="W1803" i="12"/>
  <c r="X1802" i="12"/>
  <c r="W1804" i="12"/>
  <c r="X1803" i="12"/>
  <c r="W1805" i="12"/>
  <c r="X1804" i="12"/>
  <c r="X1805" i="12"/>
  <c r="W1806" i="12"/>
  <c r="X1806" i="12"/>
  <c r="W1807" i="12"/>
  <c r="W1808" i="12"/>
  <c r="X1807" i="12"/>
  <c r="W1809" i="12"/>
  <c r="X1808" i="12"/>
  <c r="W1810" i="12"/>
  <c r="X1809" i="12"/>
  <c r="X1810" i="12"/>
  <c r="W1811" i="12"/>
  <c r="X1811" i="12"/>
  <c r="W1812" i="12"/>
  <c r="X1812" i="12"/>
  <c r="W1813" i="12"/>
  <c r="X1813" i="12"/>
  <c r="W1814" i="12"/>
  <c r="W1815" i="12"/>
  <c r="X1814" i="12"/>
  <c r="X1815" i="12"/>
  <c r="W1816" i="12"/>
  <c r="W1817" i="12"/>
  <c r="X1816" i="12"/>
  <c r="X1817" i="12"/>
  <c r="W1818" i="12"/>
  <c r="X1818" i="12"/>
  <c r="W1819" i="12"/>
  <c r="W1820" i="12"/>
  <c r="X1819" i="12"/>
  <c r="X1820" i="12"/>
  <c r="W1821" i="12"/>
  <c r="W1822" i="12"/>
  <c r="X1821" i="12"/>
  <c r="W1823" i="12"/>
  <c r="X1822" i="12"/>
  <c r="X1823" i="12"/>
  <c r="W1824" i="12"/>
  <c r="W1825" i="12"/>
  <c r="X1824" i="12"/>
  <c r="X1825" i="12"/>
  <c r="W1826" i="12"/>
  <c r="W1827" i="12"/>
  <c r="X1826" i="12"/>
  <c r="X1827" i="12"/>
  <c r="W1828" i="12"/>
  <c r="X1828" i="12"/>
  <c r="W1829" i="12"/>
  <c r="X1829" i="12"/>
  <c r="W1830" i="12"/>
  <c r="X1830" i="12"/>
  <c r="W1831" i="12"/>
  <c r="W1832" i="12"/>
  <c r="X1831" i="12"/>
  <c r="W1833" i="12"/>
  <c r="X1832" i="12"/>
  <c r="W1834" i="12"/>
  <c r="X1833" i="12"/>
  <c r="W1835" i="12"/>
  <c r="X1834" i="12"/>
  <c r="X1835" i="12"/>
  <c r="W1836" i="12"/>
  <c r="X1836" i="12"/>
  <c r="W1837" i="12"/>
  <c r="W1838" i="12"/>
  <c r="X1837" i="12"/>
  <c r="W1839" i="12"/>
  <c r="X1838" i="12"/>
  <c r="W1840" i="12"/>
  <c r="X1839" i="12"/>
  <c r="X1840" i="12"/>
  <c r="W1841" i="12"/>
  <c r="W1842" i="12"/>
  <c r="X1841" i="12"/>
  <c r="X1842" i="12"/>
  <c r="W1843" i="12"/>
  <c r="W1844" i="12"/>
  <c r="X1843" i="12"/>
  <c r="X1844" i="12"/>
  <c r="W1845" i="12"/>
  <c r="X1845" i="12"/>
  <c r="W1846" i="12"/>
  <c r="W1847" i="12"/>
  <c r="X1846" i="12"/>
  <c r="X1847" i="12"/>
  <c r="W1848" i="12"/>
  <c r="W1849" i="12"/>
  <c r="X1848" i="12"/>
  <c r="X1849" i="12"/>
  <c r="W1850" i="12"/>
  <c r="X1850" i="12"/>
  <c r="W1851" i="12"/>
  <c r="X1851" i="12"/>
  <c r="W1852" i="12"/>
  <c r="X1852" i="12"/>
  <c r="W1853" i="12"/>
  <c r="W1854" i="12"/>
  <c r="X1853" i="12"/>
  <c r="W1855" i="12"/>
  <c r="X1854" i="12"/>
  <c r="X1855" i="12"/>
  <c r="W1856" i="12"/>
  <c r="X1856" i="12"/>
  <c r="W1857" i="12"/>
  <c r="X1857" i="12"/>
  <c r="W1858" i="12"/>
  <c r="W1859" i="12"/>
  <c r="X1858" i="12"/>
  <c r="W1860" i="12"/>
  <c r="X1859" i="12"/>
  <c r="X1860" i="12"/>
  <c r="W1861" i="12"/>
  <c r="X1861" i="12"/>
  <c r="W1862" i="12"/>
  <c r="W1863" i="12"/>
  <c r="X1862" i="12"/>
  <c r="W1864" i="12"/>
  <c r="X1863" i="12"/>
  <c r="W1865" i="12"/>
  <c r="X1864" i="12"/>
  <c r="X1865" i="12"/>
  <c r="W1866" i="12"/>
  <c r="W1867" i="12"/>
  <c r="X1866" i="12"/>
  <c r="W1868" i="12"/>
  <c r="X1867" i="12"/>
  <c r="X1868" i="12"/>
  <c r="W1869" i="12"/>
  <c r="W1870" i="12"/>
  <c r="X1869" i="12"/>
  <c r="W1871" i="12"/>
  <c r="X1870" i="12"/>
  <c r="W1872" i="12"/>
  <c r="X1871" i="12"/>
  <c r="X1872" i="12"/>
  <c r="W1873" i="12"/>
  <c r="X1873" i="12"/>
  <c r="W1874" i="12"/>
  <c r="W1875" i="12"/>
  <c r="X1874" i="12"/>
  <c r="W1876" i="12"/>
  <c r="X1875" i="12"/>
  <c r="W1877" i="12"/>
  <c r="X1876" i="12"/>
  <c r="X1877" i="12"/>
  <c r="W1878" i="12"/>
  <c r="X1878" i="12"/>
  <c r="W1879" i="12"/>
  <c r="W1880" i="12"/>
  <c r="X1879" i="12"/>
  <c r="X1880" i="12"/>
  <c r="W1881" i="12"/>
  <c r="X1881" i="12"/>
  <c r="W1882" i="12"/>
  <c r="X1882" i="12"/>
  <c r="W1883" i="12"/>
  <c r="W1884" i="12"/>
  <c r="X1883" i="12"/>
  <c r="X1884" i="12"/>
  <c r="W1885" i="12"/>
  <c r="X1885" i="12"/>
  <c r="W1886" i="12"/>
  <c r="X1886" i="12"/>
  <c r="W1887" i="12"/>
  <c r="X1887" i="12"/>
  <c r="W1888" i="12"/>
  <c r="W1889" i="12"/>
  <c r="X1888" i="12"/>
  <c r="W1890" i="12"/>
  <c r="X1889" i="12"/>
  <c r="W1891" i="12"/>
  <c r="X1890" i="12"/>
  <c r="W1892" i="12"/>
  <c r="X1891" i="12"/>
  <c r="W1893" i="12"/>
  <c r="X1892" i="12"/>
  <c r="X1893" i="12"/>
  <c r="W1894" i="12"/>
  <c r="W1895" i="12"/>
  <c r="X1894" i="12"/>
  <c r="X1895" i="12"/>
  <c r="W1896" i="12"/>
  <c r="X1896" i="12"/>
  <c r="W1897" i="12"/>
  <c r="X1897" i="12"/>
  <c r="W1898" i="12"/>
  <c r="W1899" i="12"/>
  <c r="X1898" i="12"/>
  <c r="X1899" i="12"/>
  <c r="W1900" i="12"/>
  <c r="X1900" i="12"/>
  <c r="W1901" i="12"/>
  <c r="X1901" i="12"/>
  <c r="W1902" i="12"/>
  <c r="X1902" i="12"/>
  <c r="W1903" i="12"/>
  <c r="X1903" i="12"/>
  <c r="W1904" i="12"/>
  <c r="W1905" i="12"/>
  <c r="X1904" i="12"/>
  <c r="W1906" i="12"/>
  <c r="X1905" i="12"/>
  <c r="W1907" i="12"/>
  <c r="X1906" i="12"/>
  <c r="X1907" i="12"/>
  <c r="W1908" i="12"/>
  <c r="X1908" i="12"/>
  <c r="W1909" i="12"/>
  <c r="X1909" i="12"/>
  <c r="W1910" i="12"/>
  <c r="W1911" i="12"/>
  <c r="X1910" i="12"/>
  <c r="W1912" i="12"/>
  <c r="X1911" i="12"/>
  <c r="W1913" i="12"/>
  <c r="X1912" i="12"/>
  <c r="X1913" i="12"/>
  <c r="W1914" i="12"/>
  <c r="W1915" i="12"/>
  <c r="X1914" i="12"/>
  <c r="W1916" i="12"/>
  <c r="X1915" i="12"/>
  <c r="X1916" i="12"/>
  <c r="W1917" i="12"/>
  <c r="W1918" i="12"/>
  <c r="X1917" i="12"/>
  <c r="W1919" i="12"/>
  <c r="X1918" i="12"/>
  <c r="W1920" i="12"/>
  <c r="X1919" i="12"/>
  <c r="X1920" i="12"/>
  <c r="W1921" i="12"/>
  <c r="X1921" i="12"/>
  <c r="W1922" i="12"/>
  <c r="X1922" i="12"/>
  <c r="W1923" i="12"/>
  <c r="X1923" i="12"/>
  <c r="W1924" i="12"/>
  <c r="X1924" i="12"/>
  <c r="W1925" i="12"/>
  <c r="W1926" i="12"/>
  <c r="X1925" i="12"/>
  <c r="X1926" i="12"/>
  <c r="W1927" i="12"/>
  <c r="W1928" i="12"/>
  <c r="X1927" i="12"/>
  <c r="W1929" i="12"/>
  <c r="X1928" i="12"/>
  <c r="W1930" i="12"/>
  <c r="X1929" i="12"/>
  <c r="X1930" i="12"/>
  <c r="W1931" i="12"/>
  <c r="X1931" i="12"/>
  <c r="W1932" i="12"/>
  <c r="X1932" i="12"/>
  <c r="W1933" i="12"/>
  <c r="X1933" i="12"/>
  <c r="W1934" i="12"/>
  <c r="W1935" i="12"/>
  <c r="X1934" i="12"/>
  <c r="W1936" i="12"/>
  <c r="X1935" i="12"/>
  <c r="X1936" i="12"/>
  <c r="W1937" i="12"/>
  <c r="X1937" i="12"/>
  <c r="W1938" i="12"/>
  <c r="X1938" i="12"/>
  <c r="W1939" i="12"/>
  <c r="X1939" i="12"/>
  <c r="W1940" i="12"/>
  <c r="X1940" i="12"/>
  <c r="W1941" i="12"/>
  <c r="X1941" i="12"/>
  <c r="W1942" i="12"/>
  <c r="W1943" i="12"/>
  <c r="X1942" i="12"/>
  <c r="W1944" i="12"/>
  <c r="X1943" i="12"/>
  <c r="W1945" i="12"/>
  <c r="X1944" i="12"/>
  <c r="X1945" i="12"/>
  <c r="W1946" i="12"/>
  <c r="W1947" i="12"/>
  <c r="X1946" i="12"/>
  <c r="X1947" i="12"/>
  <c r="W1948" i="12"/>
  <c r="W1949" i="12"/>
  <c r="X1948" i="12"/>
  <c r="W1950" i="12"/>
  <c r="X1949" i="12"/>
  <c r="W1951" i="12"/>
  <c r="X1950" i="12"/>
  <c r="W1952" i="12"/>
  <c r="X1951" i="12"/>
  <c r="X1952" i="12"/>
  <c r="W1953" i="12"/>
  <c r="X1953" i="12"/>
  <c r="W1954" i="12"/>
  <c r="X1954" i="12"/>
  <c r="W1955" i="12"/>
  <c r="W1956" i="12"/>
  <c r="X1955" i="12"/>
  <c r="X1956" i="12"/>
  <c r="W1957" i="12"/>
  <c r="W1958" i="12"/>
  <c r="X1957" i="12"/>
  <c r="X1958" i="12"/>
  <c r="W1959" i="12"/>
  <c r="X1959" i="12"/>
  <c r="W1960" i="12"/>
  <c r="X1960" i="12"/>
  <c r="W1961" i="12"/>
  <c r="W1962" i="12"/>
  <c r="X1961" i="12"/>
  <c r="X1962" i="12"/>
  <c r="W1963" i="12"/>
  <c r="X1963" i="12"/>
  <c r="W1964" i="12"/>
  <c r="X1964" i="12"/>
  <c r="W1965" i="12"/>
  <c r="X1965" i="12"/>
  <c r="W1966" i="12"/>
  <c r="W1967" i="12"/>
  <c r="X1966" i="12"/>
  <c r="X1967" i="12"/>
  <c r="W1968" i="12"/>
  <c r="W1969" i="12"/>
  <c r="X1968" i="12"/>
  <c r="X1969" i="12"/>
  <c r="W1970" i="12"/>
  <c r="W1971" i="12"/>
  <c r="X1970" i="12"/>
  <c r="X1971" i="12"/>
  <c r="W1972" i="12"/>
  <c r="X1972" i="12"/>
  <c r="W1973" i="12"/>
  <c r="W1974" i="12"/>
  <c r="X1973" i="12"/>
  <c r="W1975" i="12"/>
  <c r="X1974" i="12"/>
  <c r="W1976" i="12"/>
  <c r="X1975" i="12"/>
  <c r="X1976" i="12"/>
  <c r="W1977" i="12"/>
  <c r="X1977" i="12"/>
  <c r="W1978" i="12"/>
  <c r="X1978" i="12"/>
  <c r="W1979" i="12"/>
  <c r="W1980" i="12"/>
  <c r="X1979" i="12"/>
  <c r="W1981" i="12"/>
  <c r="X1980" i="12"/>
  <c r="W1982" i="12"/>
  <c r="X1981" i="12"/>
  <c r="W1983" i="12"/>
  <c r="X1982" i="12"/>
  <c r="W1984" i="12"/>
  <c r="X1983" i="12"/>
  <c r="X1984" i="12"/>
  <c r="W1985" i="12"/>
  <c r="W1986" i="12"/>
  <c r="X1985" i="12"/>
  <c r="W1987" i="12"/>
  <c r="X1986" i="12"/>
  <c r="W1988" i="12"/>
  <c r="X1987" i="12"/>
  <c r="W1989" i="12"/>
  <c r="X1988" i="12"/>
  <c r="W1990" i="12"/>
  <c r="X1989" i="12"/>
  <c r="X1990" i="12"/>
  <c r="W1991" i="12"/>
  <c r="W1992" i="12"/>
  <c r="X1991" i="12"/>
  <c r="X1992" i="12"/>
  <c r="W1993" i="12"/>
  <c r="X1993" i="12"/>
  <c r="W1994" i="12"/>
  <c r="W1995" i="12"/>
  <c r="X1994" i="12"/>
  <c r="W1996" i="12"/>
  <c r="X1995" i="12"/>
  <c r="X1996" i="12"/>
  <c r="W1997" i="12"/>
  <c r="W1998" i="12"/>
  <c r="X1997" i="12"/>
  <c r="W1999" i="12"/>
  <c r="X1998" i="12"/>
  <c r="W2000" i="12"/>
  <c r="X1999" i="12"/>
  <c r="X2000" i="12"/>
  <c r="W2001" i="12"/>
  <c r="X2001" i="12"/>
  <c r="W2002" i="12"/>
  <c r="W2003" i="12"/>
  <c r="X2002" i="12"/>
  <c r="X2003" i="12"/>
  <c r="W2004" i="12"/>
  <c r="X2004" i="12"/>
  <c r="W2005" i="12"/>
  <c r="X2005" i="12"/>
  <c r="W2006" i="12"/>
  <c r="W2007" i="12"/>
  <c r="X2006" i="12"/>
  <c r="X2007" i="12"/>
  <c r="W2008" i="12"/>
  <c r="W2009" i="12"/>
  <c r="X2008" i="12"/>
  <c r="W2010" i="12"/>
  <c r="X2009" i="12"/>
  <c r="X2010" i="12"/>
  <c r="W2011" i="12"/>
  <c r="X2011" i="12"/>
  <c r="W2012" i="12"/>
  <c r="X2012" i="12"/>
  <c r="W2013" i="12"/>
  <c r="X2013" i="12"/>
  <c r="W2014" i="12"/>
  <c r="W2015" i="12"/>
  <c r="X2014" i="12"/>
  <c r="X2015" i="12"/>
  <c r="W2016" i="12"/>
  <c r="X2016" i="12"/>
  <c r="W2017" i="12"/>
  <c r="W2018" i="12"/>
  <c r="X2017" i="12"/>
  <c r="X2018" i="12"/>
  <c r="W2019" i="12"/>
  <c r="W2020" i="12"/>
  <c r="X2019" i="12"/>
  <c r="X2020" i="12"/>
  <c r="W2021" i="12"/>
  <c r="X2021" i="12"/>
  <c r="W2022" i="12"/>
  <c r="W2023" i="12"/>
  <c r="X2022" i="12"/>
  <c r="X2023" i="12"/>
  <c r="W2024" i="12"/>
  <c r="W2025" i="12"/>
  <c r="X2024" i="12"/>
  <c r="X2025" i="12"/>
  <c r="W2026" i="12"/>
  <c r="W2027" i="12"/>
  <c r="X2026" i="12"/>
  <c r="W2028" i="12"/>
  <c r="X2027" i="12"/>
  <c r="W2029" i="12"/>
  <c r="X2028" i="12"/>
  <c r="W2030" i="12"/>
  <c r="X2029" i="12"/>
  <c r="X2030" i="12"/>
  <c r="W2031" i="12"/>
  <c r="W2032" i="12"/>
  <c r="X2031" i="12"/>
  <c r="W2033" i="12"/>
  <c r="X2032" i="12"/>
  <c r="X2033" i="12"/>
  <c r="W2034" i="12"/>
  <c r="X2034" i="12"/>
  <c r="W2035" i="12"/>
  <c r="X2035" i="12"/>
  <c r="W2036" i="12"/>
  <c r="X2036" i="12"/>
  <c r="W2037" i="12"/>
  <c r="W2038" i="12"/>
  <c r="X2037" i="12"/>
  <c r="X2038" i="12"/>
  <c r="W2039" i="12"/>
  <c r="X2039" i="12"/>
  <c r="W2040" i="12"/>
  <c r="X2040" i="12"/>
  <c r="W2041" i="12"/>
  <c r="W2042" i="12"/>
  <c r="X2041" i="12"/>
  <c r="X2042" i="12"/>
  <c r="W2043" i="12"/>
  <c r="W2044" i="12"/>
  <c r="X2043" i="12"/>
  <c r="X2044" i="12"/>
  <c r="W2045" i="12"/>
  <c r="W2046" i="12"/>
  <c r="X2045" i="12"/>
  <c r="W2047" i="12"/>
  <c r="X2046" i="12"/>
  <c r="W2048" i="12"/>
  <c r="X2047" i="12"/>
  <c r="X2048" i="12"/>
  <c r="W2049" i="12"/>
  <c r="W2050" i="12"/>
  <c r="X2049" i="12"/>
  <c r="X2050" i="12"/>
  <c r="W2051" i="12"/>
  <c r="W2052" i="12"/>
  <c r="X2051" i="12"/>
  <c r="W2053" i="12"/>
  <c r="X2052" i="12"/>
  <c r="X2053" i="12"/>
  <c r="W2054" i="12"/>
  <c r="W2055" i="12"/>
  <c r="X2054" i="12"/>
  <c r="X2055" i="12"/>
  <c r="W2056" i="12"/>
  <c r="W2057" i="12"/>
  <c r="X2056" i="12"/>
  <c r="X2057" i="12"/>
  <c r="W2058" i="12"/>
  <c r="W2059" i="12"/>
  <c r="X2058" i="12"/>
  <c r="W2060" i="12"/>
  <c r="X2059" i="12"/>
  <c r="X2060" i="12"/>
  <c r="W2061" i="12"/>
  <c r="W2062" i="12"/>
  <c r="X2061" i="12"/>
  <c r="X2062" i="12"/>
  <c r="W2063" i="12"/>
  <c r="X2063" i="12"/>
  <c r="W2064" i="12"/>
  <c r="W2065" i="12"/>
  <c r="X2064" i="12"/>
  <c r="X2065" i="12"/>
  <c r="W2066" i="12"/>
  <c r="W2067" i="12"/>
  <c r="X2066" i="12"/>
  <c r="X2067" i="12"/>
  <c r="W2068" i="12"/>
  <c r="W2069" i="12"/>
  <c r="X2068" i="12"/>
  <c r="W2070" i="12"/>
  <c r="X2069" i="12"/>
  <c r="W2071" i="12"/>
  <c r="X2070" i="12"/>
  <c r="X2071" i="12"/>
  <c r="W2072" i="12"/>
  <c r="X2072" i="12"/>
  <c r="W2073" i="12"/>
  <c r="X2073" i="12"/>
  <c r="W2074" i="12"/>
  <c r="W2075" i="12"/>
  <c r="X2074" i="12"/>
  <c r="W2076" i="12"/>
  <c r="X2075" i="12"/>
  <c r="W2077" i="12"/>
  <c r="X2076" i="12"/>
  <c r="W2078" i="12"/>
  <c r="X2077" i="12"/>
  <c r="X2078" i="12"/>
  <c r="W2079" i="12"/>
  <c r="W2080" i="12"/>
  <c r="X2079" i="12"/>
  <c r="W2081" i="12"/>
  <c r="X2080" i="12"/>
  <c r="X2081" i="12"/>
  <c r="W2082" i="12"/>
  <c r="W2083" i="12"/>
  <c r="X2082" i="12"/>
  <c r="X2083" i="12"/>
  <c r="W2084" i="12"/>
  <c r="W2085" i="12"/>
  <c r="X2084" i="12"/>
  <c r="X2085" i="12"/>
  <c r="W2086" i="12"/>
  <c r="W2087" i="12"/>
  <c r="X2086" i="12"/>
  <c r="W2088" i="12"/>
  <c r="X2087" i="12"/>
  <c r="W2089" i="12"/>
  <c r="X2088" i="12"/>
  <c r="W2090" i="12"/>
  <c r="X2089" i="12"/>
  <c r="W2091" i="12"/>
  <c r="X2090" i="12"/>
  <c r="W2092" i="12"/>
  <c r="X2091" i="12"/>
  <c r="W2093" i="12"/>
  <c r="X2092" i="12"/>
  <c r="X2093" i="12"/>
  <c r="W2094" i="12"/>
  <c r="W2095" i="12"/>
  <c r="X2094" i="12"/>
  <c r="X2095" i="12"/>
  <c r="W2096" i="12"/>
  <c r="W2097" i="12"/>
  <c r="X2096" i="12"/>
  <c r="X2097" i="12"/>
  <c r="W2098" i="12"/>
  <c r="W2099" i="12"/>
  <c r="X2098" i="12"/>
  <c r="W2100" i="12"/>
  <c r="X2099" i="12"/>
  <c r="W2101" i="12"/>
  <c r="X2100" i="12"/>
  <c r="W2102" i="12"/>
  <c r="X2101" i="12"/>
  <c r="W2103" i="12"/>
  <c r="X2102" i="12"/>
  <c r="W2104" i="12"/>
  <c r="X2103" i="12"/>
  <c r="X2104" i="12"/>
  <c r="W2105" i="12"/>
  <c r="X2105" i="12"/>
  <c r="W2106" i="12"/>
  <c r="W2107" i="12"/>
  <c r="X2106" i="12"/>
  <c r="W2108" i="12"/>
  <c r="X2107" i="12"/>
  <c r="W2109" i="12"/>
  <c r="X2108" i="12"/>
  <c r="W2110" i="12"/>
  <c r="X2109" i="12"/>
  <c r="W2111" i="12"/>
  <c r="X2110" i="12"/>
  <c r="W2112" i="12"/>
  <c r="X2111" i="12"/>
  <c r="W2113" i="12"/>
  <c r="X2112" i="12"/>
  <c r="X2113" i="12"/>
  <c r="W2114" i="12"/>
  <c r="W2115" i="12"/>
  <c r="X2114" i="12"/>
  <c r="W2116" i="12"/>
  <c r="X2115" i="12"/>
  <c r="W2117" i="12"/>
  <c r="X2116" i="12"/>
  <c r="X2117" i="12"/>
  <c r="W2118" i="12"/>
  <c r="W2119" i="12"/>
  <c r="X2118" i="12"/>
  <c r="X2119" i="12"/>
  <c r="W2120" i="12"/>
  <c r="X2120" i="12"/>
  <c r="W2121" i="12"/>
  <c r="W2122" i="12"/>
  <c r="X2121" i="12"/>
  <c r="W2123" i="12"/>
  <c r="X2122" i="12"/>
  <c r="W2124" i="12"/>
  <c r="X2123" i="12"/>
  <c r="X2124" i="12"/>
  <c r="W2125" i="12"/>
  <c r="X2125" i="12"/>
  <c r="W2126" i="12"/>
  <c r="W2127" i="12"/>
  <c r="X2126" i="12"/>
  <c r="X2127" i="12"/>
  <c r="W2128" i="12"/>
  <c r="W2129" i="12"/>
  <c r="X2128" i="12"/>
  <c r="X2129" i="12"/>
  <c r="W2130" i="12"/>
  <c r="W2131" i="12"/>
  <c r="X2130" i="12"/>
  <c r="W2132" i="12"/>
  <c r="X2131" i="12"/>
  <c r="W2133" i="12"/>
  <c r="X2132" i="12"/>
  <c r="W2134" i="12"/>
  <c r="X2133" i="12"/>
  <c r="W2135" i="12"/>
  <c r="X2134" i="12"/>
  <c r="W2136" i="12"/>
  <c r="X2135" i="12"/>
  <c r="W2137" i="12"/>
  <c r="X2136" i="12"/>
  <c r="X2137" i="12"/>
  <c r="W2138" i="12"/>
  <c r="W2139" i="12"/>
  <c r="X2138" i="12"/>
  <c r="W2140" i="12"/>
  <c r="X2139" i="12"/>
  <c r="W2141" i="12"/>
  <c r="X2140" i="12"/>
  <c r="X2141" i="12"/>
  <c r="W2142" i="12"/>
  <c r="W2143" i="12"/>
  <c r="X2142" i="12"/>
  <c r="W2144" i="12"/>
  <c r="X2143" i="12"/>
  <c r="W2145" i="12"/>
  <c r="X2144" i="12"/>
  <c r="W2146" i="12"/>
  <c r="X2145" i="12"/>
  <c r="W2147" i="12"/>
  <c r="X2146" i="12"/>
  <c r="W2148" i="12"/>
  <c r="X2147" i="12"/>
  <c r="W2149" i="12"/>
  <c r="X2148" i="12"/>
  <c r="X2149" i="12"/>
  <c r="W2150" i="12"/>
  <c r="W2151" i="12"/>
  <c r="X2150" i="12"/>
  <c r="X2151" i="12"/>
  <c r="W2152" i="12"/>
  <c r="W2153" i="12"/>
  <c r="X2152" i="12"/>
  <c r="W2154" i="12"/>
  <c r="X2153" i="12"/>
  <c r="W2155" i="12"/>
  <c r="X2154" i="12"/>
  <c r="W2156" i="12"/>
  <c r="X2155" i="12"/>
  <c r="X2156" i="12"/>
  <c r="W2157" i="12"/>
  <c r="W2158" i="12"/>
  <c r="X2157" i="12"/>
  <c r="W2159" i="12"/>
  <c r="X2158" i="12"/>
  <c r="X2159" i="12"/>
  <c r="W2160" i="12"/>
  <c r="W2161" i="12"/>
  <c r="X2160" i="12"/>
  <c r="X2161" i="12"/>
  <c r="W2162" i="12"/>
  <c r="W2163" i="12"/>
  <c r="X2162" i="12"/>
  <c r="W2164" i="12"/>
  <c r="X2163" i="12"/>
  <c r="W2165" i="12"/>
  <c r="X2164" i="12"/>
  <c r="W2166" i="12"/>
  <c r="X2165" i="12"/>
  <c r="W2167" i="12"/>
  <c r="X2166" i="12"/>
  <c r="X2167" i="12"/>
  <c r="W2168" i="12"/>
  <c r="W2169" i="12"/>
  <c r="X2168" i="12"/>
  <c r="W2170" i="12"/>
  <c r="X2169" i="12"/>
  <c r="X2170" i="12"/>
  <c r="W2171" i="12"/>
  <c r="W2172" i="12"/>
  <c r="X2171" i="12"/>
  <c r="W2173" i="12"/>
  <c r="X2172" i="12"/>
  <c r="W2174" i="12"/>
  <c r="X2173" i="12"/>
  <c r="X2174" i="12"/>
  <c r="W2175" i="12"/>
  <c r="W2176" i="12"/>
  <c r="X2175" i="12"/>
  <c r="X2176" i="12"/>
  <c r="W2177" i="12"/>
  <c r="W2178" i="12"/>
  <c r="X2177" i="12"/>
  <c r="X2178" i="12"/>
  <c r="W2179" i="12"/>
  <c r="X2179" i="12"/>
  <c r="W2180" i="12"/>
  <c r="X2180" i="12"/>
  <c r="W2181" i="12"/>
  <c r="X2181" i="12"/>
  <c r="W2182" i="12"/>
  <c r="X2182" i="12"/>
  <c r="W2183" i="12"/>
  <c r="X2183" i="12"/>
  <c r="W2184" i="12"/>
  <c r="X2184" i="12"/>
  <c r="W2185" i="12"/>
  <c r="X2185" i="12"/>
  <c r="W2186" i="12"/>
  <c r="X2186" i="12"/>
  <c r="W2187" i="12"/>
  <c r="W2188" i="12"/>
  <c r="X2187" i="12"/>
  <c r="W2189" i="12"/>
  <c r="X2188" i="12"/>
  <c r="W2190" i="12"/>
  <c r="X2189" i="12"/>
  <c r="W2191" i="12"/>
  <c r="X2190" i="12"/>
  <c r="X2191" i="12"/>
  <c r="W2192" i="12"/>
  <c r="X2192" i="12"/>
  <c r="W2193" i="12"/>
  <c r="W2194" i="12"/>
  <c r="X2193" i="12"/>
  <c r="X2194" i="12"/>
  <c r="W2195" i="12"/>
  <c r="W2196" i="12"/>
  <c r="X2195" i="12"/>
  <c r="X2196" i="12"/>
  <c r="W2197" i="12"/>
  <c r="X2197" i="12"/>
  <c r="W2198" i="12"/>
  <c r="X2198" i="12"/>
  <c r="W2199" i="12"/>
  <c r="W2200" i="12"/>
  <c r="X2199" i="12"/>
  <c r="W2201" i="12"/>
  <c r="X2200" i="12"/>
  <c r="W2202" i="12"/>
  <c r="X2201" i="12"/>
  <c r="X2202" i="12"/>
  <c r="W2203" i="12"/>
  <c r="W2204" i="12"/>
  <c r="X2203" i="12"/>
  <c r="X2204" i="12"/>
  <c r="W2205" i="12"/>
  <c r="W2206" i="12"/>
  <c r="X2205" i="12"/>
  <c r="X2206" i="12"/>
  <c r="W2207" i="12"/>
  <c r="W2208" i="12"/>
  <c r="X2207" i="12"/>
  <c r="W2209" i="12"/>
  <c r="X2208" i="12"/>
  <c r="X2209" i="12"/>
  <c r="W2210" i="12"/>
  <c r="W2211" i="12"/>
  <c r="X2210" i="12"/>
  <c r="W2212" i="12"/>
  <c r="X2211" i="12"/>
  <c r="W2213" i="12"/>
  <c r="X2212" i="12"/>
  <c r="X2213" i="12"/>
  <c r="W2214" i="12"/>
  <c r="W2215" i="12"/>
  <c r="X2214" i="12"/>
  <c r="X2215" i="12"/>
  <c r="W2216" i="12"/>
  <c r="X2216" i="12"/>
  <c r="W2217" i="12"/>
  <c r="X2217" i="12"/>
  <c r="W2218" i="12"/>
  <c r="W2219" i="12"/>
  <c r="X2218" i="12"/>
  <c r="W2220" i="12"/>
  <c r="X2219" i="12"/>
  <c r="X2220" i="12"/>
  <c r="W2221" i="12"/>
  <c r="X2221" i="12"/>
  <c r="W2222" i="12"/>
  <c r="X2222" i="12"/>
  <c r="W2223" i="12"/>
  <c r="X2223" i="12"/>
  <c r="W2224" i="12"/>
  <c r="W2225" i="12"/>
  <c r="X2224" i="12"/>
  <c r="X2225" i="12"/>
  <c r="W2226" i="12"/>
  <c r="W2227" i="12"/>
  <c r="X2226" i="12"/>
  <c r="X2227" i="12"/>
  <c r="W2228" i="12"/>
  <c r="W2229" i="12"/>
  <c r="X2228" i="12"/>
  <c r="W2230" i="12"/>
  <c r="X2229" i="12"/>
  <c r="W2231" i="12"/>
  <c r="X2230" i="12"/>
  <c r="W2232" i="12"/>
  <c r="X2231" i="12"/>
  <c r="X2232" i="12"/>
  <c r="W2233" i="12"/>
  <c r="W2234" i="12"/>
  <c r="X2233" i="12"/>
  <c r="X2234" i="12"/>
  <c r="W2235" i="12"/>
  <c r="W2236" i="12"/>
  <c r="X2235" i="12"/>
  <c r="W2237" i="12"/>
  <c r="X2236" i="12"/>
  <c r="X2237" i="12"/>
  <c r="W2238" i="12"/>
  <c r="X2238" i="12"/>
  <c r="W2239" i="12"/>
  <c r="W2240" i="12"/>
  <c r="X2239" i="12"/>
  <c r="W2241" i="12"/>
  <c r="X2240" i="12"/>
  <c r="X2241" i="12"/>
  <c r="W2242" i="12"/>
  <c r="W2243" i="12"/>
  <c r="X2242" i="12"/>
  <c r="W2244" i="12"/>
  <c r="X2243" i="12"/>
  <c r="W2245" i="12"/>
  <c r="X2244" i="12"/>
  <c r="X2245" i="12"/>
  <c r="W2246" i="12"/>
  <c r="W2247" i="12"/>
  <c r="X2246" i="12"/>
  <c r="X2247" i="12"/>
  <c r="W2248" i="12"/>
  <c r="W2249" i="12"/>
  <c r="X2248" i="12"/>
  <c r="X2249" i="12"/>
  <c r="W2250" i="12"/>
  <c r="W2251" i="12"/>
  <c r="X2250" i="12"/>
  <c r="W2252" i="12"/>
  <c r="X2251" i="12"/>
  <c r="W2253" i="12"/>
  <c r="X2252" i="12"/>
  <c r="X2253" i="12"/>
  <c r="W2254" i="12"/>
  <c r="X2254" i="12"/>
  <c r="W2255" i="12"/>
  <c r="W2256" i="12"/>
  <c r="X2255" i="12"/>
  <c r="W2257" i="12"/>
  <c r="X2256" i="12"/>
  <c r="W2258" i="12"/>
  <c r="X2257" i="12"/>
  <c r="W2259" i="12"/>
  <c r="X2258" i="12"/>
  <c r="X2259" i="12"/>
  <c r="W2260" i="12"/>
  <c r="W2261" i="12"/>
  <c r="X2260" i="12"/>
  <c r="W2262" i="12"/>
  <c r="X2261" i="12"/>
  <c r="W2263" i="12"/>
  <c r="X2262" i="12"/>
  <c r="W2264" i="12"/>
  <c r="X2263" i="12"/>
  <c r="W2265" i="12"/>
  <c r="X2264" i="12"/>
  <c r="W2266" i="12"/>
  <c r="X2265" i="12"/>
  <c r="W2267" i="12"/>
  <c r="X2266" i="12"/>
  <c r="W2268" i="12"/>
  <c r="X2267" i="12"/>
  <c r="W2269" i="12"/>
  <c r="X2268" i="12"/>
  <c r="W2270" i="12"/>
  <c r="X2269" i="12"/>
  <c r="X2270" i="12"/>
  <c r="W2271" i="12"/>
  <c r="W2272" i="12"/>
  <c r="X2271" i="12"/>
  <c r="W2273" i="12"/>
  <c r="X2272" i="12"/>
  <c r="W2274" i="12"/>
  <c r="X2273" i="12"/>
  <c r="W2275" i="12"/>
  <c r="X2274" i="12"/>
  <c r="X2275" i="12"/>
  <c r="W2276" i="12"/>
  <c r="W2277" i="12"/>
  <c r="X2276" i="12"/>
  <c r="W2278" i="12"/>
  <c r="X2277" i="12"/>
  <c r="W2279" i="12"/>
  <c r="X2278" i="12"/>
  <c r="X2279" i="12"/>
  <c r="W2280" i="12"/>
  <c r="W2281" i="12"/>
  <c r="X2280" i="12"/>
  <c r="X2281" i="12"/>
  <c r="W2282" i="12"/>
  <c r="W2283" i="12"/>
  <c r="X2282" i="12"/>
  <c r="W2284" i="12"/>
  <c r="X2283" i="12"/>
  <c r="W2285" i="12"/>
  <c r="X2284" i="12"/>
  <c r="W2286" i="12"/>
  <c r="X2285" i="12"/>
  <c r="W2287" i="12"/>
  <c r="X2286" i="12"/>
  <c r="X2287" i="12"/>
  <c r="W2288" i="12"/>
  <c r="W2289" i="12"/>
  <c r="X2288" i="12"/>
  <c r="W2290" i="12"/>
  <c r="X2289" i="12"/>
  <c r="W2291" i="12"/>
  <c r="X2290" i="12"/>
  <c r="X2291" i="12"/>
  <c r="W2292" i="12"/>
  <c r="W2293" i="12"/>
  <c r="X2292" i="12"/>
  <c r="W2294" i="12"/>
  <c r="X2293" i="12"/>
  <c r="W2295" i="12"/>
  <c r="X2294" i="12"/>
  <c r="X2295" i="12"/>
  <c r="W2296" i="12"/>
  <c r="X2296" i="12"/>
  <c r="W2297" i="12"/>
  <c r="W2298" i="12"/>
  <c r="X2297" i="12"/>
  <c r="W2299" i="12"/>
  <c r="X2298" i="12"/>
  <c r="W2300" i="12"/>
  <c r="X2299" i="12"/>
  <c r="W2301" i="12"/>
  <c r="X2300" i="12"/>
  <c r="W2302" i="12"/>
  <c r="X2301" i="12"/>
  <c r="X2302" i="12"/>
  <c r="W2303" i="12"/>
  <c r="W2304" i="12"/>
  <c r="X2303" i="12"/>
  <c r="W2305" i="12"/>
  <c r="X2304" i="12"/>
  <c r="W2306" i="12"/>
  <c r="X2305" i="12"/>
  <c r="W2307" i="12"/>
  <c r="X2306" i="12"/>
  <c r="W2308" i="12"/>
  <c r="X2307" i="12"/>
  <c r="W2309" i="12"/>
  <c r="X2308" i="12"/>
  <c r="X2309" i="12"/>
  <c r="W2310" i="12"/>
  <c r="W2311" i="12"/>
  <c r="X2310" i="12"/>
  <c r="X2311" i="12"/>
  <c r="W2312" i="12"/>
  <c r="W2313" i="12"/>
  <c r="X2312" i="12"/>
  <c r="X2313" i="12"/>
  <c r="W2314" i="12"/>
  <c r="W2315" i="12"/>
  <c r="X2314" i="12"/>
  <c r="W2316" i="12"/>
  <c r="X2315" i="12"/>
  <c r="X2316" i="12"/>
  <c r="W2317" i="12"/>
  <c r="W2318" i="12"/>
  <c r="X2317" i="12"/>
  <c r="X2318" i="12"/>
  <c r="W2319" i="12"/>
  <c r="W2320" i="12"/>
  <c r="X2319" i="12"/>
  <c r="W2321" i="12"/>
  <c r="X2320" i="12"/>
  <c r="X2321" i="12"/>
  <c r="W2322" i="12"/>
  <c r="W2323" i="12"/>
  <c r="X2322" i="12"/>
  <c r="X2323" i="12"/>
  <c r="W2324" i="12"/>
  <c r="W2325" i="12"/>
  <c r="X2324" i="12"/>
  <c r="W2326" i="12"/>
  <c r="X2325" i="12"/>
  <c r="W2327" i="12"/>
  <c r="X2326" i="12"/>
  <c r="X2327" i="12"/>
  <c r="W2328" i="12"/>
  <c r="W2329" i="12"/>
  <c r="X2328" i="12"/>
  <c r="X2329" i="12"/>
  <c r="W2330" i="12"/>
  <c r="W2331" i="12"/>
  <c r="X2330" i="12"/>
  <c r="W2332" i="12"/>
  <c r="X2331" i="12"/>
  <c r="W2333" i="12"/>
  <c r="X2332" i="12"/>
  <c r="W2334" i="12"/>
  <c r="X2333" i="12"/>
  <c r="X2334" i="12"/>
  <c r="W2335" i="12"/>
  <c r="W2336" i="12"/>
  <c r="X2335" i="12"/>
  <c r="W2337" i="12"/>
  <c r="X2336" i="12"/>
  <c r="X2337" i="12"/>
  <c r="W2338" i="12"/>
  <c r="W2339" i="12"/>
  <c r="X2338" i="12"/>
  <c r="W2340" i="12"/>
  <c r="X2339" i="12"/>
  <c r="W2341" i="12"/>
  <c r="X2340" i="12"/>
  <c r="X2341" i="12"/>
  <c r="W2342" i="12"/>
  <c r="W2343" i="12"/>
  <c r="X2342" i="12"/>
  <c r="X2343" i="12"/>
  <c r="W2344" i="12"/>
  <c r="X2344" i="12"/>
  <c r="W2345" i="12"/>
  <c r="X2345" i="12"/>
  <c r="W2346" i="12"/>
  <c r="W2347" i="12"/>
  <c r="X2346" i="12"/>
  <c r="W2348" i="12"/>
  <c r="X2347" i="12"/>
  <c r="W2349" i="12"/>
  <c r="X2348" i="12"/>
  <c r="W2350" i="12"/>
  <c r="X2349" i="12"/>
  <c r="X2350" i="12"/>
  <c r="W2351" i="12"/>
  <c r="X2351" i="12"/>
  <c r="W2352" i="12"/>
  <c r="W2353" i="12"/>
  <c r="X2352" i="12"/>
  <c r="X2353" i="12"/>
  <c r="W2354" i="12"/>
  <c r="W2355" i="12"/>
  <c r="X2354" i="12"/>
  <c r="X2355" i="12"/>
  <c r="W2356" i="12"/>
  <c r="W2357" i="12"/>
  <c r="X2356" i="12"/>
  <c r="W2358" i="12"/>
  <c r="X2357" i="12"/>
  <c r="W2359" i="12"/>
  <c r="X2358" i="12"/>
  <c r="X2359" i="12"/>
  <c r="W2360" i="12"/>
  <c r="W2361" i="12"/>
  <c r="X2360" i="12"/>
  <c r="X2361" i="12"/>
  <c r="W2362" i="12"/>
  <c r="X2362" i="12"/>
  <c r="W2363" i="12"/>
  <c r="W2364" i="12"/>
  <c r="X2363" i="12"/>
  <c r="W2365" i="12"/>
  <c r="X2364" i="12"/>
  <c r="W2366" i="12"/>
  <c r="X2365" i="12"/>
  <c r="W2367" i="12"/>
  <c r="X2366" i="12"/>
  <c r="W2368" i="12"/>
  <c r="X2367" i="12"/>
  <c r="W2369" i="12"/>
  <c r="X2368" i="12"/>
  <c r="X2369" i="12"/>
  <c r="W2370" i="12"/>
  <c r="X2370" i="12"/>
  <c r="W2371" i="12"/>
  <c r="X2371" i="12"/>
  <c r="W2372" i="12"/>
  <c r="X2372" i="12"/>
  <c r="W2373" i="12"/>
  <c r="X2373" i="12"/>
  <c r="W2374" i="12"/>
  <c r="X2374" i="12"/>
  <c r="W2375" i="12"/>
  <c r="X2375" i="12"/>
  <c r="W2376" i="12"/>
  <c r="X2376" i="12"/>
  <c r="W2377" i="12"/>
  <c r="X2377" i="12"/>
  <c r="W2378" i="12"/>
  <c r="X2378" i="12"/>
  <c r="W2379" i="12"/>
  <c r="X2379" i="12"/>
  <c r="W2380" i="12"/>
  <c r="W2381" i="12"/>
  <c r="X2380" i="12"/>
  <c r="X2381" i="12"/>
  <c r="W2382" i="12"/>
  <c r="W2383" i="12"/>
  <c r="X2382" i="12"/>
  <c r="W2384" i="12"/>
  <c r="X2383" i="12"/>
  <c r="X2384" i="12"/>
  <c r="W2385" i="12"/>
  <c r="X2385" i="12"/>
  <c r="W2386" i="12"/>
  <c r="X2386" i="12"/>
  <c r="W2387" i="12"/>
  <c r="X2387" i="12"/>
  <c r="W2388" i="12"/>
  <c r="X2388" i="12"/>
  <c r="W2389" i="12"/>
  <c r="W2390" i="12"/>
  <c r="X2389" i="12"/>
  <c r="X2390" i="12"/>
  <c r="W2391" i="12"/>
  <c r="X2391" i="12"/>
  <c r="W2392" i="12"/>
  <c r="W2393" i="12"/>
  <c r="X2392" i="12"/>
  <c r="W2394" i="12"/>
  <c r="X2393" i="12"/>
  <c r="X2394" i="12"/>
  <c r="W2395" i="12"/>
  <c r="W2396" i="12"/>
  <c r="X2395" i="12"/>
  <c r="W2397" i="12"/>
  <c r="X2396" i="12"/>
  <c r="W2398" i="12"/>
  <c r="X2397" i="12"/>
  <c r="W2399" i="12"/>
  <c r="X2398" i="12"/>
  <c r="W2400" i="12"/>
  <c r="X2399" i="12"/>
  <c r="W2401" i="12"/>
  <c r="X2400" i="12"/>
  <c r="X2401" i="12"/>
  <c r="W2402" i="12"/>
  <c r="X2402" i="12"/>
  <c r="W2403" i="12"/>
  <c r="W2404" i="12"/>
  <c r="X2403" i="12"/>
  <c r="X2404" i="12"/>
  <c r="W2405" i="12"/>
  <c r="X2405" i="12"/>
  <c r="W2406" i="12"/>
  <c r="X2406" i="12"/>
  <c r="W2407" i="12"/>
  <c r="X2407" i="12"/>
  <c r="W2408" i="12"/>
  <c r="X2408" i="12"/>
  <c r="W2409" i="12"/>
  <c r="W2410" i="12"/>
  <c r="X2409" i="12"/>
  <c r="X2410" i="12"/>
  <c r="W2411" i="12"/>
  <c r="X2411" i="12"/>
  <c r="W2412" i="12"/>
  <c r="W2413" i="12"/>
  <c r="X2412" i="12"/>
  <c r="W2414" i="12"/>
  <c r="X2413" i="12"/>
  <c r="X2414" i="12"/>
  <c r="W2415" i="12"/>
  <c r="W2416" i="12"/>
  <c r="X2415" i="12"/>
  <c r="X2416" i="12"/>
  <c r="W2417" i="12"/>
  <c r="W2418" i="12"/>
  <c r="X2417" i="12"/>
  <c r="X2418" i="12"/>
  <c r="W2419" i="12"/>
  <c r="X2419" i="12"/>
  <c r="W2420" i="12"/>
  <c r="X2420" i="12"/>
  <c r="W2421" i="12"/>
  <c r="X2421" i="12"/>
  <c r="W2422" i="12"/>
  <c r="X2422" i="12"/>
  <c r="W2423" i="12"/>
  <c r="W2424" i="12"/>
  <c r="X2423" i="12"/>
  <c r="W2425" i="12"/>
  <c r="X2424" i="12"/>
  <c r="X2425" i="12"/>
  <c r="W2426" i="12"/>
  <c r="W2427" i="12"/>
  <c r="X2426" i="12"/>
  <c r="W2428" i="12"/>
  <c r="X2427" i="12"/>
  <c r="X2428" i="12"/>
  <c r="W2429" i="12"/>
  <c r="W2430" i="12"/>
  <c r="X2429" i="12"/>
  <c r="W2431" i="12"/>
  <c r="X2430" i="12"/>
  <c r="W2432" i="12"/>
  <c r="X2431" i="12"/>
  <c r="W2433" i="12"/>
  <c r="X2432" i="12"/>
  <c r="W2434" i="12"/>
  <c r="X2433" i="12"/>
  <c r="W2435" i="12"/>
  <c r="X2434" i="12"/>
  <c r="X2435" i="12"/>
  <c r="W2436" i="12"/>
  <c r="W2437" i="12"/>
  <c r="X2436" i="12"/>
  <c r="W2438" i="12"/>
  <c r="X2437" i="12"/>
  <c r="W2439" i="12"/>
  <c r="X2438" i="12"/>
  <c r="X2439" i="12"/>
  <c r="W2440" i="12"/>
  <c r="W2441" i="12"/>
  <c r="X2440" i="12"/>
  <c r="W2442" i="12"/>
  <c r="X2441" i="12"/>
  <c r="W2443" i="12"/>
  <c r="X2442" i="12"/>
  <c r="W2444" i="12"/>
  <c r="X2443" i="12"/>
  <c r="W2445" i="12"/>
  <c r="X2444" i="12"/>
  <c r="W2446" i="12"/>
  <c r="X2445" i="12"/>
  <c r="X2446" i="12"/>
  <c r="W2447" i="12"/>
  <c r="X2447" i="12"/>
  <c r="W2448" i="12"/>
  <c r="W2449" i="12"/>
  <c r="X2448" i="12"/>
  <c r="X2449" i="12"/>
  <c r="W2450" i="12"/>
  <c r="W2451" i="12"/>
  <c r="X2450" i="12"/>
  <c r="W2452" i="12"/>
  <c r="X2451" i="12"/>
  <c r="X2452" i="12"/>
  <c r="W2453" i="12"/>
  <c r="X2453" i="12"/>
  <c r="W2454" i="12"/>
  <c r="W2455" i="12"/>
  <c r="X2454" i="12"/>
  <c r="W2456" i="12"/>
  <c r="X2455" i="12"/>
  <c r="X2456" i="12"/>
  <c r="W2457" i="12"/>
  <c r="W2458" i="12"/>
  <c r="X2457" i="12"/>
  <c r="X2458" i="12"/>
  <c r="W2459" i="12"/>
  <c r="X2459" i="12"/>
  <c r="W2460" i="12"/>
  <c r="W2461" i="12"/>
  <c r="X2460" i="12"/>
  <c r="X2461" i="12"/>
  <c r="W2462" i="12"/>
  <c r="W2463" i="12"/>
  <c r="X2462" i="12"/>
  <c r="X2463" i="12"/>
  <c r="W2464" i="12"/>
  <c r="X2464" i="12"/>
  <c r="W2465" i="12"/>
  <c r="W2466" i="12"/>
  <c r="X2465" i="12"/>
  <c r="W2467" i="12"/>
  <c r="X2466" i="12"/>
  <c r="X2467" i="12"/>
  <c r="W2468" i="12"/>
  <c r="X2468" i="12"/>
  <c r="W2469" i="12"/>
  <c r="W2470" i="12"/>
  <c r="X2469" i="12"/>
  <c r="W2471" i="12"/>
  <c r="X2470" i="12"/>
  <c r="X2471" i="12"/>
  <c r="W2472" i="12"/>
  <c r="X2472" i="12"/>
  <c r="W2473" i="12"/>
  <c r="X2473" i="12"/>
  <c r="W2474" i="12"/>
  <c r="W2475" i="12"/>
  <c r="X2474" i="12"/>
  <c r="X2475" i="12"/>
  <c r="W2476" i="12"/>
  <c r="W2477" i="12"/>
  <c r="X2476" i="12"/>
  <c r="X2477" i="12"/>
  <c r="W2478" i="12"/>
  <c r="X2478" i="12"/>
  <c r="W2479" i="12"/>
  <c r="X2479" i="12"/>
  <c r="W2480" i="12"/>
  <c r="X2480" i="12"/>
  <c r="W2481" i="12"/>
  <c r="X2481" i="12"/>
  <c r="W2482" i="12"/>
  <c r="W2483" i="12"/>
  <c r="X2482" i="12"/>
  <c r="X2483" i="12"/>
  <c r="W2484" i="12"/>
  <c r="W2485" i="12"/>
  <c r="X2484" i="12"/>
  <c r="X2485" i="12"/>
  <c r="W2486" i="12"/>
  <c r="X2486" i="12"/>
  <c r="W2487" i="12"/>
  <c r="X2487" i="12"/>
  <c r="W2488" i="12"/>
  <c r="X2488" i="12"/>
  <c r="W2489" i="12"/>
  <c r="X2489" i="12"/>
  <c r="W2490" i="12"/>
  <c r="W2491" i="12"/>
  <c r="X2490" i="12"/>
  <c r="W2492" i="12"/>
  <c r="X2491" i="12"/>
  <c r="W2493" i="12"/>
  <c r="X2492" i="12"/>
  <c r="W2494" i="12"/>
  <c r="X2493" i="12"/>
  <c r="W2495" i="12"/>
  <c r="X2494" i="12"/>
  <c r="W2496" i="12"/>
  <c r="X2495" i="12"/>
  <c r="W2497" i="12"/>
  <c r="X2496" i="12"/>
  <c r="X2497" i="12"/>
  <c r="W2498" i="12"/>
  <c r="W2499" i="12"/>
  <c r="X2498" i="12"/>
  <c r="W2500" i="12"/>
  <c r="X2499" i="12"/>
  <c r="W2501" i="12"/>
  <c r="X2500" i="12"/>
  <c r="X2501" i="12"/>
  <c r="W2502" i="12"/>
  <c r="W2503" i="12"/>
  <c r="X2502" i="12"/>
  <c r="W2504" i="12"/>
  <c r="X2503" i="12"/>
  <c r="X2504" i="12"/>
  <c r="W2505" i="12"/>
  <c r="X2505" i="12"/>
  <c r="W2506" i="12"/>
  <c r="W2507" i="12"/>
  <c r="X2506" i="12"/>
  <c r="X2507" i="12"/>
  <c r="W2508" i="12"/>
  <c r="X2508" i="12"/>
  <c r="W2509" i="12"/>
  <c r="W2510" i="12"/>
  <c r="X2509" i="12"/>
  <c r="X2510" i="12"/>
  <c r="W2511" i="12"/>
  <c r="X2511" i="12"/>
  <c r="W2512" i="12"/>
  <c r="W2513" i="12"/>
  <c r="X2512" i="12"/>
  <c r="X2513" i="12"/>
  <c r="W2514" i="12"/>
  <c r="W2515" i="12"/>
  <c r="X2514" i="12"/>
  <c r="X2515" i="12"/>
  <c r="W2516" i="12"/>
  <c r="X2516" i="12"/>
  <c r="W2517" i="12"/>
  <c r="X2517" i="12"/>
  <c r="W2518" i="12"/>
  <c r="W2519" i="12"/>
  <c r="X2518" i="12"/>
  <c r="X2519" i="12"/>
  <c r="W2520" i="12"/>
  <c r="X2520" i="12"/>
  <c r="W2521" i="12"/>
  <c r="W2522" i="12"/>
  <c r="X2521" i="12"/>
  <c r="W2523" i="12"/>
  <c r="X2522" i="12"/>
  <c r="W2524" i="12"/>
  <c r="X2523" i="12"/>
  <c r="W2525" i="12"/>
  <c r="X2524" i="12"/>
  <c r="W2526" i="12"/>
  <c r="X2525" i="12"/>
  <c r="W2527" i="12"/>
  <c r="X2526" i="12"/>
  <c r="X2527" i="12"/>
  <c r="W2528" i="12"/>
  <c r="X2528" i="12"/>
  <c r="W2529" i="12"/>
  <c r="X2529" i="12"/>
  <c r="W2530" i="12"/>
  <c r="W2531" i="12"/>
  <c r="X2530" i="12"/>
  <c r="W2532" i="12"/>
  <c r="X2531" i="12"/>
  <c r="X2532" i="12"/>
  <c r="W2533" i="12"/>
  <c r="W2534" i="12"/>
  <c r="X2533" i="12"/>
  <c r="W2535" i="12"/>
  <c r="X2534" i="12"/>
  <c r="X2535" i="12"/>
  <c r="W2536" i="12"/>
  <c r="W2537" i="12"/>
  <c r="X2536" i="12"/>
  <c r="W2538" i="12"/>
  <c r="X2537" i="12"/>
  <c r="X2538" i="12"/>
  <c r="W2539" i="12"/>
  <c r="X2539" i="12"/>
  <c r="W2540" i="12"/>
  <c r="W2541" i="12"/>
  <c r="X2540" i="12"/>
  <c r="W2542" i="12"/>
  <c r="X2541" i="12"/>
  <c r="W2543" i="12"/>
  <c r="X2542" i="12"/>
  <c r="X2543" i="12"/>
  <c r="W2544" i="12"/>
  <c r="X2544" i="12"/>
  <c r="W2545" i="12"/>
  <c r="X2545" i="12"/>
  <c r="W2546" i="12"/>
  <c r="X2546" i="12"/>
  <c r="W2547" i="12"/>
  <c r="W2548" i="12"/>
  <c r="X2547" i="12"/>
  <c r="X2548" i="12"/>
  <c r="W2549" i="12"/>
  <c r="W2550" i="12"/>
  <c r="X2549" i="12"/>
  <c r="X2550" i="12"/>
  <c r="W2551" i="12"/>
  <c r="W2552" i="12"/>
  <c r="X2551" i="12"/>
  <c r="X2552" i="12"/>
  <c r="W2553" i="12"/>
  <c r="X2553" i="12"/>
  <c r="W2554" i="12"/>
  <c r="X2554" i="12"/>
  <c r="W2555" i="12"/>
  <c r="W2556" i="12"/>
  <c r="X2555" i="12"/>
  <c r="W2557" i="12"/>
  <c r="X2556" i="12"/>
  <c r="X2557" i="12"/>
  <c r="W2558" i="12"/>
  <c r="X2558" i="12"/>
  <c r="W2559" i="12"/>
  <c r="X2559" i="12"/>
  <c r="W2560" i="12"/>
  <c r="W2561" i="12"/>
  <c r="X2560" i="12"/>
  <c r="W2562" i="12"/>
  <c r="X2561" i="12"/>
  <c r="X2562" i="12"/>
  <c r="W2563" i="12"/>
  <c r="W2564" i="12"/>
  <c r="X2563" i="12"/>
  <c r="X2564" i="12"/>
  <c r="W2565" i="12"/>
  <c r="W2566" i="12"/>
  <c r="X2565" i="12"/>
  <c r="W2567" i="12"/>
  <c r="X2566" i="12"/>
  <c r="W2568" i="12"/>
  <c r="X2567" i="12"/>
  <c r="X2568" i="12"/>
  <c r="W2569" i="12"/>
  <c r="W2570" i="12"/>
  <c r="X2569" i="12"/>
  <c r="W2571" i="12"/>
  <c r="X2570" i="12"/>
  <c r="X2571" i="12"/>
  <c r="W2572" i="12"/>
  <c r="W2573" i="12"/>
  <c r="X2572" i="12"/>
  <c r="X2573" i="12"/>
  <c r="W2574" i="12"/>
  <c r="X2574" i="12"/>
  <c r="W2575" i="12"/>
  <c r="W2576" i="12"/>
  <c r="X2575" i="12"/>
  <c r="W2577" i="12"/>
  <c r="X2576" i="12"/>
  <c r="W2578" i="12"/>
  <c r="X2577" i="12"/>
  <c r="X2578" i="12"/>
  <c r="W2579" i="12"/>
  <c r="W2580" i="12"/>
  <c r="X2579" i="12"/>
  <c r="W2581" i="12"/>
  <c r="X2580" i="12"/>
  <c r="X2581" i="12"/>
  <c r="W2582" i="12"/>
  <c r="W2583" i="12"/>
  <c r="X2582" i="12"/>
  <c r="X2583" i="12"/>
  <c r="W2584" i="12"/>
  <c r="X2584" i="12"/>
  <c r="W2585" i="12"/>
  <c r="X2585" i="12"/>
  <c r="W2586" i="12"/>
  <c r="X2586" i="12"/>
  <c r="W2587" i="12"/>
  <c r="W2588" i="12"/>
  <c r="X2587" i="12"/>
  <c r="X2588" i="12"/>
  <c r="W2589" i="12"/>
  <c r="X2589" i="12"/>
  <c r="W2590" i="12"/>
  <c r="X2590" i="12"/>
  <c r="W2591" i="12"/>
  <c r="W2592" i="12"/>
  <c r="X2591" i="12"/>
  <c r="W2593" i="12"/>
  <c r="X2592" i="12"/>
  <c r="W2594" i="12"/>
  <c r="X2593" i="12"/>
  <c r="X2594" i="12"/>
  <c r="W2595" i="12"/>
  <c r="W2596" i="12"/>
  <c r="X2595" i="12"/>
  <c r="X2596" i="12"/>
  <c r="W2597" i="12"/>
  <c r="W2598" i="12"/>
  <c r="X2597" i="12"/>
  <c r="X2598" i="12"/>
  <c r="W2599" i="12"/>
  <c r="X2599" i="12"/>
  <c r="W2600" i="12"/>
  <c r="X2600" i="12"/>
  <c r="W2601" i="12"/>
  <c r="W2602" i="12"/>
  <c r="X2601" i="12"/>
  <c r="X2602" i="12"/>
  <c r="W2603" i="12"/>
  <c r="W2604" i="12"/>
  <c r="X2603" i="12"/>
  <c r="W2605" i="12"/>
  <c r="X2604" i="12"/>
  <c r="W2606" i="12"/>
  <c r="X2605" i="12"/>
  <c r="X2606" i="12"/>
  <c r="W2607" i="12"/>
  <c r="W2608" i="12"/>
  <c r="X2607" i="12"/>
  <c r="W2609" i="12"/>
  <c r="X2608" i="12"/>
  <c r="X2609" i="12"/>
  <c r="W2610" i="12"/>
  <c r="X2610" i="12"/>
  <c r="W2611" i="12"/>
  <c r="W2612" i="12"/>
  <c r="X2611" i="12"/>
  <c r="X2612" i="12"/>
  <c r="W2613" i="12"/>
  <c r="W2614" i="12"/>
  <c r="X2613" i="12"/>
  <c r="X2614" i="12"/>
  <c r="W2615" i="12"/>
  <c r="X2615" i="12"/>
  <c r="W2616" i="12"/>
  <c r="W2617" i="12"/>
  <c r="X2616" i="12"/>
  <c r="W2618" i="12"/>
  <c r="X2617" i="12"/>
  <c r="X2618" i="12"/>
  <c r="W2619" i="12"/>
  <c r="W2620" i="12"/>
  <c r="X2619" i="12"/>
  <c r="X2620" i="12"/>
  <c r="W2621" i="12"/>
  <c r="X2621" i="12"/>
  <c r="W2622" i="12"/>
  <c r="W2623" i="12"/>
  <c r="X2622" i="12"/>
  <c r="X2623" i="12"/>
  <c r="W2624" i="12"/>
  <c r="X2624" i="12"/>
  <c r="W2625" i="12"/>
  <c r="X2625" i="12"/>
  <c r="W2626" i="12"/>
  <c r="X2626" i="12"/>
  <c r="W2627" i="12"/>
  <c r="X2627" i="12"/>
  <c r="W2628" i="12"/>
  <c r="X2628" i="12"/>
  <c r="W2629" i="12"/>
  <c r="W2630" i="12"/>
  <c r="X2629" i="12"/>
  <c r="W2631" i="12"/>
  <c r="X2630" i="12"/>
  <c r="W2632" i="12"/>
  <c r="X2631" i="12"/>
  <c r="W2633" i="12"/>
  <c r="X2632" i="12"/>
  <c r="X2633" i="12"/>
  <c r="W2634" i="12"/>
  <c r="X2634" i="12"/>
  <c r="W2635" i="12"/>
  <c r="X2635" i="12"/>
  <c r="W2636" i="12"/>
  <c r="W2637" i="12"/>
  <c r="X2636" i="12"/>
  <c r="X2637" i="12"/>
  <c r="W2638" i="12"/>
  <c r="X2638" i="12"/>
  <c r="W2639" i="12"/>
  <c r="W2640" i="12"/>
  <c r="X2639" i="12"/>
  <c r="X2640" i="12"/>
  <c r="W2641" i="12"/>
  <c r="W2642" i="12"/>
  <c r="X2641" i="12"/>
  <c r="X2642" i="12"/>
  <c r="W2643" i="12"/>
  <c r="W2644" i="12"/>
  <c r="X2643" i="12"/>
  <c r="X2644" i="12"/>
  <c r="W2645" i="12"/>
  <c r="W2646" i="12"/>
  <c r="X2645" i="12"/>
  <c r="W2647" i="12"/>
  <c r="X2646" i="12"/>
  <c r="X2647" i="12"/>
  <c r="W2648" i="12"/>
  <c r="W2649" i="12"/>
  <c r="X2648" i="12"/>
  <c r="X2649" i="12"/>
  <c r="W2650" i="12"/>
  <c r="X2650" i="12"/>
  <c r="W2651" i="12"/>
  <c r="X2651" i="12"/>
  <c r="W2652" i="12"/>
  <c r="X2652" i="12"/>
  <c r="W2653" i="12"/>
  <c r="X2653" i="12"/>
  <c r="W2654" i="12"/>
  <c r="X2654" i="12"/>
  <c r="W2655" i="12"/>
  <c r="W2656" i="12"/>
  <c r="X2655" i="12"/>
  <c r="W2657" i="12"/>
  <c r="X2656" i="12"/>
  <c r="W2658" i="12"/>
  <c r="X2657" i="12"/>
  <c r="W2659" i="12"/>
  <c r="X2658" i="12"/>
  <c r="X2659" i="12"/>
  <c r="W2660" i="12"/>
  <c r="W2661" i="12"/>
  <c r="X2660" i="12"/>
  <c r="X2661" i="12"/>
  <c r="W2662" i="12"/>
  <c r="X2662" i="12"/>
  <c r="W2663" i="12"/>
  <c r="X2663" i="12"/>
  <c r="W2664" i="12"/>
  <c r="W2665" i="12"/>
  <c r="X2664" i="12"/>
  <c r="X2665" i="12"/>
  <c r="W2666" i="12"/>
  <c r="X2666" i="12"/>
  <c r="W2667" i="12"/>
  <c r="X2667" i="12"/>
  <c r="W2668" i="12"/>
  <c r="X2668" i="12"/>
  <c r="W2669" i="12"/>
  <c r="X2669" i="12"/>
  <c r="W2670" i="12"/>
  <c r="X2670" i="12"/>
  <c r="W2671" i="12"/>
  <c r="X2671" i="12"/>
  <c r="W2672" i="12"/>
  <c r="X2672" i="12"/>
  <c r="W2673" i="12"/>
  <c r="W2674" i="12"/>
  <c r="X2673" i="12"/>
  <c r="W2675" i="12"/>
  <c r="X2674" i="12"/>
  <c r="W2676" i="12"/>
  <c r="X2675" i="12"/>
  <c r="X2676" i="12"/>
  <c r="W2677" i="12"/>
  <c r="X2677" i="12"/>
  <c r="W2678" i="12"/>
  <c r="W2679" i="12"/>
  <c r="X2678" i="12"/>
  <c r="W2680" i="12"/>
  <c r="X2679" i="12"/>
  <c r="X2680" i="12"/>
  <c r="W2681" i="12"/>
  <c r="X2681" i="12"/>
  <c r="W2682" i="12"/>
  <c r="X2682" i="12"/>
  <c r="W2683" i="12"/>
  <c r="X2683" i="12"/>
  <c r="W2684" i="12"/>
  <c r="W2685" i="12"/>
  <c r="X2684" i="12"/>
  <c r="X2685" i="12"/>
  <c r="W2686" i="12"/>
  <c r="X2686" i="12"/>
  <c r="W2687" i="12"/>
  <c r="W2688" i="12"/>
  <c r="X2687" i="12"/>
  <c r="W2689" i="12"/>
  <c r="X2688" i="12"/>
  <c r="W2690" i="12"/>
  <c r="X2689" i="12"/>
  <c r="X2690" i="12"/>
  <c r="W2691" i="12"/>
  <c r="W2692" i="12"/>
  <c r="X2691" i="12"/>
  <c r="X2692" i="12"/>
  <c r="W2693" i="12"/>
  <c r="W2694" i="12"/>
  <c r="X2693" i="12"/>
  <c r="W2695" i="12"/>
  <c r="X2694" i="12"/>
  <c r="X2695" i="12"/>
  <c r="W2696" i="12"/>
  <c r="W2697" i="12"/>
  <c r="X2696" i="12"/>
  <c r="X2697" i="12"/>
  <c r="W2698" i="12"/>
  <c r="W2699" i="12"/>
  <c r="X2698" i="12"/>
  <c r="X2699" i="12"/>
  <c r="W2700" i="12"/>
  <c r="X2700" i="12"/>
  <c r="W2701" i="12"/>
  <c r="W2702" i="12"/>
  <c r="X2701" i="12"/>
  <c r="X2702" i="12"/>
  <c r="W2703" i="12"/>
  <c r="W2704" i="12"/>
  <c r="X2703" i="12"/>
  <c r="W2705" i="12"/>
  <c r="X2704" i="12"/>
  <c r="W2706" i="12"/>
  <c r="X2705" i="12"/>
  <c r="X2706" i="12"/>
  <c r="W2707" i="12"/>
  <c r="W2708" i="12"/>
  <c r="X2707" i="12"/>
  <c r="X2708" i="12"/>
  <c r="W2709" i="12"/>
  <c r="W2710" i="12"/>
  <c r="X2709" i="12"/>
  <c r="W2711" i="12"/>
  <c r="X2710" i="12"/>
  <c r="X2711" i="12"/>
  <c r="W2712" i="12"/>
  <c r="X2712" i="12"/>
  <c r="W2713" i="12"/>
  <c r="X2713" i="12"/>
  <c r="W2714" i="12"/>
  <c r="W2715" i="12"/>
  <c r="X2714" i="12"/>
  <c r="X2715" i="12"/>
  <c r="W2716" i="12"/>
  <c r="X2716" i="12"/>
  <c r="W2717" i="12"/>
  <c r="X2717" i="12"/>
  <c r="W2718" i="12"/>
  <c r="W2719" i="12"/>
  <c r="X2718" i="12"/>
  <c r="X2719" i="12"/>
  <c r="W2720" i="12"/>
  <c r="X2720" i="12"/>
  <c r="W2721" i="12"/>
  <c r="W2722" i="12"/>
  <c r="X2721" i="12"/>
  <c r="W2723" i="12"/>
  <c r="X2722" i="12"/>
  <c r="W2724" i="12"/>
  <c r="X2723" i="12"/>
  <c r="W2725" i="12"/>
  <c r="X2724" i="12"/>
  <c r="X2725" i="12"/>
  <c r="W2726" i="12"/>
  <c r="X2726" i="12"/>
  <c r="W2727" i="12"/>
  <c r="W2728" i="12"/>
  <c r="X2727" i="12"/>
  <c r="X2728" i="12"/>
  <c r="W2729" i="12"/>
  <c r="W2730" i="12"/>
  <c r="X2729" i="12"/>
  <c r="W2731" i="12"/>
  <c r="X2730" i="12"/>
  <c r="X2731" i="12"/>
  <c r="W2732" i="12"/>
  <c r="W2733" i="12"/>
  <c r="X2732" i="12"/>
  <c r="X2733" i="12"/>
  <c r="W2734" i="12"/>
  <c r="X2734" i="12"/>
  <c r="W2735" i="12"/>
  <c r="W2736" i="12"/>
  <c r="X2735" i="12"/>
  <c r="W2737" i="12"/>
  <c r="X2736" i="12"/>
  <c r="W2738" i="12"/>
  <c r="X2737" i="12"/>
  <c r="W2739" i="12"/>
  <c r="X2738" i="12"/>
  <c r="W2740" i="12"/>
  <c r="X2739" i="12"/>
  <c r="X2740" i="12"/>
  <c r="W2741" i="12"/>
  <c r="X2741" i="12"/>
  <c r="W2742" i="12"/>
  <c r="X2742" i="12"/>
  <c r="W2743" i="12"/>
  <c r="X2743" i="12"/>
  <c r="W2744" i="12"/>
  <c r="X2744" i="12"/>
  <c r="W2745" i="12"/>
  <c r="W2746" i="12"/>
  <c r="X2745" i="12"/>
  <c r="X2746" i="12"/>
  <c r="W2747" i="12"/>
  <c r="X2747" i="12"/>
  <c r="W2748" i="12"/>
  <c r="X2748" i="12"/>
  <c r="W2749" i="12"/>
  <c r="W2750" i="12"/>
  <c r="X2749" i="12"/>
  <c r="X2750" i="12"/>
  <c r="W2751" i="12"/>
  <c r="W2752" i="12"/>
  <c r="X2751" i="12"/>
  <c r="X2752" i="12"/>
  <c r="W2753" i="12"/>
  <c r="X2753" i="12"/>
  <c r="W2754" i="12"/>
  <c r="X2754" i="12"/>
  <c r="W2755" i="12"/>
  <c r="X2755" i="12"/>
  <c r="W2756" i="12"/>
  <c r="W2757" i="12"/>
  <c r="X2756" i="12"/>
  <c r="W2758" i="12"/>
  <c r="X2757" i="12"/>
  <c r="W2759" i="12"/>
  <c r="X2758" i="12"/>
  <c r="X2759" i="12"/>
  <c r="W2760" i="12"/>
  <c r="X2760" i="12"/>
  <c r="W2761" i="12"/>
  <c r="X2761" i="12"/>
  <c r="W2762" i="12"/>
  <c r="W2763" i="12"/>
  <c r="X2762" i="12"/>
  <c r="W2764" i="12"/>
  <c r="X2763" i="12"/>
  <c r="W2765" i="12"/>
  <c r="X2764" i="12"/>
  <c r="W2766" i="12"/>
  <c r="X2765" i="12"/>
  <c r="X2766" i="12"/>
  <c r="W2767" i="12"/>
  <c r="W2768" i="12"/>
  <c r="X2767" i="12"/>
  <c r="X2768" i="12"/>
  <c r="W2769" i="12"/>
  <c r="W2770" i="12"/>
  <c r="X2769" i="12"/>
  <c r="W2771" i="12"/>
  <c r="X2770" i="12"/>
  <c r="W2772" i="12"/>
  <c r="X2771" i="12"/>
  <c r="W2773" i="12"/>
  <c r="X2772" i="12"/>
  <c r="W2774" i="12"/>
  <c r="X2773" i="12"/>
  <c r="W2775" i="12"/>
  <c r="X2774" i="12"/>
  <c r="X2775" i="12"/>
  <c r="W2776" i="12"/>
  <c r="W2777" i="12"/>
  <c r="X2776" i="12"/>
  <c r="W2778" i="12"/>
  <c r="X2777" i="12"/>
  <c r="X2778" i="12"/>
  <c r="W2779" i="12"/>
  <c r="W2780" i="12"/>
  <c r="X2779" i="12"/>
  <c r="W2781" i="12"/>
  <c r="X2780" i="12"/>
  <c r="W2782" i="12"/>
  <c r="X2781" i="12"/>
  <c r="X2782" i="12"/>
  <c r="W2783" i="12"/>
  <c r="X2783" i="12"/>
  <c r="W2784" i="12"/>
  <c r="W2785" i="12"/>
  <c r="X2784" i="12"/>
  <c r="W2786" i="12"/>
  <c r="X2785" i="12"/>
  <c r="W2787" i="12"/>
  <c r="X2786" i="12"/>
  <c r="W2788" i="12"/>
  <c r="X2787" i="12"/>
  <c r="X2788" i="12"/>
  <c r="W2789" i="12"/>
  <c r="W2790" i="12"/>
  <c r="X2789" i="12"/>
  <c r="W2791" i="12"/>
  <c r="X2790" i="12"/>
  <c r="X2791" i="12"/>
  <c r="W2792" i="12"/>
  <c r="W2793" i="12"/>
  <c r="X2792" i="12"/>
  <c r="X2793" i="12"/>
  <c r="W2794" i="12"/>
  <c r="W2795" i="12"/>
  <c r="X2794" i="12"/>
  <c r="W2796" i="12"/>
  <c r="X2795" i="12"/>
  <c r="W2797" i="12"/>
  <c r="X2796" i="12"/>
  <c r="X2797" i="12"/>
  <c r="W2798" i="12"/>
  <c r="W2799" i="12"/>
  <c r="X2798" i="12"/>
  <c r="X2799" i="12"/>
  <c r="W2800" i="12"/>
  <c r="W2801" i="12"/>
  <c r="X2800" i="12"/>
  <c r="X2801" i="12"/>
  <c r="W2802" i="12"/>
  <c r="X2802" i="12"/>
  <c r="W2803" i="12"/>
  <c r="X2803" i="12"/>
  <c r="W2804" i="12"/>
  <c r="W2805" i="12"/>
  <c r="X2804" i="12"/>
  <c r="W2806" i="12"/>
  <c r="X2805" i="12"/>
  <c r="W2807" i="12"/>
  <c r="X2806" i="12"/>
  <c r="X2807" i="12"/>
  <c r="W2808" i="12"/>
  <c r="X2808" i="12"/>
  <c r="W2809" i="12"/>
  <c r="W2810" i="12"/>
  <c r="X2809" i="12"/>
  <c r="X2810" i="12"/>
  <c r="W2811" i="12"/>
  <c r="X2811" i="12"/>
  <c r="W2812" i="12"/>
  <c r="W2813" i="12"/>
  <c r="X2812" i="12"/>
  <c r="X2813" i="12"/>
  <c r="W2814" i="12"/>
  <c r="W2815" i="12"/>
  <c r="X2814" i="12"/>
  <c r="X2815" i="12"/>
  <c r="W2816" i="12"/>
  <c r="X2816" i="12"/>
  <c r="W2817" i="12"/>
  <c r="X2817" i="12"/>
  <c r="W2818" i="12"/>
  <c r="W2819" i="12"/>
  <c r="X2818" i="12"/>
  <c r="X2819" i="12"/>
  <c r="W2820" i="12"/>
  <c r="W2821" i="12"/>
  <c r="X2820" i="12"/>
  <c r="W2822" i="12"/>
  <c r="X2821" i="12"/>
  <c r="W2823" i="12"/>
  <c r="X2822" i="12"/>
  <c r="X2823" i="12"/>
  <c r="W2824" i="12"/>
  <c r="X2824" i="12"/>
  <c r="W2825" i="12"/>
  <c r="W2826" i="12"/>
  <c r="X2825" i="12"/>
  <c r="W2827" i="12"/>
  <c r="X2826" i="12"/>
  <c r="X2827" i="12"/>
  <c r="W2828" i="12"/>
  <c r="W2829" i="12"/>
  <c r="X2828" i="12"/>
  <c r="X2829" i="12"/>
  <c r="W2830" i="12"/>
  <c r="W2831" i="12"/>
  <c r="X2830" i="12"/>
  <c r="X2831" i="12"/>
  <c r="W2832" i="12"/>
  <c r="W2833" i="12"/>
  <c r="X2832" i="12"/>
  <c r="W2834" i="12"/>
  <c r="X2833" i="12"/>
  <c r="W2835" i="12"/>
  <c r="X2834" i="12"/>
  <c r="X2835" i="12"/>
  <c r="W2836" i="12"/>
  <c r="X2836" i="12"/>
  <c r="W2837" i="12"/>
  <c r="X2837" i="12"/>
  <c r="W2838" i="12"/>
  <c r="W2839" i="12"/>
  <c r="X2838" i="12"/>
  <c r="W2840" i="12"/>
  <c r="X2839" i="12"/>
  <c r="W2841" i="12"/>
  <c r="X2840" i="12"/>
  <c r="X2841" i="12"/>
  <c r="W2842" i="12"/>
  <c r="X2842" i="12"/>
  <c r="W2843" i="12"/>
  <c r="W2844" i="12"/>
  <c r="X2843" i="12"/>
  <c r="W2845" i="12"/>
  <c r="X2844" i="12"/>
  <c r="X2845" i="12"/>
  <c r="W2846" i="12"/>
  <c r="W2847" i="12"/>
  <c r="X2846" i="12"/>
  <c r="X2847" i="12"/>
  <c r="W2848" i="12"/>
  <c r="W2849" i="12"/>
  <c r="X2848" i="12"/>
  <c r="W2850" i="12"/>
  <c r="X2849" i="12"/>
  <c r="X2850" i="12"/>
  <c r="W2851" i="12"/>
  <c r="W2852" i="12"/>
  <c r="X2851" i="12"/>
  <c r="W2853" i="12"/>
  <c r="X2852" i="12"/>
  <c r="X2853" i="12"/>
  <c r="W2854" i="12"/>
  <c r="X2854" i="12"/>
  <c r="W2855" i="12"/>
  <c r="W2856" i="12"/>
  <c r="X2855" i="12"/>
  <c r="X2856" i="12"/>
  <c r="W2857" i="12"/>
  <c r="W2858" i="12"/>
  <c r="X2857" i="12"/>
  <c r="W2859" i="12"/>
  <c r="X2858" i="12"/>
  <c r="W2860" i="12"/>
  <c r="X2859" i="12"/>
  <c r="W2861" i="12"/>
  <c r="X2860" i="12"/>
  <c r="X2861" i="12"/>
  <c r="W2862" i="12"/>
  <c r="W2863" i="12"/>
  <c r="X2862" i="12"/>
  <c r="X2863" i="12"/>
  <c r="W2864" i="12"/>
  <c r="X2864" i="12"/>
  <c r="W2865" i="12"/>
  <c r="W2866" i="12"/>
  <c r="X2865" i="12"/>
  <c r="X2866" i="12"/>
  <c r="W2867" i="12"/>
  <c r="W2868" i="12"/>
  <c r="X2867" i="12"/>
  <c r="W2869" i="12"/>
  <c r="X2868" i="12"/>
  <c r="X2869" i="12"/>
  <c r="W2870" i="12"/>
  <c r="W2871" i="12"/>
  <c r="X2870" i="12"/>
  <c r="X2871" i="12"/>
  <c r="W2872" i="12"/>
  <c r="W2873" i="12"/>
  <c r="X2872" i="12"/>
  <c r="X2873" i="12"/>
  <c r="W2874" i="12"/>
  <c r="X2874" i="12"/>
  <c r="W2875" i="12"/>
  <c r="W2876" i="12"/>
  <c r="X2875" i="12"/>
  <c r="W2877" i="12"/>
  <c r="X2876" i="12"/>
  <c r="X2877" i="12"/>
  <c r="W2878" i="12"/>
  <c r="X2878" i="12"/>
  <c r="W2879" i="12"/>
  <c r="X2879" i="12"/>
  <c r="W2880" i="12"/>
  <c r="W2881" i="12"/>
  <c r="X2880" i="12"/>
  <c r="X2881" i="12"/>
  <c r="W2882" i="12"/>
  <c r="X2882" i="12"/>
  <c r="W2883" i="12"/>
  <c r="X2883" i="12"/>
  <c r="W2884" i="12"/>
  <c r="W2885" i="12"/>
  <c r="X2884" i="12"/>
  <c r="W2886" i="12"/>
  <c r="X2885" i="12"/>
  <c r="W2887" i="12"/>
  <c r="X2886" i="12"/>
  <c r="X2887" i="12"/>
  <c r="W2888" i="12"/>
  <c r="W2889" i="12"/>
  <c r="X2888" i="12"/>
  <c r="X2889" i="12"/>
  <c r="W2890" i="12"/>
  <c r="W2891" i="12"/>
  <c r="X2890" i="12"/>
  <c r="X2891" i="12"/>
  <c r="W2892" i="12"/>
  <c r="W2893" i="12"/>
  <c r="X2892" i="12"/>
  <c r="W2894" i="12"/>
  <c r="X2893" i="12"/>
  <c r="W2895" i="12"/>
  <c r="X2894" i="12"/>
  <c r="X2895" i="12"/>
  <c r="W2896" i="12"/>
  <c r="X2896" i="12"/>
  <c r="W2897" i="12"/>
  <c r="W2898" i="12"/>
  <c r="X2897" i="12"/>
  <c r="W2899" i="12"/>
  <c r="X2898" i="12"/>
  <c r="W2900" i="12"/>
  <c r="X2899" i="12"/>
  <c r="X2900" i="12"/>
  <c r="W2901" i="12"/>
  <c r="X2901" i="12"/>
  <c r="W2902" i="12"/>
  <c r="W2903" i="12"/>
  <c r="X2902" i="12"/>
  <c r="X2903" i="12"/>
  <c r="W2904" i="12"/>
  <c r="X2904" i="12"/>
  <c r="W2905" i="12"/>
  <c r="W2906" i="12"/>
  <c r="X2905" i="12"/>
  <c r="W2907" i="12"/>
  <c r="X2906" i="12"/>
  <c r="W2908" i="12"/>
  <c r="X2907" i="12"/>
  <c r="X2908" i="12"/>
  <c r="W2909" i="12"/>
  <c r="W2910" i="12"/>
  <c r="X2909" i="12"/>
  <c r="X2910" i="12"/>
  <c r="W2911" i="12"/>
  <c r="X2911" i="12"/>
  <c r="W2912" i="12"/>
  <c r="W2913" i="12"/>
  <c r="X2912" i="12"/>
  <c r="W2914" i="12"/>
  <c r="X2913" i="12"/>
  <c r="W2915" i="12"/>
  <c r="X2914" i="12"/>
  <c r="W2916" i="12"/>
  <c r="X2915" i="12"/>
  <c r="W2917" i="12"/>
  <c r="X2916" i="12"/>
  <c r="X2917" i="12"/>
  <c r="W2918" i="12"/>
  <c r="W2919" i="12"/>
  <c r="X2918" i="12"/>
  <c r="X2919" i="12"/>
  <c r="W2920" i="12"/>
  <c r="X2920" i="12"/>
  <c r="W2921" i="12"/>
  <c r="X2921" i="12"/>
  <c r="W2922" i="12"/>
  <c r="X2922" i="12"/>
  <c r="W2923" i="12"/>
  <c r="W2924" i="12"/>
  <c r="X2923" i="12"/>
  <c r="X2924" i="12"/>
  <c r="W2925" i="12"/>
  <c r="W2926" i="12"/>
  <c r="X2925" i="12"/>
  <c r="X2926" i="12"/>
  <c r="W2927" i="12"/>
  <c r="X2927" i="12"/>
  <c r="W2928" i="12"/>
  <c r="W2929" i="12"/>
  <c r="X2928" i="12"/>
  <c r="W2930" i="12"/>
  <c r="X2929" i="12"/>
  <c r="X2930" i="12"/>
  <c r="W2931" i="12"/>
  <c r="W2932" i="12"/>
  <c r="X2931" i="12"/>
  <c r="X2932" i="12"/>
  <c r="W2933" i="12"/>
  <c r="X2933" i="12"/>
  <c r="W2934" i="12"/>
  <c r="X2934" i="12"/>
  <c r="W2935" i="12"/>
  <c r="X2935" i="12"/>
  <c r="W2936" i="12"/>
  <c r="X2936" i="12"/>
  <c r="W2937" i="12"/>
  <c r="X2937" i="12"/>
  <c r="W2938" i="12"/>
  <c r="X2938" i="12"/>
  <c r="W2939" i="12"/>
  <c r="W2940" i="12"/>
  <c r="X2939" i="12"/>
  <c r="W2941" i="12"/>
  <c r="X2940" i="12"/>
  <c r="W2942" i="12"/>
  <c r="X2941" i="12"/>
  <c r="X2942" i="12"/>
  <c r="W2943" i="12"/>
  <c r="W2944" i="12"/>
  <c r="X2943" i="12"/>
  <c r="W2945" i="12"/>
  <c r="X2944" i="12"/>
  <c r="W2946" i="12"/>
  <c r="X2945" i="12"/>
  <c r="W2947" i="12"/>
  <c r="X2946" i="12"/>
  <c r="W2948" i="12"/>
  <c r="X2947" i="12"/>
  <c r="X2948" i="12"/>
  <c r="W2949" i="12"/>
  <c r="W2950" i="12"/>
  <c r="X2949" i="12"/>
  <c r="X2950" i="12"/>
  <c r="W2951" i="12"/>
  <c r="W2952" i="12"/>
  <c r="X2951" i="12"/>
  <c r="W2953" i="12"/>
  <c r="X2952" i="12"/>
  <c r="W2954" i="12"/>
  <c r="X2953" i="12"/>
  <c r="W2955" i="12"/>
  <c r="X2954" i="12"/>
  <c r="W2956" i="12"/>
  <c r="X2955" i="12"/>
  <c r="X2956" i="12"/>
  <c r="W2957" i="12"/>
  <c r="W2958" i="12"/>
  <c r="X2957" i="12"/>
  <c r="X2958" i="12"/>
  <c r="W2959" i="12"/>
  <c r="X2959" i="12"/>
  <c r="W2960" i="12"/>
  <c r="W2961" i="12"/>
  <c r="X2960" i="12"/>
  <c r="X2961" i="12"/>
  <c r="W2962" i="12"/>
  <c r="X2962" i="12"/>
  <c r="W2963" i="12"/>
  <c r="W2964" i="12"/>
  <c r="X2963" i="12"/>
  <c r="X2964" i="12"/>
  <c r="W2965" i="12"/>
  <c r="W2966" i="12"/>
  <c r="X2965" i="12"/>
  <c r="W2967" i="12"/>
  <c r="X2966" i="12"/>
  <c r="W2968" i="12"/>
  <c r="X2967" i="12"/>
  <c r="X2968" i="12"/>
  <c r="W2969" i="12"/>
  <c r="X2969" i="12"/>
  <c r="W2970" i="12"/>
  <c r="X2970" i="12"/>
  <c r="W2971" i="12"/>
  <c r="W2972" i="12"/>
  <c r="X2971" i="12"/>
  <c r="X2972" i="12"/>
  <c r="W2973" i="12"/>
  <c r="X2973" i="12"/>
  <c r="W2974" i="12"/>
  <c r="X2974" i="12"/>
  <c r="W2975" i="12"/>
  <c r="X2975" i="12"/>
  <c r="W2976" i="12"/>
  <c r="X2976" i="12"/>
  <c r="W2977" i="12"/>
  <c r="W2978" i="12"/>
  <c r="X2977" i="12"/>
  <c r="X2978" i="12"/>
  <c r="W2979" i="12"/>
  <c r="W2980" i="12"/>
  <c r="X2979" i="12"/>
  <c r="X2980" i="12"/>
  <c r="W2981" i="12"/>
  <c r="X2981" i="12"/>
  <c r="W2982" i="12"/>
  <c r="W2983" i="12"/>
  <c r="X2982" i="12"/>
  <c r="X2983" i="12"/>
  <c r="W2984" i="12"/>
  <c r="W2985" i="12"/>
  <c r="X2984" i="12"/>
  <c r="W2986" i="12"/>
  <c r="X2985" i="12"/>
  <c r="X2986" i="12"/>
  <c r="W2987" i="12"/>
  <c r="X2987" i="12"/>
  <c r="W2988" i="12"/>
  <c r="X2988" i="12"/>
  <c r="W2989" i="12"/>
  <c r="W2990" i="12"/>
  <c r="X2989" i="12"/>
  <c r="X2990" i="12"/>
  <c r="W2991" i="12"/>
  <c r="X2991" i="12"/>
  <c r="W2992" i="12"/>
  <c r="X2992" i="12"/>
  <c r="W2993" i="12"/>
  <c r="X2993" i="12"/>
  <c r="W2994" i="12"/>
  <c r="X2994" i="12"/>
  <c r="W2995" i="12"/>
  <c r="X2995" i="12"/>
  <c r="W2996" i="12"/>
  <c r="X2996" i="12"/>
  <c r="W2997" i="12"/>
  <c r="W2998" i="12"/>
  <c r="X2997" i="12"/>
  <c r="W2999" i="12"/>
  <c r="X2998" i="12"/>
  <c r="X2999" i="12"/>
  <c r="W3000" i="12"/>
  <c r="W3001" i="12"/>
  <c r="X3000" i="12"/>
  <c r="W3002" i="12"/>
  <c r="X3001" i="12"/>
  <c r="X3002" i="12"/>
  <c r="W3003" i="12"/>
  <c r="W3004" i="12"/>
  <c r="X3003" i="12"/>
  <c r="X3004" i="12"/>
  <c r="W3005" i="12"/>
  <c r="X3005" i="12"/>
  <c r="W3006" i="12"/>
  <c r="X3006" i="12"/>
  <c r="W3007" i="12"/>
  <c r="X3007" i="12"/>
  <c r="W3008" i="12"/>
  <c r="W3009" i="12"/>
  <c r="X3008" i="12"/>
  <c r="W3010" i="12"/>
  <c r="X3009" i="12"/>
  <c r="X3010" i="12"/>
  <c r="W3011" i="12"/>
  <c r="W3012" i="12"/>
  <c r="X3011" i="12"/>
  <c r="W3013" i="12"/>
  <c r="X3012" i="12"/>
  <c r="W3014" i="12"/>
  <c r="X3013" i="12"/>
  <c r="X3014" i="12"/>
  <c r="W3015" i="12"/>
  <c r="X3015" i="12"/>
  <c r="W3016" i="12"/>
  <c r="X3016" i="12"/>
  <c r="W3017" i="12"/>
  <c r="X3017" i="12"/>
  <c r="W3018" i="12"/>
  <c r="X3018" i="12"/>
  <c r="W3019" i="12"/>
  <c r="W3020" i="12"/>
  <c r="X3019" i="12"/>
  <c r="X3020" i="12"/>
  <c r="W3021" i="12"/>
  <c r="W3022" i="12"/>
  <c r="X3021" i="12"/>
  <c r="W3023" i="12"/>
  <c r="X3022" i="12"/>
  <c r="X3023" i="12"/>
  <c r="W3024" i="12"/>
  <c r="W3025" i="12"/>
  <c r="X3024" i="12"/>
  <c r="X3025" i="12"/>
  <c r="W3026" i="12"/>
  <c r="X3026" i="12"/>
  <c r="W3027" i="12"/>
  <c r="W3028" i="12"/>
  <c r="X3027" i="12"/>
  <c r="X3028" i="12"/>
  <c r="W3029" i="12"/>
  <c r="X3029" i="12"/>
  <c r="W3030" i="12"/>
  <c r="W3031" i="12"/>
  <c r="X3030" i="12"/>
  <c r="W3032" i="12"/>
  <c r="X3031" i="12"/>
  <c r="W3033" i="12"/>
  <c r="X3032" i="12"/>
  <c r="W3034" i="12"/>
  <c r="X3033" i="12"/>
  <c r="X3034" i="12"/>
  <c r="W3035" i="12"/>
  <c r="W3036" i="12"/>
  <c r="X3035" i="12"/>
  <c r="X3036" i="12"/>
  <c r="W3037" i="12"/>
  <c r="X3037" i="12"/>
  <c r="W3038" i="12"/>
  <c r="W3039" i="12"/>
  <c r="X3038" i="12"/>
  <c r="W3040" i="12"/>
  <c r="X3039" i="12"/>
  <c r="W3041" i="12"/>
  <c r="X3040" i="12"/>
  <c r="X3041" i="12"/>
  <c r="W3042" i="12"/>
  <c r="W3043" i="12"/>
  <c r="X3042" i="12"/>
  <c r="X3043" i="12"/>
  <c r="W3044" i="12"/>
  <c r="X3044" i="12"/>
  <c r="W3045" i="12"/>
  <c r="W3046" i="12"/>
  <c r="X3045" i="12"/>
  <c r="W3047" i="12"/>
  <c r="X3046" i="12"/>
  <c r="X3047" i="12"/>
  <c r="W3048" i="12"/>
  <c r="W3049" i="12"/>
  <c r="X3048" i="12"/>
  <c r="W3050" i="12"/>
  <c r="X3049" i="12"/>
  <c r="W3051" i="12"/>
  <c r="X3050" i="12"/>
  <c r="W3052" i="12"/>
  <c r="X3051" i="12"/>
  <c r="W3053" i="12"/>
  <c r="X3052" i="12"/>
  <c r="X3053" i="12"/>
  <c r="W3054" i="12"/>
  <c r="W3055" i="12"/>
  <c r="X3054" i="12"/>
  <c r="W3056" i="12"/>
  <c r="X3055" i="12"/>
  <c r="W3057" i="12"/>
  <c r="X3056" i="12"/>
  <c r="X3057" i="12"/>
  <c r="W3058" i="12"/>
  <c r="X3058" i="12"/>
  <c r="W3059" i="12"/>
  <c r="X3059" i="12"/>
  <c r="W3060" i="12"/>
  <c r="X3060" i="12"/>
  <c r="W3061" i="12"/>
  <c r="W3062" i="12"/>
  <c r="X3061" i="12"/>
  <c r="W3063" i="12"/>
  <c r="X3062" i="12"/>
  <c r="X3063" i="12"/>
  <c r="W3064" i="12"/>
  <c r="W3065" i="12"/>
  <c r="X3064" i="12"/>
  <c r="X3065" i="12"/>
  <c r="W3066" i="12"/>
  <c r="W3067" i="12"/>
  <c r="X3066" i="12"/>
  <c r="X3067" i="12"/>
  <c r="W3068" i="12"/>
  <c r="X3068" i="12"/>
  <c r="W3069" i="12"/>
  <c r="X3069" i="12"/>
  <c r="W3070" i="12"/>
  <c r="W3071" i="12"/>
  <c r="X3070" i="12"/>
  <c r="W3072" i="12"/>
  <c r="X3071" i="12"/>
  <c r="X3072" i="12"/>
  <c r="W3073" i="12"/>
  <c r="W3074" i="12"/>
  <c r="X3073" i="12"/>
  <c r="W3075" i="12"/>
  <c r="X3074" i="12"/>
  <c r="X3075" i="12"/>
  <c r="W3076" i="12"/>
  <c r="X3076" i="12"/>
  <c r="W3077" i="12"/>
  <c r="W3078" i="12"/>
  <c r="X3077" i="12"/>
  <c r="W3079" i="12"/>
  <c r="X3078" i="12"/>
  <c r="W3080" i="12"/>
  <c r="X3079" i="12"/>
  <c r="W3081" i="12"/>
  <c r="X3080" i="12"/>
  <c r="X3081" i="12"/>
  <c r="W3082" i="12"/>
  <c r="W3083" i="12"/>
  <c r="X3082" i="12"/>
  <c r="X3083" i="12"/>
  <c r="W3084" i="12"/>
  <c r="X3084" i="12"/>
  <c r="W3085" i="12"/>
  <c r="X3085" i="12"/>
  <c r="W3086" i="12"/>
  <c r="W3087" i="12"/>
  <c r="X3086" i="12"/>
  <c r="X3087" i="12"/>
  <c r="W3088" i="12"/>
  <c r="W3089" i="12"/>
  <c r="X3088" i="12"/>
  <c r="W3090" i="12"/>
  <c r="X3089" i="12"/>
  <c r="X3090" i="12"/>
  <c r="W3091" i="12"/>
  <c r="W3092" i="12"/>
  <c r="X3091" i="12"/>
  <c r="W3093" i="12"/>
  <c r="X3092" i="12"/>
  <c r="X3093" i="12"/>
  <c r="W3094" i="12"/>
  <c r="X3094" i="12"/>
  <c r="W3095" i="12"/>
  <c r="W3096" i="12"/>
  <c r="X3095" i="12"/>
  <c r="X3096" i="12"/>
  <c r="W3097" i="12"/>
  <c r="W3098" i="12"/>
  <c r="X3097" i="12"/>
  <c r="W3099" i="12"/>
  <c r="X3098" i="12"/>
  <c r="X3099" i="12"/>
  <c r="W3100" i="12"/>
  <c r="W3101" i="12"/>
  <c r="X3100" i="12"/>
  <c r="X3101" i="12"/>
  <c r="W3102" i="12"/>
  <c r="X3102" i="12"/>
  <c r="W3103" i="12"/>
  <c r="X3103" i="12"/>
  <c r="W3104" i="12"/>
  <c r="X3104" i="12"/>
  <c r="W3105" i="12"/>
  <c r="W3106" i="12"/>
  <c r="X3105" i="12"/>
  <c r="X3106" i="12"/>
  <c r="W3107" i="12"/>
  <c r="X3107" i="12"/>
  <c r="W3108" i="12"/>
  <c r="W3109" i="12"/>
  <c r="X3108" i="12"/>
  <c r="W3110" i="12"/>
  <c r="X3109" i="12"/>
  <c r="W3111" i="12"/>
  <c r="X3110" i="12"/>
  <c r="X3111" i="12"/>
  <c r="W3112" i="12"/>
  <c r="X3112" i="12"/>
  <c r="W3113" i="12"/>
  <c r="W3114" i="12"/>
  <c r="X3113" i="12"/>
  <c r="W3115" i="12"/>
  <c r="X3114" i="12"/>
  <c r="X3115" i="12"/>
  <c r="W3116" i="12"/>
  <c r="W3117" i="12"/>
  <c r="X3116" i="12"/>
  <c r="W3118" i="12"/>
  <c r="X3117" i="12"/>
  <c r="X3118" i="12"/>
  <c r="W3119" i="12"/>
  <c r="X3119" i="12"/>
  <c r="W3120" i="12"/>
  <c r="W3121" i="12"/>
  <c r="X3120" i="12"/>
  <c r="X3121" i="12"/>
  <c r="W3122" i="12"/>
  <c r="X3122" i="12"/>
  <c r="W3123" i="12"/>
  <c r="X3123" i="12"/>
  <c r="W3124" i="12"/>
  <c r="X3124" i="12"/>
  <c r="W3125" i="12"/>
  <c r="X3125" i="12"/>
  <c r="W3126" i="12"/>
  <c r="W3127" i="12"/>
  <c r="X3126" i="12"/>
  <c r="X3127" i="12"/>
  <c r="W3128" i="12"/>
  <c r="X3128" i="12"/>
  <c r="W3129" i="12"/>
  <c r="X3129" i="12"/>
  <c r="W3130" i="12"/>
  <c r="W3131" i="12"/>
  <c r="X3130" i="12"/>
  <c r="X3131" i="12"/>
  <c r="W3132" i="12"/>
  <c r="W3133" i="12"/>
  <c r="X3132" i="12"/>
  <c r="X3133" i="12"/>
  <c r="W3134" i="12"/>
  <c r="W3135" i="12"/>
  <c r="X3134" i="12"/>
  <c r="W3136" i="12"/>
  <c r="X3135" i="12"/>
  <c r="W3137" i="12"/>
  <c r="X3136" i="12"/>
  <c r="W3138" i="12"/>
  <c r="X3137" i="12"/>
  <c r="X3138" i="12"/>
  <c r="W3139" i="12"/>
  <c r="W3140" i="12"/>
  <c r="X3139" i="12"/>
  <c r="X3140" i="12"/>
  <c r="W3141" i="12"/>
  <c r="X3141" i="12"/>
  <c r="W3142" i="12"/>
  <c r="X3142" i="12"/>
  <c r="W3143" i="12"/>
  <c r="W3144" i="12"/>
  <c r="X3143" i="12"/>
  <c r="W3145" i="12"/>
  <c r="X3144" i="12"/>
  <c r="W3146" i="12"/>
  <c r="X3145" i="12"/>
  <c r="W3147" i="12"/>
  <c r="X3146" i="12"/>
  <c r="W3148" i="12"/>
  <c r="X3147" i="12"/>
  <c r="W3149" i="12"/>
  <c r="X3148" i="12"/>
  <c r="W3150" i="12"/>
  <c r="X3149" i="12"/>
  <c r="X3150" i="12"/>
  <c r="W3151" i="12"/>
  <c r="W3152" i="12"/>
  <c r="X3151" i="12"/>
  <c r="X3152" i="12"/>
  <c r="W3153" i="12"/>
  <c r="X3153" i="12"/>
  <c r="W3154" i="12"/>
  <c r="W3155" i="12"/>
  <c r="X3154" i="12"/>
  <c r="W3156" i="12"/>
  <c r="X3155" i="12"/>
  <c r="W3157" i="12"/>
  <c r="X3156" i="12"/>
  <c r="X3157" i="12"/>
  <c r="W3158" i="12"/>
  <c r="X3158" i="12"/>
  <c r="W3159" i="12"/>
  <c r="W3160" i="12"/>
  <c r="X3159" i="12"/>
  <c r="X3160" i="12"/>
  <c r="W3161" i="12"/>
  <c r="X3161" i="12"/>
  <c r="W3162" i="12"/>
  <c r="W3163" i="12"/>
  <c r="X3162" i="12"/>
  <c r="X3163" i="12"/>
  <c r="W3164" i="12"/>
  <c r="W3165" i="12"/>
  <c r="X3164" i="12"/>
  <c r="W3166" i="12"/>
  <c r="X3165" i="12"/>
  <c r="W3167" i="12"/>
  <c r="X3166" i="12"/>
  <c r="W3168" i="12"/>
  <c r="X3167" i="12"/>
  <c r="X3168" i="12"/>
  <c r="W3169" i="12"/>
  <c r="W3170" i="12"/>
  <c r="X3169" i="12"/>
  <c r="X3170" i="12"/>
  <c r="W3171" i="12"/>
  <c r="W3172" i="12"/>
  <c r="X3171" i="12"/>
  <c r="W3173" i="12"/>
  <c r="X3172" i="12"/>
  <c r="W3174" i="12"/>
  <c r="X3173" i="12"/>
  <c r="X3174" i="12"/>
  <c r="W3175" i="12"/>
  <c r="W3176" i="12"/>
  <c r="X3175" i="12"/>
  <c r="W3177" i="12"/>
  <c r="X3176" i="12"/>
  <c r="X3177" i="12"/>
  <c r="W3178" i="12"/>
  <c r="W3179" i="12"/>
  <c r="X3178" i="12"/>
  <c r="X3179" i="12"/>
  <c r="W3180" i="12"/>
  <c r="X3180" i="12"/>
  <c r="W3181" i="12"/>
  <c r="W3182" i="12"/>
  <c r="X3181" i="12"/>
  <c r="W3183" i="12"/>
  <c r="X3182" i="12"/>
  <c r="X3183" i="12"/>
  <c r="W3184" i="12"/>
  <c r="X3184" i="12"/>
  <c r="W3185" i="12"/>
  <c r="W3186" i="12"/>
  <c r="X3185" i="12"/>
  <c r="W3187" i="12"/>
  <c r="X3186" i="12"/>
  <c r="W3188" i="12"/>
  <c r="X3187" i="12"/>
  <c r="W3189" i="12"/>
  <c r="X3188" i="12"/>
  <c r="W3190" i="12"/>
  <c r="X3189" i="12"/>
  <c r="X3190" i="12"/>
  <c r="W3191" i="12"/>
  <c r="X3191" i="12"/>
  <c r="W3192" i="12"/>
  <c r="X3192" i="12"/>
  <c r="W3193" i="12"/>
  <c r="X3193" i="12"/>
  <c r="W3194" i="12"/>
  <c r="X3194" i="12"/>
  <c r="W3195" i="12"/>
  <c r="X3195" i="12"/>
  <c r="W3196" i="12"/>
  <c r="X3196" i="12"/>
  <c r="W3197" i="12"/>
  <c r="X3197" i="12"/>
  <c r="W3198" i="12"/>
  <c r="W3199" i="12"/>
  <c r="X3198" i="12"/>
  <c r="W3200" i="12"/>
  <c r="X3199" i="12"/>
  <c r="W3201" i="12"/>
  <c r="X3200" i="12"/>
  <c r="W3202" i="12"/>
  <c r="X3201" i="12"/>
  <c r="W3203" i="12"/>
  <c r="X3202" i="12"/>
  <c r="W3204" i="12"/>
  <c r="X3203" i="12"/>
  <c r="X3204" i="12"/>
  <c r="W3205" i="12"/>
  <c r="W3206" i="12"/>
  <c r="X3205" i="12"/>
  <c r="X3206" i="12"/>
  <c r="W3207" i="12"/>
  <c r="X3207" i="12"/>
  <c r="W3208" i="12"/>
  <c r="W3209" i="12"/>
  <c r="X3208" i="12"/>
  <c r="X3209" i="12"/>
  <c r="W3210" i="12"/>
  <c r="W3211" i="12"/>
  <c r="X3210" i="12"/>
  <c r="X3211" i="12"/>
  <c r="W3212" i="12"/>
  <c r="X3212" i="12"/>
  <c r="W3213" i="12"/>
  <c r="W3214" i="12"/>
  <c r="X3213" i="12"/>
  <c r="X3214" i="12"/>
  <c r="W3215" i="12"/>
  <c r="X3215" i="12"/>
  <c r="W3216" i="12"/>
  <c r="W3217" i="12"/>
  <c r="X3216" i="12"/>
  <c r="W3218" i="12"/>
  <c r="X3217" i="12"/>
  <c r="W3219" i="12"/>
  <c r="X3218" i="12"/>
  <c r="X3219" i="12"/>
  <c r="W3220" i="12"/>
  <c r="X3220" i="12"/>
  <c r="W3221" i="12"/>
  <c r="W3222" i="12"/>
  <c r="X3221" i="12"/>
  <c r="X3222" i="12"/>
  <c r="W3223" i="12"/>
  <c r="X3223" i="12"/>
  <c r="W3224" i="12"/>
  <c r="X3224" i="12"/>
  <c r="W3225" i="12"/>
  <c r="X3225" i="12"/>
  <c r="W3226" i="12"/>
  <c r="X3226" i="12"/>
  <c r="W3227" i="12"/>
  <c r="X3227" i="12"/>
  <c r="W3228" i="12"/>
  <c r="W3229" i="12"/>
  <c r="X3228" i="12"/>
  <c r="X3229" i="12"/>
  <c r="W3230" i="12"/>
  <c r="W3231" i="12"/>
  <c r="X3230" i="12"/>
  <c r="X3231" i="12"/>
  <c r="W3232" i="12"/>
  <c r="X3232" i="12"/>
  <c r="W3233" i="12"/>
  <c r="W3234" i="12"/>
  <c r="X3233" i="12"/>
  <c r="X3234" i="12"/>
  <c r="W3235" i="12"/>
  <c r="W3236" i="12"/>
  <c r="X3235" i="12"/>
  <c r="W3237" i="12"/>
  <c r="X3236" i="12"/>
  <c r="W3238" i="12"/>
  <c r="X3237" i="12"/>
  <c r="X3238" i="12"/>
  <c r="W3239" i="12"/>
  <c r="W3240" i="12"/>
  <c r="X3239" i="12"/>
  <c r="W3241" i="12"/>
  <c r="X3240" i="12"/>
  <c r="W3242" i="12"/>
  <c r="X3241" i="12"/>
  <c r="W3243" i="12"/>
  <c r="X3242" i="12"/>
  <c r="X3243" i="12"/>
  <c r="W3244" i="12"/>
  <c r="X3244" i="12"/>
  <c r="W3245" i="12"/>
  <c r="W3246" i="12"/>
  <c r="X3245" i="12"/>
  <c r="X3246" i="12"/>
  <c r="W3247" i="12"/>
  <c r="W3248" i="12"/>
  <c r="X3247" i="12"/>
  <c r="X3248" i="12"/>
  <c r="W3249" i="12"/>
  <c r="X3249" i="12"/>
  <c r="W3250" i="12"/>
  <c r="X3250" i="12"/>
  <c r="W3251" i="12"/>
  <c r="W3252" i="12"/>
  <c r="X3251" i="12"/>
  <c r="W3253" i="12"/>
  <c r="X3252" i="12"/>
  <c r="W3254" i="12"/>
  <c r="X3253" i="12"/>
  <c r="W3255" i="12"/>
  <c r="X3254" i="12"/>
  <c r="W3256" i="12"/>
  <c r="X3255" i="12"/>
  <c r="X3256" i="12"/>
  <c r="W3257" i="12"/>
  <c r="W3258" i="12"/>
  <c r="X3257" i="12"/>
  <c r="X3258" i="12"/>
  <c r="W3259" i="12"/>
  <c r="X3259" i="12"/>
  <c r="W3260" i="12"/>
  <c r="W3261" i="12"/>
  <c r="X3260" i="12"/>
  <c r="W3262" i="12"/>
  <c r="X3261" i="12"/>
  <c r="W3263" i="12"/>
  <c r="X3262" i="12"/>
  <c r="W3264" i="12"/>
  <c r="X3263" i="12"/>
  <c r="X3264" i="12"/>
  <c r="W3265" i="12"/>
  <c r="X3265" i="12"/>
  <c r="W3266" i="12"/>
  <c r="W3267" i="12"/>
  <c r="X3266" i="12"/>
  <c r="X3267" i="12"/>
  <c r="W3268" i="12"/>
  <c r="X3268" i="12"/>
  <c r="W3269" i="12"/>
  <c r="X3269" i="12"/>
  <c r="W3270" i="12"/>
  <c r="X3270" i="12"/>
  <c r="W3271" i="12"/>
  <c r="W3272" i="12"/>
  <c r="X3271" i="12"/>
  <c r="W3273" i="12"/>
  <c r="X3272" i="12"/>
  <c r="X3273" i="12"/>
  <c r="W3274" i="12"/>
  <c r="X3274" i="12"/>
  <c r="W3275" i="12"/>
  <c r="X3275" i="12"/>
  <c r="W3276" i="12"/>
  <c r="X3276" i="12"/>
  <c r="W3277" i="12"/>
  <c r="X3277" i="12"/>
  <c r="W3278" i="12"/>
  <c r="X3278" i="12"/>
  <c r="W3279" i="12"/>
  <c r="X3279" i="12"/>
  <c r="W3280" i="12"/>
  <c r="X3280" i="12"/>
  <c r="W3281" i="12"/>
  <c r="X3281" i="12"/>
  <c r="W3282" i="12"/>
  <c r="X3282" i="12"/>
  <c r="W3283" i="12"/>
  <c r="X3283" i="12"/>
  <c r="W3284" i="12"/>
  <c r="X3284" i="12"/>
  <c r="W3285" i="12"/>
  <c r="X3285" i="12"/>
  <c r="W3286" i="12"/>
  <c r="W3287" i="12"/>
  <c r="X3286" i="12"/>
  <c r="W3288" i="12"/>
  <c r="X3287" i="12"/>
  <c r="W3289" i="12"/>
  <c r="X3288" i="12"/>
  <c r="X3289" i="12"/>
  <c r="W3290" i="12"/>
  <c r="X3290" i="12"/>
  <c r="W3291" i="12"/>
  <c r="W3292" i="12"/>
  <c r="X3291" i="12"/>
  <c r="W3293" i="12"/>
  <c r="X3292" i="12"/>
  <c r="X3293" i="12"/>
  <c r="W3294" i="12"/>
  <c r="X3294" i="12"/>
  <c r="W3295" i="12"/>
  <c r="X3295" i="12"/>
  <c r="W3296" i="12"/>
  <c r="X3296" i="12"/>
  <c r="W3297" i="12"/>
  <c r="W3298" i="12"/>
  <c r="X3297" i="12"/>
  <c r="W3299" i="12"/>
  <c r="X3298" i="12"/>
  <c r="X3299" i="12"/>
  <c r="W3300" i="12"/>
  <c r="W3301" i="12"/>
  <c r="X3300" i="12"/>
  <c r="X3301" i="12"/>
  <c r="W3302" i="12"/>
  <c r="X3302" i="12"/>
  <c r="W3303" i="12"/>
  <c r="X3303" i="12"/>
  <c r="W3304" i="12"/>
  <c r="W3305" i="12"/>
  <c r="X3304" i="12"/>
  <c r="W3306" i="12"/>
  <c r="X3305" i="12"/>
  <c r="W3307" i="12"/>
  <c r="X3306" i="12"/>
  <c r="W3308" i="12"/>
  <c r="X3307" i="12"/>
  <c r="X3308" i="12"/>
  <c r="W3309" i="12"/>
  <c r="W3310" i="12"/>
  <c r="X3309" i="12"/>
  <c r="X3310" i="12"/>
  <c r="W3311" i="12"/>
  <c r="X3311" i="12"/>
  <c r="W3312" i="12"/>
  <c r="X3312" i="12"/>
  <c r="W3313" i="12"/>
  <c r="W3314" i="12"/>
  <c r="X3313" i="12"/>
  <c r="X3314" i="12"/>
  <c r="W3315" i="12"/>
  <c r="X3315" i="12"/>
  <c r="W3316" i="12"/>
  <c r="X3316" i="12"/>
  <c r="W3317" i="12"/>
  <c r="X3317" i="12"/>
  <c r="W3318" i="12"/>
  <c r="W3319" i="12"/>
  <c r="X3318" i="12"/>
  <c r="X3319" i="12"/>
  <c r="W3320" i="12"/>
  <c r="X3320" i="12"/>
  <c r="W3321" i="12"/>
  <c r="X3321" i="12"/>
  <c r="W3322" i="12"/>
  <c r="W3323" i="12"/>
  <c r="X3322" i="12"/>
  <c r="W3324" i="12"/>
  <c r="X3323" i="12"/>
  <c r="W3325" i="12"/>
  <c r="X3324" i="12"/>
  <c r="X3325" i="12"/>
  <c r="W3326" i="12"/>
  <c r="X3326" i="12"/>
  <c r="W3327" i="12"/>
  <c r="W3328" i="12"/>
  <c r="X3327" i="12"/>
  <c r="X3328" i="12"/>
  <c r="W3329" i="12"/>
  <c r="W3330" i="12"/>
  <c r="X3329" i="12"/>
  <c r="W3331" i="12"/>
  <c r="X3330" i="12"/>
  <c r="X3331" i="12"/>
  <c r="W3332" i="12"/>
  <c r="W3333" i="12"/>
  <c r="X3332" i="12"/>
  <c r="W3334" i="12"/>
  <c r="X3333" i="12"/>
  <c r="W3335" i="12"/>
  <c r="X3334" i="12"/>
  <c r="X3335" i="12"/>
  <c r="W3336" i="12"/>
  <c r="W3337" i="12"/>
  <c r="X3336" i="12"/>
  <c r="W3338" i="12"/>
  <c r="X3337" i="12"/>
  <c r="W3339" i="12"/>
  <c r="X3338" i="12"/>
  <c r="X3339" i="12"/>
  <c r="W3340" i="12"/>
  <c r="W3341" i="12"/>
  <c r="X3340" i="12"/>
  <c r="W3342" i="12"/>
  <c r="X3341" i="12"/>
  <c r="X3342" i="12"/>
  <c r="W3343" i="12"/>
  <c r="X3343" i="12"/>
  <c r="W3344" i="12"/>
  <c r="X3344" i="12"/>
  <c r="W3345" i="12"/>
  <c r="W3346" i="12"/>
  <c r="X3345" i="12"/>
  <c r="X3346" i="12"/>
  <c r="W3347" i="12"/>
  <c r="X3347" i="12"/>
  <c r="W3348" i="12"/>
  <c r="X3348" i="12"/>
  <c r="W3349" i="12"/>
  <c r="X3349" i="12"/>
  <c r="W3350" i="12"/>
  <c r="X3350" i="12"/>
  <c r="W3351" i="12"/>
  <c r="W3352" i="12"/>
  <c r="X3351" i="12"/>
  <c r="X3352" i="12"/>
  <c r="W3353" i="12"/>
  <c r="W3354" i="12"/>
  <c r="X3353" i="12"/>
  <c r="X3354" i="12"/>
  <c r="W3355" i="12"/>
  <c r="X3355" i="12"/>
  <c r="W3356" i="12"/>
  <c r="W3357" i="12"/>
  <c r="X3356" i="12"/>
  <c r="W3358" i="12"/>
  <c r="X3357" i="12"/>
  <c r="W3359" i="12"/>
  <c r="X3358" i="12"/>
  <c r="X3359" i="12"/>
  <c r="W3360" i="12"/>
  <c r="X3360" i="12"/>
  <c r="W3361" i="12"/>
  <c r="W3362" i="12"/>
  <c r="X3361" i="12"/>
  <c r="X3362" i="12"/>
  <c r="W3363" i="12"/>
  <c r="X3363" i="12"/>
  <c r="W3364" i="12"/>
  <c r="W3365" i="12"/>
  <c r="X3364" i="12"/>
  <c r="X3365" i="12"/>
  <c r="W3366" i="12"/>
  <c r="X3366" i="12"/>
  <c r="W3367" i="12"/>
  <c r="W3368" i="12"/>
  <c r="X3367" i="12"/>
  <c r="X3368" i="12"/>
  <c r="W3369" i="12"/>
  <c r="W3370" i="12"/>
  <c r="X3369" i="12"/>
  <c r="W3371" i="12"/>
  <c r="X3370" i="12"/>
  <c r="X3371" i="12"/>
  <c r="W3372" i="12"/>
  <c r="X3372" i="12"/>
  <c r="W3373" i="12"/>
  <c r="W3374" i="12"/>
  <c r="X3373" i="12"/>
  <c r="W3375" i="12"/>
  <c r="X3374" i="12"/>
  <c r="X3375" i="12"/>
  <c r="W3376" i="12"/>
  <c r="X3376" i="12"/>
  <c r="W3377" i="12"/>
  <c r="W3378" i="12"/>
  <c r="X3377" i="12"/>
  <c r="X3378" i="12"/>
  <c r="W3379" i="12"/>
  <c r="X3379" i="12"/>
  <c r="W3380" i="12"/>
  <c r="W3381" i="12"/>
  <c r="X3380" i="12"/>
  <c r="X3381" i="12"/>
  <c r="W3382" i="12"/>
  <c r="W3383" i="12"/>
  <c r="X3382" i="12"/>
  <c r="W3384" i="12"/>
  <c r="X3383" i="12"/>
  <c r="X3384" i="12"/>
  <c r="W3385" i="12"/>
  <c r="X3385" i="12"/>
  <c r="W3386" i="12"/>
  <c r="X3386" i="12"/>
  <c r="W3387" i="12"/>
  <c r="W3388" i="12"/>
  <c r="X3387" i="12"/>
  <c r="W3389" i="12"/>
  <c r="X3388" i="12"/>
  <c r="X3389" i="12"/>
  <c r="W3390" i="12"/>
  <c r="W3391" i="12"/>
  <c r="X3390" i="12"/>
  <c r="X3391" i="12"/>
  <c r="W3392" i="12"/>
  <c r="X3392" i="12"/>
  <c r="W3393" i="12"/>
  <c r="X3393" i="12"/>
  <c r="W3394" i="12"/>
  <c r="X3394" i="12"/>
  <c r="W3395" i="12"/>
  <c r="X3395" i="12"/>
  <c r="W3396" i="12"/>
  <c r="W3397" i="12"/>
  <c r="X3396" i="12"/>
  <c r="X3397" i="12"/>
  <c r="W3398" i="12"/>
  <c r="X3398" i="12"/>
  <c r="W3399" i="12"/>
  <c r="W3400" i="12"/>
  <c r="X3399" i="12"/>
  <c r="X3400" i="12"/>
  <c r="W3401" i="12"/>
  <c r="X3401" i="12"/>
  <c r="W3402" i="12"/>
  <c r="W3403" i="12"/>
  <c r="X3402" i="12"/>
  <c r="W3404" i="12"/>
  <c r="X3403" i="12"/>
  <c r="X3404" i="12"/>
  <c r="W3405" i="12"/>
  <c r="X3405" i="12"/>
  <c r="W3406" i="12"/>
  <c r="W3407" i="12"/>
  <c r="X3406" i="12"/>
  <c r="W3408" i="12"/>
  <c r="X3407" i="12"/>
  <c r="W3409" i="12"/>
  <c r="X3408" i="12"/>
  <c r="W3410" i="12"/>
  <c r="X3409" i="12"/>
  <c r="X3410" i="12"/>
  <c r="W3411" i="12"/>
  <c r="W3412" i="12"/>
  <c r="X3411" i="12"/>
  <c r="X3412" i="12"/>
  <c r="W3413" i="12"/>
  <c r="W3414" i="12"/>
  <c r="X3413" i="12"/>
  <c r="W3415" i="12"/>
  <c r="X3414" i="12"/>
  <c r="X3415" i="12"/>
  <c r="W3416" i="12"/>
  <c r="W3417" i="12"/>
  <c r="X3416" i="12"/>
  <c r="W3418" i="12"/>
  <c r="X3417" i="12"/>
  <c r="W3419" i="12"/>
  <c r="X3418" i="12"/>
  <c r="X3419" i="12"/>
  <c r="W3420" i="12"/>
  <c r="X3420" i="12"/>
  <c r="W3421" i="12"/>
  <c r="W3422" i="12"/>
  <c r="X3421" i="12"/>
  <c r="W3423" i="12"/>
  <c r="X3422" i="12"/>
  <c r="X3423" i="12"/>
  <c r="W3424" i="12"/>
  <c r="W3425" i="12"/>
  <c r="X3424" i="12"/>
  <c r="X3425" i="12"/>
  <c r="W3426" i="12"/>
  <c r="X3426" i="12"/>
  <c r="W3427" i="12"/>
  <c r="W3428" i="12"/>
  <c r="X3427" i="12"/>
  <c r="X3428" i="12"/>
  <c r="W3429" i="12"/>
  <c r="W3430" i="12"/>
  <c r="X3429" i="12"/>
  <c r="W3431" i="12"/>
  <c r="X3430" i="12"/>
  <c r="W3432" i="12"/>
  <c r="X3431" i="12"/>
  <c r="X3432" i="12"/>
  <c r="W3433" i="12"/>
  <c r="W3434" i="12"/>
  <c r="X3433" i="12"/>
  <c r="X3434" i="12"/>
  <c r="W3435" i="12"/>
  <c r="W3436" i="12"/>
  <c r="X3435" i="12"/>
  <c r="W3437" i="12"/>
  <c r="X3436" i="12"/>
  <c r="W3438" i="12"/>
  <c r="X3437" i="12"/>
  <c r="X3438" i="12"/>
  <c r="W3439" i="12"/>
  <c r="W3440" i="12"/>
  <c r="X3439" i="12"/>
  <c r="W3441" i="12"/>
  <c r="X3440" i="12"/>
  <c r="W3442" i="12"/>
  <c r="X3441" i="12"/>
  <c r="W3443" i="12"/>
  <c r="X3442" i="12"/>
  <c r="W3444" i="12"/>
  <c r="X3443" i="12"/>
  <c r="W3445" i="12"/>
  <c r="X3444" i="12"/>
  <c r="W3446" i="12"/>
  <c r="X3445" i="12"/>
  <c r="W3447" i="12"/>
  <c r="X3446" i="12"/>
  <c r="W3448" i="12"/>
  <c r="X3447" i="12"/>
  <c r="W3449" i="12"/>
  <c r="X3448" i="12"/>
  <c r="X3449" i="12"/>
  <c r="W3450" i="12"/>
  <c r="W3451" i="12"/>
  <c r="X3450" i="12"/>
  <c r="X3451" i="12"/>
  <c r="W3452" i="12"/>
  <c r="X3452" i="12"/>
  <c r="W3453" i="12"/>
  <c r="W3454" i="12"/>
  <c r="X3453" i="12"/>
  <c r="W3455" i="12"/>
  <c r="X3454" i="12"/>
  <c r="W3456" i="12"/>
  <c r="X3455" i="12"/>
  <c r="W3457" i="12"/>
  <c r="X3456" i="12"/>
  <c r="W3458" i="12"/>
  <c r="X3457" i="12"/>
  <c r="X3458" i="12"/>
  <c r="W3459" i="12"/>
  <c r="X3459" i="12"/>
  <c r="W3460" i="12"/>
  <c r="W3461" i="12"/>
  <c r="X3460" i="12"/>
  <c r="W3462" i="12"/>
  <c r="X3461" i="12"/>
  <c r="W3463" i="12"/>
  <c r="X3462" i="12"/>
  <c r="X3463" i="12"/>
  <c r="W3464" i="12"/>
  <c r="X3464" i="12"/>
  <c r="W3465" i="12"/>
  <c r="X3465" i="12"/>
  <c r="W3466" i="12"/>
  <c r="X3466" i="12"/>
  <c r="W3467" i="12"/>
  <c r="X3467" i="12"/>
  <c r="W3468" i="12"/>
  <c r="W3469" i="12"/>
  <c r="X3468" i="12"/>
  <c r="X3469" i="12"/>
  <c r="W3470" i="12"/>
  <c r="X3470" i="12"/>
  <c r="W3471" i="12"/>
  <c r="W3472" i="12"/>
  <c r="X3471" i="12"/>
  <c r="W3473" i="12"/>
  <c r="X3472" i="12"/>
  <c r="X3473" i="12"/>
  <c r="W3474" i="12"/>
  <c r="W3475" i="12"/>
  <c r="X3474" i="12"/>
  <c r="W3476" i="12"/>
  <c r="X3475" i="12"/>
  <c r="W3477" i="12"/>
  <c r="X3476" i="12"/>
  <c r="W3478" i="12"/>
  <c r="X3477" i="12"/>
  <c r="W3479" i="12"/>
  <c r="X3478" i="12"/>
  <c r="W3480" i="12"/>
  <c r="X3479" i="12"/>
  <c r="W3481" i="12"/>
  <c r="X3480" i="12"/>
  <c r="W3482" i="12"/>
  <c r="X3481" i="12"/>
  <c r="W3483" i="12"/>
  <c r="X3482" i="12"/>
  <c r="X3483" i="12"/>
  <c r="W3484" i="12"/>
  <c r="X3484" i="12"/>
  <c r="W3485" i="12"/>
  <c r="W3486" i="12"/>
  <c r="X3485" i="12"/>
  <c r="W3487" i="12"/>
  <c r="X3486" i="12"/>
  <c r="W3488" i="12"/>
  <c r="X3487" i="12"/>
  <c r="X3488" i="12"/>
  <c r="W3489" i="12"/>
  <c r="X3489" i="12"/>
  <c r="W3490" i="12"/>
  <c r="X3490" i="12"/>
  <c r="W3491" i="12"/>
  <c r="X3491" i="12"/>
  <c r="W3492" i="12"/>
  <c r="X3492" i="12"/>
  <c r="W3493" i="12"/>
  <c r="W3494" i="12"/>
  <c r="X3493" i="12"/>
  <c r="W3495" i="12"/>
  <c r="X3494" i="12"/>
  <c r="W3496" i="12"/>
  <c r="X3495" i="12"/>
  <c r="W3497" i="12"/>
  <c r="X3496" i="12"/>
  <c r="X3497" i="12"/>
  <c r="W3498" i="12"/>
  <c r="X3498" i="12"/>
  <c r="W3499" i="12"/>
  <c r="X3499" i="12"/>
  <c r="W3500" i="12"/>
  <c r="W3501" i="12"/>
  <c r="X3500" i="12"/>
  <c r="X3501" i="12"/>
  <c r="W3502" i="12"/>
  <c r="X3502" i="12"/>
  <c r="W3503" i="12"/>
  <c r="W3504" i="12"/>
  <c r="X3503" i="12"/>
  <c r="W3505" i="12"/>
  <c r="X3504" i="12"/>
  <c r="W3506" i="12"/>
  <c r="X3505" i="12"/>
  <c r="W3507" i="12"/>
  <c r="X3506" i="12"/>
  <c r="X3507" i="12"/>
  <c r="W3508" i="12"/>
  <c r="W3509" i="12"/>
  <c r="X3508" i="12"/>
  <c r="X3509" i="12"/>
  <c r="W3510" i="12"/>
  <c r="W3511" i="12"/>
  <c r="X3510" i="12"/>
  <c r="X3511" i="12"/>
  <c r="W3512" i="12"/>
  <c r="W3513" i="12"/>
  <c r="X3512" i="12"/>
  <c r="X3513" i="12"/>
  <c r="W3514" i="12"/>
  <c r="W3515" i="12"/>
  <c r="X3514" i="12"/>
  <c r="W3516" i="12"/>
  <c r="X3515" i="12"/>
  <c r="X3516" i="12"/>
  <c r="W3517" i="12"/>
  <c r="X3517" i="12"/>
  <c r="W3518" i="12"/>
  <c r="W3519" i="12"/>
  <c r="X3518" i="12"/>
  <c r="W3520" i="12"/>
  <c r="X3519" i="12"/>
  <c r="W3521" i="12"/>
  <c r="X3520" i="12"/>
  <c r="W3522" i="12"/>
  <c r="X3521" i="12"/>
  <c r="W3523" i="12"/>
  <c r="X3522" i="12"/>
  <c r="W3524" i="12"/>
  <c r="X3523" i="12"/>
  <c r="W3525" i="12"/>
  <c r="X3524" i="12"/>
  <c r="X3525" i="12"/>
  <c r="W3526" i="12"/>
  <c r="X3526" i="12"/>
  <c r="W3527" i="12"/>
  <c r="X3527" i="12"/>
  <c r="W3528" i="12"/>
  <c r="X3528" i="12"/>
  <c r="W3529" i="12"/>
  <c r="X3529" i="12"/>
  <c r="W3530" i="12"/>
  <c r="X3530" i="12"/>
  <c r="W3531" i="12"/>
  <c r="W3532" i="12"/>
  <c r="X3531" i="12"/>
  <c r="X3532" i="12"/>
  <c r="W3533" i="12"/>
  <c r="W3534" i="12"/>
  <c r="X3533" i="12"/>
  <c r="X3534" i="12"/>
  <c r="W3535" i="12"/>
  <c r="X3535" i="12"/>
  <c r="W3536" i="12"/>
  <c r="X3536" i="12"/>
  <c r="W3537" i="12"/>
  <c r="X3537" i="12"/>
  <c r="W3538" i="12"/>
  <c r="X3538" i="12"/>
  <c r="W3539" i="12"/>
  <c r="X3539" i="12"/>
  <c r="W3540" i="12"/>
  <c r="X3540" i="12"/>
  <c r="W3541" i="12"/>
  <c r="X3541" i="12"/>
  <c r="W3542" i="12"/>
  <c r="X3542" i="12"/>
  <c r="W3543" i="12"/>
  <c r="W3544" i="12"/>
  <c r="X3543" i="12"/>
  <c r="X3544" i="12"/>
  <c r="W3545" i="12"/>
  <c r="W3546" i="12"/>
  <c r="X3545" i="12"/>
  <c r="X3546" i="12"/>
  <c r="W3547" i="12"/>
  <c r="X3547" i="12"/>
  <c r="W3548" i="12"/>
  <c r="X3548" i="12"/>
  <c r="W3549" i="12"/>
  <c r="W3550" i="12"/>
  <c r="X3549" i="12"/>
  <c r="W3551" i="12"/>
  <c r="X3550" i="12"/>
  <c r="X3551" i="12"/>
  <c r="W3552" i="12"/>
  <c r="Y19" i="12" a="1"/>
  <c r="X3552" i="12"/>
  <c r="Z19" i="12" s="1" a="1"/>
  <c r="Z68" i="12" l="1"/>
  <c r="Z251" i="12"/>
  <c r="Z345" i="12"/>
  <c r="Z1248" i="12"/>
  <c r="Z2228" i="12"/>
  <c r="Z912" i="12"/>
  <c r="Z1800" i="12"/>
  <c r="Z2611" i="12"/>
  <c r="Z791" i="12"/>
  <c r="Z1121" i="12"/>
  <c r="Z3208" i="12"/>
  <c r="Z1013" i="12"/>
  <c r="Z2634" i="12"/>
  <c r="Z2698" i="12"/>
  <c r="Z212" i="12"/>
  <c r="Z2682" i="12"/>
  <c r="Z117" i="12"/>
  <c r="Z285" i="12"/>
  <c r="Z1116" i="12"/>
  <c r="Z3233" i="12"/>
  <c r="Z1881" i="12"/>
  <c r="Z3112" i="12"/>
  <c r="Z114" i="12"/>
  <c r="Z1234" i="12"/>
  <c r="Z19" i="12"/>
  <c r="Z2227" i="12"/>
  <c r="Z1764" i="12"/>
  <c r="Z1297" i="12"/>
  <c r="Z1850" i="12"/>
  <c r="Z2378" i="12"/>
  <c r="Z1761" i="12"/>
  <c r="Z1885" i="12"/>
  <c r="Z2599" i="12"/>
  <c r="Z3442" i="12"/>
  <c r="Z2959" i="12"/>
  <c r="Z3257" i="12"/>
  <c r="Z2126" i="12"/>
  <c r="Z2149" i="12"/>
  <c r="Z636" i="12"/>
  <c r="Z2131" i="12"/>
  <c r="Z864" i="12"/>
  <c r="Z546" i="12"/>
  <c r="Z3390" i="12"/>
  <c r="Z3432" i="12"/>
  <c r="Z1348" i="12"/>
  <c r="Z979" i="12"/>
  <c r="Z2190" i="12"/>
  <c r="Z420" i="12"/>
  <c r="Z176" i="12"/>
  <c r="Z86" i="12"/>
  <c r="Z1765" i="12"/>
  <c r="Z1715" i="12"/>
  <c r="Z1660" i="12"/>
  <c r="Z1361" i="12"/>
  <c r="Z2419" i="12"/>
  <c r="Z340" i="12"/>
  <c r="Z693" i="12"/>
  <c r="Z1951" i="12"/>
  <c r="Z2726" i="12"/>
  <c r="Z1243" i="12"/>
  <c r="Z857" i="12"/>
  <c r="Z770" i="12"/>
  <c r="Z2474" i="12"/>
  <c r="Z326" i="12"/>
  <c r="Z2090" i="12"/>
  <c r="Z2788" i="12"/>
  <c r="Z2105" i="12"/>
  <c r="Z3386" i="12"/>
  <c r="Z2245" i="12"/>
  <c r="Z2722" i="12"/>
  <c r="Z2118" i="12"/>
  <c r="Z2551" i="12"/>
  <c r="Z607" i="12"/>
  <c r="Z867" i="12"/>
  <c r="Z2319" i="12"/>
  <c r="Z2877" i="12"/>
  <c r="Z336" i="12"/>
  <c r="Z52" i="12"/>
  <c r="Z1963" i="12"/>
  <c r="Z1779" i="12"/>
  <c r="Z2388" i="12"/>
  <c r="Z2142" i="12"/>
  <c r="Z875" i="12"/>
  <c r="Z2436" i="12"/>
  <c r="Z1117" i="12"/>
  <c r="Z1044" i="12"/>
  <c r="Z3123" i="12"/>
  <c r="Z209" i="12"/>
  <c r="Z2964" i="12"/>
  <c r="Z365" i="12"/>
  <c r="Z1141" i="12"/>
  <c r="Z2916" i="12"/>
  <c r="Z233" i="12"/>
  <c r="Z1095" i="12"/>
  <c r="Z3230" i="12"/>
  <c r="Z2199" i="12"/>
  <c r="Z3417" i="12"/>
  <c r="Z1349" i="12"/>
  <c r="Z1429" i="12"/>
  <c r="Z1545" i="12"/>
  <c r="Z677" i="12"/>
  <c r="Z2339" i="12"/>
  <c r="Z1276" i="12"/>
  <c r="Z649" i="12"/>
  <c r="Z951" i="12"/>
  <c r="Z2927" i="12"/>
  <c r="Z1409" i="12"/>
  <c r="Z1585" i="12"/>
  <c r="Z1392" i="12"/>
  <c r="Z1558" i="12"/>
  <c r="Z1989" i="12"/>
  <c r="Z919" i="12"/>
  <c r="Z1551" i="12"/>
  <c r="Z3407" i="12"/>
  <c r="Z948" i="12"/>
  <c r="Z1168" i="12"/>
  <c r="Z2781" i="12"/>
  <c r="Z931" i="12"/>
  <c r="Z1571" i="12"/>
  <c r="Z1740" i="12"/>
  <c r="Z555" i="12"/>
  <c r="Z1293" i="12"/>
  <c r="Z2813" i="12"/>
  <c r="Z658" i="12"/>
  <c r="Z1720" i="12"/>
  <c r="Z2816" i="12"/>
  <c r="Z2825" i="12"/>
  <c r="Z1525" i="12"/>
  <c r="Z2192" i="12"/>
  <c r="Z3045" i="12"/>
  <c r="Z1990" i="12"/>
  <c r="Z2217" i="12"/>
  <c r="Z1690" i="12"/>
  <c r="Z1996" i="12"/>
  <c r="Z3242" i="12"/>
  <c r="Z2723" i="12"/>
  <c r="Z244" i="12"/>
  <c r="Z2309" i="12"/>
  <c r="Z2958" i="12"/>
  <c r="Z2828" i="12"/>
  <c r="Z149" i="12"/>
  <c r="Z586" i="12"/>
  <c r="Z602" i="12"/>
  <c r="Z790" i="12"/>
  <c r="Z2095" i="12"/>
  <c r="Z2564" i="12"/>
  <c r="Z2104" i="12"/>
  <c r="Z1289" i="12"/>
  <c r="Z3368" i="12"/>
  <c r="Z1282" i="12"/>
  <c r="Z1547" i="12"/>
  <c r="Z899" i="12"/>
  <c r="Z2393" i="12"/>
  <c r="Z2268" i="12"/>
  <c r="Z481" i="12"/>
  <c r="Z1280" i="12"/>
  <c r="Z1818" i="12"/>
  <c r="Z74" i="12"/>
  <c r="Z2739" i="12"/>
  <c r="Z3356" i="12"/>
  <c r="Z2882" i="12"/>
  <c r="Z1320" i="12"/>
  <c r="Z2440" i="12"/>
  <c r="Z1716" i="12"/>
  <c r="Z2124" i="12"/>
  <c r="Z1733" i="12"/>
  <c r="Z927" i="12"/>
  <c r="Z208" i="12"/>
  <c r="Z1422" i="12"/>
  <c r="Z2667" i="12"/>
  <c r="Z3336" i="12"/>
  <c r="Z1734" i="12"/>
  <c r="Z2469" i="12"/>
  <c r="Z1941" i="12"/>
  <c r="Z2609" i="12"/>
  <c r="Z1242" i="12"/>
  <c r="Z3439" i="12"/>
  <c r="Z3165" i="12"/>
  <c r="Z1966" i="12"/>
  <c r="Z2853" i="12"/>
  <c r="Z2317" i="12"/>
  <c r="Z2001" i="12"/>
  <c r="Z2751" i="12"/>
  <c r="Z1284" i="12"/>
  <c r="Z527" i="12"/>
  <c r="Z1799" i="12"/>
  <c r="Z1824" i="12"/>
  <c r="Z1470" i="12"/>
  <c r="Z73" i="12"/>
  <c r="Z511" i="12"/>
  <c r="Z435" i="12"/>
  <c r="Z869" i="12"/>
  <c r="Z941" i="12"/>
  <c r="Z2568" i="12"/>
  <c r="Z417" i="12"/>
  <c r="Z3362" i="12"/>
  <c r="Z1371" i="12"/>
  <c r="Z1939" i="12"/>
  <c r="Z1942" i="12"/>
  <c r="Z411" i="12"/>
  <c r="Z302" i="12"/>
  <c r="Z2863" i="12"/>
  <c r="Z691" i="12"/>
  <c r="Z3304" i="12"/>
  <c r="Z665" i="12"/>
  <c r="Z1404" i="12"/>
  <c r="Z247" i="12"/>
  <c r="Z2826" i="12"/>
  <c r="Z896" i="12"/>
  <c r="Z3504" i="12"/>
  <c r="Z2266" i="12"/>
  <c r="Z2425" i="12"/>
  <c r="Z358" i="12"/>
  <c r="Z3052" i="12"/>
  <c r="Z1835" i="12"/>
  <c r="Z762" i="12"/>
  <c r="Z1489" i="12"/>
  <c r="Z3464" i="12"/>
  <c r="Z1391" i="12"/>
  <c r="Z1366" i="12"/>
  <c r="Z674" i="12"/>
  <c r="Z3399" i="12"/>
  <c r="Z2123" i="12"/>
  <c r="Z666" i="12"/>
  <c r="Z2571" i="12"/>
  <c r="Z2885" i="12"/>
  <c r="Z1588" i="12"/>
  <c r="Z854" i="12"/>
  <c r="Z3513" i="12"/>
  <c r="Z1708" i="12"/>
  <c r="Z2812" i="12"/>
  <c r="Z2043" i="12"/>
  <c r="Z1271" i="12"/>
  <c r="Z1722" i="12"/>
  <c r="Z1684" i="12"/>
  <c r="Z633" i="12"/>
  <c r="Z169" i="12"/>
  <c r="Z339" i="12"/>
  <c r="Z1156" i="12"/>
  <c r="Z2823" i="12"/>
  <c r="Z3009" i="12"/>
  <c r="Z2897" i="12"/>
  <c r="Z617" i="12"/>
  <c r="Z837" i="12"/>
  <c r="Z2046" i="12"/>
  <c r="Z1215" i="12"/>
  <c r="Z1668" i="12"/>
  <c r="Z2360" i="12"/>
  <c r="Z152" i="12"/>
  <c r="Z55" i="12"/>
  <c r="Z3177" i="12"/>
  <c r="Z442" i="12"/>
  <c r="Z2623" i="12"/>
  <c r="Z589" i="12"/>
  <c r="Z1062" i="12"/>
  <c r="Z663" i="12"/>
  <c r="Z1006" i="12"/>
  <c r="Z1692" i="12"/>
  <c r="Z2476" i="12"/>
  <c r="Z1476" i="12"/>
  <c r="Z2914" i="12"/>
  <c r="Z3090" i="12"/>
  <c r="Z89" i="12"/>
  <c r="Z2871" i="12"/>
  <c r="Z1821" i="12"/>
  <c r="Z3194" i="12"/>
  <c r="Z1678" i="12"/>
  <c r="Z3433" i="12"/>
  <c r="Z3410" i="12"/>
  <c r="Z1396" i="12"/>
  <c r="Z2707" i="12"/>
  <c r="Z2215" i="12"/>
  <c r="Z123" i="12"/>
  <c r="Z3023" i="12"/>
  <c r="Z985" i="12"/>
  <c r="Z2488" i="12"/>
  <c r="Z370" i="12"/>
  <c r="Z904" i="12"/>
  <c r="Z2504" i="12"/>
  <c r="Z1055" i="12"/>
  <c r="Z1883" i="12"/>
  <c r="Z2021" i="12"/>
  <c r="Z2463" i="12"/>
  <c r="Z1072" i="12"/>
  <c r="Z3022" i="12"/>
  <c r="Z3010" i="12"/>
  <c r="Z1482" i="12"/>
  <c r="Z1602" i="12"/>
  <c r="Z2604" i="12"/>
  <c r="Z2581" i="12"/>
  <c r="Z842" i="12"/>
  <c r="Z2259" i="12"/>
  <c r="Z2497" i="12"/>
  <c r="Z3248" i="12"/>
  <c r="Z3031" i="12"/>
  <c r="Z2194" i="12"/>
  <c r="Z371" i="12"/>
  <c r="Z329" i="12"/>
  <c r="Z2761" i="12"/>
  <c r="Z3418" i="12"/>
  <c r="Z3186" i="12"/>
  <c r="Z2073" i="12"/>
  <c r="Z1877" i="12"/>
  <c r="Z3549" i="12"/>
  <c r="Z1273" i="12"/>
  <c r="Z3135" i="12"/>
  <c r="Z1826" i="12"/>
  <c r="Z2076" i="12"/>
  <c r="Z2282" i="12"/>
  <c r="Z2795" i="12"/>
  <c r="Z2100" i="12"/>
  <c r="Z1227" i="12"/>
  <c r="Z535" i="12"/>
  <c r="Z1811" i="12"/>
  <c r="Z1231" i="12"/>
  <c r="Z2156" i="12"/>
  <c r="Z1415" i="12"/>
  <c r="Z782" i="12"/>
  <c r="Z698" i="12"/>
  <c r="Z2163" i="12"/>
  <c r="Z598" i="12"/>
  <c r="Z2223" i="12"/>
  <c r="Z493" i="12"/>
  <c r="Z1628" i="12"/>
  <c r="Z920" i="12"/>
  <c r="Z185" i="12"/>
  <c r="Z704" i="12"/>
  <c r="Z724" i="12"/>
  <c r="Z1444" i="12"/>
  <c r="Z2439" i="12"/>
  <c r="Z2878" i="12"/>
  <c r="Z1576" i="12"/>
  <c r="Z385" i="12"/>
  <c r="Z575" i="12"/>
  <c r="Z414" i="12"/>
  <c r="Z1344" i="12"/>
  <c r="Z3012" i="12"/>
  <c r="Z1786" i="12"/>
  <c r="Z1595" i="12"/>
  <c r="Z2048" i="12"/>
  <c r="Z1517" i="12"/>
  <c r="Z288" i="12"/>
  <c r="Z1496" i="12"/>
  <c r="Z26" i="12"/>
  <c r="Z443" i="12"/>
  <c r="Z2890" i="12"/>
  <c r="Z1481" i="12"/>
  <c r="Z1189" i="12"/>
  <c r="Z522" i="12"/>
  <c r="Z1235" i="12"/>
  <c r="Z1652" i="12"/>
  <c r="Z500" i="12"/>
  <c r="Z266" i="12"/>
  <c r="Z2383" i="12"/>
  <c r="Z90" i="12"/>
  <c r="Z1401" i="12"/>
  <c r="Z702" i="12"/>
  <c r="Z1727" i="12"/>
  <c r="Z1131" i="12"/>
  <c r="Z680" i="12"/>
  <c r="Z506" i="12"/>
  <c r="Z2264" i="12"/>
  <c r="Z1443" i="12"/>
  <c r="Z335" i="12"/>
  <c r="Z1868" i="12"/>
  <c r="Z78" i="12"/>
  <c r="Z2512" i="12"/>
  <c r="Z1040" i="12"/>
  <c r="Z119" i="12"/>
  <c r="Z350" i="12"/>
  <c r="Z3373" i="12"/>
  <c r="Z957" i="12"/>
  <c r="Z741" i="12"/>
  <c r="Z3126" i="12"/>
  <c r="Z3025" i="12"/>
  <c r="Z2480" i="12"/>
  <c r="Z2775" i="12"/>
  <c r="Z3162" i="12"/>
  <c r="Z2051" i="12"/>
  <c r="Z2086" i="12"/>
  <c r="Z877" i="12"/>
  <c r="Z1675" i="12"/>
  <c r="Z2019" i="12"/>
  <c r="Z2208" i="12"/>
  <c r="Z773" i="12"/>
  <c r="Z3320" i="12"/>
  <c r="Z1428" i="12"/>
  <c r="Z1196" i="12"/>
  <c r="Z597" i="12"/>
  <c r="Z553" i="12"/>
  <c r="Z1087" i="12"/>
  <c r="Z2728" i="12"/>
  <c r="Z161" i="12"/>
  <c r="Z168" i="12"/>
  <c r="Z1815" i="12"/>
  <c r="Z1091" i="12"/>
  <c r="Z141" i="12"/>
  <c r="Z1976" i="12"/>
  <c r="Z1407" i="12"/>
  <c r="Z1906" i="12"/>
  <c r="Z2422" i="12"/>
  <c r="Z1182" i="12"/>
  <c r="Z3128" i="12"/>
  <c r="Z267" i="12"/>
  <c r="Z3111" i="12"/>
  <c r="Z561" i="12"/>
  <c r="Z1453" i="12"/>
  <c r="Z496" i="12"/>
  <c r="Z3484" i="12"/>
  <c r="Z643" i="12"/>
  <c r="Z1463" i="12"/>
  <c r="Z25" i="12"/>
  <c r="Z1478" i="12"/>
  <c r="Z2837" i="12"/>
  <c r="Z3421" i="12"/>
  <c r="Z2827" i="12"/>
  <c r="Z1746" i="12"/>
  <c r="Z3004" i="12"/>
  <c r="Z1430" i="12"/>
  <c r="Z2803" i="12"/>
  <c r="Z1076" i="12"/>
  <c r="Z2308" i="12"/>
  <c r="Z860" i="12"/>
  <c r="Z2756" i="12"/>
  <c r="Z1223" i="12"/>
  <c r="Z926" i="12"/>
  <c r="Z1847" i="12"/>
  <c r="Z2356" i="12"/>
  <c r="Z882" i="12"/>
  <c r="Z814" i="12"/>
  <c r="Z201" i="12"/>
  <c r="Z571" i="12"/>
  <c r="Z1011" i="12"/>
  <c r="Z1566" i="12"/>
  <c r="Z785" i="12"/>
  <c r="Z1516" i="12"/>
  <c r="Z1201" i="12"/>
  <c r="Z1866" i="12"/>
  <c r="Z2857" i="12"/>
  <c r="Z469" i="12"/>
  <c r="Z1104" i="12"/>
  <c r="Z590" i="12"/>
  <c r="Z2963" i="12"/>
  <c r="Z685" i="12"/>
  <c r="Z1074" i="12"/>
  <c r="Z653" i="12"/>
  <c r="Z1593" i="12"/>
  <c r="Z718" i="12"/>
  <c r="Z1643" i="12"/>
  <c r="Z611" i="12"/>
  <c r="Z156" i="12"/>
  <c r="Z1749" i="12"/>
  <c r="Z177" i="12"/>
  <c r="Z478" i="12"/>
  <c r="Z1001" i="12"/>
  <c r="Z964" i="12"/>
  <c r="Z2824" i="12"/>
  <c r="Z1364" i="12"/>
  <c r="Z253" i="12"/>
  <c r="Z1703" i="12"/>
  <c r="Z1745" i="12"/>
  <c r="Z1726" i="12"/>
  <c r="Z1578" i="12"/>
  <c r="Z3301" i="12"/>
  <c r="Z2549" i="12"/>
  <c r="Z2106" i="12"/>
  <c r="Z2441" i="12"/>
  <c r="Z2838" i="12"/>
  <c r="Z3492" i="12"/>
  <c r="Z3166" i="12"/>
  <c r="Z1613" i="12"/>
  <c r="Z338" i="12"/>
  <c r="Z1377" i="12"/>
  <c r="Z3270" i="12"/>
  <c r="Z199" i="12"/>
  <c r="Z242" i="12"/>
  <c r="Z883" i="12"/>
  <c r="Z2768" i="12"/>
  <c r="Z2921" i="12"/>
  <c r="Z2350" i="12"/>
  <c r="Z2321" i="12"/>
  <c r="Z1546" i="12"/>
  <c r="Z1621" i="12"/>
  <c r="Z81" i="12"/>
  <c r="Z1020" i="12"/>
  <c r="Z1827" i="12"/>
  <c r="Z700" i="12"/>
  <c r="Z2746" i="12"/>
  <c r="Z608" i="12"/>
  <c r="Z292" i="12"/>
  <c r="Z545" i="12"/>
  <c r="Z1093" i="12"/>
  <c r="Z2554" i="12"/>
  <c r="Z98" i="12"/>
  <c r="Z3260" i="12"/>
  <c r="Z2717" i="12"/>
  <c r="Z956" i="12"/>
  <c r="Z795" i="12"/>
  <c r="Z3030" i="12"/>
  <c r="Z332" i="12"/>
  <c r="Z155" i="12"/>
  <c r="Z2258" i="12"/>
  <c r="Z3372" i="12"/>
  <c r="Z1530" i="12"/>
  <c r="Z2936" i="12"/>
  <c r="Z3298" i="12"/>
  <c r="Z1781" i="12"/>
  <c r="Z2050" i="12"/>
  <c r="Z1153" i="12"/>
  <c r="Z2292" i="12"/>
  <c r="Z1973" i="12"/>
  <c r="Z3509" i="12"/>
  <c r="Z246" i="12"/>
  <c r="Z2896" i="12"/>
  <c r="Z1221" i="12"/>
  <c r="Z1898" i="12"/>
  <c r="Z2941" i="12"/>
  <c r="Z3307" i="12"/>
  <c r="Z1902" i="12"/>
  <c r="Z2706" i="12"/>
  <c r="Z1490" i="12"/>
  <c r="Z2792" i="12"/>
  <c r="Z1278" i="12"/>
  <c r="Z838" i="12"/>
  <c r="Z3280" i="12"/>
  <c r="Z106" i="12"/>
  <c r="Z585" i="12"/>
  <c r="Z1183" i="12"/>
  <c r="Z3059" i="12"/>
  <c r="Z422" i="12"/>
  <c r="Z1393" i="12"/>
  <c r="Z2708" i="12"/>
  <c r="Z823" i="12"/>
  <c r="Z2879" i="12"/>
  <c r="Z712" i="12"/>
  <c r="Z1026" i="12"/>
  <c r="Z100" i="12"/>
  <c r="Z2783" i="12"/>
  <c r="Z905" i="12"/>
  <c r="Z798" i="12"/>
  <c r="Z2240" i="12"/>
  <c r="Z776" i="12"/>
  <c r="Z1164" i="12"/>
  <c r="Z678" i="12"/>
  <c r="Z2926" i="12"/>
  <c r="Z346" i="12"/>
  <c r="Z1955" i="12"/>
  <c r="Z1214" i="12"/>
  <c r="Z751" i="12"/>
  <c r="Z817" i="12"/>
  <c r="Z512" i="12"/>
  <c r="Z3020" i="12"/>
  <c r="Z240" i="12"/>
  <c r="Z820" i="12"/>
  <c r="Z1022" i="12"/>
  <c r="Z49" i="12"/>
  <c r="Z737" i="12"/>
  <c r="Z2505" i="12"/>
  <c r="Z3047" i="12"/>
  <c r="Z2403" i="12"/>
  <c r="Z3002" i="12"/>
  <c r="Z3183" i="12"/>
  <c r="Z428" i="12"/>
  <c r="Z2395" i="12"/>
  <c r="Z2757" i="12"/>
  <c r="Z515" i="12"/>
  <c r="Z3548" i="12"/>
  <c r="Z531" i="12"/>
  <c r="Z43" i="12"/>
  <c r="Z3093" i="12"/>
  <c r="Z2354" i="12"/>
  <c r="Z551" i="12"/>
  <c r="Z2830" i="12"/>
  <c r="Z3543" i="12"/>
  <c r="Z3530" i="12"/>
  <c r="Z2327" i="12"/>
  <c r="Z1965" i="12"/>
  <c r="Z2088" i="12"/>
  <c r="Z3428" i="12"/>
  <c r="Z3251" i="12"/>
  <c r="Z479" i="12"/>
  <c r="Z2075" i="12"/>
  <c r="Z2371" i="12"/>
  <c r="Z1178" i="12"/>
  <c r="Z1413" i="12"/>
  <c r="Z1254" i="12"/>
  <c r="Z1259" i="12"/>
  <c r="Z2920" i="12"/>
  <c r="Z3315" i="12"/>
  <c r="Z2323" i="12"/>
  <c r="Z801" i="12"/>
  <c r="Z3072" i="12"/>
  <c r="Z124" i="12"/>
  <c r="Z490" i="12"/>
  <c r="Z2420" i="12"/>
  <c r="Z940" i="12"/>
  <c r="Z1298" i="12"/>
  <c r="Z2817" i="12"/>
  <c r="Z647" i="12"/>
  <c r="Z2620" i="12"/>
  <c r="Z1222" i="12"/>
  <c r="Z3180" i="12"/>
  <c r="Z2299" i="12"/>
  <c r="Z3460" i="12"/>
  <c r="Z1987" i="12"/>
  <c r="Z1938" i="12"/>
  <c r="Z2866" i="12"/>
  <c r="Z2246" i="12"/>
  <c r="Z2450" i="12"/>
  <c r="Z2263" i="12"/>
  <c r="Z3121" i="12"/>
  <c r="Z1354" i="12"/>
  <c r="Z1665" i="12"/>
  <c r="Z1701" i="12"/>
  <c r="Z317" i="12"/>
  <c r="Z2822" i="12"/>
  <c r="Z722" i="12"/>
  <c r="Z3267" i="12"/>
  <c r="Z3138" i="12"/>
  <c r="Z228" i="12"/>
  <c r="Z1467" i="12"/>
  <c r="Z231" i="12"/>
  <c r="Z2148" i="12"/>
  <c r="Z1394" i="12"/>
  <c r="Z130" i="12"/>
  <c r="Z2284" i="12"/>
  <c r="Z1959" i="12"/>
  <c r="Z2797" i="12"/>
  <c r="Z3516" i="12"/>
  <c r="Z1441" i="12"/>
  <c r="Z2962" i="12"/>
  <c r="Z2801" i="12"/>
  <c r="Z2085" i="12"/>
  <c r="Z672" i="12"/>
  <c r="Z3541" i="12"/>
  <c r="Z2555" i="12"/>
  <c r="Z2022" i="12"/>
  <c r="Z1869" i="12"/>
  <c r="Z3463" i="12"/>
  <c r="Z2250" i="12"/>
  <c r="Z2125" i="12"/>
  <c r="Z3412" i="12"/>
  <c r="Z2311" i="12"/>
  <c r="Z3231" i="12"/>
  <c r="Z2150" i="12"/>
  <c r="Z2381" i="12"/>
  <c r="Z284" i="12"/>
  <c r="Z1889" i="12"/>
  <c r="Z3511" i="12"/>
  <c r="Z973" i="12"/>
  <c r="Z2300" i="12"/>
  <c r="Z3323" i="12"/>
  <c r="Z2686" i="12"/>
  <c r="Z640" i="12"/>
  <c r="Z1127" i="12"/>
  <c r="Z37" i="12"/>
  <c r="Z258" i="12"/>
  <c r="Z981" i="12"/>
  <c r="Z3146" i="12"/>
  <c r="Z3107" i="12"/>
  <c r="Z221" i="12"/>
  <c r="Z1203" i="12"/>
  <c r="Z1181" i="12"/>
  <c r="Z2643" i="12"/>
  <c r="Z1027" i="12"/>
  <c r="Z1982" i="12"/>
  <c r="Z320" i="12"/>
  <c r="Z578" i="12"/>
  <c r="Z322" i="12"/>
  <c r="Z439" i="12"/>
  <c r="Z1342" i="12"/>
  <c r="Z268" i="12"/>
  <c r="Z3411" i="12"/>
  <c r="Z872" i="12"/>
  <c r="Z248" i="12"/>
  <c r="Z2677" i="12"/>
  <c r="Z1118" i="12"/>
  <c r="Z2072" i="12"/>
  <c r="Z3101" i="12"/>
  <c r="Z3337" i="12"/>
  <c r="Z1603" i="12"/>
  <c r="Z2486" i="12"/>
  <c r="Z3393" i="12"/>
  <c r="Z306" i="12"/>
  <c r="Z1384" i="12"/>
  <c r="Z2414" i="12"/>
  <c r="Z1469" i="12"/>
  <c r="Z36" i="12"/>
  <c r="Z657" i="12"/>
  <c r="Z2532" i="12"/>
  <c r="Z2068" i="12"/>
  <c r="Z1653" i="12"/>
  <c r="Z120" i="12"/>
  <c r="Z20" i="12"/>
  <c r="Z28" i="12"/>
  <c r="Z726" i="12"/>
  <c r="Z1944" i="12"/>
  <c r="Z661" i="12"/>
  <c r="Z2099" i="12"/>
  <c r="Z1337" i="12"/>
  <c r="Z107" i="12"/>
  <c r="Z2239" i="12"/>
  <c r="Z1789" i="12"/>
  <c r="Z171" i="12"/>
  <c r="Z300" i="12"/>
  <c r="Z482" i="12"/>
  <c r="Z1515" i="12"/>
  <c r="Z2297" i="12"/>
  <c r="Z507" i="12"/>
  <c r="Z1795" i="12"/>
  <c r="Z1177" i="12"/>
  <c r="Z3465" i="12"/>
  <c r="Z2748" i="12"/>
  <c r="Z2796" i="12"/>
  <c r="Z504" i="12"/>
  <c r="Z3032" i="12"/>
  <c r="Z1925" i="12"/>
  <c r="Z1462" i="12"/>
  <c r="Z3305" i="12"/>
  <c r="Z3017" i="12"/>
  <c r="Z2821" i="12"/>
  <c r="Z892" i="12"/>
  <c r="Z819" i="12"/>
  <c r="Z1475" i="12"/>
  <c r="Z861" i="12"/>
  <c r="Z588" i="12"/>
  <c r="Z305" i="12"/>
  <c r="Z1584" i="12"/>
  <c r="Z1140" i="12"/>
  <c r="Z2244" i="12"/>
  <c r="Z475" i="12"/>
  <c r="Z281" i="12"/>
  <c r="Z287" i="12"/>
  <c r="Z1051" i="12"/>
  <c r="Z1649" i="12"/>
  <c r="Z1124" i="12"/>
  <c r="Z2451" i="12"/>
  <c r="Z3395" i="12"/>
  <c r="Z243" i="12"/>
  <c r="Z806" i="12"/>
  <c r="Z2651" i="12"/>
  <c r="Z275" i="12"/>
  <c r="Z526" i="12"/>
  <c r="Z1573" i="12"/>
  <c r="Z466" i="12"/>
  <c r="Z3409" i="12"/>
  <c r="Z913" i="12"/>
  <c r="Z1875" i="12"/>
  <c r="Z38" i="12"/>
  <c r="Z2132" i="12"/>
  <c r="Z2267" i="12"/>
  <c r="Z2584" i="12"/>
  <c r="Z1281" i="12"/>
  <c r="Z2652" i="12"/>
  <c r="Z2089" i="12"/>
  <c r="Z2008" i="12"/>
  <c r="Z874" i="12"/>
  <c r="Z2544" i="12"/>
  <c r="Z1711" i="12"/>
  <c r="Z2248" i="12"/>
  <c r="Z471" i="12"/>
  <c r="Z1854" i="12"/>
  <c r="Z503" i="12"/>
  <c r="Z432" i="12"/>
  <c r="Z509" i="12"/>
  <c r="Z1045" i="12"/>
  <c r="Z218" i="12"/>
  <c r="Z154" i="12"/>
  <c r="Z769" i="12"/>
  <c r="Z2116" i="12"/>
  <c r="Z2836" i="12"/>
  <c r="Z34" i="12"/>
  <c r="Z2591" i="12"/>
  <c r="Z3299" i="12"/>
  <c r="Z272" i="12"/>
  <c r="Z1256" i="12"/>
  <c r="Z3071" i="12"/>
  <c r="Z142" i="12"/>
  <c r="Z3389" i="12"/>
  <c r="Z3156" i="12"/>
  <c r="Z1088" i="12"/>
  <c r="Z62" i="12"/>
  <c r="Z616" i="12"/>
  <c r="Z82" i="12"/>
  <c r="Z1581" i="12"/>
  <c r="Z697" i="12"/>
  <c r="Z2638" i="12"/>
  <c r="Z190" i="12"/>
  <c r="Z538" i="12"/>
  <c r="Z259" i="12"/>
  <c r="Z1611" i="12"/>
  <c r="Z3288" i="12"/>
  <c r="Z2219" i="12"/>
  <c r="Z1891" i="12"/>
  <c r="Z1216" i="12"/>
  <c r="Z3223" i="12"/>
  <c r="Z1151" i="12"/>
  <c r="Z1195" i="12"/>
  <c r="Z2368" i="12"/>
  <c r="Z1840" i="12"/>
  <c r="Z3214" i="12"/>
  <c r="Z2236" i="12"/>
  <c r="Z2406" i="12"/>
  <c r="Z3469" i="12"/>
  <c r="Z2249" i="12"/>
  <c r="Z2391" i="12"/>
  <c r="Z319" i="12"/>
  <c r="Z2229" i="12"/>
  <c r="Z1451" i="12"/>
  <c r="Z1250" i="12"/>
  <c r="Z1385" i="12"/>
  <c r="Z3082" i="12"/>
  <c r="Z3187" i="12"/>
  <c r="Z3247" i="12"/>
  <c r="Z2773" i="12"/>
  <c r="Z3402" i="12"/>
  <c r="Z1004" i="12"/>
  <c r="Z2380" i="12"/>
  <c r="Z2864" i="12"/>
  <c r="Z1005" i="12"/>
  <c r="Z3404" i="12"/>
  <c r="Z2562" i="12"/>
  <c r="Z2919" i="12"/>
  <c r="Z1661" i="12"/>
  <c r="Z3070" i="12"/>
  <c r="Z3203" i="12"/>
  <c r="Z191" i="12"/>
  <c r="Z146" i="12"/>
  <c r="Z393" i="12"/>
  <c r="Z3448" i="12"/>
  <c r="Z918" i="12"/>
  <c r="Z1879" i="12"/>
  <c r="Z396" i="12"/>
  <c r="Z1138" i="12"/>
  <c r="Z543" i="12"/>
  <c r="Z1586" i="12"/>
  <c r="Z354" i="12"/>
  <c r="Z1433" i="12"/>
  <c r="Z3544" i="12"/>
  <c r="Z1152" i="12"/>
  <c r="Z832" i="12"/>
  <c r="Z1159" i="12"/>
  <c r="Z1057" i="12"/>
  <c r="Z101" i="12"/>
  <c r="Z909" i="12"/>
  <c r="Z983" i="12"/>
  <c r="Z727" i="12"/>
  <c r="Z2178" i="12"/>
  <c r="Z1336" i="12"/>
  <c r="Z1755" i="12"/>
  <c r="Z2631" i="12"/>
  <c r="Z2661" i="12"/>
  <c r="Z3200" i="12"/>
  <c r="Z684" i="12"/>
  <c r="Z1378" i="12"/>
  <c r="Z394" i="12"/>
  <c r="Z310" i="12"/>
  <c r="Z2913" i="12"/>
  <c r="Z1550" i="12"/>
  <c r="Z807" i="12"/>
  <c r="Z519" i="12"/>
  <c r="Z3133" i="12"/>
  <c r="Z824" i="12"/>
  <c r="Z1909" i="12"/>
  <c r="Z2477" i="12"/>
  <c r="Z2045" i="12"/>
  <c r="Z3028" i="12"/>
  <c r="Z1699" i="12"/>
  <c r="Z894" i="12"/>
  <c r="Z2867" i="12"/>
  <c r="Z1302" i="12"/>
  <c r="Z214" i="12"/>
  <c r="Z3278" i="12"/>
  <c r="Z1452" i="12"/>
  <c r="Z1305" i="12"/>
  <c r="Z2991" i="12"/>
  <c r="Z1211" i="12"/>
  <c r="Z387" i="12"/>
  <c r="Z1607" i="12"/>
  <c r="Z1998" i="12"/>
  <c r="Z2184" i="12"/>
  <c r="Z2870" i="12"/>
  <c r="Z1918" i="12"/>
  <c r="Z144" i="12"/>
  <c r="Z1031" i="12"/>
  <c r="Z2206" i="12"/>
  <c r="Z2548" i="12"/>
  <c r="Z1446" i="12"/>
  <c r="Z405" i="12"/>
  <c r="Z833" i="12"/>
  <c r="Z1636" i="12"/>
  <c r="Z2280" i="12"/>
  <c r="Z2108" i="12"/>
  <c r="Z524" i="12"/>
  <c r="Z1848" i="12"/>
  <c r="Z65" i="12"/>
  <c r="Z111" i="12"/>
  <c r="Z1438" i="12"/>
  <c r="Z402" i="12"/>
  <c r="Z825" i="12"/>
  <c r="Z1977" i="12"/>
  <c r="Z366" i="12"/>
  <c r="Z2689" i="12"/>
  <c r="Z1886" i="12"/>
  <c r="Z868" i="12"/>
  <c r="Z1833" i="12"/>
  <c r="Z2639" i="12"/>
  <c r="Z1614" i="12"/>
  <c r="Z3502" i="12"/>
  <c r="Z3367" i="12"/>
  <c r="Z2683" i="12"/>
  <c r="Z2741" i="12"/>
  <c r="Z3104" i="12"/>
  <c r="Z3159" i="12"/>
  <c r="Z455" i="12"/>
  <c r="Z1362" i="12"/>
  <c r="Z2552" i="12"/>
  <c r="Z1870" i="12"/>
  <c r="Z928" i="12"/>
  <c r="Z3454" i="12"/>
  <c r="Z205" i="12"/>
  <c r="Z1954" i="12"/>
  <c r="Z1743" i="12"/>
  <c r="Z133" i="12"/>
  <c r="Z1694" i="12"/>
  <c r="Z1071" i="12"/>
  <c r="Z1047" i="12"/>
  <c r="Z930" i="12"/>
  <c r="Z2714" i="12"/>
  <c r="Z1940" i="12"/>
  <c r="Z563" i="12"/>
  <c r="Z324" i="12"/>
  <c r="Z3325" i="12"/>
  <c r="Z1029" i="12"/>
  <c r="Z419" i="12"/>
  <c r="Z696" i="12"/>
  <c r="Z2069" i="12"/>
  <c r="Z1750" i="12"/>
  <c r="Z3300" i="12"/>
  <c r="Z1929" i="12"/>
  <c r="Z2198" i="12"/>
  <c r="Z3414" i="12"/>
  <c r="Z2842" i="12"/>
  <c r="Z3547" i="12"/>
  <c r="Z2018" i="12"/>
  <c r="Z1634" i="12"/>
  <c r="Z1146" i="12"/>
  <c r="Z126" i="12"/>
  <c r="Z289" i="12"/>
  <c r="Z3503" i="12"/>
  <c r="Z1066" i="12"/>
  <c r="Z1920" i="12"/>
  <c r="Z2889" i="12"/>
  <c r="Z774" i="12"/>
  <c r="Z3240" i="12"/>
  <c r="Z676" i="12"/>
  <c r="Z3545" i="12"/>
  <c r="Z3308" i="12"/>
  <c r="Z2084" i="12"/>
  <c r="Z1548" i="12"/>
  <c r="Z836" i="12"/>
  <c r="Z3363" i="12"/>
  <c r="Z914" i="12"/>
  <c r="Z1417" i="12"/>
  <c r="Z3361" i="12"/>
  <c r="Z937" i="12"/>
  <c r="Z2343" i="12"/>
  <c r="Z1157" i="12"/>
  <c r="Z1874" i="12"/>
  <c r="Z2482" i="12"/>
  <c r="Z2971" i="12"/>
  <c r="Z381" i="12"/>
  <c r="Z1806" i="12"/>
  <c r="Z3398" i="12"/>
  <c r="Z1672" i="12"/>
  <c r="Z3106" i="12"/>
  <c r="Z2411" i="12"/>
  <c r="Z1498" i="12"/>
  <c r="Z132" i="12"/>
  <c r="Z1570" i="12"/>
  <c r="Z2615" i="12"/>
  <c r="Z1552" i="12"/>
  <c r="Z1903" i="12"/>
  <c r="Z2481" i="12"/>
  <c r="Z2057" i="12"/>
  <c r="Z2691" i="12"/>
  <c r="Z2738" i="12"/>
  <c r="Z170" i="12"/>
  <c r="Z2461" i="12"/>
  <c r="Z2358" i="12"/>
  <c r="Z1926" i="12"/>
  <c r="Z2701" i="12"/>
  <c r="Z2017" i="12"/>
  <c r="Z200" i="12"/>
  <c r="Z477" i="12"/>
  <c r="Z605" i="12"/>
  <c r="Z450" i="12"/>
  <c r="Z3475" i="12"/>
  <c r="Z290" i="12"/>
  <c r="Z2340" i="12"/>
  <c r="Z2852" i="12"/>
  <c r="Z564" i="12"/>
  <c r="Z2888" i="12"/>
  <c r="Z652" i="12"/>
  <c r="Z375" i="12"/>
  <c r="Z1432" i="12"/>
  <c r="Z1579" i="12"/>
  <c r="Z2760" i="12"/>
  <c r="Z372" i="12"/>
  <c r="Z2766" i="12"/>
  <c r="Z648" i="12"/>
  <c r="Z1802" i="12"/>
  <c r="Z1173" i="12"/>
  <c r="Z174" i="12"/>
  <c r="Z1184" i="12"/>
  <c r="Z2929" i="12"/>
  <c r="Z3074" i="12"/>
  <c r="Z1608" i="12"/>
  <c r="Z2285" i="12"/>
  <c r="Z1654" i="12"/>
  <c r="Z3312" i="12"/>
  <c r="Z709" i="12"/>
  <c r="Z1485" i="12"/>
  <c r="Z3394" i="12"/>
  <c r="Z22" i="12"/>
  <c r="Z189" i="12"/>
  <c r="Z757" i="12"/>
  <c r="Z1023" i="12"/>
  <c r="Z1332" i="12"/>
  <c r="Z1461" i="12"/>
  <c r="Z725" i="12"/>
  <c r="Z464" i="12"/>
  <c r="Z134" i="12"/>
  <c r="Z1504" i="12"/>
  <c r="Z1132" i="12"/>
  <c r="Z1158" i="12"/>
  <c r="Z675" i="12"/>
  <c r="Z501" i="12"/>
  <c r="Z2511" i="12"/>
  <c r="Z2960" i="12"/>
  <c r="Z662" i="12"/>
  <c r="Z3234" i="12"/>
  <c r="Z3533" i="12"/>
  <c r="Z2279" i="12"/>
  <c r="Z999" i="12"/>
  <c r="Z745" i="12"/>
  <c r="Z409" i="12"/>
  <c r="Z198" i="12"/>
  <c r="Z1126" i="12"/>
  <c r="Z3086" i="12"/>
  <c r="Z1511" i="12"/>
  <c r="Z1683" i="12"/>
  <c r="Z2296" i="12"/>
  <c r="Z2666" i="12"/>
  <c r="Z2120" i="12"/>
  <c r="Z2207" i="12"/>
  <c r="Z2186" i="12"/>
  <c r="Z735" i="12"/>
  <c r="Z965" i="12"/>
  <c r="Z1774" i="12"/>
  <c r="Z1702" i="12"/>
  <c r="Z1856" i="12"/>
  <c r="Z202" i="12"/>
  <c r="Z911" i="12"/>
  <c r="Z1541" i="12"/>
  <c r="Z2818" i="12"/>
  <c r="Z2907" i="12"/>
  <c r="Z2524" i="12"/>
  <c r="Z1053" i="12"/>
  <c r="Z938" i="12"/>
  <c r="Z1721" i="12"/>
  <c r="Z664" i="12"/>
  <c r="Z852" i="12"/>
  <c r="Z943" i="12"/>
  <c r="Z1465" i="12"/>
  <c r="Z1424" i="12"/>
  <c r="Z988" i="12"/>
  <c r="Z445" i="12"/>
  <c r="Z390" i="12"/>
  <c r="Z1360" i="12"/>
  <c r="Z2334" i="12"/>
  <c r="Z978" i="12"/>
  <c r="Z1007" i="12"/>
  <c r="Z3546" i="12"/>
  <c r="Z2902" i="12"/>
  <c r="Z109" i="12"/>
  <c r="Z646" i="12"/>
  <c r="Z1155" i="12"/>
  <c r="Z982" i="12"/>
  <c r="Z1792" i="12"/>
  <c r="Z1625" i="12"/>
  <c r="Z763" i="12"/>
  <c r="Z2967" i="12"/>
  <c r="Z933" i="12"/>
  <c r="Z1967" i="12"/>
  <c r="Z2626" i="12"/>
  <c r="Z2257" i="12"/>
  <c r="Z958" i="12"/>
  <c r="Z1225" i="12"/>
  <c r="Z2862" i="12"/>
  <c r="Z1807" i="12"/>
  <c r="Z3132" i="12"/>
  <c r="Z1318" i="12"/>
  <c r="Z3209" i="12"/>
  <c r="Z2635" i="12"/>
  <c r="Z2843" i="12"/>
  <c r="Z3044" i="12"/>
  <c r="Z2128" i="12"/>
  <c r="Z2093" i="12"/>
  <c r="Z2563" i="12"/>
  <c r="Z3279" i="12"/>
  <c r="Z2141" i="12"/>
  <c r="Z410" i="12"/>
  <c r="Z1768" i="12"/>
  <c r="Z591" i="12"/>
  <c r="Z2831" i="12"/>
  <c r="Z569" i="12"/>
  <c r="Z2906" i="12"/>
  <c r="Z1899" i="12"/>
  <c r="Z1644" i="12"/>
  <c r="Z252" i="12"/>
  <c r="Z1682" i="12"/>
  <c r="Z1473" i="12"/>
  <c r="Z2617" i="12"/>
  <c r="Z461" i="12"/>
  <c r="Z3003" i="12"/>
  <c r="Z2213" i="12"/>
  <c r="Z1865" i="12"/>
  <c r="Z1706" i="12"/>
  <c r="Z654" i="12"/>
  <c r="Z1351" i="12"/>
  <c r="Z2917" i="12"/>
  <c r="Z1480" i="12"/>
  <c r="Z2122" i="12"/>
  <c r="Z2956" i="12"/>
  <c r="Z743" i="12"/>
  <c r="Z1622" i="12"/>
  <c r="Z2987" i="12"/>
  <c r="Z2778" i="12"/>
  <c r="Z1657" i="12"/>
  <c r="Z717" i="12"/>
  <c r="Z2820" i="12"/>
  <c r="Z3124" i="12"/>
  <c r="Z3098" i="12"/>
  <c r="Z224" i="12"/>
  <c r="Z3450" i="12"/>
  <c r="Z1794" i="12"/>
  <c r="Z1691" i="12"/>
  <c r="Z2424" i="12"/>
  <c r="Z1673" i="12"/>
  <c r="Z495" i="12"/>
  <c r="Z313" i="12"/>
  <c r="Z1137" i="12"/>
  <c r="Z1253" i="12"/>
  <c r="Z3521" i="12"/>
  <c r="Z629" i="12"/>
  <c r="Z2835" i="12"/>
  <c r="Z1933" i="12"/>
  <c r="Z3353" i="12"/>
  <c r="Z659" i="12"/>
  <c r="Z27" i="12"/>
  <c r="Z2829" i="12"/>
  <c r="Z2540" i="12"/>
  <c r="Z856" i="12"/>
  <c r="Z282" i="12"/>
  <c r="Z797" i="12"/>
  <c r="Z2528" i="12"/>
  <c r="Z2709" i="12"/>
  <c r="Z2129" i="12"/>
  <c r="Z3306" i="12"/>
  <c r="Z3265" i="12"/>
  <c r="Z2542" i="12"/>
  <c r="Z1125" i="12"/>
  <c r="Z550" i="12"/>
  <c r="Z1710" i="12"/>
  <c r="Z1058" i="12"/>
  <c r="Z1529" i="12"/>
  <c r="Z1042" i="12"/>
  <c r="Z1382" i="12"/>
  <c r="Z542" i="12"/>
  <c r="Z337" i="12"/>
  <c r="Z3473" i="12"/>
  <c r="Z3015" i="12"/>
  <c r="Z355" i="12"/>
  <c r="Z1624" i="12"/>
  <c r="Z2475" i="12"/>
  <c r="Z1405" i="12"/>
  <c r="Z3551" i="12"/>
  <c r="Z1562" i="12"/>
  <c r="Z1718" i="12"/>
  <c r="Z3375" i="12"/>
  <c r="Z2144" i="12"/>
  <c r="Z463" i="12"/>
  <c r="Z1961" i="12"/>
  <c r="Z1736" i="12"/>
  <c r="Z298" i="12"/>
  <c r="Z713" i="12"/>
  <c r="Z980" i="12"/>
  <c r="Z1160" i="12"/>
  <c r="Z1046" i="12"/>
  <c r="Z1637" i="12"/>
  <c r="Z97" i="12"/>
  <c r="Z3437" i="12"/>
  <c r="Z2694" i="12"/>
  <c r="Z1150" i="12"/>
  <c r="Z1226" i="12"/>
  <c r="Z3321" i="12"/>
  <c r="Z1018" i="12"/>
  <c r="Z1737" i="12"/>
  <c r="Z2545" i="12"/>
  <c r="Z2276" i="12"/>
  <c r="Z3365" i="12"/>
  <c r="Z3438" i="12"/>
  <c r="Z3290" i="12"/>
  <c r="Z3550" i="12"/>
  <c r="Z3491" i="12"/>
  <c r="Z592" i="12"/>
  <c r="Z568" i="12"/>
  <c r="Z1887" i="12"/>
  <c r="Z494" i="12"/>
  <c r="Z1161" i="12"/>
  <c r="Z566" i="12"/>
  <c r="Z2884" i="12"/>
  <c r="Z1166" i="12"/>
  <c r="Z1418" i="12"/>
  <c r="Z2590" i="12"/>
  <c r="Z1563" i="12"/>
  <c r="Z2948" i="12"/>
  <c r="Z456" i="12"/>
  <c r="Z1266" i="12"/>
  <c r="Z3380" i="12"/>
  <c r="Z1604" i="12"/>
  <c r="Z3317" i="12"/>
  <c r="Z2727" i="12"/>
  <c r="Z1858" i="12"/>
  <c r="Z2472" i="12"/>
  <c r="Z129" i="12"/>
  <c r="Z2627" i="12"/>
  <c r="Z728" i="12"/>
  <c r="Z151" i="12"/>
  <c r="Z3538" i="12"/>
  <c r="Z1863" i="12"/>
  <c r="Z2146" i="12"/>
  <c r="Z3064" i="12"/>
  <c r="Z1904" i="12"/>
  <c r="Z2342" i="12"/>
  <c r="Z1421" i="12"/>
  <c r="Z2704" i="12"/>
  <c r="Z2972" i="12"/>
  <c r="Z2539" i="12"/>
  <c r="Z2410" i="12"/>
  <c r="Z1437" i="12"/>
  <c r="Z3397" i="12"/>
  <c r="Z2140" i="12"/>
  <c r="Z3461" i="12"/>
  <c r="Z3527" i="12"/>
  <c r="Z3158" i="12"/>
  <c r="Z297" i="12"/>
  <c r="Z1363" i="12"/>
  <c r="Z959" i="12"/>
  <c r="Z2765" i="12"/>
  <c r="Z2849" i="12"/>
  <c r="Z3496" i="12"/>
  <c r="Z2401" i="12"/>
  <c r="Z2922" i="12"/>
  <c r="Z3401" i="12"/>
  <c r="Z517" i="12"/>
  <c r="Z2455" i="12"/>
  <c r="Z986" i="12"/>
  <c r="Z544" i="12"/>
  <c r="Z2598" i="12"/>
  <c r="Z3314" i="12"/>
  <c r="Z105" i="12"/>
  <c r="Z2416" i="12"/>
  <c r="Z2582" i="12"/>
  <c r="Z3447" i="12"/>
  <c r="Z3489" i="12"/>
  <c r="Z2033" i="12"/>
  <c r="Z2491" i="12"/>
  <c r="Z893" i="12"/>
  <c r="Z2278" i="12"/>
  <c r="Z175" i="12"/>
  <c r="Z2932" i="12"/>
  <c r="Z1590" i="12"/>
  <c r="Z434" i="12"/>
  <c r="Z681" i="12"/>
  <c r="Z865" i="12"/>
  <c r="Z1717" i="12"/>
  <c r="Z1375" i="12"/>
  <c r="Z1038" i="12"/>
  <c r="Z3018" i="12"/>
  <c r="Z1217" i="12"/>
  <c r="Z1676" i="12"/>
  <c r="Z3510" i="12"/>
  <c r="Z3091" i="12"/>
  <c r="Z1681" i="12"/>
  <c r="Z1144" i="12"/>
  <c r="Z3274" i="12"/>
  <c r="Z1769" i="12"/>
  <c r="Z910" i="12"/>
  <c r="Z3229" i="12"/>
  <c r="Z766" i="12"/>
  <c r="Z96" i="12"/>
  <c r="Z2841" i="12"/>
  <c r="Z158" i="12"/>
  <c r="Z1016" i="12"/>
  <c r="Z1255" i="12"/>
  <c r="Z990" i="12"/>
  <c r="Z2067" i="12"/>
  <c r="Z430" i="12"/>
  <c r="Z460" i="12"/>
  <c r="Z508" i="12"/>
  <c r="Z1389" i="12"/>
  <c r="Z3261" i="12"/>
  <c r="Z634" i="12"/>
  <c r="Z2167" i="12"/>
  <c r="Z3222" i="12"/>
  <c r="Z1416" i="12"/>
  <c r="Z304" i="12"/>
  <c r="Z1086" i="12"/>
  <c r="Z1784" i="12"/>
  <c r="Z1872" i="12"/>
  <c r="Z110" i="12"/>
  <c r="Z2600" i="12"/>
  <c r="Z2117" i="12"/>
  <c r="Z2171" i="12"/>
  <c r="Z2645" i="12"/>
  <c r="Z1713" i="12"/>
  <c r="Z3046" i="12"/>
  <c r="Z60" i="12"/>
  <c r="Z406" i="12"/>
  <c r="Z2369" i="12"/>
  <c r="Z2685" i="12"/>
  <c r="Z3313" i="12"/>
  <c r="Z293" i="12"/>
  <c r="Z3041" i="12"/>
  <c r="Z3405" i="12"/>
  <c r="Z3239" i="12"/>
  <c r="Z1477" i="12"/>
  <c r="Z3151" i="12"/>
  <c r="Z424" i="12"/>
  <c r="Z357" i="12"/>
  <c r="Z229" i="12"/>
  <c r="Z570" i="12"/>
  <c r="Z1269" i="12"/>
  <c r="Z1534" i="12"/>
  <c r="Z1003" i="12"/>
  <c r="Z1928" i="12"/>
  <c r="Z2762" i="12"/>
  <c r="Z3115" i="12"/>
  <c r="Z1335" i="12"/>
  <c r="Z1163" i="12"/>
  <c r="Z369" i="12"/>
  <c r="Z1922" i="12"/>
  <c r="Z1010" i="12"/>
  <c r="Z3349" i="12"/>
  <c r="Z2776" i="12"/>
  <c r="Z2029" i="12"/>
  <c r="Z382" i="12"/>
  <c r="Z39" i="12"/>
  <c r="Z732" i="12"/>
  <c r="Z1092" i="12"/>
  <c r="Z1505" i="12"/>
  <c r="Z383" i="12"/>
  <c r="Z574" i="12"/>
  <c r="Z1199" i="12"/>
  <c r="Z2931" i="12"/>
  <c r="Z1495" i="12"/>
  <c r="Z407" i="12"/>
  <c r="Z787" i="12"/>
  <c r="Z897" i="12"/>
  <c r="Z3000" i="12"/>
  <c r="Z645" i="12"/>
  <c r="Z2848" i="12"/>
  <c r="Z3001" i="12"/>
  <c r="Z150" i="12"/>
  <c r="Z1752" i="12"/>
  <c r="Z879" i="12"/>
  <c r="Z1149" i="12"/>
  <c r="Z3110" i="12"/>
  <c r="Z1814" i="12"/>
  <c r="Z2633" i="12"/>
  <c r="Z2583" i="12"/>
  <c r="Z2214" i="12"/>
  <c r="Z2485" i="12"/>
  <c r="Z903" i="12"/>
  <c r="Z2271" i="12"/>
  <c r="Z924" i="12"/>
  <c r="Z1999" i="12"/>
  <c r="Z1948" i="12"/>
  <c r="Z2516" i="12"/>
  <c r="Z70" i="12"/>
  <c r="Z587" i="12"/>
  <c r="Z492" i="12"/>
  <c r="Z3054" i="12"/>
  <c r="Z1403" i="12"/>
  <c r="Z1808" i="12"/>
  <c r="Z3243" i="12"/>
  <c r="Z2819" i="12"/>
  <c r="Z359" i="12"/>
  <c r="Z2175" i="12"/>
  <c r="Z3522" i="12"/>
  <c r="Z530" i="12"/>
  <c r="Z3406" i="12"/>
  <c r="Z99" i="12"/>
  <c r="Z3443" i="12"/>
  <c r="Z3199" i="12"/>
  <c r="Z1064" i="12"/>
  <c r="Z2644" i="12"/>
  <c r="Z1387" i="12"/>
  <c r="Z2365" i="12"/>
  <c r="Z2845" i="12"/>
  <c r="Z3526" i="12"/>
  <c r="Z3191" i="12"/>
  <c r="Z1514" i="12"/>
  <c r="Z2536" i="12"/>
  <c r="Z1290" i="12"/>
  <c r="Z3189" i="12"/>
  <c r="Z1326" i="12"/>
  <c r="Z3388" i="12"/>
  <c r="Z2333" i="12"/>
  <c r="Z3232" i="12"/>
  <c r="Z2736" i="12"/>
  <c r="Z1386" i="12"/>
  <c r="Z2230" i="12"/>
  <c r="Z2185" i="12"/>
  <c r="Z1068" i="12"/>
  <c r="Z618" i="12"/>
  <c r="Z1669" i="12"/>
  <c r="Z1252" i="12"/>
  <c r="Z473" i="12"/>
  <c r="Z2687" i="12"/>
  <c r="Z2839" i="12"/>
  <c r="Z2684" i="12"/>
  <c r="Z1111" i="12"/>
  <c r="Z3519" i="12"/>
  <c r="Z316" i="12"/>
  <c r="Z172" i="12"/>
  <c r="Z2273" i="12"/>
  <c r="Z1185" i="12"/>
  <c r="Z2037" i="12"/>
  <c r="Z890" i="12"/>
  <c r="Z3330" i="12"/>
  <c r="Z2427" i="12"/>
  <c r="Z2606" i="12"/>
  <c r="Z2774" i="12"/>
  <c r="Z3157" i="12"/>
  <c r="Z2529" i="12"/>
  <c r="Z3141" i="12"/>
  <c r="Z2179" i="12"/>
  <c r="Z2743" i="12"/>
  <c r="Z2928" i="12"/>
  <c r="Z1128" i="12"/>
  <c r="Z2234" i="12"/>
  <c r="Z360" i="12"/>
  <c r="Z2430" i="12"/>
  <c r="Z1472" i="12"/>
  <c r="Z2111" i="12"/>
  <c r="Z2063" i="12"/>
  <c r="Z2028" i="12"/>
  <c r="Z269" i="12"/>
  <c r="Z2612" i="12"/>
  <c r="Z1531" i="12"/>
  <c r="Z671" i="12"/>
  <c r="Z1822" i="12"/>
  <c r="Z412" i="12"/>
  <c r="Z734" i="12"/>
  <c r="Z1723" i="12"/>
  <c r="Z3102" i="12"/>
  <c r="Z459" i="12"/>
  <c r="Z547" i="12"/>
  <c r="Z2187" i="12"/>
  <c r="Z1304" i="12"/>
  <c r="Z2535" i="12"/>
  <c r="Z361" i="12"/>
  <c r="Z2252" i="12"/>
  <c r="Z2937" i="12"/>
  <c r="Z1139" i="12"/>
  <c r="Z599" i="12"/>
  <c r="Z2747" i="12"/>
  <c r="Z3413" i="12"/>
  <c r="Z1974" i="12"/>
  <c r="Z1324" i="12"/>
  <c r="Z3118" i="12"/>
  <c r="Z3190" i="12"/>
  <c r="Z277" i="12"/>
  <c r="Z1306" i="12"/>
  <c r="Z45" i="12"/>
  <c r="Z2533" i="12"/>
  <c r="Z541" i="12"/>
  <c r="Z673" i="12"/>
  <c r="Z863" i="12"/>
  <c r="Z615" i="12"/>
  <c r="Z628" i="12"/>
  <c r="Z830" i="12"/>
  <c r="Z66" i="12"/>
  <c r="Z2715" i="12"/>
  <c r="Z2315" i="12"/>
  <c r="Z3076" i="12"/>
  <c r="Z1758" i="12"/>
  <c r="Z1705" i="12"/>
  <c r="Z3542" i="12"/>
  <c r="Z1542" i="12"/>
  <c r="Z2663" i="12"/>
  <c r="Z1499" i="12"/>
  <c r="Z1612" i="12"/>
  <c r="Z1303" i="12"/>
  <c r="Z1094" i="12"/>
  <c r="Z794" i="12"/>
  <c r="Z264" i="12"/>
  <c r="Z3182" i="12"/>
  <c r="Z301" i="12"/>
  <c r="Z2754" i="12"/>
  <c r="Z1859" i="12"/>
  <c r="Z613" i="12"/>
  <c r="Z418" i="12"/>
  <c r="Z2209" i="12"/>
  <c r="Z2705" i="12"/>
  <c r="Z2955" i="12"/>
  <c r="Z3493" i="12"/>
  <c r="Z3366" i="12"/>
  <c r="Z581" i="12"/>
  <c r="Z1015" i="12"/>
  <c r="Z2603" i="12"/>
  <c r="Z2986" i="12"/>
  <c r="Z695" i="12"/>
  <c r="Z1410" i="12"/>
  <c r="Z3065" i="12"/>
  <c r="Z1796" i="12"/>
  <c r="Z2912" i="12"/>
  <c r="Z467" i="12"/>
  <c r="Z238" i="12"/>
  <c r="Z1021" i="12"/>
  <c r="Z1744" i="12"/>
  <c r="Z841" i="12"/>
  <c r="Z1557" i="12"/>
  <c r="Z625" i="12"/>
  <c r="Z1367" i="12"/>
  <c r="Z71" i="12"/>
  <c r="Z3342" i="12"/>
  <c r="Z742" i="12"/>
  <c r="Z384" i="12"/>
  <c r="Z203" i="12"/>
  <c r="Z2624" i="12"/>
  <c r="Z2160" i="12"/>
  <c r="Z1260" i="12"/>
  <c r="Z1296" i="12"/>
  <c r="Z2454" i="12"/>
  <c r="Z880" i="12"/>
  <c r="Z2325" i="12"/>
  <c r="Z2479" i="12"/>
  <c r="Z2577" i="12"/>
  <c r="Z976" i="12"/>
  <c r="Z104" i="12"/>
  <c r="Z2538" i="12"/>
  <c r="Z887" i="12"/>
  <c r="Z2225" i="12"/>
  <c r="Z906" i="12"/>
  <c r="Z818" i="12"/>
  <c r="Z3318" i="12"/>
  <c r="Z3286" i="12"/>
  <c r="Z851" i="12"/>
  <c r="Z2784" i="12"/>
  <c r="Z1897" i="12"/>
  <c r="Z1714" i="12"/>
  <c r="Z344" i="12"/>
  <c r="Z2942" i="12"/>
  <c r="Z3062" i="12"/>
  <c r="Z283" i="12"/>
  <c r="Z2432" i="12"/>
  <c r="Z2324" i="12"/>
  <c r="Z2074" i="12"/>
  <c r="Z1145" i="12"/>
  <c r="Z2880" i="12"/>
  <c r="Z686" i="12"/>
  <c r="Z1910" i="12"/>
  <c r="Z94" i="12"/>
  <c r="Z2940" i="12"/>
  <c r="Z391" i="12"/>
  <c r="Z3303" i="12"/>
  <c r="Z2238" i="12"/>
  <c r="Z1876" i="12"/>
  <c r="Z1820" i="12"/>
  <c r="Z2020" i="12"/>
  <c r="Z2496" i="12"/>
  <c r="Z3378" i="12"/>
  <c r="Z1935" i="12"/>
  <c r="Z630" i="12"/>
  <c r="Z2176" i="12"/>
  <c r="Z1331" i="12"/>
  <c r="Z3173" i="12"/>
  <c r="Z1658" i="12"/>
  <c r="Z2769" i="12"/>
  <c r="Z1110" i="12"/>
  <c r="Z2412" i="12"/>
  <c r="Z3144" i="12"/>
  <c r="Z2930" i="12"/>
  <c r="Z2934" i="12"/>
  <c r="Z351" i="12"/>
  <c r="Z280" i="12"/>
  <c r="Z294" i="12"/>
  <c r="Z2253" i="12"/>
  <c r="Z444" i="12"/>
  <c r="Z1993" i="12"/>
  <c r="Z3087" i="12"/>
  <c r="Z2901" i="12"/>
  <c r="Z2189" i="12"/>
  <c r="Z3014" i="12"/>
  <c r="Z3467" i="12"/>
  <c r="Z3333" i="12"/>
  <c r="Z3225" i="12"/>
  <c r="Z1685" i="12"/>
  <c r="Z1162" i="12"/>
  <c r="Z3105" i="12"/>
  <c r="Z2055" i="12"/>
  <c r="Z2680" i="12"/>
  <c r="Z3371" i="12"/>
  <c r="Z2032" i="12"/>
  <c r="Z3100" i="12"/>
  <c r="Z3512" i="12"/>
  <c r="Z3379" i="12"/>
  <c r="Z389" i="12"/>
  <c r="Z1896" i="12"/>
  <c r="Z2653" i="12"/>
  <c r="Z1449" i="12"/>
  <c r="Z3075" i="12"/>
  <c r="Z2121" i="12"/>
  <c r="Z1436" i="12"/>
  <c r="Z115" i="12"/>
  <c r="Z1905" i="12"/>
  <c r="Z2865" i="12"/>
  <c r="Z1113" i="12"/>
  <c r="Z333" i="12"/>
  <c r="Z3478" i="12"/>
  <c r="Z3253" i="12"/>
  <c r="Z2155" i="12"/>
  <c r="Z3174" i="12"/>
  <c r="Z3360" i="12"/>
  <c r="Z596" i="12"/>
  <c r="Z2181" i="12"/>
  <c r="Z2832" i="12"/>
  <c r="Z1630" i="12"/>
  <c r="Z2445" i="12"/>
  <c r="Z1596" i="12"/>
  <c r="Z1079" i="12"/>
  <c r="Z1790" i="12"/>
  <c r="Z1078" i="12"/>
  <c r="Z639" i="12"/>
  <c r="Z1983" i="12"/>
  <c r="Z1873" i="12"/>
  <c r="Z683" i="12"/>
  <c r="Z2860" i="12"/>
  <c r="Z2005" i="12"/>
  <c r="Z2856" i="12"/>
  <c r="Z2173" i="12"/>
  <c r="Z1202" i="12"/>
  <c r="Z826" i="12"/>
  <c r="Z1894" i="12"/>
  <c r="Z3391" i="12"/>
  <c r="Z3057" i="12"/>
  <c r="Z2894" i="12"/>
  <c r="Z537" i="12"/>
  <c r="Z3480" i="12"/>
  <c r="Z1034" i="12"/>
  <c r="Z1934" i="12"/>
  <c r="Z2607" i="12"/>
  <c r="Z3517" i="12"/>
  <c r="Z426" i="12"/>
  <c r="Z1958" i="12"/>
  <c r="Z2251" i="12"/>
  <c r="Z2601" i="12"/>
  <c r="Z1210" i="12"/>
  <c r="Z2492" i="12"/>
  <c r="Z1670" i="12"/>
  <c r="Z3259" i="12"/>
  <c r="Z3204" i="12"/>
  <c r="Z688" i="12"/>
  <c r="Z3005" i="12"/>
  <c r="Z1288" i="12"/>
  <c r="Z3354" i="12"/>
  <c r="Z1971" i="12"/>
  <c r="Z2980" i="12"/>
  <c r="Z182" i="12"/>
  <c r="Z752" i="12"/>
  <c r="Z1732" i="12"/>
  <c r="Z1246" i="12"/>
  <c r="Z2277" i="12"/>
  <c r="Z1103" i="12"/>
  <c r="Z961" i="12"/>
  <c r="Z2413" i="12"/>
  <c r="Z3487" i="12"/>
  <c r="Z3201" i="12"/>
  <c r="Z2874" i="12"/>
  <c r="Z1778" i="12"/>
  <c r="Z900" i="12"/>
  <c r="Z848" i="12"/>
  <c r="Z3515" i="12"/>
  <c r="Z2904" i="12"/>
  <c r="Z3370" i="12"/>
  <c r="Z2759" i="12"/>
  <c r="Z829" i="12"/>
  <c r="Z560" i="12"/>
  <c r="Z2807" i="12"/>
  <c r="Z1589" i="12"/>
  <c r="Z2010" i="12"/>
  <c r="Z2869" i="12"/>
  <c r="Z1171" i="12"/>
  <c r="Z2220" i="12"/>
  <c r="Z3171" i="12"/>
  <c r="Z127" i="12"/>
  <c r="Z3033" i="12"/>
  <c r="Z1884" i="12"/>
  <c r="Z2431" i="12"/>
  <c r="Z91" i="12"/>
  <c r="Z2014" i="12"/>
  <c r="Z474" i="12"/>
  <c r="Z2668" i="12"/>
  <c r="Z739" i="12"/>
  <c r="Z334" i="12"/>
  <c r="Z1598" i="12"/>
  <c r="Z429" i="12"/>
  <c r="Z230" i="12"/>
  <c r="Z3175" i="12"/>
  <c r="Z2665" i="12"/>
  <c r="Z1632" i="12"/>
  <c r="Z1629" i="12"/>
  <c r="Z262" i="12"/>
  <c r="Z2952" i="12"/>
  <c r="Z2699" i="12"/>
  <c r="Z1890" i="12"/>
  <c r="Z2557" i="12"/>
  <c r="Z753" i="12"/>
  <c r="Z3035" i="12"/>
  <c r="Z2011" i="12"/>
  <c r="Z944" i="12"/>
  <c r="Z489" i="12"/>
  <c r="Z29" i="12"/>
  <c r="Z3080" i="12"/>
  <c r="Z3523" i="12"/>
  <c r="Z35" i="12"/>
  <c r="Z1220" i="12"/>
  <c r="Z1972" i="12"/>
  <c r="Z2650" i="12"/>
  <c r="Z1106" i="12"/>
  <c r="Z768" i="12"/>
  <c r="Z3039" i="12"/>
  <c r="Z3212" i="12"/>
  <c r="Z3269" i="12"/>
  <c r="Z376" i="12"/>
  <c r="Z2859" i="12"/>
  <c r="Z668" i="12"/>
  <c r="Z220" i="12"/>
  <c r="Z1402" i="12"/>
  <c r="Z1577" i="12"/>
  <c r="Z2716" i="12"/>
  <c r="Z891" i="12"/>
  <c r="Z2162" i="12"/>
  <c r="Z1286" i="12"/>
  <c r="Z416" i="12"/>
  <c r="Z1069" i="12"/>
  <c r="Z1009" i="12"/>
  <c r="Z1912" i="12"/>
  <c r="Z689" i="12"/>
  <c r="Z2026" i="12"/>
  <c r="Z2602" i="12"/>
  <c r="Z2938" i="12"/>
  <c r="Z41" i="12"/>
  <c r="Z562" i="12"/>
  <c r="Z1063" i="12"/>
  <c r="Z2522" i="12"/>
  <c r="Z2494" i="12"/>
  <c r="Z1483" i="12"/>
  <c r="Z1484" i="12"/>
  <c r="Z1677" i="12"/>
  <c r="Z1455" i="12"/>
  <c r="Z1311" i="12"/>
  <c r="Z871" i="12"/>
  <c r="Z3130" i="12"/>
  <c r="Z63" i="12"/>
  <c r="Z2648" i="12"/>
  <c r="Z945" i="12"/>
  <c r="Z1893" i="12"/>
  <c r="Z2570" i="12"/>
  <c r="Z2752" i="12"/>
  <c r="Z1439" i="12"/>
  <c r="Z2970" i="12"/>
  <c r="Z846" i="12"/>
  <c r="Z2154" i="12"/>
  <c r="Z3221" i="12"/>
  <c r="Z2507" i="12"/>
  <c r="Z1829" i="12"/>
  <c r="Z1035" i="12"/>
  <c r="Z687" i="12"/>
  <c r="Z2985" i="12"/>
  <c r="Z2713" i="12"/>
  <c r="Z3536" i="12"/>
  <c r="Z2957" i="12"/>
  <c r="Z1442" i="12"/>
  <c r="Z2159" i="12"/>
  <c r="Z2467" i="12"/>
  <c r="Z593" i="12"/>
  <c r="Z33" i="12"/>
  <c r="Z2782" i="12"/>
  <c r="Z1709" i="12"/>
  <c r="Z3347" i="12"/>
  <c r="Z395" i="12"/>
  <c r="Z2814" i="12"/>
  <c r="Z181" i="12"/>
  <c r="Z367" i="12"/>
  <c r="Z51" i="12"/>
  <c r="Z1981" i="12"/>
  <c r="Z2293" i="12"/>
  <c r="Z1228" i="12"/>
  <c r="Z3422" i="12"/>
  <c r="Z1655" i="12"/>
  <c r="Z3246" i="12"/>
  <c r="Z3172" i="12"/>
  <c r="Z3058" i="12"/>
  <c r="Z3055" i="12"/>
  <c r="Z1350" i="12"/>
  <c r="Z2281" i="12"/>
  <c r="Z2064" i="12"/>
  <c r="Z952" i="12"/>
  <c r="Z1568" i="12"/>
  <c r="Z3284" i="12"/>
  <c r="Z1513" i="12"/>
  <c r="Z286" i="12"/>
  <c r="Z1135" i="12"/>
  <c r="Z1070" i="12"/>
  <c r="Z56" i="12"/>
  <c r="Z3108" i="12"/>
  <c r="Z188" i="12"/>
  <c r="Z3019" i="12"/>
  <c r="Z1537" i="12"/>
  <c r="Z2115" i="12"/>
  <c r="Z921" i="12"/>
  <c r="Z502" i="12"/>
  <c r="Z2170" i="12"/>
  <c r="Z388" i="12"/>
  <c r="Z975" i="12"/>
  <c r="Z831" i="12"/>
  <c r="Z2712" i="12"/>
  <c r="Z2399" i="12"/>
  <c r="Z1390" i="12"/>
  <c r="Z314" i="12"/>
  <c r="Z3376" i="12"/>
  <c r="Z431" i="12"/>
  <c r="Z2275" i="12"/>
  <c r="Z2375" i="12"/>
  <c r="Z1528" i="12"/>
  <c r="Z2659" i="12"/>
  <c r="Z263" i="12"/>
  <c r="Z3497" i="12"/>
  <c r="Z1309" i="12"/>
  <c r="Z2261" i="12"/>
  <c r="Z2944" i="12"/>
  <c r="Z1991" i="12"/>
  <c r="Z3206" i="12"/>
  <c r="Z184" i="12"/>
  <c r="Z3016" i="12"/>
  <c r="Z2409" i="12"/>
  <c r="Z2811" i="12"/>
  <c r="Z520" i="12"/>
  <c r="Z939" i="12"/>
  <c r="Z572" i="12"/>
  <c r="Z1233" i="12"/>
  <c r="Z2690" i="12"/>
  <c r="Z348" i="12"/>
  <c r="Z1780" i="12"/>
  <c r="Z729" i="12"/>
  <c r="Z922" i="12"/>
  <c r="Z327" i="12"/>
  <c r="Z1065" i="12"/>
  <c r="Z1294" i="12"/>
  <c r="Z2332" i="12"/>
  <c r="Z3283" i="12"/>
  <c r="Z1479" i="12"/>
  <c r="Z211" i="12"/>
  <c r="Z1704" i="12"/>
  <c r="Z232" i="12"/>
  <c r="Z2697" i="12"/>
  <c r="Z3537" i="12"/>
  <c r="Z2071" i="12"/>
  <c r="Z1523" i="12"/>
  <c r="Z3034" i="12"/>
  <c r="Z876" i="12"/>
  <c r="Z1497" i="12"/>
  <c r="Z1435" i="12"/>
  <c r="Z330" i="12"/>
  <c r="Z398" i="12"/>
  <c r="Z2405" i="12"/>
  <c r="Z2517" i="12"/>
  <c r="Z1232" i="12"/>
  <c r="Z623" i="12"/>
  <c r="Z1686" i="12"/>
  <c r="Z2767" i="12"/>
  <c r="Z1554" i="12"/>
  <c r="Z2092" i="12"/>
  <c r="Z2886" i="12"/>
  <c r="Z2262" i="12"/>
  <c r="Z2596" i="12"/>
  <c r="Z935" i="12"/>
  <c r="Z844" i="12"/>
  <c r="Z3097" i="12"/>
  <c r="Z744" i="12"/>
  <c r="Z2595" i="12"/>
  <c r="Z1039" i="12"/>
  <c r="Z2618" i="12"/>
  <c r="Z1591" i="12"/>
  <c r="Z1671" i="12"/>
  <c r="Z234" i="12"/>
  <c r="Z59" i="12"/>
  <c r="Z2575" i="12"/>
  <c r="Z3198" i="12"/>
  <c r="Z1368" i="12"/>
  <c r="Z1553" i="12"/>
  <c r="Z755" i="12"/>
  <c r="Z2891" i="12"/>
  <c r="Z2572" i="12"/>
  <c r="Z1275" i="12"/>
  <c r="Z356" i="12"/>
  <c r="Z2578" i="12"/>
  <c r="Z1325" i="12"/>
  <c r="Z2546" i="12"/>
  <c r="Z2693" i="12"/>
  <c r="Z660" i="12"/>
  <c r="Z1300" i="12"/>
  <c r="Z582" i="12"/>
  <c r="Z2658" i="12"/>
  <c r="Z1895" i="12"/>
  <c r="Z2719" i="12"/>
  <c r="Z2502" i="12"/>
  <c r="Z331" i="12"/>
  <c r="Z3258" i="12"/>
  <c r="Z1341" i="12"/>
  <c r="Z3377" i="12"/>
  <c r="Z2513" i="12"/>
  <c r="Z756" i="12"/>
  <c r="Z1773" i="12"/>
  <c r="Z521" i="12"/>
  <c r="Z2675" i="12"/>
  <c r="Z2193" i="12"/>
  <c r="Z2610" i="12"/>
  <c r="Z2119" i="12"/>
  <c r="Z2881" i="12"/>
  <c r="Z476" i="12"/>
  <c r="Z2918" i="12"/>
  <c r="Z2953" i="12"/>
  <c r="Z1426" i="12"/>
  <c r="Z2547" i="12"/>
  <c r="Z3092" i="12"/>
  <c r="Z1751" i="12"/>
  <c r="Z2721" i="12"/>
  <c r="Z1148" i="12"/>
  <c r="Z1911" i="12"/>
  <c r="Z1519" i="12"/>
  <c r="Z2320" i="12"/>
  <c r="Z1315" i="12"/>
  <c r="Z2804" i="12"/>
  <c r="Z1956" i="12"/>
  <c r="Z916" i="12"/>
  <c r="Z2196" i="12"/>
  <c r="Z3332" i="12"/>
  <c r="Z2493" i="12"/>
  <c r="Z3297" i="12"/>
  <c r="Z2298" i="12"/>
  <c r="Z3210" i="12"/>
  <c r="Z995" i="12"/>
  <c r="Z2112" i="12"/>
  <c r="Z2231" i="12"/>
  <c r="Z1176" i="12"/>
  <c r="Z2015" i="12"/>
  <c r="Z1025" i="12"/>
  <c r="Z3163" i="12"/>
  <c r="Z3037" i="12"/>
  <c r="Z1809" i="12"/>
  <c r="Z1828" i="12"/>
  <c r="Z3458" i="12"/>
  <c r="Z2418" i="12"/>
  <c r="Z3287" i="12"/>
  <c r="Z1853" i="12"/>
  <c r="Z2066" i="12"/>
  <c r="Z2235" i="12"/>
  <c r="Z3051" i="12"/>
  <c r="Z2423" i="12"/>
  <c r="Z3436" i="12"/>
  <c r="Z159" i="12"/>
  <c r="Z69" i="12"/>
  <c r="Z719" i="12"/>
  <c r="Z3131" i="12"/>
  <c r="Z2925" i="12"/>
  <c r="Z549" i="12"/>
  <c r="Z528" i="12"/>
  <c r="Z1860" i="12"/>
  <c r="Z3224" i="12"/>
  <c r="Z2979" i="12"/>
  <c r="Z2630" i="12"/>
  <c r="Z1757" i="12"/>
  <c r="Z465" i="12"/>
  <c r="Z2449" i="12"/>
  <c r="Z1334" i="12"/>
  <c r="Z3293" i="12"/>
  <c r="Z1582" i="12"/>
  <c r="Z1569" i="12"/>
  <c r="Z2887" i="12"/>
  <c r="Z1707" i="12"/>
  <c r="Z1383" i="12"/>
  <c r="Z3429" i="12"/>
  <c r="Z3490" i="12"/>
  <c r="Z1862" i="12"/>
  <c r="Z1059" i="12"/>
  <c r="Z1208" i="12"/>
  <c r="Z1656" i="12"/>
  <c r="Z2875" i="12"/>
  <c r="Z3498" i="12"/>
  <c r="Z30" i="12"/>
  <c r="Z1693" i="12"/>
  <c r="Z2946" i="12"/>
  <c r="Z1805" i="12"/>
  <c r="Z3249" i="12"/>
  <c r="Z2094" i="12"/>
  <c r="Z953" i="12"/>
  <c r="Z2224" i="12"/>
  <c r="Z2462" i="12"/>
  <c r="Z908" i="12"/>
  <c r="Z1328" i="12"/>
  <c r="Z1239" i="12"/>
  <c r="Z1493" i="12"/>
  <c r="Z584" i="12"/>
  <c r="Z529" i="12"/>
  <c r="Z1731" i="12"/>
  <c r="Z308" i="12"/>
  <c r="Z2910" i="12"/>
  <c r="Z1460" i="12"/>
  <c r="Z548" i="12"/>
  <c r="Z3457" i="12"/>
  <c r="Z1310" i="12"/>
  <c r="Z2664" i="12"/>
  <c r="Z2465" i="12"/>
  <c r="Z1340" i="12"/>
  <c r="Z1540" i="12"/>
  <c r="Z2034" i="12"/>
  <c r="Z1617" i="12"/>
  <c r="Z2753" i="12"/>
  <c r="Z341" i="12"/>
  <c r="Z1565" i="12"/>
  <c r="Z1406" i="12"/>
  <c r="Z148" i="12"/>
  <c r="Z1601" i="12"/>
  <c r="Z748" i="12"/>
  <c r="Z870" i="12"/>
  <c r="Z499" i="12"/>
  <c r="Z622" i="12"/>
  <c r="Z2242" i="12"/>
  <c r="Z1411" i="12"/>
  <c r="Z631" i="12"/>
  <c r="Z3528" i="12"/>
  <c r="Z1919" i="12"/>
  <c r="Z855" i="12"/>
  <c r="Z1970" i="12"/>
  <c r="Z516" i="12"/>
  <c r="Z3351" i="12"/>
  <c r="Z3211" i="12"/>
  <c r="Z3518" i="12"/>
  <c r="Z1267" i="12"/>
  <c r="Z162" i="12"/>
  <c r="Z278" i="12"/>
  <c r="Z2844" i="12"/>
  <c r="Z270" i="12"/>
  <c r="Z2049" i="12"/>
  <c r="Z2153" i="12"/>
  <c r="Z3358" i="12"/>
  <c r="Z2718" i="12"/>
  <c r="Z498" i="12"/>
  <c r="Z2212" i="12"/>
  <c r="Z1696" i="12"/>
  <c r="Z780" i="12"/>
  <c r="Z2974" i="12"/>
  <c r="Z1056" i="12"/>
  <c r="Z76" i="12"/>
  <c r="Z160" i="12"/>
  <c r="Z2895" i="12"/>
  <c r="Z3036" i="12"/>
  <c r="Z458" i="12"/>
  <c r="Z75" i="12"/>
  <c r="Z50" i="12"/>
  <c r="Z1263" i="12"/>
  <c r="Z650" i="12"/>
  <c r="Z600" i="12"/>
  <c r="Z777" i="12"/>
  <c r="Z137" i="12"/>
  <c r="Z1487" i="12"/>
  <c r="Z2924" i="12"/>
  <c r="Z1559" i="12"/>
  <c r="Z738" i="12"/>
  <c r="Z2711" i="12"/>
  <c r="Z1521" i="12"/>
  <c r="Z804" i="12"/>
  <c r="Z1924" i="12"/>
  <c r="Z642" i="12"/>
  <c r="Z1466" i="12"/>
  <c r="Z3250" i="12"/>
  <c r="Z2770" i="12"/>
  <c r="Z362" i="12"/>
  <c r="Z2336" i="12"/>
  <c r="Z810" i="12"/>
  <c r="Z2337" i="12"/>
  <c r="Z2201" i="12"/>
  <c r="Z888" i="12"/>
  <c r="Z2772" i="12"/>
  <c r="Z227" i="12"/>
  <c r="Z1431" i="12"/>
  <c r="Z102" i="12"/>
  <c r="Z1599" i="12"/>
  <c r="Z1664" i="12"/>
  <c r="Z449" i="12"/>
  <c r="Z1645" i="12"/>
  <c r="Z1165" i="12"/>
  <c r="Z72" i="12"/>
  <c r="Z1359" i="12"/>
  <c r="Z2174" i="12"/>
  <c r="Z3291" i="12"/>
  <c r="Z1762" i="12"/>
  <c r="Z2335" i="12"/>
  <c r="Z470" i="12"/>
  <c r="Z2975" i="12"/>
  <c r="Z651" i="12"/>
  <c r="Z2710" i="12"/>
  <c r="Z2514" i="12"/>
  <c r="Z2288" i="12"/>
  <c r="Z1380" i="12"/>
  <c r="Z2025" i="12"/>
  <c r="Z3122" i="12"/>
  <c r="Z2725" i="12"/>
  <c r="Z3319" i="12"/>
  <c r="Z2272" i="12"/>
  <c r="Z2805" i="12"/>
  <c r="Z2799" i="12"/>
  <c r="Z885" i="12"/>
  <c r="Z1096" i="12"/>
  <c r="Z1312" i="12"/>
  <c r="Z1365" i="12"/>
  <c r="Z2330" i="12"/>
  <c r="Z3350" i="12"/>
  <c r="Z291" i="12"/>
  <c r="Z1754" i="12"/>
  <c r="Z1169" i="12"/>
  <c r="Z2499" i="12"/>
  <c r="Z840" i="12"/>
  <c r="Z721" i="12"/>
  <c r="Z1147" i="12"/>
  <c r="Z1397" i="12"/>
  <c r="Z2526" i="12"/>
  <c r="Z2790" i="12"/>
  <c r="Z3310" i="12"/>
  <c r="Z2322" i="12"/>
  <c r="Z1564" i="12"/>
  <c r="Z2945" i="12"/>
  <c r="Z3381" i="12"/>
  <c r="Z1187" i="12"/>
  <c r="Z2307" i="12"/>
  <c r="Z1785" i="12"/>
  <c r="Z3525" i="12"/>
  <c r="Z3029" i="12"/>
  <c r="Z1592" i="12"/>
  <c r="Z2329" i="12"/>
  <c r="Z3434" i="12"/>
  <c r="Z2556" i="12"/>
  <c r="Z303" i="12"/>
  <c r="Z3263" i="12"/>
  <c r="Z2468" i="12"/>
  <c r="Z2061" i="12"/>
  <c r="Z1759" i="12"/>
  <c r="Z440" i="12"/>
  <c r="Z706" i="12"/>
  <c r="Z3256" i="12"/>
  <c r="Z1241" i="12"/>
  <c r="Z215" i="12"/>
  <c r="Z2641" i="12"/>
  <c r="Z1921" i="12"/>
  <c r="Z2054" i="12"/>
  <c r="Z2996" i="12"/>
  <c r="Z1646" i="12"/>
  <c r="Z3155" i="12"/>
  <c r="Z3178" i="12"/>
  <c r="Z2478" i="12"/>
  <c r="Z1033" i="12"/>
  <c r="Z3309" i="12"/>
  <c r="Z554" i="12"/>
  <c r="Z1560" i="12"/>
  <c r="Z1468" i="12"/>
  <c r="Z1321" i="12"/>
  <c r="Z2172" i="12"/>
  <c r="Z1635" i="12"/>
  <c r="Z2678" i="12"/>
  <c r="Z2636" i="12"/>
  <c r="Z1002" i="12"/>
  <c r="Z1975" i="12"/>
  <c r="Z1492" i="12"/>
  <c r="Z3289" i="12"/>
  <c r="Z2079" i="12"/>
  <c r="Z2771" i="12"/>
  <c r="Z1932" i="12"/>
  <c r="Z2387" i="12"/>
  <c r="Z386" i="12"/>
  <c r="Z1819" i="12"/>
  <c r="Z1915" i="12"/>
  <c r="Z1474" i="12"/>
  <c r="Z3277" i="12"/>
  <c r="Z1272" i="12"/>
  <c r="Z3486" i="12"/>
  <c r="Z1265" i="12"/>
  <c r="Z784" i="12"/>
  <c r="Z3470" i="12"/>
  <c r="Z3026" i="12"/>
  <c r="Z3382" i="12"/>
  <c r="Z2400" i="12"/>
  <c r="Z2382" i="12"/>
  <c r="Z2027" i="12"/>
  <c r="Z967" i="12"/>
  <c r="Z2306" i="12"/>
  <c r="Z1028" i="12"/>
  <c r="Z2012" i="12"/>
  <c r="Z3067" i="12"/>
  <c r="Z557" i="12"/>
  <c r="Z2047" i="12"/>
  <c r="Z1544" i="12"/>
  <c r="Z1447" i="12"/>
  <c r="Z2550" i="12"/>
  <c r="Z1945" i="12"/>
  <c r="Z2232" i="12"/>
  <c r="Z1105" i="12"/>
  <c r="Z3425" i="12"/>
  <c r="Z898" i="12"/>
  <c r="Z1871" i="12"/>
  <c r="Z3154" i="12"/>
  <c r="Z2621" i="12"/>
  <c r="Z3117" i="12"/>
  <c r="Z2091" i="12"/>
  <c r="Z2316" i="12"/>
  <c r="Z2130" i="12"/>
  <c r="Z3066" i="12"/>
  <c r="Z2291" i="12"/>
  <c r="Z740" i="12"/>
  <c r="Z116" i="12"/>
  <c r="Z1535" i="12"/>
  <c r="Z1536" i="12"/>
  <c r="Z3540" i="12"/>
  <c r="Z707" i="12"/>
  <c r="Z923" i="12"/>
  <c r="Z1836" i="12"/>
  <c r="Z1274" i="12"/>
  <c r="Z3245" i="12"/>
  <c r="Z2040" i="12"/>
  <c r="Z1900" i="12"/>
  <c r="Z1356" i="12"/>
  <c r="Z3476" i="12"/>
  <c r="Z2211" i="12"/>
  <c r="Z3021" i="12"/>
  <c r="Z239" i="12"/>
  <c r="Z932" i="12"/>
  <c r="Z796" i="12"/>
  <c r="Z1012" i="12"/>
  <c r="Z1399" i="12"/>
  <c r="Z223" i="12"/>
  <c r="Z992" i="12"/>
  <c r="Z1457" i="12"/>
  <c r="Z694" i="12"/>
  <c r="Z2900" i="12"/>
  <c r="Z1880" i="12"/>
  <c r="Z2749" i="12"/>
  <c r="Z1666" i="12"/>
  <c r="Z486" i="12"/>
  <c r="Z87" i="12"/>
  <c r="Z1843" i="12"/>
  <c r="Z237" i="12"/>
  <c r="Z679" i="12"/>
  <c r="Z1984" i="12"/>
  <c r="Z966" i="12"/>
  <c r="Z1943" i="12"/>
  <c r="Z2662" i="12"/>
  <c r="Z2674" i="12"/>
  <c r="Z128" i="12"/>
  <c r="Z260" i="12"/>
  <c r="Z1381" i="12"/>
  <c r="Z955" i="12"/>
  <c r="Z884" i="12"/>
  <c r="Z1285" i="12"/>
  <c r="Z241" i="12"/>
  <c r="Z1647" i="12"/>
  <c r="Z1052" i="12"/>
  <c r="Z1864" i="12"/>
  <c r="Z1301" i="12"/>
  <c r="Z1077" i="12"/>
  <c r="Z2519" i="12"/>
  <c r="Z3127" i="12"/>
  <c r="Z1097" i="12"/>
  <c r="Z3445" i="12"/>
  <c r="Z2004" i="12"/>
  <c r="Z2735" i="12"/>
  <c r="Z1878" i="12"/>
  <c r="Z485" i="12"/>
  <c r="Z2999" i="12"/>
  <c r="Z423" i="12"/>
  <c r="Z3236" i="12"/>
  <c r="Z3255" i="12"/>
  <c r="Z839" i="12"/>
  <c r="Z1292" i="12"/>
  <c r="Z2328" i="12"/>
  <c r="Z206" i="12"/>
  <c r="Z167" i="12"/>
  <c r="Z1555" i="12"/>
  <c r="Z1017" i="12"/>
  <c r="Z792" i="12"/>
  <c r="Z946" i="12"/>
  <c r="Z139" i="12"/>
  <c r="Z2062" i="12"/>
  <c r="Z2446" i="12"/>
  <c r="Z2585" i="12"/>
  <c r="Z57" i="12"/>
  <c r="Z708" i="12"/>
  <c r="Z1316" i="12"/>
  <c r="Z847" i="12"/>
  <c r="Z1456" i="12"/>
  <c r="Z447" i="12"/>
  <c r="Z1180" i="12"/>
  <c r="Z2372" i="12"/>
  <c r="Z3147" i="12"/>
  <c r="Z480" i="12"/>
  <c r="Z1810" i="12"/>
  <c r="Z3384" i="12"/>
  <c r="Z835" i="12"/>
  <c r="Z1322" i="12"/>
  <c r="Z1230" i="12"/>
  <c r="Z2588" i="12"/>
  <c r="Z140" i="12"/>
  <c r="Z1030" i="12"/>
  <c r="Z3435" i="12"/>
  <c r="Z2016" i="12"/>
  <c r="Z3164" i="12"/>
  <c r="Z3145" i="12"/>
  <c r="Z1123" i="12"/>
  <c r="Z2850" i="12"/>
  <c r="Z3396" i="12"/>
  <c r="Z3520" i="12"/>
  <c r="Z1400" i="12"/>
  <c r="Z2355" i="12"/>
  <c r="Z1419" i="12"/>
  <c r="Z2579" i="12"/>
  <c r="Z2744" i="12"/>
  <c r="Z614" i="12"/>
  <c r="Z816" i="12"/>
  <c r="Z1524" i="12"/>
  <c r="Z710" i="12"/>
  <c r="Z2470" i="12"/>
  <c r="Z2078" i="12"/>
  <c r="Z577" i="12"/>
  <c r="Z21" i="12"/>
  <c r="Z1414" i="12"/>
  <c r="Z2965" i="12"/>
  <c r="Z125" i="12"/>
  <c r="Z374" i="12"/>
  <c r="Z250" i="12"/>
  <c r="Z2695" i="12"/>
  <c r="Z2265" i="12"/>
  <c r="Z1917" i="12"/>
  <c r="Z2003" i="12"/>
  <c r="Z2669" i="12"/>
  <c r="Z3311" i="12"/>
  <c r="Z3302" i="12"/>
  <c r="Z3179" i="12"/>
  <c r="Z2290" i="12"/>
  <c r="Z3462" i="12"/>
  <c r="Z971" i="12"/>
  <c r="Z690" i="12"/>
  <c r="Z813" i="12"/>
  <c r="Z222" i="12"/>
  <c r="Z873" i="12"/>
  <c r="Z783" i="12"/>
  <c r="Z1249" i="12"/>
  <c r="Z1725" i="12"/>
  <c r="Z1262" i="12"/>
  <c r="Z2750" i="12"/>
  <c r="Z1355" i="12"/>
  <c r="Z834" i="12"/>
  <c r="Z2696" i="12"/>
  <c r="Z889" i="12"/>
  <c r="Z604" i="12"/>
  <c r="Z118" i="12"/>
  <c r="Z802" i="12"/>
  <c r="Z3416" i="12"/>
  <c r="Z731" i="12"/>
  <c r="Z2947" i="12"/>
  <c r="Z1194" i="12"/>
  <c r="Z1798" i="12"/>
  <c r="Z249" i="12"/>
  <c r="Z2348" i="12"/>
  <c r="Z2676" i="12"/>
  <c r="Z2205" i="12"/>
  <c r="Z2303" i="12"/>
  <c r="Z1512" i="12"/>
  <c r="Z2438" i="12"/>
  <c r="Z3341" i="12"/>
  <c r="Z1730" i="12"/>
  <c r="Z2758" i="12"/>
  <c r="Z3453" i="12"/>
  <c r="Z2899" i="12"/>
  <c r="Z949" i="12"/>
  <c r="Z1748" i="12"/>
  <c r="Z2933" i="12"/>
  <c r="Z3140" i="12"/>
  <c r="Z2483" i="12"/>
  <c r="Z1616" i="12"/>
  <c r="Z454" i="12"/>
  <c r="Z536" i="12"/>
  <c r="Z1142" i="12"/>
  <c r="Z2312" i="12"/>
  <c r="Z3295" i="12"/>
  <c r="Z3451" i="12"/>
  <c r="Z2779" i="12"/>
  <c r="Z3281" i="12"/>
  <c r="Z3081" i="12"/>
  <c r="Z2982" i="12"/>
  <c r="Z580" i="12"/>
  <c r="Z3426" i="12"/>
  <c r="Z1041" i="12"/>
  <c r="Z1620" i="12"/>
  <c r="Z1651" i="12"/>
  <c r="Z3063" i="12"/>
  <c r="Z2000" i="12"/>
  <c r="Z2984" i="12"/>
  <c r="Z136" i="12"/>
  <c r="Z400" i="12"/>
  <c r="Z121" i="12"/>
  <c r="Z1283" i="12"/>
  <c r="Z984" i="12"/>
  <c r="Z746" i="12"/>
  <c r="Z612" i="12"/>
  <c r="Z3420" i="12"/>
  <c r="Z2254" i="12"/>
  <c r="Z850" i="12"/>
  <c r="Z1503" i="12"/>
  <c r="Z1261" i="12"/>
  <c r="Z2058" i="12"/>
  <c r="Z3085" i="12"/>
  <c r="Z2098" i="12"/>
  <c r="Z2042" i="12"/>
  <c r="Z1775" i="12"/>
  <c r="Z2314" i="12"/>
  <c r="Z991" i="12"/>
  <c r="Z2080" i="12"/>
  <c r="Z1640" i="12"/>
  <c r="Z2703" i="12"/>
  <c r="Z1756" i="12"/>
  <c r="Z1129" i="12"/>
  <c r="Z2270" i="12"/>
  <c r="Z180" i="12"/>
  <c r="Z196" i="12"/>
  <c r="Z3272" i="12"/>
  <c r="Z2287" i="12"/>
  <c r="Z31" i="12"/>
  <c r="Z644" i="12"/>
  <c r="Z108" i="12"/>
  <c r="Z1960" i="12"/>
  <c r="Z3205" i="12"/>
  <c r="Z2338" i="12"/>
  <c r="Z1964" i="12"/>
  <c r="Z1572" i="12"/>
  <c r="Z2191" i="12"/>
  <c r="Z761" i="12"/>
  <c r="Z3331" i="12"/>
  <c r="Z2437" i="12"/>
  <c r="Z1700" i="12"/>
  <c r="Z808" i="12"/>
  <c r="Z701" i="12"/>
  <c r="Z1200" i="12"/>
  <c r="Z2642" i="12"/>
  <c r="Z373" i="12"/>
  <c r="Z514" i="12"/>
  <c r="Z2428" i="12"/>
  <c r="Z730" i="12"/>
  <c r="Z1019" i="12"/>
  <c r="Z3408" i="12"/>
  <c r="Z2006" i="12"/>
  <c r="Z3385" i="12"/>
  <c r="Z1777" i="12"/>
  <c r="Z626" i="12"/>
  <c r="Z3340" i="12"/>
  <c r="Z312" i="12"/>
  <c r="Z1638" i="12"/>
  <c r="Z3181" i="12"/>
  <c r="Z2673" i="12"/>
  <c r="Z1190" i="12"/>
  <c r="Z2070" i="12"/>
  <c r="Z2560" i="12"/>
  <c r="Z2619" i="12"/>
  <c r="Z3339" i="12"/>
  <c r="Z2949" i="12"/>
  <c r="Z3485" i="12"/>
  <c r="Z970" i="12"/>
  <c r="Z122" i="12"/>
  <c r="Z750" i="12"/>
  <c r="Z1787" i="12"/>
  <c r="Z2597" i="12"/>
  <c r="Z2527" i="12"/>
  <c r="Z1659" i="12"/>
  <c r="Z1953" i="12"/>
  <c r="Z1459" i="12"/>
  <c r="Z2589" i="12"/>
  <c r="Z3125" i="12"/>
  <c r="Z1061" i="12"/>
  <c r="Z2855" i="12"/>
  <c r="Z638" i="12"/>
  <c r="Z1662" i="12"/>
  <c r="Z2421" i="12"/>
  <c r="Z682" i="12"/>
  <c r="Z3423" i="12"/>
  <c r="Z620" i="12"/>
  <c r="Z760" i="12"/>
  <c r="Z1978" i="12"/>
  <c r="Z1109" i="12"/>
  <c r="Z1831" i="12"/>
  <c r="Z3514" i="12"/>
  <c r="Z1440" i="12"/>
  <c r="Z2082" i="12"/>
  <c r="Z1804" i="12"/>
  <c r="Z2444" i="12"/>
  <c r="Z2289" i="12"/>
  <c r="Z2923" i="12"/>
  <c r="Z197" i="12"/>
  <c r="Z3471" i="12"/>
  <c r="Z1408" i="12"/>
  <c r="Z483" i="12"/>
  <c r="Z2447" i="12"/>
  <c r="Z1134" i="12"/>
  <c r="Z2415" i="12"/>
  <c r="Z42" i="12"/>
  <c r="Z2943" i="12"/>
  <c r="Z1845" i="12"/>
  <c r="Z1491" i="12"/>
  <c r="Z3185" i="12"/>
  <c r="Z2847" i="12"/>
  <c r="Z1209" i="12"/>
  <c r="Z1543" i="12"/>
  <c r="Z1641" i="12"/>
  <c r="Z1037" i="12"/>
  <c r="Z1464" i="12"/>
  <c r="Z2905" i="12"/>
  <c r="Z3327" i="12"/>
  <c r="Z1240" i="12"/>
  <c r="Z3129" i="12"/>
  <c r="Z2840" i="12"/>
  <c r="Z2872" i="12"/>
  <c r="Z2868" i="12"/>
  <c r="Z947" i="12"/>
  <c r="Z1082" i="12"/>
  <c r="Z1520" i="12"/>
  <c r="Z2158" i="12"/>
  <c r="Z793" i="12"/>
  <c r="Z1258" i="12"/>
  <c r="Z2861" i="12"/>
  <c r="Z3338" i="12"/>
  <c r="Z1224" i="12"/>
  <c r="Z3073" i="12"/>
  <c r="Z3529" i="12"/>
  <c r="Z556" i="12"/>
  <c r="Z2351" i="12"/>
  <c r="Z2353" i="12"/>
  <c r="Z3282" i="12"/>
  <c r="Z583" i="12"/>
  <c r="Z1518" i="12"/>
  <c r="Z315" i="12"/>
  <c r="Z364" i="12"/>
  <c r="Z1842" i="12"/>
  <c r="Z3357" i="12"/>
  <c r="Z2435" i="12"/>
  <c r="Z1080" i="12"/>
  <c r="Z2794" i="12"/>
  <c r="Z2976" i="12"/>
  <c r="Z3160" i="12"/>
  <c r="Z2737" i="12"/>
  <c r="Z2995" i="12"/>
  <c r="Z349" i="12"/>
  <c r="Z1766" i="12"/>
  <c r="Z3053" i="12"/>
  <c r="Z1861" i="12"/>
  <c r="Z2613" i="12"/>
  <c r="Z2777" i="12"/>
  <c r="Z3449" i="12"/>
  <c r="Z2345" i="12"/>
  <c r="Z2534" i="12"/>
  <c r="Z1844" i="12"/>
  <c r="Z1526" i="12"/>
  <c r="Z1264" i="12"/>
  <c r="Z3153" i="12"/>
  <c r="Z1687" i="12"/>
  <c r="Z2233" i="12"/>
  <c r="Z2593" i="12"/>
  <c r="Z392" i="12"/>
  <c r="Z468" i="12"/>
  <c r="Z1339" i="12"/>
  <c r="Z641" i="12"/>
  <c r="Z996" i="12"/>
  <c r="Z2484" i="12"/>
  <c r="Z193" i="12"/>
  <c r="Z88" i="12"/>
  <c r="Z1075" i="12"/>
  <c r="Z1236" i="12"/>
  <c r="Z772" i="12"/>
  <c r="Z827" i="12"/>
  <c r="Z1374" i="12"/>
  <c r="Z1985" i="12"/>
  <c r="Z1238" i="12"/>
  <c r="Z3322" i="12"/>
  <c r="Z2127" i="12"/>
  <c r="Z1936" i="12"/>
  <c r="Z2935" i="12"/>
  <c r="Z1036" i="12"/>
  <c r="Z3343" i="12"/>
  <c r="Z2702" i="12"/>
  <c r="Z2672" i="12"/>
  <c r="Z559" i="12"/>
  <c r="Z265" i="12"/>
  <c r="Z3326" i="12"/>
  <c r="Z859" i="12"/>
  <c r="Z849" i="12"/>
  <c r="Z1648" i="12"/>
  <c r="Z3479" i="12"/>
  <c r="Z67" i="12"/>
  <c r="Z565" i="12"/>
  <c r="Z799" i="12"/>
  <c r="Z2024" i="12"/>
  <c r="Z195" i="12"/>
  <c r="Z749" i="12"/>
  <c r="Z1605" i="12"/>
  <c r="Z3139" i="12"/>
  <c r="Z165" i="12"/>
  <c r="Z2136" i="12"/>
  <c r="Z1556" i="12"/>
  <c r="Z1229" i="12"/>
  <c r="Z1742" i="12"/>
  <c r="Z1345" i="12"/>
  <c r="Z48" i="12"/>
  <c r="Z1823" i="12"/>
  <c r="Z2013" i="12"/>
  <c r="Z24" i="12"/>
  <c r="Z534" i="12"/>
  <c r="Z1947" i="12"/>
  <c r="Z1175" i="12"/>
  <c r="Z321" i="12"/>
  <c r="Z1102" i="12"/>
  <c r="Z3266" i="12"/>
  <c r="Z594" i="12"/>
  <c r="Z1783" i="12"/>
  <c r="Z828" i="12"/>
  <c r="Z2164" i="12"/>
  <c r="Z2376" i="12"/>
  <c r="Z3227" i="12"/>
  <c r="Z2362" i="12"/>
  <c r="Z236" i="12"/>
  <c r="Z942" i="12"/>
  <c r="Z977" i="12"/>
  <c r="Z164" i="12"/>
  <c r="Z1907" i="12"/>
  <c r="Z1081" i="12"/>
  <c r="Z800" i="12"/>
  <c r="Z1112" i="12"/>
  <c r="Z510" i="12"/>
  <c r="Z3252" i="12"/>
  <c r="Z2565" i="12"/>
  <c r="Z113" i="12"/>
  <c r="Z2361" i="12"/>
  <c r="Z138" i="12"/>
  <c r="Z2989" i="12"/>
  <c r="Z3334" i="12"/>
  <c r="Z1204" i="12"/>
  <c r="Z1073" i="12"/>
  <c r="Z1580" i="12"/>
  <c r="Z3013" i="12"/>
  <c r="Z1728" i="12"/>
  <c r="Z2518" i="12"/>
  <c r="Z2216" i="12"/>
  <c r="Z632" i="12"/>
  <c r="Z2304" i="12"/>
  <c r="Z3142" i="12"/>
  <c r="Z1838" i="12"/>
  <c r="Z736" i="12"/>
  <c r="Z2052" i="12"/>
  <c r="Z579" i="12"/>
  <c r="Z2997" i="12"/>
  <c r="Z610" i="12"/>
  <c r="Z1244" i="12"/>
  <c r="Z46" i="12"/>
  <c r="Z670" i="12"/>
  <c r="Z2530" i="12"/>
  <c r="Z448" i="12"/>
  <c r="Z2520" i="12"/>
  <c r="Z235" i="12"/>
  <c r="Z2218" i="12"/>
  <c r="Z2515" i="12"/>
  <c r="Z1219" i="12"/>
  <c r="Z3505" i="12"/>
  <c r="Z811" i="12"/>
  <c r="Z3220" i="12"/>
  <c r="Z1574" i="12"/>
  <c r="Z968" i="12"/>
  <c r="Z2007" i="12"/>
  <c r="Z1049" i="12"/>
  <c r="Z1295" i="12"/>
  <c r="Z179" i="12"/>
  <c r="Z342" i="12"/>
  <c r="Z1308" i="12"/>
  <c r="Z901" i="12"/>
  <c r="Z2670" i="12"/>
  <c r="Z1500" i="12"/>
  <c r="Z2065" i="12"/>
  <c r="Z2733" i="12"/>
  <c r="Z2791" i="12"/>
  <c r="Z3195" i="12"/>
  <c r="Z733" i="12"/>
  <c r="Z3207" i="12"/>
  <c r="Z487" i="12"/>
  <c r="Z699" i="12"/>
  <c r="Z1353" i="12"/>
  <c r="Z788" i="12"/>
  <c r="Z1197" i="12"/>
  <c r="Z1839" i="12"/>
  <c r="Z58" i="12"/>
  <c r="Z540" i="12"/>
  <c r="Z1739" i="12"/>
  <c r="Z1083" i="12"/>
  <c r="Z276" i="12"/>
  <c r="Z2592" i="12"/>
  <c r="Z1882" i="12"/>
  <c r="Z1527" i="12"/>
  <c r="Z765" i="12"/>
  <c r="Z907" i="12"/>
  <c r="Z637" i="12"/>
  <c r="Z1680" i="12"/>
  <c r="Z1494" i="12"/>
  <c r="Z1388" i="12"/>
  <c r="Z1277" i="12"/>
  <c r="Z3202" i="12"/>
  <c r="Z705" i="12"/>
  <c r="Z2374" i="12"/>
  <c r="Z2274" i="12"/>
  <c r="Z1698" i="12"/>
  <c r="Z2954" i="12"/>
  <c r="Z1594" i="12"/>
  <c r="Z513" i="12"/>
  <c r="Z1358" i="12"/>
  <c r="Z3060" i="12"/>
  <c r="Z3359" i="12"/>
  <c r="Z1218" i="12"/>
  <c r="Z3244" i="12"/>
  <c r="Z255" i="12"/>
  <c r="Z3049" i="12"/>
  <c r="Z2313" i="12"/>
  <c r="Z2973" i="12"/>
  <c r="Z2734" i="12"/>
  <c r="Z3168" i="12"/>
  <c r="Z1549" i="12"/>
  <c r="Z2053" i="12"/>
  <c r="Z627" i="12"/>
  <c r="Z1561" i="12"/>
  <c r="Z803" i="12"/>
  <c r="Z2903" i="12"/>
  <c r="Z2392" i="12"/>
  <c r="Z969" i="12"/>
  <c r="Z2649" i="12"/>
  <c r="Z323" i="12"/>
  <c r="Z815" i="12"/>
  <c r="Z2576" i="12"/>
  <c r="Z2107" i="12"/>
  <c r="Z1712" i="12"/>
  <c r="Z1914" i="12"/>
  <c r="Z3079" i="12"/>
  <c r="Z296" i="12"/>
  <c r="Z2102" i="12"/>
  <c r="Z1857" i="12"/>
  <c r="Z1674" i="12"/>
  <c r="Z135" i="12"/>
  <c r="Z3027" i="12"/>
  <c r="Z619" i="12"/>
  <c r="Z1032" i="12"/>
  <c r="Z2161" i="12"/>
  <c r="Z2452" i="12"/>
  <c r="Z3444" i="12"/>
  <c r="Z1532" i="12"/>
  <c r="Z1992" i="12"/>
  <c r="Z789" i="12"/>
  <c r="Z343" i="12"/>
  <c r="Z2143" i="12"/>
  <c r="Z1167" i="12"/>
  <c r="Z462" i="12"/>
  <c r="Z2490" i="12"/>
  <c r="Z318" i="12"/>
  <c r="Z3452" i="12"/>
  <c r="Z3103" i="12"/>
  <c r="Z2009" i="12"/>
  <c r="Z2489" i="12"/>
  <c r="Z2059" i="12"/>
  <c r="Z2221" i="12"/>
  <c r="Z714" i="12"/>
  <c r="Z2802" i="12"/>
  <c r="Z3534" i="12"/>
  <c r="Z77" i="12"/>
  <c r="Z621" i="12"/>
  <c r="Z2204" i="12"/>
  <c r="Z2301" i="12"/>
  <c r="Z723" i="12"/>
  <c r="Z2460" i="12"/>
  <c r="Z2553" i="12"/>
  <c r="Z3043" i="12"/>
  <c r="Z2809" i="12"/>
  <c r="Z2660" i="12"/>
  <c r="Z186" i="12"/>
  <c r="Z399" i="12"/>
  <c r="Z2031" i="12"/>
  <c r="Z3352" i="12"/>
  <c r="Z747" i="12"/>
  <c r="Z271" i="12"/>
  <c r="Z3056" i="12"/>
  <c r="Z2657" i="12"/>
  <c r="Z3296" i="12"/>
  <c r="Z2165" i="12"/>
  <c r="Z1136" i="12"/>
  <c r="Z2077" i="12"/>
  <c r="Z809" i="12"/>
  <c r="Z2574" i="12"/>
  <c r="Z1587" i="12"/>
  <c r="Z2854" i="12"/>
  <c r="Z2326" i="12"/>
  <c r="Z3383" i="12"/>
  <c r="Z3531" i="12"/>
  <c r="Z1575" i="12"/>
  <c r="Z1412" i="12"/>
  <c r="Z2397" i="12"/>
  <c r="Z3011" i="12"/>
  <c r="Z2573" i="12"/>
  <c r="Z1830" i="12"/>
  <c r="Z3237" i="12"/>
  <c r="Z779" i="12"/>
  <c r="Z3083" i="12"/>
  <c r="Z3374" i="12"/>
  <c r="Z609" i="12"/>
  <c r="Z1270" i="12"/>
  <c r="Z1398" i="12"/>
  <c r="Z667" i="12"/>
  <c r="Z3500" i="12"/>
  <c r="Z2808" i="12"/>
  <c r="Z2815" i="12"/>
  <c r="Z1370" i="12"/>
  <c r="Z1330" i="12"/>
  <c r="Z2139" i="12"/>
  <c r="Z1801" i="12"/>
  <c r="Z3494" i="12"/>
  <c r="Z2785" i="12"/>
  <c r="Z1205" i="12"/>
  <c r="Z3456" i="12"/>
  <c r="Z1663" i="12"/>
  <c r="Z2453" i="12"/>
  <c r="Z1323" i="12"/>
  <c r="Z325" i="12"/>
  <c r="Z2002" i="12"/>
  <c r="Z3161" i="12"/>
  <c r="Z3069" i="12"/>
  <c r="Z2331" i="12"/>
  <c r="Z2893" i="12"/>
  <c r="Z2629" i="12"/>
  <c r="Z2487" i="12"/>
  <c r="Z1788" i="12"/>
  <c r="Z2594" i="12"/>
  <c r="Z2295" i="12"/>
  <c r="Z1198" i="12"/>
  <c r="Z408" i="12"/>
  <c r="Z219" i="12"/>
  <c r="Z1689" i="12"/>
  <c r="Z3506" i="12"/>
  <c r="Z1346" i="12"/>
  <c r="Z3219" i="12"/>
  <c r="Z1633" i="12"/>
  <c r="Z1753" i="12"/>
  <c r="Z2501" i="12"/>
  <c r="Z2241" i="12"/>
  <c r="Z3218" i="12"/>
  <c r="Z2608" i="12"/>
  <c r="Z2509" i="12"/>
  <c r="Z902" i="12"/>
  <c r="Z225" i="12"/>
  <c r="Z805" i="12"/>
  <c r="Z217" i="12"/>
  <c r="Z421" i="12"/>
  <c r="Z1950" i="12"/>
  <c r="Z204" i="12"/>
  <c r="Z853" i="12"/>
  <c r="Z2810" i="12"/>
  <c r="Z274" i="12"/>
  <c r="Z2168" i="12"/>
  <c r="Z2798" i="12"/>
  <c r="Z915" i="12"/>
  <c r="Z2510" i="12"/>
  <c r="Z3038" i="12"/>
  <c r="Z2344" i="12"/>
  <c r="Z781" i="12"/>
  <c r="Z2724" i="12"/>
  <c r="Z472" i="12"/>
  <c r="Z3024" i="12"/>
  <c r="Z2939" i="12"/>
  <c r="Z1434" i="12"/>
  <c r="Z3271" i="12"/>
  <c r="Z2135" i="12"/>
  <c r="Z2394" i="12"/>
  <c r="Z491" i="12"/>
  <c r="Z1735" i="12"/>
  <c r="Z1101" i="12"/>
  <c r="Z845" i="12"/>
  <c r="Z862" i="12"/>
  <c r="Z328" i="12"/>
  <c r="Z533" i="12"/>
  <c r="Z95" i="12"/>
  <c r="Z1817" i="12"/>
  <c r="Z2408" i="12"/>
  <c r="Z1107" i="12"/>
  <c r="Z601" i="12"/>
  <c r="Z3238" i="12"/>
  <c r="Z606" i="12"/>
  <c r="Z347" i="12"/>
  <c r="Z1257" i="12"/>
  <c r="Z2134" i="12"/>
  <c r="Z2646" i="12"/>
  <c r="Z1741" i="12"/>
  <c r="Z1679" i="12"/>
  <c r="Z3008" i="12"/>
  <c r="Z3324" i="12"/>
  <c r="Z32" i="12"/>
  <c r="Z2506" i="12"/>
  <c r="Z2222" i="12"/>
  <c r="Z1108" i="12"/>
  <c r="Z2359" i="12"/>
  <c r="Z2951" i="12"/>
  <c r="Z2195" i="12"/>
  <c r="Z2202" i="12"/>
  <c r="Z1448" i="12"/>
  <c r="Z83" i="12"/>
  <c r="Z2367" i="12"/>
  <c r="Z1054" i="12"/>
  <c r="Z3446" i="12"/>
  <c r="Z1610" i="12"/>
  <c r="Z403" i="12"/>
  <c r="Z3431" i="12"/>
  <c r="Z192" i="12"/>
  <c r="Z1213" i="12"/>
  <c r="Z1085" i="12"/>
  <c r="Z775" i="12"/>
  <c r="Z1916" i="12"/>
  <c r="Z2060" i="12"/>
  <c r="Z2255" i="12"/>
  <c r="Z1024" i="12"/>
  <c r="Z1952" i="12"/>
  <c r="Z1901" i="12"/>
  <c r="Z2851" i="12"/>
  <c r="Z1888" i="12"/>
  <c r="Z3488" i="12"/>
  <c r="Z669" i="12"/>
  <c r="Z3006" i="12"/>
  <c r="Z936" i="12"/>
  <c r="Z2318" i="12"/>
  <c r="Z187" i="12"/>
  <c r="Z532" i="12"/>
  <c r="Z2787" i="12"/>
  <c r="Z44" i="12"/>
  <c r="Z929" i="12"/>
  <c r="Z2543" i="12"/>
  <c r="Z518" i="12"/>
  <c r="Z3328" i="12"/>
  <c r="Z1852" i="12"/>
  <c r="Z401" i="12"/>
  <c r="Z1425" i="12"/>
  <c r="Z3193" i="12"/>
  <c r="Z1251" i="12"/>
  <c r="Z2294" i="12"/>
  <c r="Z950" i="12"/>
  <c r="Z1695" i="12"/>
  <c r="Z771" i="12"/>
  <c r="Z1994" i="12"/>
  <c r="Z3264" i="12"/>
  <c r="Z3192" i="12"/>
  <c r="Z79" i="12"/>
  <c r="Z245" i="12"/>
  <c r="Z993" i="12"/>
  <c r="Z3508" i="12"/>
  <c r="Z2347" i="12"/>
  <c r="Z1949" i="12"/>
  <c r="Z2898" i="12"/>
  <c r="Z3089" i="12"/>
  <c r="Z1623" i="12"/>
  <c r="Z2983" i="12"/>
  <c r="Z3096" i="12"/>
  <c r="Z2508" i="12"/>
  <c r="Z2433" i="12"/>
  <c r="Z2873" i="12"/>
  <c r="Z1488" i="12"/>
  <c r="Z635" i="12"/>
  <c r="Z194" i="12"/>
  <c r="Z2806" i="12"/>
  <c r="Z2260" i="12"/>
  <c r="Z2151" i="12"/>
  <c r="Z3167" i="12"/>
  <c r="Z2183" i="12"/>
  <c r="Z3050" i="12"/>
  <c r="Z2745" i="12"/>
  <c r="Z363" i="12"/>
  <c r="Z3254" i="12"/>
  <c r="Z1114" i="12"/>
  <c r="Z1245" i="12"/>
  <c r="Z3099" i="12"/>
  <c r="Z131" i="12"/>
  <c r="Z2605" i="12"/>
  <c r="Z380" i="12"/>
  <c r="Z3499" i="12"/>
  <c r="Z1816" i="12"/>
  <c r="Z3119" i="12"/>
  <c r="Z1639" i="12"/>
  <c r="Z3539" i="12"/>
  <c r="Z307" i="12"/>
  <c r="Z279" i="12"/>
  <c r="Z23" i="12"/>
  <c r="Z1287" i="12"/>
  <c r="Z2846" i="12"/>
  <c r="Z655" i="12"/>
  <c r="Z157" i="12"/>
  <c r="Z558" i="12"/>
  <c r="Z2915" i="12"/>
  <c r="Z2911" i="12"/>
  <c r="Z1597" i="12"/>
  <c r="Z1048" i="12"/>
  <c r="Z2755" i="12"/>
  <c r="Z2237" i="12"/>
  <c r="Z2961" i="12"/>
  <c r="Z2200" i="12"/>
  <c r="Z523" i="12"/>
  <c r="Z2203" i="12"/>
  <c r="Z1174" i="12"/>
  <c r="Z1067" i="12"/>
  <c r="Z2210" i="12"/>
  <c r="Z3226" i="12"/>
  <c r="Z1458" i="12"/>
  <c r="Z1333" i="12"/>
  <c r="Z3472" i="12"/>
  <c r="Z552" i="12"/>
  <c r="Z3228" i="12"/>
  <c r="Z2523" i="12"/>
  <c r="Z1908" i="12"/>
  <c r="Z404" i="12"/>
  <c r="Z2364" i="12"/>
  <c r="Z1237" i="12"/>
  <c r="Z2083" i="12"/>
  <c r="Z2622" i="12"/>
  <c r="Z451" i="12"/>
  <c r="Z3355" i="12"/>
  <c r="Z2087" i="12"/>
  <c r="Z595" i="12"/>
  <c r="Z3216" i="12"/>
  <c r="Z2763" i="12"/>
  <c r="Z1506" i="12"/>
  <c r="Z173" i="12"/>
  <c r="Z1188" i="12"/>
  <c r="Z656" i="12"/>
  <c r="Z1179" i="12"/>
  <c r="Z2541" i="12"/>
  <c r="Z822" i="12"/>
  <c r="Z254" i="12"/>
  <c r="Z2081" i="12"/>
  <c r="Z2197" i="12"/>
  <c r="Z3149" i="12"/>
  <c r="Z2990" i="12"/>
  <c r="Z3481" i="12"/>
  <c r="Z3507" i="12"/>
  <c r="Z1771" i="12"/>
  <c r="Z1090" i="12"/>
  <c r="Z1763" i="12"/>
  <c r="Z1600" i="12"/>
  <c r="Z1120" i="12"/>
  <c r="Z2968" i="12"/>
  <c r="Z1423" i="12"/>
  <c r="Z85" i="12"/>
  <c r="Z1791" i="12"/>
  <c r="Z1615" i="12"/>
  <c r="Z3316" i="12"/>
  <c r="Z3344" i="12"/>
  <c r="Z963" i="12"/>
  <c r="Z972" i="12"/>
  <c r="Z1357" i="12"/>
  <c r="Z2363" i="12"/>
  <c r="Z1450" i="12"/>
  <c r="Z1583" i="12"/>
  <c r="Z3042" i="12"/>
  <c r="Z379" i="12"/>
  <c r="Z2448" i="12"/>
  <c r="Z1797" i="12"/>
  <c r="Z2434" i="12"/>
  <c r="Z2471" i="12"/>
  <c r="Z311" i="12"/>
  <c r="Z1291" i="12"/>
  <c r="Z2349" i="12"/>
  <c r="Z2800" i="12"/>
  <c r="Z309" i="12"/>
  <c r="Z3134" i="12"/>
  <c r="Z2269" i="12"/>
  <c r="Z2647" i="12"/>
  <c r="Z436" i="12"/>
  <c r="Z812" i="12"/>
  <c r="Z1000" i="12"/>
  <c r="Z2456" i="12"/>
  <c r="Z3482" i="12"/>
  <c r="Z2834" i="12"/>
  <c r="Z962" i="12"/>
  <c r="Z2503" i="12"/>
  <c r="Z2681" i="12"/>
  <c r="Z92" i="12"/>
  <c r="Z1650" i="12"/>
  <c r="Z2731" i="12"/>
  <c r="Z1154" i="12"/>
  <c r="Z183" i="12"/>
  <c r="Z1115" i="12"/>
  <c r="Z1618" i="12"/>
  <c r="Z754" i="12"/>
  <c r="Z2655" i="12"/>
  <c r="Z3137" i="12"/>
  <c r="Z2366" i="12"/>
  <c r="Z2396" i="12"/>
  <c r="Z1931" i="12"/>
  <c r="Z1719" i="12"/>
  <c r="Z2981" i="12"/>
  <c r="Z1724" i="12"/>
  <c r="Z1729" i="12"/>
  <c r="Z1338" i="12"/>
  <c r="Z1969" i="12"/>
  <c r="Z1207" i="12"/>
  <c r="Z2402" i="12"/>
  <c r="Z1454" i="12"/>
  <c r="Z2892" i="12"/>
  <c r="Z1510" i="12"/>
  <c r="Z3078" i="12"/>
  <c r="Z2039" i="12"/>
  <c r="Z3455" i="12"/>
  <c r="Z3116" i="12"/>
  <c r="Z1968" i="12"/>
  <c r="Z415" i="12"/>
  <c r="Z1307" i="12"/>
  <c r="Z1014" i="12"/>
  <c r="Z2729" i="12"/>
  <c r="Z2385" i="12"/>
  <c r="Z603" i="12"/>
  <c r="Z273" i="12"/>
  <c r="Z1832" i="12"/>
  <c r="Z960" i="12"/>
  <c r="Z1509" i="12"/>
  <c r="Z3136" i="12"/>
  <c r="Z2109" i="12"/>
  <c r="Z3114" i="12"/>
  <c r="Z3197" i="12"/>
  <c r="Z1688" i="12"/>
  <c r="Z821" i="12"/>
  <c r="Z2559" i="12"/>
  <c r="Z1507" i="12"/>
  <c r="Z917" i="12"/>
  <c r="Z256" i="12"/>
  <c r="Z2740" i="12"/>
  <c r="Z3430" i="12"/>
  <c r="Z2883" i="12"/>
  <c r="Z3524" i="12"/>
  <c r="Z2998" i="12"/>
  <c r="Z1420" i="12"/>
  <c r="Z1084" i="12"/>
  <c r="Z163" i="12"/>
  <c r="Z2177" i="12"/>
  <c r="Z2466" i="12"/>
  <c r="Z3148" i="12"/>
  <c r="Z1631" i="12"/>
  <c r="Z3477" i="12"/>
  <c r="Z767" i="12"/>
  <c r="Z1538" i="12"/>
  <c r="Z505" i="12"/>
  <c r="Z1937" i="12"/>
  <c r="Z2152" i="12"/>
  <c r="Z989" i="12"/>
  <c r="Z2876" i="12"/>
  <c r="Z3109" i="12"/>
  <c r="Z2978" i="12"/>
  <c r="Z2640" i="12"/>
  <c r="Z2688" i="12"/>
  <c r="Z2302" i="12"/>
  <c r="Z2110" i="12"/>
  <c r="Z2679" i="12"/>
  <c r="Z1776" i="12"/>
  <c r="Z759" i="12"/>
  <c r="Z2256" i="12"/>
  <c r="Z1508" i="12"/>
  <c r="Z2370" i="12"/>
  <c r="Z3176" i="12"/>
  <c r="Z1343" i="12"/>
  <c r="Z1486" i="12"/>
  <c r="Z3483" i="12"/>
  <c r="Z2764" i="12"/>
  <c r="Z3346" i="12"/>
  <c r="Z2977" i="12"/>
  <c r="Z2457" i="12"/>
  <c r="Z425" i="12"/>
  <c r="Z2357" i="12"/>
  <c r="Z2341" i="12"/>
  <c r="Z1946" i="12"/>
  <c r="Z843" i="12"/>
  <c r="Z2044" i="12"/>
  <c r="Z711" i="12"/>
  <c r="Z1782" i="12"/>
  <c r="Z1626" i="12"/>
  <c r="Z1825" i="12"/>
  <c r="Z1642" i="12"/>
  <c r="Z3150" i="12"/>
  <c r="Z2632" i="12"/>
  <c r="Z1445" i="12"/>
  <c r="Z886" i="12"/>
  <c r="Z1867" i="12"/>
  <c r="Z1567" i="12"/>
  <c r="Z2169" i="12"/>
  <c r="Z3364" i="12"/>
  <c r="Z2628" i="12"/>
  <c r="Z2700" i="12"/>
  <c r="Z3441" i="12"/>
  <c r="Z2780" i="12"/>
  <c r="Z1770" i="12"/>
  <c r="Z484" i="12"/>
  <c r="Z2041" i="12"/>
  <c r="Z1760" i="12"/>
  <c r="Z1372" i="12"/>
  <c r="Z3213" i="12"/>
  <c r="Z2692" i="12"/>
  <c r="Z3294" i="12"/>
  <c r="Z2567" i="12"/>
  <c r="Z1314" i="12"/>
  <c r="Z2614" i="12"/>
  <c r="Z166" i="12"/>
  <c r="Z2558" i="12"/>
  <c r="Z2182" i="12"/>
  <c r="Z1172" i="12"/>
  <c r="Z257" i="12"/>
  <c r="Z895" i="12"/>
  <c r="Z61" i="12"/>
  <c r="Z2101" i="12"/>
  <c r="Z2500" i="12"/>
  <c r="Z2909" i="12"/>
  <c r="Z47" i="12"/>
  <c r="Z80" i="12"/>
  <c r="Z2992" i="12"/>
  <c r="Z1170" i="12"/>
  <c r="Z2525" i="12"/>
  <c r="Z3095" i="12"/>
  <c r="Z178" i="12"/>
  <c r="Z1119" i="12"/>
  <c r="Z3329" i="12"/>
  <c r="Z2389" i="12"/>
  <c r="Z1502" i="12"/>
  <c r="Z2656" i="12"/>
  <c r="Z2969" i="12"/>
  <c r="Z3113" i="12"/>
  <c r="Z3040" i="12"/>
  <c r="Z858" i="12"/>
  <c r="Z3268" i="12"/>
  <c r="Z1186" i="12"/>
  <c r="Z1099" i="12"/>
  <c r="Z1767" i="12"/>
  <c r="Z397" i="12"/>
  <c r="Z1191" i="12"/>
  <c r="Z954" i="12"/>
  <c r="Z2458" i="12"/>
  <c r="Z438" i="12"/>
  <c r="Z1667" i="12"/>
  <c r="Z3459" i="12"/>
  <c r="Z84" i="12"/>
  <c r="Z2988" i="12"/>
  <c r="Z1923" i="12"/>
  <c r="Z3084" i="12"/>
  <c r="Z934" i="12"/>
  <c r="Z2537" i="12"/>
  <c r="Z3184" i="12"/>
  <c r="Z998" i="12"/>
  <c r="Z2283" i="12"/>
  <c r="Z1206" i="12"/>
  <c r="Z2103" i="12"/>
  <c r="Z2793" i="12"/>
  <c r="Z1851" i="12"/>
  <c r="Z1143" i="12"/>
  <c r="Z1299" i="12"/>
  <c r="Z1962" i="12"/>
  <c r="Z1008" i="12"/>
  <c r="Z2426" i="12"/>
  <c r="Z3466" i="12"/>
  <c r="Z1522" i="12"/>
  <c r="Z1373" i="12"/>
  <c r="Z497" i="12"/>
  <c r="Z3400" i="12"/>
  <c r="Z3088" i="12"/>
  <c r="Z2036" i="12"/>
  <c r="Z3241" i="12"/>
  <c r="Z2133" i="12"/>
  <c r="Z1329" i="12"/>
  <c r="Z2188" i="12"/>
  <c r="Z2137" i="12"/>
  <c r="Z3474" i="12"/>
  <c r="Z2286" i="12"/>
  <c r="Z40" i="12"/>
  <c r="Z2035" i="12"/>
  <c r="Z2586" i="12"/>
  <c r="Z2429" i="12"/>
  <c r="Z2390" i="12"/>
  <c r="Z881" i="12"/>
  <c r="Z3077" i="12"/>
  <c r="Z226" i="12"/>
  <c r="Z1100" i="12"/>
  <c r="Z54" i="12"/>
  <c r="Z764" i="12"/>
  <c r="Z2030" i="12"/>
  <c r="Z3188" i="12"/>
  <c r="Z1803" i="12"/>
  <c r="Z153" i="12"/>
  <c r="Z452" i="12"/>
  <c r="Z64" i="12"/>
  <c r="Z1369" i="12"/>
  <c r="Z2373" i="12"/>
  <c r="Z1813" i="12"/>
  <c r="Z1834" i="12"/>
  <c r="Z878" i="12"/>
  <c r="Z377" i="12"/>
  <c r="Z2561" i="12"/>
  <c r="Z1812" i="12"/>
  <c r="Z1747" i="12"/>
  <c r="Z210" i="12"/>
  <c r="Z3170" i="12"/>
  <c r="Z3275" i="12"/>
  <c r="Z3495" i="12"/>
  <c r="Z1609" i="12"/>
  <c r="Z2908" i="12"/>
  <c r="Z1533" i="12"/>
  <c r="Z2384" i="12"/>
  <c r="Z353" i="12"/>
  <c r="Z720" i="12"/>
  <c r="Z2495" i="12"/>
  <c r="Z1212" i="12"/>
  <c r="Z2498" i="12"/>
  <c r="Z457" i="12"/>
  <c r="Z2464" i="12"/>
  <c r="Z3262" i="12"/>
  <c r="Z2226" i="12"/>
  <c r="Z3276" i="12"/>
  <c r="Z2720" i="12"/>
  <c r="Z1913" i="12"/>
  <c r="Z716" i="12"/>
  <c r="Z1379" i="12"/>
  <c r="Z2833" i="12"/>
  <c r="Z207" i="12"/>
  <c r="Z3440" i="12"/>
  <c r="Z3501" i="12"/>
  <c r="Z2138" i="12"/>
  <c r="Z446" i="12"/>
  <c r="Z3535" i="12"/>
  <c r="Z2305" i="12"/>
  <c r="Z1471" i="12"/>
  <c r="Z2180" i="12"/>
  <c r="Z1192" i="12"/>
  <c r="Z573" i="12"/>
  <c r="Z1427" i="12"/>
  <c r="Z3007" i="12"/>
  <c r="Z2994" i="12"/>
  <c r="Z2473" i="12"/>
  <c r="Z703" i="12"/>
  <c r="Z2056" i="12"/>
  <c r="Z1133" i="12"/>
  <c r="Z2442" i="12"/>
  <c r="Z216" i="12"/>
  <c r="Z2386" i="12"/>
  <c r="Z2114" i="12"/>
  <c r="Z1130" i="12"/>
  <c r="Z1060" i="12"/>
  <c r="Z1098" i="12"/>
  <c r="Z53" i="12"/>
  <c r="Z378" i="12"/>
  <c r="Z2023" i="12"/>
  <c r="Z488" i="12"/>
  <c r="Z1193" i="12"/>
  <c r="Z2566" i="12"/>
  <c r="Z1837" i="12"/>
  <c r="Z2858" i="12"/>
  <c r="Z3143" i="12"/>
  <c r="Z3094" i="12"/>
  <c r="Z2417" i="12"/>
  <c r="Z1501" i="12"/>
  <c r="Z1855" i="12"/>
  <c r="Z3152" i="12"/>
  <c r="Z3169" i="12"/>
  <c r="Z3285" i="12"/>
  <c r="Z3369" i="12"/>
  <c r="Z1247" i="12"/>
  <c r="Z368" i="12"/>
  <c r="Z1606" i="12"/>
  <c r="Z1979" i="12"/>
  <c r="Z1313" i="12"/>
  <c r="Z2966" i="12"/>
  <c r="Z2625" i="12"/>
  <c r="Z2147" i="12"/>
  <c r="Z1089" i="12"/>
  <c r="Z1268" i="12"/>
  <c r="Z2521" i="12"/>
  <c r="Z866" i="12"/>
  <c r="Z3292" i="12"/>
  <c r="Z1279" i="12"/>
  <c r="Z2730" i="12"/>
  <c r="Z1997" i="12"/>
  <c r="Z2352" i="12"/>
  <c r="Z1738" i="12"/>
  <c r="Z1619" i="12"/>
  <c r="Z2166" i="12"/>
  <c r="Z2310" i="12"/>
  <c r="Z3427" i="12"/>
  <c r="Z3120" i="12"/>
  <c r="Z1793" i="12"/>
  <c r="Z112" i="12"/>
  <c r="Z1892" i="12"/>
  <c r="Z3392" i="12"/>
  <c r="Z974" i="12"/>
  <c r="Z1927" i="12"/>
  <c r="Z1988" i="12"/>
  <c r="Z987" i="12"/>
  <c r="Z2950" i="12"/>
  <c r="Z1122" i="12"/>
  <c r="Z2580" i="12"/>
  <c r="Z2786" i="12"/>
  <c r="Z624" i="12"/>
  <c r="Z427" i="12"/>
  <c r="Z3215" i="12"/>
  <c r="Z2038" i="12"/>
  <c r="Z2404" i="12"/>
  <c r="Z441" i="12"/>
  <c r="Z3048" i="12"/>
  <c r="Z143" i="12"/>
  <c r="Z3415" i="12"/>
  <c r="Z213" i="12"/>
  <c r="Z1986" i="12"/>
  <c r="Z3068" i="12"/>
  <c r="Z1627" i="12"/>
  <c r="Z2346" i="12"/>
  <c r="Z2398" i="12"/>
  <c r="Z2654" i="12"/>
  <c r="Z1327" i="12"/>
  <c r="Z1395" i="12"/>
  <c r="Z3235" i="12"/>
  <c r="Z437" i="12"/>
  <c r="Z1697" i="12"/>
  <c r="Z3387" i="12"/>
  <c r="Z3196" i="12"/>
  <c r="Z2377" i="12"/>
  <c r="Z525" i="12"/>
  <c r="Z2247" i="12"/>
  <c r="Z925" i="12"/>
  <c r="Z2789" i="12"/>
  <c r="Z3403" i="12"/>
  <c r="Z352" i="12"/>
  <c r="Z2732" i="12"/>
  <c r="Z567" i="12"/>
  <c r="Z413" i="12"/>
  <c r="Z295" i="12"/>
  <c r="Z576" i="12"/>
  <c r="Z1352" i="12"/>
  <c r="Z3468" i="12"/>
  <c r="Z715" i="12"/>
  <c r="Z786" i="12"/>
  <c r="Z994" i="12"/>
  <c r="Z3345" i="12"/>
  <c r="Z2157" i="12"/>
  <c r="Z1539" i="12"/>
  <c r="Z2113" i="12"/>
  <c r="Z2459" i="12"/>
  <c r="Z1043" i="12"/>
  <c r="Z1772" i="12"/>
  <c r="Z1849" i="12"/>
  <c r="Z758" i="12"/>
  <c r="Z2243" i="12"/>
  <c r="Z1376" i="12"/>
  <c r="Z3348" i="12"/>
  <c r="Z2616" i="12"/>
  <c r="Z2096" i="12"/>
  <c r="Z2379" i="12"/>
  <c r="Z1930" i="12"/>
  <c r="Z2097" i="12"/>
  <c r="Z1841" i="12"/>
  <c r="Z997" i="12"/>
  <c r="Z103" i="12"/>
  <c r="Z1995" i="12"/>
  <c r="Z778" i="12"/>
  <c r="Z3532" i="12"/>
  <c r="Z539" i="12"/>
  <c r="Z2742" i="12"/>
  <c r="Z692" i="12"/>
  <c r="Z3273" i="12"/>
  <c r="Z453" i="12"/>
  <c r="Z2145" i="12"/>
  <c r="Z147" i="12"/>
  <c r="Z2671" i="12"/>
  <c r="Z1957" i="12"/>
  <c r="Z1317" i="12"/>
  <c r="Z1347" i="12"/>
  <c r="Z1980" i="12"/>
  <c r="Z261" i="12"/>
  <c r="Z2993" i="12"/>
  <c r="Z2531" i="12"/>
  <c r="Z299" i="12"/>
  <c r="Z3552" i="12"/>
  <c r="Z3424" i="12"/>
  <c r="Z2407" i="12"/>
  <c r="Z145" i="12"/>
  <c r="Z3061" i="12"/>
  <c r="Z93" i="12"/>
  <c r="Z1319" i="12"/>
  <c r="Z1050" i="12"/>
  <c r="Z2637" i="12"/>
  <c r="Z433" i="12"/>
  <c r="Z3419" i="12"/>
  <c r="Z2587" i="12"/>
  <c r="Z3335" i="12"/>
  <c r="Z2443" i="12"/>
  <c r="Z1846" i="12"/>
  <c r="Z2569" i="12"/>
  <c r="Z3217" i="12"/>
  <c r="Y3008" i="12"/>
  <c r="Y1404" i="12"/>
  <c r="Y1259" i="12"/>
  <c r="Y246" i="12"/>
  <c r="Y3400" i="12"/>
  <c r="Y223" i="12"/>
  <c r="Y482" i="12"/>
  <c r="Y2808" i="12"/>
  <c r="Y1439" i="12"/>
  <c r="Y355" i="12"/>
  <c r="Y1098" i="12"/>
  <c r="Y2704" i="12"/>
  <c r="Y2229" i="12"/>
  <c r="Y1186" i="12"/>
  <c r="Y2736" i="12"/>
  <c r="Y1224" i="12"/>
  <c r="Y3393" i="12"/>
  <c r="Y1222" i="12"/>
  <c r="Y258" i="12"/>
  <c r="Y199" i="12"/>
  <c r="Y3119" i="12"/>
  <c r="Y820" i="12"/>
  <c r="Y1163" i="12"/>
  <c r="Y2416" i="12"/>
  <c r="Y2584" i="12"/>
  <c r="Y3172" i="12"/>
  <c r="Y3472" i="12"/>
  <c r="Y2660" i="12"/>
  <c r="Y1138" i="12"/>
  <c r="Y1031" i="12"/>
  <c r="Y1308" i="12"/>
  <c r="Y592" i="12"/>
  <c r="Y46" i="12"/>
  <c r="Y1764" i="12"/>
  <c r="Y20" i="12"/>
  <c r="Y583" i="12"/>
  <c r="Y842" i="12"/>
  <c r="Y446" i="12"/>
  <c r="Y2288" i="12"/>
  <c r="Y1863" i="12"/>
  <c r="Y1469" i="12"/>
  <c r="Y1687" i="12"/>
  <c r="Y593" i="12"/>
  <c r="Y1274" i="12"/>
  <c r="Y201" i="12"/>
  <c r="Y285" i="12"/>
  <c r="Y2144" i="12"/>
  <c r="Y581" i="12"/>
  <c r="Y624" i="12"/>
  <c r="Y1324" i="12"/>
  <c r="Y2267" i="12"/>
  <c r="Y1202" i="12"/>
  <c r="Y3406" i="12"/>
  <c r="Y1312" i="12"/>
  <c r="Y2003" i="12"/>
  <c r="Y840" i="12"/>
  <c r="Y66" i="12"/>
  <c r="Y458" i="12"/>
  <c r="Y1682" i="12"/>
  <c r="Y266" i="12"/>
  <c r="Y2172" i="12"/>
  <c r="Y1305" i="12"/>
  <c r="Y2180" i="12"/>
  <c r="Y260" i="12"/>
  <c r="Y498" i="12"/>
  <c r="Y2381" i="12"/>
  <c r="Y2379" i="12"/>
  <c r="Y1277" i="12"/>
  <c r="Y1642" i="12"/>
  <c r="Y1119" i="12"/>
  <c r="Y44" i="12"/>
  <c r="Y2771" i="12"/>
  <c r="Y688" i="12"/>
  <c r="Y2285" i="12"/>
  <c r="Y152" i="12"/>
  <c r="Y940" i="12"/>
  <c r="Y806" i="12"/>
  <c r="Y665" i="12"/>
  <c r="Y250" i="12"/>
  <c r="Y3208" i="12"/>
  <c r="Y971" i="12"/>
  <c r="Y1894" i="12"/>
  <c r="Y3060" i="12"/>
  <c r="Y1907" i="12"/>
  <c r="Y329" i="12"/>
  <c r="Y156" i="12"/>
  <c r="Y1178" i="12"/>
  <c r="Y605" i="12"/>
  <c r="Y3112" i="12"/>
  <c r="Y233" i="12"/>
  <c r="Y549" i="12"/>
  <c r="Y205" i="12"/>
  <c r="Y377" i="12"/>
  <c r="Y2509" i="12"/>
  <c r="Y1170" i="12"/>
  <c r="Y597" i="12"/>
  <c r="Y2764" i="12"/>
  <c r="Y2911" i="12"/>
  <c r="Y1714" i="12"/>
  <c r="Y2686" i="12"/>
  <c r="Y376" i="12"/>
  <c r="Y2201" i="12"/>
  <c r="Y1480" i="12"/>
  <c r="Y476" i="12"/>
  <c r="Y844" i="12"/>
  <c r="Y1071" i="12"/>
  <c r="Y866" i="12"/>
  <c r="Y3332" i="12"/>
  <c r="Y196" i="12"/>
  <c r="Y1803" i="12"/>
  <c r="Y2086" i="12"/>
  <c r="Y1254" i="12"/>
  <c r="Y228" i="12"/>
  <c r="Y62" i="12"/>
  <c r="Y579" i="12"/>
  <c r="Y656" i="12"/>
  <c r="Y1299" i="12"/>
  <c r="Y2376" i="12"/>
  <c r="Y3156" i="12"/>
  <c r="Y852" i="12"/>
  <c r="Y165" i="12"/>
  <c r="Y838" i="12"/>
  <c r="Y603" i="12"/>
  <c r="Y1354" i="12"/>
  <c r="Y617" i="12"/>
  <c r="Y2207" i="12"/>
  <c r="Y1891" i="12"/>
  <c r="Y2724" i="12"/>
  <c r="Y94" i="12"/>
  <c r="Y1689" i="12"/>
  <c r="Y1992" i="12"/>
  <c r="Y1338" i="12"/>
  <c r="Y944" i="12"/>
  <c r="Y1917" i="12"/>
  <c r="Y1164" i="12"/>
  <c r="Y824" i="12"/>
  <c r="Y2504" i="12"/>
  <c r="Y1839" i="12"/>
  <c r="Y158" i="12"/>
  <c r="Y651" i="12"/>
  <c r="Y180" i="12"/>
  <c r="Y1908" i="12"/>
  <c r="Y1858" i="12"/>
  <c r="Y2443" i="12"/>
  <c r="Y465" i="12"/>
  <c r="Y321" i="12"/>
  <c r="Y775" i="12"/>
  <c r="Y796" i="12"/>
  <c r="Y256" i="12"/>
  <c r="Y2027" i="12"/>
  <c r="Y749" i="12"/>
  <c r="Y758" i="12"/>
  <c r="Y2748" i="12"/>
  <c r="Y1792" i="12"/>
  <c r="Y2548" i="12"/>
  <c r="Y1120" i="12"/>
  <c r="Y1351" i="12"/>
  <c r="Y1213" i="12"/>
  <c r="Y1431" i="12"/>
  <c r="Y193" i="12"/>
  <c r="Y520" i="12"/>
  <c r="Y76" i="12"/>
  <c r="Y2411" i="12"/>
  <c r="Y380" i="12"/>
  <c r="Y1706" i="12"/>
  <c r="Y2192" i="12"/>
  <c r="Y265" i="12"/>
  <c r="Y189" i="12"/>
  <c r="Y555" i="12"/>
  <c r="Y2105" i="12"/>
  <c r="Y499" i="12"/>
  <c r="Y1266" i="12"/>
  <c r="Y2253" i="12"/>
  <c r="Y689" i="12"/>
  <c r="Y3056" i="12"/>
  <c r="Y2697" i="12"/>
  <c r="Y2663" i="12"/>
  <c r="Y567" i="12"/>
  <c r="Y440" i="12"/>
  <c r="Y1949" i="12"/>
  <c r="Y933" i="12"/>
  <c r="Y1622" i="12"/>
  <c r="Y2728" i="12"/>
  <c r="Y1111" i="12"/>
  <c r="Y3500" i="12"/>
  <c r="Y786" i="12"/>
  <c r="Y2883" i="12"/>
  <c r="Y1855" i="12"/>
  <c r="Y3453" i="12"/>
  <c r="Y2956" i="12"/>
  <c r="Y588" i="12"/>
  <c r="Y2101" i="12"/>
  <c r="Y1589" i="12"/>
  <c r="Y2364" i="12"/>
  <c r="Y1549" i="12"/>
  <c r="Y2047" i="12"/>
  <c r="Y2926" i="12"/>
  <c r="Y210" i="12"/>
  <c r="Y2066" i="12"/>
  <c r="Y3103" i="12"/>
  <c r="Y535" i="12"/>
  <c r="Y106" i="12"/>
  <c r="Y495" i="12"/>
  <c r="Y889" i="12"/>
  <c r="Y1812" i="12"/>
  <c r="Y2245" i="12"/>
  <c r="Y1769" i="12"/>
  <c r="Y763" i="12"/>
  <c r="Y1802" i="12"/>
  <c r="Y1879" i="12"/>
  <c r="Y1795" i="12"/>
  <c r="Y259" i="12"/>
  <c r="Y263" i="12"/>
  <c r="Y3183" i="12"/>
  <c r="Y647" i="12"/>
  <c r="Y616" i="12"/>
  <c r="Y128" i="12"/>
  <c r="Y1086" i="12"/>
  <c r="Y1956" i="12"/>
  <c r="Y827" i="12"/>
  <c r="Y2982" i="12"/>
  <c r="Y1465" i="12"/>
  <c r="Y2761" i="12"/>
  <c r="Y1436" i="12"/>
  <c r="Y677" i="12"/>
  <c r="Y1085" i="12"/>
  <c r="Y1303" i="12"/>
  <c r="Y1228" i="12"/>
  <c r="Y1263" i="12"/>
  <c r="Y1677" i="12"/>
  <c r="Y3249" i="12"/>
  <c r="Y2035" i="12"/>
  <c r="Y414" i="12"/>
  <c r="Y3246" i="12"/>
  <c r="Y227" i="12"/>
  <c r="Y804" i="12"/>
  <c r="Y2891" i="12"/>
  <c r="Y3431" i="12"/>
  <c r="Y1542" i="12"/>
  <c r="Y1165" i="12"/>
  <c r="Y437" i="12"/>
  <c r="Y1822" i="12"/>
  <c r="Y330" i="12"/>
  <c r="Y3143" i="12"/>
  <c r="Y1258" i="12"/>
  <c r="Y3260" i="12"/>
  <c r="Y640" i="12"/>
  <c r="Y1641" i="12"/>
  <c r="Y3155" i="12"/>
  <c r="Y2967" i="12"/>
  <c r="Y522" i="12"/>
  <c r="Y110" i="12"/>
  <c r="Y416" i="12"/>
  <c r="Y1896" i="12"/>
  <c r="Y1506" i="12"/>
  <c r="Y1778" i="12"/>
  <c r="Y2048" i="12"/>
  <c r="Y154" i="12"/>
  <c r="Y731" i="12"/>
  <c r="Y2196" i="12"/>
  <c r="Y2629" i="12"/>
  <c r="Y2234" i="12"/>
  <c r="Y814" i="12"/>
  <c r="Y1922" i="12"/>
  <c r="Y540" i="12"/>
  <c r="Y1568" i="12"/>
  <c r="Y3308" i="12"/>
  <c r="Y1584" i="12"/>
  <c r="Y32" i="12"/>
  <c r="Y3077" i="12"/>
  <c r="Y2043" i="12"/>
  <c r="Y3444" i="12"/>
  <c r="Y1904" i="12"/>
  <c r="Y1253" i="12"/>
  <c r="Y3080" i="12"/>
  <c r="Y479" i="12"/>
  <c r="Y368" i="12"/>
  <c r="Y3003" i="12"/>
  <c r="Y366" i="12"/>
  <c r="Y1759" i="12"/>
  <c r="Y2321" i="12"/>
  <c r="Y2955" i="12"/>
  <c r="Y1516" i="12"/>
  <c r="Y742" i="12"/>
  <c r="Y290" i="12"/>
  <c r="Y779" i="12"/>
  <c r="Y281" i="12"/>
  <c r="Y409" i="12"/>
  <c r="Y725" i="12"/>
  <c r="Y2059" i="12"/>
  <c r="Y1950" i="12"/>
  <c r="Y48" i="12"/>
  <c r="Y275" i="12"/>
  <c r="Y2708" i="12"/>
  <c r="Y1462" i="12"/>
  <c r="Y486" i="12"/>
  <c r="Y276" i="12"/>
  <c r="Y491" i="12"/>
  <c r="Y2651" i="12"/>
  <c r="Y1040" i="12"/>
  <c r="Y3244" i="12"/>
  <c r="Y2719" i="12"/>
  <c r="Y3068" i="12"/>
  <c r="Y68" i="12"/>
  <c r="Y726" i="12"/>
  <c r="Y3469" i="12"/>
  <c r="Y103" i="12"/>
  <c r="Y172" i="12"/>
  <c r="Y2248" i="12"/>
  <c r="Y1842" i="12"/>
  <c r="Y2246" i="12"/>
  <c r="Y594" i="12"/>
  <c r="Y516" i="12"/>
  <c r="Y3375" i="12"/>
  <c r="Y2916" i="12"/>
  <c r="Y1675" i="12"/>
  <c r="Y169" i="12"/>
  <c r="Y49" i="12"/>
  <c r="Y1600" i="12"/>
  <c r="Y254" i="12"/>
  <c r="Y469" i="12"/>
  <c r="Y2178" i="12"/>
  <c r="Y1287" i="12"/>
  <c r="Y1820" i="12"/>
  <c r="Y1016" i="12"/>
  <c r="Y2492" i="12"/>
  <c r="Y2139" i="12"/>
  <c r="Y1552" i="12"/>
  <c r="Y707" i="12"/>
  <c r="Y312" i="12"/>
  <c r="Y2296" i="12"/>
  <c r="Y1762" i="12"/>
  <c r="Y327" i="12"/>
  <c r="Y3487" i="12"/>
  <c r="Y919" i="12"/>
  <c r="Y85" i="12"/>
  <c r="Y2632" i="12"/>
  <c r="Y1680" i="12"/>
  <c r="Y980" i="12"/>
  <c r="Y426" i="12"/>
  <c r="Y966" i="12"/>
  <c r="Y2018" i="12"/>
  <c r="Y2034" i="12"/>
  <c r="Y1930" i="12"/>
  <c r="Y1579" i="12"/>
  <c r="Y3409" i="12"/>
  <c r="Y2532" i="12"/>
  <c r="Y1780" i="12"/>
  <c r="Y565" i="12"/>
  <c r="Y1454" i="12"/>
  <c r="Y1826" i="12"/>
  <c r="Y882" i="12"/>
  <c r="Y69" i="12"/>
  <c r="Y339" i="12"/>
  <c r="Y3079" i="12"/>
  <c r="Y484" i="12"/>
  <c r="Y1212" i="12"/>
  <c r="Y422" i="12"/>
  <c r="Y2499" i="12"/>
  <c r="Y141" i="12"/>
  <c r="Y2153" i="12"/>
  <c r="Y1952" i="12"/>
  <c r="Y1735" i="12"/>
  <c r="Y538" i="12"/>
  <c r="Y3131" i="12"/>
  <c r="Y2173" i="12"/>
  <c r="Y949" i="12"/>
  <c r="Y132" i="12"/>
  <c r="Y558" i="12"/>
  <c r="Y84" i="12"/>
  <c r="Y2820" i="12"/>
  <c r="Y1602" i="12"/>
  <c r="Y1643" i="12"/>
  <c r="Y2672" i="12"/>
  <c r="Y666" i="12"/>
  <c r="Y633" i="12"/>
  <c r="Y78" i="12"/>
  <c r="Y1153" i="12"/>
  <c r="Y401" i="12"/>
  <c r="Y457" i="12"/>
  <c r="Y209" i="12"/>
  <c r="Y2643" i="12"/>
  <c r="Y1744" i="12"/>
  <c r="Y2094" i="12"/>
  <c r="Y629" i="12"/>
  <c r="Y1938" i="12"/>
  <c r="Y2537" i="12"/>
  <c r="Y1531" i="12"/>
  <c r="Y92" i="12"/>
  <c r="Y880" i="12"/>
  <c r="Y3527" i="12"/>
  <c r="Y1644" i="12"/>
  <c r="Y2990" i="12"/>
  <c r="Y2154" i="12"/>
  <c r="Y2530" i="12"/>
  <c r="Y2162" i="12"/>
  <c r="Y1247" i="12"/>
  <c r="Y1809" i="12"/>
  <c r="Y2699" i="12"/>
  <c r="Y1504" i="12"/>
  <c r="Y410" i="12"/>
  <c r="Y1064" i="12"/>
  <c r="Y1580" i="12"/>
  <c r="Y586" i="12"/>
  <c r="Y2024" i="12"/>
  <c r="Y413" i="12"/>
  <c r="Y3464" i="12"/>
  <c r="Y493" i="12"/>
  <c r="Y393" i="12"/>
  <c r="Y3169" i="12"/>
  <c r="Y530" i="12"/>
  <c r="Y64" i="12"/>
  <c r="Y3359" i="12"/>
  <c r="Y791" i="12"/>
  <c r="Y392" i="12"/>
  <c r="Y751" i="12"/>
  <c r="Y1145" i="12"/>
  <c r="Y2121" i="12"/>
  <c r="Y1011" i="12"/>
  <c r="Y2356" i="12"/>
  <c r="Y2765" i="12"/>
  <c r="Y1690" i="12"/>
  <c r="Y150" i="12"/>
  <c r="Y3377" i="12"/>
  <c r="Y2919" i="12"/>
  <c r="Y823" i="12"/>
  <c r="Y3181" i="12"/>
  <c r="Y1201" i="12"/>
  <c r="Y1069" i="12"/>
  <c r="Y163" i="12"/>
  <c r="Y706" i="12"/>
  <c r="Y2624" i="12"/>
  <c r="Y3164" i="12"/>
  <c r="Y43" i="12"/>
  <c r="Y2465" i="12"/>
  <c r="Y1585" i="12"/>
  <c r="Y1261" i="12"/>
  <c r="Y635" i="12"/>
  <c r="Y1546" i="12"/>
  <c r="Y2613" i="12"/>
  <c r="Y2057" i="12"/>
  <c r="Y427" i="12"/>
  <c r="Y1977" i="12"/>
  <c r="Y2303" i="12"/>
  <c r="Y2547" i="12"/>
  <c r="Y756" i="12"/>
  <c r="Y287" i="12"/>
  <c r="Y553" i="12"/>
  <c r="Y1316" i="12"/>
  <c r="Y3147" i="12"/>
  <c r="Y901" i="12"/>
  <c r="Y1591" i="12"/>
  <c r="Y2392" i="12"/>
  <c r="Y2757" i="12"/>
  <c r="Y2281" i="12"/>
  <c r="Y1275" i="12"/>
  <c r="Y3396" i="12"/>
  <c r="Y2135" i="12"/>
  <c r="Y2307" i="12"/>
  <c r="Y596" i="12"/>
  <c r="Y1121" i="12"/>
  <c r="Y2879" i="12"/>
  <c r="Y783" i="12"/>
  <c r="Y2171" i="12"/>
  <c r="Y505" i="12"/>
  <c r="Y3374" i="12"/>
  <c r="Y2850" i="12"/>
  <c r="Y1963" i="12"/>
  <c r="Y2787" i="12"/>
  <c r="Y3071" i="12"/>
  <c r="Y975" i="12"/>
  <c r="Y1948" i="12"/>
  <c r="Y1144" i="12"/>
  <c r="Y1341" i="12"/>
  <c r="Y1559" i="12"/>
  <c r="Y1740" i="12"/>
  <c r="Y1519" i="12"/>
  <c r="Y2189" i="12"/>
  <c r="Y1466" i="12"/>
  <c r="Y1697" i="12"/>
  <c r="Y661" i="12"/>
  <c r="Y1704" i="12"/>
  <c r="Y985" i="12"/>
  <c r="Y331" i="12"/>
  <c r="Y3039" i="12"/>
  <c r="Y1900" i="12"/>
  <c r="Y2844" i="12"/>
  <c r="Y3344" i="12"/>
  <c r="Y1533" i="12"/>
  <c r="Y72" i="12"/>
  <c r="Y1449" i="12"/>
  <c r="Y1832" i="12"/>
  <c r="Y1964" i="12"/>
  <c r="Y459" i="12"/>
  <c r="Y1638" i="12"/>
  <c r="Y2028" i="12"/>
  <c r="Y1250" i="12"/>
  <c r="Y30" i="12"/>
  <c r="Y523" i="12"/>
  <c r="Y532" i="12"/>
  <c r="Y249" i="12"/>
  <c r="Y1134" i="12"/>
  <c r="Y645" i="12"/>
  <c r="Y3232" i="12"/>
  <c r="Y1606" i="12"/>
  <c r="Y1371" i="12"/>
  <c r="Y780" i="12"/>
  <c r="Y57" i="12"/>
  <c r="Y1771" i="12"/>
  <c r="Y578" i="12"/>
  <c r="Y927" i="12"/>
  <c r="Y1726" i="12"/>
  <c r="Y100" i="12"/>
  <c r="Y2123" i="12"/>
  <c r="Y1149" i="12"/>
  <c r="Y968" i="12"/>
  <c r="Y2961" i="12"/>
  <c r="Y3108" i="12"/>
  <c r="Y3539" i="12"/>
  <c r="Y349" i="12"/>
  <c r="Y432" i="12"/>
  <c r="Y1868" i="12"/>
  <c r="Y1583" i="12"/>
  <c r="Y650" i="12"/>
  <c r="Y760" i="12"/>
  <c r="Y737" i="12"/>
  <c r="Y542" i="12"/>
  <c r="Y358" i="12"/>
  <c r="Y2840" i="12"/>
  <c r="Y976" i="12"/>
  <c r="Y1710" i="12"/>
  <c r="Y2567" i="12"/>
  <c r="Y2772" i="12"/>
  <c r="Y381" i="12"/>
  <c r="Y448" i="12"/>
  <c r="Y967" i="12"/>
  <c r="Y216" i="12"/>
  <c r="Y2875" i="12"/>
  <c r="Y2852" i="12"/>
  <c r="Y2759" i="12"/>
  <c r="Y2688" i="12"/>
  <c r="Y1369" i="12"/>
  <c r="Y1845" i="12"/>
  <c r="Y1461" i="12"/>
  <c r="Y1424" i="12"/>
  <c r="Y738" i="12"/>
  <c r="Y1264" i="12"/>
  <c r="Y2560" i="12"/>
  <c r="Y212" i="12"/>
  <c r="Y3348" i="12"/>
  <c r="Y890" i="12"/>
  <c r="Y456" i="12"/>
  <c r="Y1243" i="12"/>
  <c r="Y3160" i="12"/>
  <c r="Y3245" i="12"/>
  <c r="Y394" i="12"/>
  <c r="Y1326" i="12"/>
  <c r="Y288" i="12"/>
  <c r="Y1426" i="12"/>
  <c r="Y1130" i="12"/>
  <c r="Y723" i="12"/>
  <c r="Y2202" i="12"/>
  <c r="Y293" i="12"/>
  <c r="Y2786" i="12"/>
  <c r="Y2555" i="12"/>
  <c r="Y480" i="12"/>
  <c r="Y1538" i="12"/>
  <c r="Y2503" i="12"/>
  <c r="Y58" i="12"/>
  <c r="Y1625" i="12"/>
  <c r="Y2576" i="12"/>
  <c r="Y1509" i="12"/>
  <c r="Y2156" i="12"/>
  <c r="Y3356" i="12"/>
  <c r="Y2430" i="12"/>
  <c r="Y2825" i="12"/>
  <c r="Y1794" i="12"/>
  <c r="Y1256" i="12"/>
  <c r="Y122" i="12"/>
  <c r="Y2952" i="12"/>
  <c r="Y2832" i="12"/>
  <c r="Y90" i="12"/>
  <c r="Y2312" i="12"/>
  <c r="Y1514" i="12"/>
  <c r="Y1380" i="12"/>
  <c r="Y1230" i="12"/>
  <c r="Y2100" i="12"/>
  <c r="Y2800" i="12"/>
  <c r="Y2515" i="12"/>
  <c r="Y1864" i="12"/>
  <c r="Y680" i="12"/>
  <c r="Y1328" i="12"/>
  <c r="Y3140" i="12"/>
  <c r="Y1036" i="12"/>
  <c r="Y332" i="12"/>
  <c r="Y1561" i="12"/>
  <c r="Y3128" i="12"/>
  <c r="Y2240" i="12"/>
  <c r="Y1388" i="12"/>
  <c r="Y2478" i="12"/>
  <c r="Y222" i="12"/>
  <c r="Y1945" i="12"/>
  <c r="Y215" i="12"/>
  <c r="Y1631" i="12"/>
  <c r="Y373" i="12"/>
  <c r="Y1009" i="12"/>
  <c r="Y1160" i="12"/>
  <c r="Y2797" i="12"/>
  <c r="Y2032" i="12"/>
  <c r="Y3328" i="12"/>
  <c r="Y3336" i="12"/>
  <c r="Y2026" i="12"/>
  <c r="Y453" i="12"/>
  <c r="Y1196" i="12"/>
  <c r="Y452" i="12"/>
  <c r="Y494" i="12"/>
  <c r="Y33" i="12"/>
  <c r="Y371" i="12"/>
  <c r="Y1010" i="12"/>
  <c r="Y40" i="12"/>
  <c r="Y1720" i="12"/>
  <c r="Y644" i="12"/>
  <c r="Y347" i="12"/>
  <c r="Y138" i="12"/>
  <c r="Y1916" i="12"/>
  <c r="Y747" i="12"/>
  <c r="Y3440" i="12"/>
  <c r="Y671" i="12"/>
  <c r="Y1214" i="12"/>
  <c r="Y316" i="12"/>
  <c r="Y1099" i="12"/>
  <c r="Y3423" i="12"/>
  <c r="Y232" i="12"/>
  <c r="Y1937" i="12"/>
  <c r="Y1204" i="12"/>
  <c r="Y2562" i="12"/>
  <c r="Y2752" i="12"/>
  <c r="Y2436" i="12"/>
  <c r="Y1356" i="12"/>
  <c r="Y1327" i="12"/>
  <c r="Y23" i="12"/>
  <c r="Y247" i="12"/>
  <c r="Y2112" i="12"/>
  <c r="Y2315" i="12"/>
  <c r="Y715" i="12"/>
  <c r="Y1766" i="12"/>
  <c r="Y2176" i="12"/>
  <c r="Y333" i="12"/>
  <c r="Y1091" i="12"/>
  <c r="Y1112" i="12"/>
  <c r="Y1088" i="12"/>
  <c r="Y2187" i="12"/>
  <c r="Y1384" i="12"/>
  <c r="Y116" i="12"/>
  <c r="Y1995" i="12"/>
  <c r="Y3488" i="12"/>
  <c r="Y2408" i="12"/>
  <c r="Y2256" i="12"/>
  <c r="Y1497" i="12"/>
  <c r="Y996" i="12"/>
  <c r="Y1012" i="12"/>
  <c r="Y684" i="12"/>
  <c r="Y3067" i="12"/>
  <c r="Y1773" i="12"/>
  <c r="Y928" i="12"/>
  <c r="Y273" i="12"/>
  <c r="Y912" i="12"/>
  <c r="Y1869" i="12"/>
  <c r="Y1382" i="12"/>
  <c r="Y609" i="12"/>
  <c r="Y1194" i="12"/>
  <c r="Y2612" i="12"/>
  <c r="Y994" i="12"/>
  <c r="Y1096" i="12"/>
  <c r="Y1184" i="12"/>
  <c r="Y292" i="12"/>
  <c r="Y507" i="12"/>
  <c r="Y524" i="12"/>
  <c r="Y2705" i="12"/>
  <c r="Y3313" i="12"/>
  <c r="Y705" i="12"/>
  <c r="Y1200" i="12"/>
  <c r="Y2463" i="12"/>
  <c r="Y1101" i="12"/>
  <c r="Y2308" i="12"/>
  <c r="Y1162" i="12"/>
  <c r="Y1062" i="12"/>
  <c r="Y352" i="12"/>
  <c r="Y2222" i="12"/>
  <c r="Y2242" i="12"/>
  <c r="Y3456" i="12"/>
  <c r="Y673" i="12"/>
  <c r="Y3124" i="12"/>
  <c r="Y864" i="12"/>
  <c r="Y474" i="12"/>
  <c r="Y926" i="12"/>
  <c r="Y1379" i="12"/>
  <c r="Y2468" i="12"/>
  <c r="Y444" i="12"/>
  <c r="Y2527" i="12"/>
  <c r="Y1674" i="12"/>
  <c r="Y2226" i="12"/>
  <c r="Y3074" i="12"/>
  <c r="Y3150" i="12"/>
  <c r="Y752" i="12"/>
  <c r="Y1536" i="12"/>
  <c r="Y1739" i="12"/>
  <c r="Y257" i="12"/>
  <c r="Y1363" i="12"/>
  <c r="Y734" i="12"/>
  <c r="Y1574" i="12"/>
  <c r="Y118" i="12"/>
  <c r="Y595" i="12"/>
  <c r="Y348" i="12"/>
  <c r="Y1962" i="12"/>
  <c r="Y2115" i="12"/>
  <c r="Y1175" i="12"/>
  <c r="Y1376" i="12"/>
  <c r="Y282" i="12"/>
  <c r="Y1521" i="12"/>
  <c r="Y408" i="12"/>
  <c r="Y568" i="12"/>
  <c r="Y2357" i="12"/>
  <c r="Y2593" i="12"/>
  <c r="Y105" i="12"/>
  <c r="Y729" i="12"/>
  <c r="Y490" i="12"/>
  <c r="Y24" i="12"/>
  <c r="Y338" i="12"/>
  <c r="Y2002" i="12"/>
  <c r="Y2251" i="12"/>
  <c r="Y3320" i="12"/>
  <c r="Y2131" i="12"/>
  <c r="Y1192" i="12"/>
  <c r="Y2118" i="12"/>
  <c r="Y519" i="12"/>
  <c r="Y1943" i="12"/>
  <c r="Y1146" i="12"/>
  <c r="Y1378" i="12"/>
  <c r="Y136" i="12"/>
  <c r="Y2412" i="12"/>
  <c r="Y1128" i="12"/>
  <c r="Y305" i="12"/>
  <c r="Y2042" i="12"/>
  <c r="Y1510" i="12"/>
  <c r="Y604" i="12"/>
  <c r="Y1226" i="12"/>
  <c r="Y481" i="12"/>
  <c r="Y2230" i="12"/>
  <c r="Y3040" i="12"/>
  <c r="Y1760" i="12"/>
  <c r="Y1991" i="12"/>
  <c r="Y1660" i="12"/>
  <c r="Y1611" i="12"/>
  <c r="Y133" i="12"/>
  <c r="Y3335" i="12"/>
  <c r="Y2313" i="12"/>
  <c r="Y1147" i="12"/>
  <c r="Y502" i="12"/>
  <c r="Y1368" i="12"/>
  <c r="Y939" i="12"/>
  <c r="Y2195" i="12"/>
  <c r="Y697" i="12"/>
  <c r="Y924" i="12"/>
  <c r="Y2212" i="12"/>
  <c r="Y974" i="12"/>
  <c r="Y733" i="12"/>
  <c r="Y1972" i="12"/>
  <c r="Y1432" i="12"/>
  <c r="Y2486" i="12"/>
  <c r="Y2516" i="12"/>
  <c r="Y1870" i="12"/>
  <c r="Y2344" i="12"/>
  <c r="Y485" i="12"/>
  <c r="Y1691" i="12"/>
  <c r="Y1171" i="12"/>
  <c r="Y79" i="12"/>
  <c r="Y3024" i="12"/>
  <c r="Y1188" i="12"/>
  <c r="Y235" i="12"/>
  <c r="Y1468" i="12"/>
  <c r="Y2981" i="12"/>
  <c r="Y528" i="12"/>
  <c r="Y1513" i="12"/>
  <c r="Y1597" i="12"/>
  <c r="Y1711" i="12"/>
  <c r="Y891" i="12"/>
  <c r="Y2701" i="12"/>
  <c r="Y3235" i="12"/>
  <c r="Y3287" i="12"/>
  <c r="Y543" i="12"/>
  <c r="Y3339" i="12"/>
  <c r="Y701" i="12"/>
  <c r="Y1157" i="12"/>
  <c r="Y1743" i="12"/>
  <c r="Y387" i="12"/>
  <c r="Y2553" i="12"/>
  <c r="Y1001" i="12"/>
  <c r="Y1189" i="12"/>
  <c r="Y1199" i="12"/>
  <c r="Y2268" i="12"/>
  <c r="Y771" i="12"/>
  <c r="Y2937" i="12"/>
  <c r="Y2775" i="12"/>
  <c r="Y3004" i="12"/>
  <c r="Y2827" i="12"/>
  <c r="Y82" i="12"/>
  <c r="Y932" i="12"/>
  <c r="Y112" i="12"/>
  <c r="Y1051" i="12"/>
  <c r="Y2948" i="12"/>
  <c r="Y1321" i="12"/>
  <c r="Y1556" i="12"/>
  <c r="Y1989" i="12"/>
  <c r="Y2009" i="12"/>
  <c r="Y2511" i="12"/>
  <c r="Y239" i="12"/>
  <c r="Y828" i="12"/>
  <c r="Y3411" i="12"/>
  <c r="Y3095" i="12"/>
  <c r="Y135" i="12"/>
  <c r="Y3055" i="12"/>
  <c r="Y767" i="12"/>
  <c r="Y1353" i="12"/>
  <c r="Y2650" i="12"/>
  <c r="Y307" i="12"/>
  <c r="Y1782" i="12"/>
  <c r="Y3543" i="12"/>
  <c r="Y1334" i="12"/>
  <c r="Y525" i="12"/>
  <c r="Y2205" i="12"/>
  <c r="Y1180" i="12"/>
  <c r="Y506" i="12"/>
  <c r="Y691" i="12"/>
  <c r="Y849" i="12"/>
  <c r="Y2019" i="12"/>
  <c r="Y2104" i="12"/>
  <c r="Y1058" i="12"/>
  <c r="Y2479" i="12"/>
  <c r="Y1779" i="12"/>
  <c r="Y251" i="12"/>
  <c r="Y2513" i="12"/>
  <c r="Y2333" i="12"/>
  <c r="Y3145" i="12"/>
  <c r="Y2396" i="12"/>
  <c r="Y2906" i="12"/>
  <c r="Y846" i="12"/>
  <c r="Y1716" i="12"/>
  <c r="Y921" i="12"/>
  <c r="Y1412" i="12"/>
  <c r="Y667" i="12"/>
  <c r="Y1141" i="12"/>
  <c r="Y1639" i="12"/>
  <c r="Y1699" i="12"/>
  <c r="Y1707" i="12"/>
  <c r="Y2626" i="12"/>
  <c r="Y2695" i="12"/>
  <c r="Y47" i="12"/>
  <c r="Y552" i="12"/>
  <c r="Y2812" i="12"/>
  <c r="Y660" i="12"/>
  <c r="Y1476" i="12"/>
  <c r="Y3146" i="12"/>
  <c r="Y831" i="12"/>
  <c r="Y1417" i="12"/>
  <c r="Y569" i="12"/>
  <c r="Y1340" i="12"/>
  <c r="Y1137" i="12"/>
  <c r="Y3351" i="12"/>
  <c r="Y430" i="12"/>
  <c r="Y3311" i="12"/>
  <c r="Y1023" i="12"/>
  <c r="Y1609" i="12"/>
  <c r="Y1240" i="12"/>
  <c r="Y1939" i="12"/>
  <c r="Y2079" i="12"/>
  <c r="Y1635" i="12"/>
  <c r="Y1032" i="12"/>
  <c r="Y2669" i="12"/>
  <c r="Y3170" i="12"/>
  <c r="Y3383" i="12"/>
  <c r="Y3109" i="12"/>
  <c r="Y2641" i="12"/>
  <c r="Y2589" i="12"/>
  <c r="Y2116" i="12"/>
  <c r="Y2985" i="12"/>
  <c r="Y782" i="12"/>
  <c r="Y2434" i="12"/>
  <c r="Y990" i="12"/>
  <c r="Y3506" i="12"/>
  <c r="Y2378" i="12"/>
  <c r="Y2947" i="12"/>
  <c r="Y2483" i="12"/>
  <c r="Y1249" i="12"/>
  <c r="Y1876" i="12"/>
  <c r="Y2309" i="12"/>
  <c r="Y2554" i="12"/>
  <c r="Y261" i="12"/>
  <c r="Y3241" i="12"/>
  <c r="Y1294" i="12"/>
  <c r="Y2739" i="12"/>
  <c r="Y1502" i="12"/>
  <c r="Y2488" i="12"/>
  <c r="Y3057" i="12"/>
  <c r="Y2770" i="12"/>
  <c r="Y2749" i="12"/>
  <c r="Y487" i="12"/>
  <c r="Y1790" i="12"/>
  <c r="Y1885" i="12"/>
  <c r="Y3519" i="12"/>
  <c r="Y1423" i="12"/>
  <c r="Y2902" i="12"/>
  <c r="Y443" i="12"/>
  <c r="Y1767" i="12"/>
  <c r="Y1231" i="12"/>
  <c r="Y613" i="12"/>
  <c r="Y2167" i="12"/>
  <c r="Y999" i="12"/>
  <c r="Y1871" i="12"/>
  <c r="Y1063" i="12"/>
  <c r="Y2595" i="12"/>
  <c r="Y2277" i="12"/>
  <c r="Y679" i="12"/>
  <c r="Y2353" i="12"/>
  <c r="Y1541" i="12"/>
  <c r="Y2231" i="12"/>
  <c r="Y1921" i="12"/>
  <c r="Y2933" i="12"/>
  <c r="Y2882" i="12"/>
  <c r="Y2646" i="12"/>
  <c r="Y1814" i="12"/>
  <c r="Y3333" i="12"/>
  <c r="Y3288" i="12"/>
  <c r="Y3373" i="12"/>
  <c r="Y3002" i="12"/>
  <c r="Y2235" i="12"/>
  <c r="Y3097" i="12"/>
  <c r="Y3349" i="12"/>
  <c r="Y3187" i="12"/>
  <c r="Y2540" i="12"/>
  <c r="Y428" i="12"/>
  <c r="Y2755" i="12"/>
  <c r="Y1727" i="12"/>
  <c r="Y2997" i="12"/>
  <c r="Y2354" i="12"/>
  <c r="Y3269" i="12"/>
  <c r="Y3117" i="12"/>
  <c r="Y3481" i="12"/>
  <c r="Y1330" i="12"/>
  <c r="Y3545" i="12"/>
  <c r="Y2421" i="12"/>
  <c r="Y2809" i="12"/>
  <c r="Y2390" i="12"/>
  <c r="Y790" i="12"/>
  <c r="Y3474" i="12"/>
  <c r="Y2264" i="12"/>
  <c r="Y2693" i="12"/>
  <c r="Y2746" i="12"/>
  <c r="Y1723" i="12"/>
  <c r="Y3430" i="12"/>
  <c r="Y2994" i="12"/>
  <c r="Y2931" i="12"/>
  <c r="Y1886" i="12"/>
  <c r="Y3256" i="12"/>
  <c r="Y2498" i="12"/>
  <c r="Y1471" i="12"/>
  <c r="Y2477" i="12"/>
  <c r="Y3354" i="12"/>
  <c r="Y3070" i="12"/>
  <c r="Y2269" i="12"/>
  <c r="Y925" i="12"/>
  <c r="Y1615" i="12"/>
  <c r="Y3206" i="12"/>
  <c r="Y1304" i="12"/>
  <c r="Y2517" i="12"/>
  <c r="Y2691" i="12"/>
  <c r="Y1955" i="12"/>
  <c r="Y2393" i="12"/>
  <c r="Y3428" i="12"/>
  <c r="Y2367" i="12"/>
  <c r="Y2106" i="12"/>
  <c r="Y2386" i="12"/>
  <c r="Y1975" i="12"/>
  <c r="Y2514" i="12"/>
  <c r="Y1211" i="12"/>
  <c r="Y3174" i="12"/>
  <c r="Y3418" i="12"/>
  <c r="Y3202" i="12"/>
  <c r="Y1374" i="12"/>
  <c r="Y2244" i="12"/>
  <c r="Y3530" i="12"/>
  <c r="Y1215" i="12"/>
  <c r="Y1965" i="12"/>
  <c r="Y3098" i="12"/>
  <c r="Y2677" i="12"/>
  <c r="Y1757" i="12"/>
  <c r="Y3455" i="12"/>
  <c r="Y1359" i="12"/>
  <c r="Y2950" i="12"/>
  <c r="Y792" i="12"/>
  <c r="Y2261" i="12"/>
  <c r="Y3010" i="12"/>
  <c r="Y2733" i="12"/>
  <c r="Y3306" i="12"/>
  <c r="Y1884" i="12"/>
  <c r="Y1905" i="12"/>
  <c r="Y1093" i="12"/>
  <c r="Y1783" i="12"/>
  <c r="Y3490" i="12"/>
  <c r="Y2578" i="12"/>
  <c r="Y1553" i="12"/>
  <c r="Y313" i="12"/>
  <c r="Y2291" i="12"/>
  <c r="Y1563" i="12"/>
  <c r="Y1577" i="12"/>
  <c r="Y2068" i="12"/>
  <c r="Y2501" i="12"/>
  <c r="Y2521" i="12"/>
  <c r="Y2767" i="12"/>
  <c r="Y402" i="12"/>
  <c r="Y776" i="12"/>
  <c r="Y2413" i="12"/>
  <c r="Y1106" i="12"/>
  <c r="Y1139" i="12"/>
  <c r="Y2868" i="12"/>
  <c r="Y1915" i="12"/>
  <c r="Y334" i="12"/>
  <c r="Y658" i="12"/>
  <c r="Y2332" i="12"/>
  <c r="Y1013" i="12"/>
  <c r="Y1846" i="12"/>
  <c r="Y916" i="12"/>
  <c r="Y3421" i="12"/>
  <c r="Y888" i="12"/>
  <c r="Y1203" i="12"/>
  <c r="Y1105" i="12"/>
  <c r="Y1411" i="12"/>
  <c r="Y67" i="12"/>
  <c r="Y2618" i="12"/>
  <c r="Y1752" i="12"/>
  <c r="Y2451" i="12"/>
  <c r="Y2335" i="12"/>
  <c r="Y2147" i="12"/>
  <c r="Y1544" i="12"/>
  <c r="Y3325" i="12"/>
  <c r="Y2907" i="12"/>
  <c r="Y853" i="12"/>
  <c r="Y1358" i="12"/>
  <c r="Y2228" i="12"/>
  <c r="Y1177" i="12"/>
  <c r="Y1924" i="12"/>
  <c r="Y1179" i="12"/>
  <c r="Y1397" i="12"/>
  <c r="Y1895" i="12"/>
  <c r="Y2211" i="12"/>
  <c r="Y2085" i="12"/>
  <c r="Y2649" i="12"/>
  <c r="Y2831" i="12"/>
  <c r="Y3384" i="12"/>
  <c r="Y2075" i="12"/>
  <c r="Y517" i="12"/>
  <c r="Y2029" i="12"/>
  <c r="Y2904" i="12"/>
  <c r="Y3029" i="12"/>
  <c r="Y3101" i="12"/>
  <c r="Y3023" i="12"/>
  <c r="Y1852" i="12"/>
  <c r="Y1661" i="12"/>
  <c r="Y821" i="12"/>
  <c r="Y774" i="12"/>
  <c r="Y781" i="12"/>
  <c r="Y1279" i="12"/>
  <c r="Y2093" i="12"/>
  <c r="Y3162" i="12"/>
  <c r="Y1331" i="12"/>
  <c r="Y3509" i="12"/>
  <c r="Y1429" i="12"/>
  <c r="Y3398" i="12"/>
  <c r="Y1688" i="12"/>
  <c r="Y2709" i="12"/>
  <c r="Y2087" i="12"/>
  <c r="Y115" i="12"/>
  <c r="Y2730" i="12"/>
  <c r="Y2625" i="12"/>
  <c r="Y3028" i="12"/>
  <c r="Y2689" i="12"/>
  <c r="Y2611" i="12"/>
  <c r="Y1981" i="12"/>
  <c r="Y2726" i="12"/>
  <c r="Y2249" i="12"/>
  <c r="Y3065" i="12"/>
  <c r="Y2200" i="12"/>
  <c r="Y2965" i="12"/>
  <c r="Y2343" i="12"/>
  <c r="Y3452" i="12"/>
  <c r="Y2533" i="12"/>
  <c r="Y1191" i="12"/>
  <c r="Y2609" i="12"/>
  <c r="Y1961" i="12"/>
  <c r="Y2487" i="12"/>
  <c r="Y2177" i="12"/>
  <c r="Y2558" i="12"/>
  <c r="Y3107" i="12"/>
  <c r="Y1777" i="12"/>
  <c r="Y1655" i="12"/>
  <c r="Y817" i="12"/>
  <c r="Y2867" i="12"/>
  <c r="Y3000" i="12"/>
  <c r="Y1601" i="12"/>
  <c r="Y3291" i="12"/>
  <c r="Y2181" i="12"/>
  <c r="Y3355" i="12"/>
  <c r="Y1301" i="12"/>
  <c r="Y3218" i="12"/>
  <c r="Y575" i="12"/>
  <c r="Y2442" i="12"/>
  <c r="Y2972" i="12"/>
  <c r="Y3499" i="12"/>
  <c r="Y3305" i="12"/>
  <c r="Y1422" i="12"/>
  <c r="Y2803" i="12"/>
  <c r="Y3390" i="12"/>
  <c r="Y1143" i="12"/>
  <c r="Y3157" i="12"/>
  <c r="Y1114" i="12"/>
  <c r="Y2877" i="12"/>
  <c r="Y551" i="12"/>
  <c r="Y1918" i="12"/>
  <c r="Y2013" i="12"/>
  <c r="Y404" i="12"/>
  <c r="Y2494" i="12"/>
  <c r="Y2791" i="12"/>
  <c r="Y695" i="12"/>
  <c r="Y2989" i="12"/>
  <c r="Y945" i="12"/>
  <c r="Y941" i="12"/>
  <c r="Y3434" i="12"/>
  <c r="Y3282" i="12"/>
  <c r="Y2817" i="12"/>
  <c r="Y2149" i="12"/>
  <c r="Y488" i="12"/>
  <c r="Y2213" i="12"/>
  <c r="Y910" i="12"/>
  <c r="Y2690" i="12"/>
  <c r="Y2366" i="12"/>
  <c r="Y631" i="12"/>
  <c r="Y3122" i="12"/>
  <c r="Y2365" i="12"/>
  <c r="Y295" i="12"/>
  <c r="Y1406" i="12"/>
  <c r="Y1569" i="12"/>
  <c r="Y2292" i="12"/>
  <c r="Y3277" i="12"/>
  <c r="Y2535" i="12"/>
  <c r="Y439" i="12"/>
  <c r="Y2725" i="12"/>
  <c r="Y3219" i="12"/>
  <c r="Y3471" i="12"/>
  <c r="Y3178" i="12"/>
  <c r="Y114" i="12"/>
  <c r="Y2369" i="12"/>
  <c r="Y3326" i="12"/>
  <c r="Y3491" i="12"/>
  <c r="Y3094" i="12"/>
  <c r="Y1046" i="12"/>
  <c r="Y3189" i="12"/>
  <c r="Y3413" i="12"/>
  <c r="Y2861" i="12"/>
  <c r="Y2099" i="12"/>
  <c r="Y2978" i="12"/>
  <c r="Y75" i="12"/>
  <c r="Y1150" i="12"/>
  <c r="Y862" i="12"/>
  <c r="Y1481" i="12"/>
  <c r="Y643" i="12"/>
  <c r="Y894" i="12"/>
  <c r="Y1313" i="12"/>
  <c r="Y3130" i="12"/>
  <c r="Y2901" i="12"/>
  <c r="Y2279" i="12"/>
  <c r="Y3196" i="12"/>
  <c r="Y2469" i="12"/>
  <c r="Y2707" i="12"/>
  <c r="Y3215" i="12"/>
  <c r="Y2922" i="12"/>
  <c r="Y2072" i="12"/>
  <c r="Y2113" i="12"/>
  <c r="Y2302" i="12"/>
  <c r="Y2979" i="12"/>
  <c r="Y2838" i="12"/>
  <c r="Y612" i="12"/>
  <c r="Y3186" i="12"/>
  <c r="Y3525" i="12"/>
  <c r="Y2846" i="12"/>
  <c r="Y3194" i="12"/>
  <c r="Y2619" i="12"/>
  <c r="Y3289" i="12"/>
  <c r="Y3133" i="12"/>
  <c r="Y3051" i="12"/>
  <c r="Y3446" i="12"/>
  <c r="Y3258" i="12"/>
  <c r="Y2525" i="12"/>
  <c r="Y2863" i="12"/>
  <c r="Y3167" i="12"/>
  <c r="Y1156" i="12"/>
  <c r="Y2544" i="12"/>
  <c r="Y1582" i="12"/>
  <c r="Y1190" i="12"/>
  <c r="Y415" i="12"/>
  <c r="Y1478" i="12"/>
  <c r="Y87" i="12"/>
  <c r="Y1320" i="12"/>
  <c r="Y1717" i="12"/>
  <c r="Y2887" i="12"/>
  <c r="Y354" i="12"/>
  <c r="Y252" i="12"/>
  <c r="Y504" i="12"/>
  <c r="Y1990" i="12"/>
  <c r="Y2208" i="12"/>
  <c r="Y1892" i="12"/>
  <c r="Y99" i="12"/>
  <c r="Y1350" i="12"/>
  <c r="Y1488" i="12"/>
  <c r="Y1113" i="12"/>
  <c r="Y224" i="12"/>
  <c r="Y3204" i="12"/>
  <c r="Y3231" i="12"/>
  <c r="Y1811" i="12"/>
  <c r="Y2007" i="12"/>
  <c r="Y1347" i="12"/>
  <c r="Y2569" i="12"/>
  <c r="Y3312" i="12"/>
  <c r="Y463" i="12"/>
  <c r="Y1342" i="12"/>
  <c r="Y1124" i="12"/>
  <c r="Y1047" i="12"/>
  <c r="Y1102" i="12"/>
  <c r="Y2984" i="12"/>
  <c r="Y2633" i="12"/>
  <c r="Y3493" i="12"/>
  <c r="Y2339" i="12"/>
  <c r="Y1495" i="12"/>
  <c r="Y323" i="12"/>
  <c r="Y2616" i="12"/>
  <c r="Y570" i="12"/>
  <c r="Y1819" i="12"/>
  <c r="Y2684" i="12"/>
  <c r="Y468" i="12"/>
  <c r="Y322" i="12"/>
  <c r="Y654" i="12"/>
  <c r="Y308" i="12"/>
  <c r="Y1596" i="12"/>
  <c r="Y229" i="12"/>
  <c r="Y1656" i="12"/>
  <c r="Y2124" i="12"/>
  <c r="Y577" i="12"/>
  <c r="Y1775" i="12"/>
  <c r="Y2814" i="12"/>
  <c r="Y1262" i="12"/>
  <c r="Y3137" i="12"/>
  <c r="Y1409" i="12"/>
  <c r="Y3403" i="12"/>
  <c r="Y1053" i="12"/>
  <c r="Y3379" i="12"/>
  <c r="Y2165" i="12"/>
  <c r="Y2084" i="12"/>
  <c r="Y2977" i="12"/>
  <c r="Y1100" i="12"/>
  <c r="Y2456" i="12"/>
  <c r="Y1367" i="12"/>
  <c r="Y2549" i="12"/>
  <c r="Y420" i="12"/>
  <c r="Y2671" i="12"/>
  <c r="Y2065" i="12"/>
  <c r="Y3171" i="12"/>
  <c r="Y297" i="12"/>
  <c r="Y3327" i="12"/>
  <c r="Y1796" i="12"/>
  <c r="Y2460" i="12"/>
  <c r="Y1861" i="12"/>
  <c r="Y2204" i="12"/>
  <c r="Y1400" i="12"/>
  <c r="Y1715" i="12"/>
  <c r="Y1361" i="12"/>
  <c r="Y3324" i="12"/>
  <c r="Y130" i="12"/>
  <c r="Y71" i="12"/>
  <c r="Y2991" i="12"/>
  <c r="Y125" i="12"/>
  <c r="Y1006" i="12"/>
  <c r="Y1492" i="12"/>
  <c r="Y1925" i="12"/>
  <c r="Y2362" i="12"/>
  <c r="Y955" i="12"/>
  <c r="Y601" i="12"/>
  <c r="Y3439" i="12"/>
  <c r="Y903" i="12"/>
  <c r="Y1052" i="12"/>
  <c r="Y421" i="12"/>
  <c r="Y1598" i="12"/>
  <c r="Y2680" i="12"/>
  <c r="Y1339" i="12"/>
  <c r="Y1288" i="12"/>
  <c r="Y2925" i="12"/>
  <c r="Y2138" i="12"/>
  <c r="Y1651" i="12"/>
  <c r="Y187" i="12"/>
  <c r="Y676" i="12"/>
  <c r="Y1116" i="12"/>
  <c r="Y3310" i="12"/>
  <c r="Y3495" i="12"/>
  <c r="Y1399" i="12"/>
  <c r="Y1477" i="12"/>
  <c r="Y1494" i="12"/>
  <c r="Y2472" i="12"/>
  <c r="Y2685" i="12"/>
  <c r="Y1077" i="12"/>
  <c r="Y1286" i="12"/>
  <c r="Y1037" i="12"/>
  <c r="Y1535" i="12"/>
  <c r="Y2605" i="12"/>
  <c r="Y2272" i="12"/>
  <c r="Y284" i="12"/>
  <c r="Y2591" i="12"/>
  <c r="Y2659" i="12"/>
  <c r="Y2056" i="12"/>
  <c r="Y3054" i="12"/>
  <c r="Y3163" i="12"/>
  <c r="Y1109" i="12"/>
  <c r="Y2834" i="12"/>
  <c r="Y1620" i="12"/>
  <c r="Y2980" i="12"/>
  <c r="Y1838" i="12"/>
  <c r="Y1126" i="12"/>
  <c r="Y389" i="12"/>
  <c r="Y1408" i="12"/>
  <c r="Y3340" i="12"/>
  <c r="Y70" i="12"/>
  <c r="Y434" i="12"/>
  <c r="Y164" i="12"/>
  <c r="Y869" i="12"/>
  <c r="Y1747" i="12"/>
  <c r="Y546" i="12"/>
  <c r="Y1695" i="12"/>
  <c r="Y2040" i="12"/>
  <c r="Y2892" i="12"/>
  <c r="Y708" i="12"/>
  <c r="Y2432" i="12"/>
  <c r="Y2741" i="12"/>
  <c r="Y3399" i="12"/>
  <c r="Y696" i="12"/>
  <c r="Y1008" i="12"/>
  <c r="Y378" i="12"/>
  <c r="Y884" i="12"/>
  <c r="Y619" i="12"/>
  <c r="Y906" i="12"/>
  <c r="Y2552" i="12"/>
  <c r="Y382" i="12"/>
  <c r="Y2276" i="12"/>
  <c r="Y168" i="12"/>
  <c r="Y2973" i="12"/>
  <c r="Y1627" i="12"/>
  <c r="Y1899" i="12"/>
  <c r="Y3357" i="12"/>
  <c r="Y572" i="12"/>
  <c r="Y1770" i="12"/>
  <c r="Y363" i="12"/>
  <c r="Y161" i="12"/>
  <c r="Y1576" i="12"/>
  <c r="Y1973" i="12"/>
  <c r="Y314" i="12"/>
  <c r="Y554" i="12"/>
  <c r="Y1475" i="12"/>
  <c r="Y464" i="12"/>
  <c r="Y2324" i="12"/>
  <c r="Y2480" i="12"/>
  <c r="Y2055" i="12"/>
  <c r="Y3479" i="12"/>
  <c r="Y709" i="12"/>
  <c r="Y3404" i="12"/>
  <c r="Y294" i="12"/>
  <c r="Y1987" i="12"/>
  <c r="Y2152" i="12"/>
  <c r="Y2098" i="12"/>
  <c r="Y716" i="12"/>
  <c r="Y580" i="12"/>
  <c r="Y238" i="12"/>
  <c r="Y1152" i="12"/>
  <c r="Y1260" i="12"/>
  <c r="Y2449" i="12"/>
  <c r="Y1624" i="12"/>
  <c r="Y810" i="12"/>
  <c r="Y3015" i="12"/>
  <c r="Y1154" i="12"/>
  <c r="Y395" i="12"/>
  <c r="Y277" i="12"/>
  <c r="Y1061" i="12"/>
  <c r="Y2338" i="12"/>
  <c r="Y3092" i="12"/>
  <c r="Y3508" i="12"/>
  <c r="Y1666" i="12"/>
  <c r="Y3271" i="12"/>
  <c r="Y2440" i="12"/>
  <c r="Y3136" i="12"/>
  <c r="Y2082" i="12"/>
  <c r="Y418" i="12"/>
  <c r="Y26" i="12"/>
  <c r="Y529" i="12"/>
  <c r="Y1954" i="12"/>
  <c r="Y1020" i="12"/>
  <c r="Y1482" i="12"/>
  <c r="Y1728" i="12"/>
  <c r="Y1897" i="12"/>
  <c r="Y1718" i="12"/>
  <c r="Y1931" i="12"/>
  <c r="Y1034" i="12"/>
  <c r="Y2025" i="12"/>
  <c r="Y3211" i="12"/>
  <c r="Y717" i="12"/>
  <c r="Y1696" i="12"/>
  <c r="Y204" i="12"/>
  <c r="Y1241" i="12"/>
  <c r="Y870" i="12"/>
  <c r="Y3528" i="12"/>
  <c r="Y1210" i="12"/>
  <c r="Y1394" i="12"/>
  <c r="Y237" i="12"/>
  <c r="Y304" i="12"/>
  <c r="Y1386" i="12"/>
  <c r="Y31" i="12"/>
  <c r="Y2524" i="12"/>
  <c r="Y1410" i="12"/>
  <c r="Y1887" i="12"/>
  <c r="Y2078" i="12"/>
  <c r="Y1914" i="12"/>
  <c r="Y1132" i="12"/>
  <c r="Y1997" i="12"/>
  <c r="Y559" i="12"/>
  <c r="Y830" i="12"/>
  <c r="Y664" i="12"/>
  <c r="Y1110" i="12"/>
  <c r="Y649" i="12"/>
  <c r="Y2108" i="12"/>
  <c r="Y129" i="12"/>
  <c r="Y1659" i="12"/>
  <c r="Y1418" i="12"/>
  <c r="Y1880" i="12"/>
  <c r="Y1451" i="12"/>
  <c r="Y29" i="12"/>
  <c r="Y1174" i="12"/>
  <c r="Y2310" i="12"/>
  <c r="Y1604" i="12"/>
  <c r="Y3296" i="12"/>
  <c r="Y54" i="12"/>
  <c r="Y2880" i="12"/>
  <c r="Y1084" i="12"/>
  <c r="Y1988" i="12"/>
  <c r="Y2508" i="12"/>
  <c r="Y3368" i="12"/>
  <c r="Y856" i="12"/>
  <c r="Y2203" i="12"/>
  <c r="Y1683" i="12"/>
  <c r="Y761" i="12"/>
  <c r="Y2927" i="12"/>
  <c r="Y2577" i="12"/>
  <c r="Y897" i="12"/>
  <c r="Y638" i="12"/>
  <c r="Y797" i="12"/>
  <c r="Y3123" i="12"/>
  <c r="Y1901" i="12"/>
  <c r="Y2073" i="12"/>
  <c r="Y1967" i="12"/>
  <c r="Y1403" i="12"/>
  <c r="Y3389" i="12"/>
  <c r="Y961" i="12"/>
  <c r="Y2983" i="12"/>
  <c r="Y127" i="12"/>
  <c r="Y2415" i="12"/>
  <c r="Y3517" i="12"/>
  <c r="Y3138" i="12"/>
  <c r="Y35" i="12"/>
  <c r="Y3175" i="12"/>
  <c r="Y2946" i="12"/>
  <c r="Y1257" i="12"/>
  <c r="Y1445" i="12"/>
  <c r="Y1455" i="12"/>
  <c r="Y379" i="12"/>
  <c r="Y1283" i="12"/>
  <c r="Y3284" i="12"/>
  <c r="Y2976" i="12"/>
  <c r="Y2090" i="12"/>
  <c r="Y2735" i="12"/>
  <c r="Y585" i="12"/>
  <c r="Y3045" i="12"/>
  <c r="Y2382" i="12"/>
  <c r="Y2360" i="12"/>
  <c r="Y200" i="12"/>
  <c r="Y2474" i="12"/>
  <c r="Y1692" i="12"/>
  <c r="Y982" i="12"/>
  <c r="Y326" i="12"/>
  <c r="Y808" i="12"/>
  <c r="Y2941" i="12"/>
  <c r="Y662" i="12"/>
  <c r="Y770" i="12"/>
  <c r="Y561" i="12"/>
  <c r="Y211" i="12"/>
  <c r="Y1296" i="12"/>
  <c r="Y2096" i="12"/>
  <c r="Y3551" i="12"/>
  <c r="Y950" i="12"/>
  <c r="Y372" i="12"/>
  <c r="Y881" i="12"/>
  <c r="Y1856" i="12"/>
  <c r="Y541" i="12"/>
  <c r="Y690" i="12"/>
  <c r="Y1808" i="12"/>
  <c r="Y124" i="12"/>
  <c r="Y3295" i="12"/>
  <c r="Y1395" i="12"/>
  <c r="Y1227" i="12"/>
  <c r="Y1002" i="12"/>
  <c r="Y1619" i="12"/>
  <c r="Y712" i="12"/>
  <c r="Y1094" i="12"/>
  <c r="Y3516" i="12"/>
  <c r="Y3427" i="12"/>
  <c r="Y2568" i="12"/>
  <c r="Y960" i="12"/>
  <c r="Y1890" i="12"/>
  <c r="Y2247" i="12"/>
  <c r="Y1148" i="12"/>
  <c r="Y1672" i="12"/>
  <c r="Y1474" i="12"/>
  <c r="Y1268" i="12"/>
  <c r="Y626" i="12"/>
  <c r="Y1958" i="12"/>
  <c r="Y37" i="12"/>
  <c r="Y2044" i="12"/>
  <c r="Y175" i="12"/>
  <c r="Y337" i="12"/>
  <c r="Y1483" i="12"/>
  <c r="Y2020" i="12"/>
  <c r="Y1524" i="12"/>
  <c r="Y3076" i="12"/>
  <c r="Y3323" i="12"/>
  <c r="Y1646" i="12"/>
  <c r="Y544" i="12"/>
  <c r="Y2050" i="12"/>
  <c r="Y1936" i="12"/>
  <c r="Y2893" i="12"/>
  <c r="Y1508" i="12"/>
  <c r="Y1578" i="12"/>
  <c r="Y320" i="12"/>
  <c r="Y3352" i="12"/>
  <c r="Y2092" i="12"/>
  <c r="Y2635" i="12"/>
  <c r="Y309" i="12"/>
  <c r="Y898" i="12"/>
  <c r="Y1366" i="12"/>
  <c r="Y816" i="12"/>
  <c r="Y1024" i="12"/>
  <c r="Y1731" i="12"/>
  <c r="Y286" i="12"/>
  <c r="Y310" i="12"/>
  <c r="Y3041" i="12"/>
  <c r="Y157" i="12"/>
  <c r="Y3264" i="12"/>
  <c r="Y936" i="12"/>
  <c r="Y3380" i="12"/>
  <c r="Y1219" i="12"/>
  <c r="Y2636" i="12"/>
  <c r="Y2640" i="12"/>
  <c r="Y979" i="12"/>
  <c r="Y3532" i="12"/>
  <c r="Y202" i="12"/>
  <c r="Y236" i="12"/>
  <c r="Y1755" i="12"/>
  <c r="Y954" i="12"/>
  <c r="Y1095" i="12"/>
  <c r="Y3412" i="12"/>
  <c r="Y96" i="12"/>
  <c r="Y1496" i="12"/>
  <c r="Y1270" i="12"/>
  <c r="Y1216" i="12"/>
  <c r="Y1072" i="12"/>
  <c r="Y589" i="12"/>
  <c r="Y634" i="12"/>
  <c r="Y1528" i="12"/>
  <c r="Y2283" i="12"/>
  <c r="Y148" i="12"/>
  <c r="Y850" i="12"/>
  <c r="Y3223" i="12"/>
  <c r="Y3027" i="12"/>
  <c r="Y186" i="12"/>
  <c r="Y353" i="12"/>
  <c r="Y937" i="12"/>
  <c r="Y2022" i="12"/>
  <c r="Y2564" i="12"/>
  <c r="Y325" i="12"/>
  <c r="Y2254" i="12"/>
  <c r="Y1491" i="12"/>
  <c r="Y1882" i="12"/>
  <c r="Y2496" i="12"/>
  <c r="Y1414" i="12"/>
  <c r="Y652" i="12"/>
  <c r="Y942" i="12"/>
  <c r="Y2655" i="12"/>
  <c r="Y2823" i="12"/>
  <c r="Y1292" i="12"/>
  <c r="Y2160" i="12"/>
  <c r="Y1974" i="12"/>
  <c r="Y3042" i="12"/>
  <c r="Y1698" i="12"/>
  <c r="Y1702" i="12"/>
  <c r="Y2218" i="12"/>
  <c r="Y1021" i="12"/>
  <c r="Y2607" i="12"/>
  <c r="Y2088" i="12"/>
  <c r="Y231" i="12"/>
  <c r="Y566" i="12"/>
  <c r="Y2617" i="12"/>
  <c r="Y2186" i="12"/>
  <c r="Y2352" i="12"/>
  <c r="Y1140" i="12"/>
  <c r="Y1878" i="12"/>
  <c r="Y2828" i="12"/>
  <c r="Y3387" i="12"/>
  <c r="Y2064" i="12"/>
  <c r="Y107" i="12"/>
  <c r="Y104" i="12"/>
  <c r="Y952" i="12"/>
  <c r="Y264" i="12"/>
  <c r="Y793" i="12"/>
  <c r="Y653" i="12"/>
  <c r="Y1122" i="12"/>
  <c r="Y1310" i="12"/>
  <c r="Y2271" i="12"/>
  <c r="Y832" i="12"/>
  <c r="Y74" i="12"/>
  <c r="Y2667" i="12"/>
  <c r="Y1336" i="12"/>
  <c r="Y1693" i="12"/>
  <c r="Y970" i="12"/>
  <c r="Y370" i="12"/>
  <c r="Y1652" i="12"/>
  <c r="Y2968" i="12"/>
  <c r="Y1115" i="12"/>
  <c r="Y2448" i="12"/>
  <c r="Y851" i="12"/>
  <c r="Y342" i="12"/>
  <c r="Y1903" i="12"/>
  <c r="Y564" i="12"/>
  <c r="Y855" i="12"/>
  <c r="Y1913" i="12"/>
  <c r="Y336" i="12"/>
  <c r="Y943" i="12"/>
  <c r="Y3013" i="12"/>
  <c r="Y3217" i="12"/>
  <c r="Y1173" i="12"/>
  <c r="Y3224" i="12"/>
  <c r="Y1485" i="12"/>
  <c r="Y3420" i="12"/>
  <c r="Y417" i="12"/>
  <c r="Y835" i="12"/>
  <c r="Y2849" i="12"/>
  <c r="Y1630" i="12"/>
  <c r="Y3031" i="12"/>
  <c r="Y274" i="12"/>
  <c r="Y1025" i="12"/>
  <c r="Y2859" i="12"/>
  <c r="Y1910" i="12"/>
  <c r="Y2071" i="12"/>
  <c r="Y1786" i="12"/>
  <c r="Y2878" i="12"/>
  <c r="Y1042" i="12"/>
  <c r="Y3192" i="12"/>
  <c r="Y3188" i="12"/>
  <c r="Y625" i="12"/>
  <c r="Y2936" i="12"/>
  <c r="Y159" i="12"/>
  <c r="Y1306" i="12"/>
  <c r="Y1026" i="12"/>
  <c r="Y2542" i="12"/>
  <c r="Y1428" i="12"/>
  <c r="Y1014" i="12"/>
  <c r="Y1142" i="12"/>
  <c r="Y2615" i="12"/>
  <c r="Y2908" i="12"/>
  <c r="Y1567" i="12"/>
  <c r="Y1784" i="12"/>
  <c r="Y1912" i="12"/>
  <c r="Y3116" i="12"/>
  <c r="Y1221" i="12"/>
  <c r="Y1089" i="12"/>
  <c r="Y3104" i="12"/>
  <c r="Y1787" i="12"/>
  <c r="Y610" i="12"/>
  <c r="Y1413" i="12"/>
  <c r="Y1473" i="12"/>
  <c r="Y2316" i="12"/>
  <c r="Y1564" i="12"/>
  <c r="Y1314" i="12"/>
  <c r="Y97" i="12"/>
  <c r="Y841" i="12"/>
  <c r="Y3391" i="12"/>
  <c r="Y3293" i="12"/>
  <c r="Y2953" i="12"/>
  <c r="Y1416" i="12"/>
  <c r="Y2572" i="12"/>
  <c r="Y3052" i="12"/>
  <c r="Y964" i="12"/>
  <c r="Y1239" i="12"/>
  <c r="Y3086" i="12"/>
  <c r="Y1825" i="12"/>
  <c r="Y1953" i="12"/>
  <c r="Y2122" i="12"/>
  <c r="Y3386" i="12"/>
  <c r="Y2053" i="12"/>
  <c r="Y367" i="12"/>
  <c r="Y3195" i="12"/>
  <c r="Y3247" i="12"/>
  <c r="Y600" i="12"/>
  <c r="Y1127" i="12"/>
  <c r="Y2437" i="12"/>
  <c r="Y2441" i="12"/>
  <c r="Y2183" i="12"/>
  <c r="Y2541" i="12"/>
  <c r="Y1218" i="12"/>
  <c r="Y51" i="12"/>
  <c r="Y3279" i="12"/>
  <c r="Y423" i="12"/>
  <c r="Y905" i="12"/>
  <c r="Y1325" i="12"/>
  <c r="Y3047" i="12"/>
  <c r="Y847" i="12"/>
  <c r="Y356" i="12"/>
  <c r="Y858" i="12"/>
  <c r="Y1725" i="12"/>
  <c r="Y766" i="12"/>
  <c r="Y2620" i="12"/>
  <c r="Y1545" i="12"/>
  <c r="Y3422" i="12"/>
  <c r="Y3518" i="12"/>
  <c r="Y3199" i="12"/>
  <c r="Y2342" i="12"/>
  <c r="Y2301" i="12"/>
  <c r="Y2005" i="12"/>
  <c r="Y1087" i="12"/>
  <c r="Y3233" i="12"/>
  <c r="Y1372" i="12"/>
  <c r="Y2266" i="12"/>
  <c r="Y3212" i="12"/>
  <c r="Y3294" i="12"/>
  <c r="Y1551" i="12"/>
  <c r="Y703" i="12"/>
  <c r="Y953" i="12"/>
  <c r="Y3214" i="12"/>
  <c r="Y80" i="12"/>
  <c r="Y3462" i="12"/>
  <c r="Y2670" i="12"/>
  <c r="Y3229" i="12"/>
  <c r="Y2894" i="12"/>
  <c r="Y1437" i="12"/>
  <c r="Y977" i="12"/>
  <c r="Y2061" i="12"/>
  <c r="Y3053" i="12"/>
  <c r="Y3478" i="12"/>
  <c r="Y3537" i="12"/>
  <c r="Y630" i="12"/>
  <c r="Y1701" i="12"/>
  <c r="Y1587" i="12"/>
  <c r="Y2241" i="12"/>
  <c r="Y1874" i="12"/>
  <c r="Y3142" i="12"/>
  <c r="Y2377" i="12"/>
  <c r="Y3365" i="12"/>
  <c r="Y2083" i="12"/>
  <c r="Y3322" i="12"/>
  <c r="Y3032" i="12"/>
  <c r="Y3278" i="12"/>
  <c r="Y102" i="12"/>
  <c r="Y3514" i="12"/>
  <c r="Y3037" i="12"/>
  <c r="Y865" i="12"/>
  <c r="Y1877" i="12"/>
  <c r="Y1151" i="12"/>
  <c r="Y2417" i="12"/>
  <c r="Y1501" i="12"/>
  <c r="Y1041" i="12"/>
  <c r="Y2402" i="12"/>
  <c r="Y3038" i="12"/>
  <c r="Y698" i="12"/>
  <c r="Y3397" i="12"/>
  <c r="Y834" i="12"/>
  <c r="Y1765" i="12"/>
  <c r="Y340" i="12"/>
  <c r="Y3465" i="12"/>
  <c r="Y1719" i="12"/>
  <c r="Y2988" i="12"/>
  <c r="Y2505" i="12"/>
  <c r="Y3429" i="12"/>
  <c r="Y877" i="12"/>
  <c r="Y1797" i="12"/>
  <c r="Y2710" i="12"/>
  <c r="Y3182" i="12"/>
  <c r="Y1329" i="12"/>
  <c r="Y1665" i="12"/>
  <c r="Y2039" i="12"/>
  <c r="Y3526" i="12"/>
  <c r="Y2679" i="12"/>
  <c r="Y3547" i="12"/>
  <c r="Y1389" i="12"/>
  <c r="Y1319" i="12"/>
  <c r="Y2821" i="12"/>
  <c r="Y1793" i="12"/>
  <c r="Y3438" i="12"/>
  <c r="Y1806" i="12"/>
  <c r="Y2598" i="12"/>
  <c r="Y2318" i="12"/>
  <c r="Y2754" i="12"/>
  <c r="Y1599" i="12"/>
  <c r="Y2450" i="12"/>
  <c r="Y2348" i="12"/>
  <c r="Y2522" i="12"/>
  <c r="Y699" i="12"/>
  <c r="Y3270" i="12"/>
  <c r="Y2012" i="12"/>
  <c r="Y1232" i="12"/>
  <c r="Y2384" i="12"/>
  <c r="Y1951" i="12"/>
  <c r="Y657" i="12"/>
  <c r="Y1676" i="12"/>
  <c r="Y2464" i="12"/>
  <c r="Y149" i="12"/>
  <c r="Y1570" i="12"/>
  <c r="Y2816" i="12"/>
  <c r="Y674" i="12"/>
  <c r="Y1588" i="12"/>
  <c r="Y678" i="12"/>
  <c r="Y1970" i="12"/>
  <c r="Y2210" i="12"/>
  <c r="Y1479" i="12"/>
  <c r="Y1515" i="12"/>
  <c r="Y328" i="12"/>
  <c r="Y407" i="12"/>
  <c r="Y433" i="12"/>
  <c r="Y2128" i="12"/>
  <c r="Y1352" i="12"/>
  <c r="Y902" i="12"/>
  <c r="Y2864" i="12"/>
  <c r="Y1396" i="12"/>
  <c r="Y3515" i="12"/>
  <c r="Y1817" i="12"/>
  <c r="Y77" i="12"/>
  <c r="Y184" i="12"/>
  <c r="Y1708" i="12"/>
  <c r="Y1078" i="12"/>
  <c r="Y3276" i="12"/>
  <c r="Y3044" i="12"/>
  <c r="Y907" i="12"/>
  <c r="Y2387" i="12"/>
  <c r="Y794" i="12"/>
  <c r="Y2539" i="12"/>
  <c r="Y2194" i="12"/>
  <c r="Y663" i="12"/>
  <c r="Y1281" i="12"/>
  <c r="Y687" i="12"/>
  <c r="Y2489" i="12"/>
  <c r="Y2913" i="12"/>
  <c r="Y191" i="12"/>
  <c r="Y2873" i="12"/>
  <c r="Y214" i="12"/>
  <c r="Y2581" i="12"/>
  <c r="Y3240" i="12"/>
  <c r="Y1050" i="12"/>
  <c r="Y2337" i="12"/>
  <c r="Y1118" i="12"/>
  <c r="Y621" i="12"/>
  <c r="Y3207" i="12"/>
  <c r="Y1555" i="12"/>
  <c r="Y2407" i="12"/>
  <c r="Y1398" i="12"/>
  <c r="Y1815" i="12"/>
  <c r="Y753" i="12"/>
  <c r="Y1487" i="12"/>
  <c r="Y1080" i="12"/>
  <c r="Y1530" i="12"/>
  <c r="Y192" i="12"/>
  <c r="Y3342" i="12"/>
  <c r="Y887" i="12"/>
  <c r="Y2644" i="12"/>
  <c r="Y454" i="12"/>
  <c r="Y253" i="12"/>
  <c r="Y1834" i="12"/>
  <c r="Y2148" i="12"/>
  <c r="Y764" i="12"/>
  <c r="Y3093" i="12"/>
  <c r="Y403" i="12"/>
  <c r="Y2163" i="12"/>
  <c r="Y556" i="12"/>
  <c r="Y732" i="12"/>
  <c r="Y1097" i="12"/>
  <c r="Y1421" i="12"/>
  <c r="Y1940" i="12"/>
  <c r="Y1526" i="12"/>
  <c r="Y1654" i="12"/>
  <c r="Y2871" i="12"/>
  <c r="Y2350" i="12"/>
  <c r="Y3416" i="12"/>
  <c r="Y2588" i="12"/>
  <c r="Y1470" i="12"/>
  <c r="Y1267" i="12"/>
  <c r="Y3118" i="12"/>
  <c r="Y1030" i="12"/>
  <c r="Y162" i="12"/>
  <c r="Y2299" i="12"/>
  <c r="Y1044" i="12"/>
  <c r="Y359" i="12"/>
  <c r="Y2255" i="12"/>
  <c r="Y1373" i="12"/>
  <c r="Y879" i="12"/>
  <c r="Y1158" i="12"/>
  <c r="Y226" i="12"/>
  <c r="Y296" i="12"/>
  <c r="Y3535" i="12"/>
  <c r="Y2594" i="12"/>
  <c r="Y1928" i="12"/>
  <c r="Y531" i="12"/>
  <c r="Y659" i="12"/>
  <c r="Y3197" i="12"/>
  <c r="Y935" i="12"/>
  <c r="Y1435" i="12"/>
  <c r="Y1721" i="12"/>
  <c r="Y1823" i="12"/>
  <c r="Y2885" i="12"/>
  <c r="Y1251" i="12"/>
  <c r="Y3441" i="12"/>
  <c r="Y2109" i="12"/>
  <c r="Y623" i="12"/>
  <c r="Y3451" i="12"/>
  <c r="Y3503" i="12"/>
  <c r="Y1028" i="12"/>
  <c r="Y1383" i="12"/>
  <c r="Y2949" i="12"/>
  <c r="Y1833" i="12"/>
  <c r="Y2319" i="12"/>
  <c r="Y3443" i="12"/>
  <c r="Y1529" i="12"/>
  <c r="Y2681" i="12"/>
  <c r="Y311" i="12"/>
  <c r="Y642" i="12"/>
  <c r="Y3201" i="12"/>
  <c r="Y2999" i="12"/>
  <c r="Y3185" i="12"/>
  <c r="Y2959" i="12"/>
  <c r="Y3078" i="12"/>
  <c r="Y3302" i="12"/>
  <c r="Y2805" i="12"/>
  <c r="Y3267" i="12"/>
  <c r="Y2996" i="12"/>
  <c r="Y2674" i="12"/>
  <c r="Y2132" i="12"/>
  <c r="Y3226" i="12"/>
  <c r="Y2107" i="12"/>
  <c r="Y3385" i="12"/>
  <c r="Y195" i="12"/>
  <c r="Y3190" i="12"/>
  <c r="Y3069" i="12"/>
  <c r="Y2586" i="12"/>
  <c r="Y2813" i="12"/>
  <c r="Y3317" i="12"/>
  <c r="Y1083" i="12"/>
  <c r="Y2490" i="12"/>
  <c r="Y1197" i="12"/>
  <c r="Y2890" i="12"/>
  <c r="Y2237" i="12"/>
  <c r="Y2257" i="12"/>
  <c r="Y3330" i="12"/>
  <c r="Y3263" i="12"/>
  <c r="Y2406" i="12"/>
  <c r="Y3239" i="12"/>
  <c r="Y2661" i="12"/>
  <c r="Y728" i="12"/>
  <c r="Y3361" i="12"/>
  <c r="Y1500" i="12"/>
  <c r="Y2330" i="12"/>
  <c r="Y1092" i="12"/>
  <c r="Y3030" i="12"/>
  <c r="Y591" i="12"/>
  <c r="Y574" i="12"/>
  <c r="Y1045" i="12"/>
  <c r="Y2744" i="12"/>
  <c r="Y460" i="12"/>
  <c r="Y2645" i="12"/>
  <c r="Y2467" i="12"/>
  <c r="Y3111" i="12"/>
  <c r="Y911" i="12"/>
  <c r="Y3254" i="12"/>
  <c r="Y2418" i="12"/>
  <c r="Y2818" i="12"/>
  <c r="Y2506" i="12"/>
  <c r="Y2385" i="12"/>
  <c r="Y3458" i="12"/>
  <c r="Y2306" i="12"/>
  <c r="Y3062" i="12"/>
  <c r="Y526" i="12"/>
  <c r="Y3221" i="12"/>
  <c r="Y836" i="12"/>
  <c r="Y3489" i="12"/>
  <c r="Y2923" i="12"/>
  <c r="Y2051" i="12"/>
  <c r="Y2987" i="12"/>
  <c r="Y2855" i="12"/>
  <c r="Y655" i="12"/>
  <c r="Y3014" i="12"/>
  <c r="Y2929" i="12"/>
  <c r="Y1969" i="12"/>
  <c r="Y2471" i="12"/>
  <c r="Y3473" i="12"/>
  <c r="Y435" i="12"/>
  <c r="Y2778" i="12"/>
  <c r="Y3307" i="12"/>
  <c r="Y3414" i="12"/>
  <c r="Y2575" i="12"/>
  <c r="Y2175" i="12"/>
  <c r="Y2145" i="12"/>
  <c r="Y2914" i="12"/>
  <c r="Y2493" i="12"/>
  <c r="Y3001" i="12"/>
  <c r="Y2969" i="12"/>
  <c r="Y3168" i="12"/>
  <c r="Y3523" i="12"/>
  <c r="Y203" i="12"/>
  <c r="Y2789" i="12"/>
  <c r="Y278" i="12"/>
  <c r="Y3482" i="12"/>
  <c r="Y2743" i="12"/>
  <c r="Y2346" i="12"/>
  <c r="Y510" i="12"/>
  <c r="Y3158" i="12"/>
  <c r="Y3120" i="12"/>
  <c r="Y1456" i="12"/>
  <c r="Y2628" i="12"/>
  <c r="Y2193" i="12"/>
  <c r="Y2811" i="12"/>
  <c r="Y636" i="12"/>
  <c r="Y1355" i="12"/>
  <c r="Y711" i="12"/>
  <c r="Y2457" i="12"/>
  <c r="Y1920" i="12"/>
  <c r="Y151" i="12"/>
  <c r="Y397" i="12"/>
  <c r="Y1848" i="12"/>
  <c r="Y2717" i="12"/>
  <c r="Y848" i="12"/>
  <c r="Y108" i="12"/>
  <c r="Y2164" i="12"/>
  <c r="Y245" i="12"/>
  <c r="Y455" i="12"/>
  <c r="Y1862" i="12"/>
  <c r="Y1448" i="12"/>
  <c r="Y2403" i="12"/>
  <c r="Y863" i="12"/>
  <c r="Y1440" i="12"/>
  <c r="Y2224" i="12"/>
  <c r="Y1926" i="12"/>
  <c r="Y2696" i="12"/>
  <c r="Y1381" i="12"/>
  <c r="Y632" i="12"/>
  <c r="Y1393" i="12"/>
  <c r="Y1608" i="12"/>
  <c r="Y872" i="12"/>
  <c r="Y3198" i="12"/>
  <c r="Y2102" i="12"/>
  <c r="Y622" i="12"/>
  <c r="Y2768" i="12"/>
  <c r="Y2300" i="12"/>
  <c r="Y868" i="12"/>
  <c r="Y2323" i="12"/>
  <c r="Y1548" i="12"/>
  <c r="Y1108" i="12"/>
  <c r="Y1206" i="12"/>
  <c r="Y1442" i="12"/>
  <c r="Y1375" i="12"/>
  <c r="Y501" i="12"/>
  <c r="Y390" i="12"/>
  <c r="Y1801" i="12"/>
  <c r="Y1681" i="12"/>
  <c r="Y992" i="12"/>
  <c r="Y875" i="12"/>
  <c r="Y364" i="12"/>
  <c r="Y3020" i="12"/>
  <c r="Y991" i="12"/>
  <c r="Y2170" i="12"/>
  <c r="Y2833" i="12"/>
  <c r="Y341" i="12"/>
  <c r="Y55" i="12"/>
  <c r="Y1290" i="12"/>
  <c r="Y641" i="12"/>
  <c r="Y36" i="12"/>
  <c r="Y2888" i="12"/>
  <c r="Y628" i="12"/>
  <c r="Y2627" i="12"/>
  <c r="Y768" i="12"/>
  <c r="Y608" i="12"/>
  <c r="Y1392" i="12"/>
  <c r="Y2243" i="12"/>
  <c r="Y1724" i="12"/>
  <c r="Y2900" i="12"/>
  <c r="Y2361" i="12"/>
  <c r="Y1460" i="12"/>
  <c r="Y2388" i="12"/>
  <c r="Y1859" i="12"/>
  <c r="Y1844" i="12"/>
  <c r="Y1401" i="12"/>
  <c r="Y3253" i="12"/>
  <c r="Y280" i="12"/>
  <c r="Y2951" i="12"/>
  <c r="Y1043" i="12"/>
  <c r="Y2151" i="12"/>
  <c r="Y1996" i="12"/>
  <c r="Y1741" i="12"/>
  <c r="Y984" i="12"/>
  <c r="Y2557" i="12"/>
  <c r="Y1234" i="12"/>
  <c r="Y3083" i="12"/>
  <c r="Y2884" i="12"/>
  <c r="Y978" i="12"/>
  <c r="Y822" i="12"/>
  <c r="Y1828" i="12"/>
  <c r="Y63" i="12"/>
  <c r="Y3510" i="12"/>
  <c r="Y802" i="12"/>
  <c r="Y1636" i="12"/>
  <c r="Y121" i="12"/>
  <c r="Y536" i="12"/>
  <c r="Y1300" i="12"/>
  <c r="Y1612" i="12"/>
  <c r="Y2475" i="12"/>
  <c r="Y1550" i="12"/>
  <c r="Y466" i="12"/>
  <c r="Y2076" i="12"/>
  <c r="Y2452" i="12"/>
  <c r="Y615" i="12"/>
  <c r="Y923" i="12"/>
  <c r="Y2209" i="12"/>
  <c r="Y2675" i="12"/>
  <c r="Y1498" i="12"/>
  <c r="Y1754" i="12"/>
  <c r="Y1617" i="12"/>
  <c r="Y1117" i="12"/>
  <c r="Y1242" i="12"/>
  <c r="Y1592" i="12"/>
  <c r="Y2327" i="12"/>
  <c r="Y2391" i="12"/>
  <c r="Y1309" i="12"/>
  <c r="Y534" i="12"/>
  <c r="Y539" i="12"/>
  <c r="Y1982" i="12"/>
  <c r="Y2427" i="12"/>
  <c r="Y1705" i="12"/>
  <c r="Y3494" i="12"/>
  <c r="Y1678" i="12"/>
  <c r="Y819" i="12"/>
  <c r="Y2745" i="12"/>
  <c r="Y710" i="12"/>
  <c r="Y946" i="12"/>
  <c r="Y795" i="12"/>
  <c r="Y2590" i="12"/>
  <c r="Y1135" i="12"/>
  <c r="Y1670" i="12"/>
  <c r="Y1798" i="12"/>
  <c r="Y637" i="12"/>
  <c r="Y1005" i="12"/>
  <c r="Y2857" i="12"/>
  <c r="Y3392" i="12"/>
  <c r="Y2721" i="12"/>
  <c r="Y345" i="12"/>
  <c r="Y1390" i="12"/>
  <c r="Y3415" i="12"/>
  <c r="Y2004" i="12"/>
  <c r="Y1947" i="12"/>
  <c r="Y2233" i="12"/>
  <c r="Y904" i="12"/>
  <c r="Y2462" i="12"/>
  <c r="Y1763" i="12"/>
  <c r="Y2835" i="12"/>
  <c r="Y2621" i="12"/>
  <c r="Y319" i="12"/>
  <c r="Y2398" i="12"/>
  <c r="Y3006" i="12"/>
  <c r="Y2943" i="12"/>
  <c r="Y3381" i="12"/>
  <c r="Y3292" i="12"/>
  <c r="Y3447" i="12"/>
  <c r="Y2610" i="12"/>
  <c r="Y2414" i="12"/>
  <c r="Y959" i="12"/>
  <c r="Y2225" i="12"/>
  <c r="Y2284" i="12"/>
  <c r="Y1441" i="12"/>
  <c r="Y1942" i="12"/>
  <c r="Y2654" i="12"/>
  <c r="Y442" i="12"/>
  <c r="Y3205" i="12"/>
  <c r="Y3304" i="12"/>
  <c r="Y3050" i="12"/>
  <c r="Y969" i="12"/>
  <c r="Y3273" i="12"/>
  <c r="Y1527" i="12"/>
  <c r="Y2141" i="12"/>
  <c r="Y2389" i="12"/>
  <c r="Y2198" i="12"/>
  <c r="Y1737" i="12"/>
  <c r="Y2781" i="12"/>
  <c r="Y419" i="12"/>
  <c r="Y1983" i="12"/>
  <c r="Y1761" i="12"/>
  <c r="Y2322" i="12"/>
  <c r="Y3549" i="12"/>
  <c r="Y947" i="12"/>
  <c r="Y3366" i="12"/>
  <c r="Y2400" i="12"/>
  <c r="Y3331" i="12"/>
  <c r="Y3135" i="12"/>
  <c r="Y3410" i="12"/>
  <c r="Y1443" i="12"/>
  <c r="Y3290" i="12"/>
  <c r="Y2551" i="12"/>
  <c r="Y3449" i="12"/>
  <c r="Y917" i="12"/>
  <c r="Y1273" i="12"/>
  <c r="Y2169" i="12"/>
  <c r="Y1831" i="12"/>
  <c r="Y3358" i="12"/>
  <c r="Y1621" i="12"/>
  <c r="Y1315" i="12"/>
  <c r="Y2550" i="12"/>
  <c r="Y3243" i="12"/>
  <c r="Y1593" i="12"/>
  <c r="Y2773" i="12"/>
  <c r="Y2966" i="12"/>
  <c r="Y3466" i="12"/>
  <c r="Y25" i="12"/>
  <c r="Y2510" i="12"/>
  <c r="Y1075" i="12"/>
  <c r="Y1985" i="12"/>
  <c r="Y2886" i="12"/>
  <c r="Y1865" i="12"/>
  <c r="Y3538" i="12"/>
  <c r="Y1571" i="12"/>
  <c r="Y3066" i="12"/>
  <c r="Y3363" i="12"/>
  <c r="Y1029" i="12"/>
  <c r="Y3251" i="12"/>
  <c r="Y1337" i="12"/>
  <c r="Y2297" i="12"/>
  <c r="Y489" i="12"/>
  <c r="Y3018" i="12"/>
  <c r="Y3353" i="12"/>
  <c r="Y441" i="12"/>
  <c r="Y2097" i="12"/>
  <c r="Y2536" i="12"/>
  <c r="Y1935" i="12"/>
  <c r="Y2801" i="12"/>
  <c r="Y2278" i="12"/>
  <c r="Y2045" i="12"/>
  <c r="Y2520" i="12"/>
  <c r="Y2481" i="12"/>
  <c r="Y3497" i="12"/>
  <c r="Y3166" i="12"/>
  <c r="Y3461" i="12"/>
  <c r="Y743" i="12"/>
  <c r="Y3529" i="12"/>
  <c r="Y2917" i="12"/>
  <c r="Y384" i="12"/>
  <c r="Y1776" i="12"/>
  <c r="Y2964" i="12"/>
  <c r="Y3200" i="12"/>
  <c r="Y1658" i="12"/>
  <c r="Y607" i="12"/>
  <c r="Y1799" i="12"/>
  <c r="Y1402" i="12"/>
  <c r="Y496" i="12"/>
  <c r="Y2220" i="12"/>
  <c r="Y1590" i="12"/>
  <c r="Y59" i="12"/>
  <c r="Y576" i="12"/>
  <c r="Y1419" i="12"/>
  <c r="Y217" i="12"/>
  <c r="Y1810" i="12"/>
  <c r="Y351" i="12"/>
  <c r="Y614" i="12"/>
  <c r="Y1566" i="12"/>
  <c r="Y1205" i="12"/>
  <c r="Y826" i="12"/>
  <c r="Y778" i="12"/>
  <c r="Y3408" i="12"/>
  <c r="Y2652" i="12"/>
  <c r="Y126" i="12"/>
  <c r="Y173" i="12"/>
  <c r="Y1730" i="12"/>
  <c r="Y986" i="12"/>
  <c r="Y1131" i="12"/>
  <c r="Y2395" i="12"/>
  <c r="Y757" i="12"/>
  <c r="Y1183" i="12"/>
  <c r="Y220" i="12"/>
  <c r="Y3216" i="12"/>
  <c r="Y27" i="12"/>
  <c r="Y1603" i="12"/>
  <c r="Y52" i="12"/>
  <c r="Y2896" i="12"/>
  <c r="Y1208" i="12"/>
  <c r="Y839" i="12"/>
  <c r="Y3316" i="12"/>
  <c r="Y3476" i="12"/>
  <c r="Y587" i="12"/>
  <c r="Y2125" i="12"/>
  <c r="Y303" i="12"/>
  <c r="Y2320" i="12"/>
  <c r="Y1898" i="12"/>
  <c r="Y812" i="12"/>
  <c r="Y845" i="12"/>
  <c r="Y155" i="12"/>
  <c r="Y512" i="12"/>
  <c r="Y28" i="12"/>
  <c r="Y445" i="12"/>
  <c r="Y218" i="12"/>
  <c r="Y1607" i="12"/>
  <c r="Y1318" i="12"/>
  <c r="Y2329" i="12"/>
  <c r="Y1840" i="12"/>
  <c r="Y1107" i="12"/>
  <c r="Y2232" i="12"/>
  <c r="Y1317" i="12"/>
  <c r="Y2016" i="12"/>
  <c r="Y1960" i="12"/>
  <c r="Y1252" i="12"/>
  <c r="Y3261" i="12"/>
  <c r="Y1282" i="12"/>
  <c r="Y1700" i="12"/>
  <c r="Y1332" i="12"/>
  <c r="Y2142" i="12"/>
  <c r="Y1572" i="12"/>
  <c r="Y829" i="12"/>
  <c r="Y2579" i="12"/>
  <c r="Y2815" i="12"/>
  <c r="Y745" i="12"/>
  <c r="Y1484" i="12"/>
  <c r="Y1433" i="12"/>
  <c r="Y956" i="12"/>
  <c r="Y3419" i="12"/>
  <c r="Y1751" i="12"/>
  <c r="Y42" i="12"/>
  <c r="Y740" i="12"/>
  <c r="Y3492" i="12"/>
  <c r="Y462" i="12"/>
  <c r="Y2372" i="12"/>
  <c r="Y2058" i="12"/>
  <c r="Y412" i="12"/>
  <c r="Y300" i="12"/>
  <c r="Y3272" i="12"/>
  <c r="Y3522" i="12"/>
  <c r="Y3334" i="12"/>
  <c r="Y788" i="12"/>
  <c r="Y2371" i="12"/>
  <c r="Y450" i="12"/>
  <c r="Y1038" i="12"/>
  <c r="Y2992" i="12"/>
  <c r="Y2347" i="12"/>
  <c r="Y2126" i="12"/>
  <c r="Y2656" i="12"/>
  <c r="Y83" i="12"/>
  <c r="Y3248" i="12"/>
  <c r="Y3504" i="12"/>
  <c r="Y2217" i="12"/>
  <c r="Y2368" i="12"/>
  <c r="Y915" i="12"/>
  <c r="Y2920" i="12"/>
  <c r="Y3176" i="12"/>
  <c r="Y871" i="12"/>
  <c r="Y2033" i="12"/>
  <c r="Y3502" i="12"/>
  <c r="Y721" i="12"/>
  <c r="Y2793" i="12"/>
  <c r="Y809" i="12"/>
  <c r="Y873" i="12"/>
  <c r="Y2001" i="12"/>
  <c r="Y2250" i="12"/>
  <c r="Y1159" i="12"/>
  <c r="Y2583" i="12"/>
  <c r="Y2110" i="12"/>
  <c r="Y3484" i="12"/>
  <c r="Y1633" i="12"/>
  <c r="Y2912" i="12"/>
  <c r="Y2459" i="12"/>
  <c r="Y86" i="12"/>
  <c r="Y2756" i="12"/>
  <c r="Y3268" i="12"/>
  <c r="Y318" i="12"/>
  <c r="Y2236" i="12"/>
  <c r="Y3496" i="12"/>
  <c r="Y1722" i="12"/>
  <c r="Y1978" i="12"/>
  <c r="Y1307" i="12"/>
  <c r="Y3298" i="12"/>
  <c r="Y2355" i="12"/>
  <c r="Y3148" i="12"/>
  <c r="Y1427" i="12"/>
  <c r="Y2648" i="12"/>
  <c r="Y2336" i="12"/>
  <c r="Y2157" i="12"/>
  <c r="Y61" i="12"/>
  <c r="Y234" i="12"/>
  <c r="Y3425" i="12"/>
  <c r="Y686" i="12"/>
  <c r="Y1902" i="12"/>
  <c r="Y885" i="12"/>
  <c r="Y2776" i="12"/>
  <c r="Y2545" i="12"/>
  <c r="Y1629" i="12"/>
  <c r="Y2566" i="12"/>
  <c r="Y3046" i="12"/>
  <c r="Y2293" i="12"/>
  <c r="Y3011" i="12"/>
  <c r="Y2401" i="12"/>
  <c r="Y3343" i="12"/>
  <c r="Y2262" i="12"/>
  <c r="Y1217" i="12"/>
  <c r="Y2905" i="12"/>
  <c r="Y2314" i="12"/>
  <c r="Y1209" i="12"/>
  <c r="Y1857" i="12"/>
  <c r="Y2420" i="12"/>
  <c r="Y2870" i="12"/>
  <c r="Y271" i="12"/>
  <c r="Y3378" i="12"/>
  <c r="Y803" i="12"/>
  <c r="Y2938" i="12"/>
  <c r="Y2383" i="12"/>
  <c r="Y1667" i="12"/>
  <c r="Y2795" i="12"/>
  <c r="Y2394" i="12"/>
  <c r="Y3442" i="12"/>
  <c r="Y1335" i="12"/>
  <c r="Y1581" i="12"/>
  <c r="Y2962" i="12"/>
  <c r="Y1237" i="12"/>
  <c r="Y1457" i="12"/>
  <c r="Y1749" i="12"/>
  <c r="Y3242" i="12"/>
  <c r="Y2881" i="12"/>
  <c r="Y860" i="12"/>
  <c r="Y1505" i="12"/>
  <c r="Y2070" i="12"/>
  <c r="Y2782" i="12"/>
  <c r="Y1166" i="12"/>
  <c r="Y179" i="12"/>
  <c r="Y3511" i="12"/>
  <c r="Y3114" i="12"/>
  <c r="Y1033" i="12"/>
  <c r="Y3337" i="12"/>
  <c r="Y813" i="12"/>
  <c r="Y2687" i="12"/>
  <c r="Y3297" i="12"/>
  <c r="Y3099" i="12"/>
  <c r="Y2702" i="12"/>
  <c r="Y1517" i="12"/>
  <c r="Y2221" i="12"/>
  <c r="Y2538" i="12"/>
  <c r="Y2895" i="12"/>
  <c r="Y3007" i="12"/>
  <c r="Y3445" i="12"/>
  <c r="Y2727" i="12"/>
  <c r="Y2405" i="12"/>
  <c r="Y386" i="12"/>
  <c r="Y2945" i="12"/>
  <c r="Y988" i="12"/>
  <c r="Y3369" i="12"/>
  <c r="Y301" i="12"/>
  <c r="Y2774" i="12"/>
  <c r="Y335" i="12"/>
  <c r="Y243" i="12"/>
  <c r="Y789" i="12"/>
  <c r="Y3161" i="12"/>
  <c r="Y1425" i="12"/>
  <c r="Y2957" i="12"/>
  <c r="Y2622" i="12"/>
  <c r="Y2751" i="12"/>
  <c r="Y2258" i="12"/>
  <c r="Y3035" i="12"/>
  <c r="Y3546" i="12"/>
  <c r="Y2410" i="12"/>
  <c r="Y375" i="12"/>
  <c r="Y3210" i="12"/>
  <c r="Y1732" i="12"/>
  <c r="Y2862" i="12"/>
  <c r="Y1345" i="12"/>
  <c r="Y1829" i="12"/>
  <c r="Y3203" i="12"/>
  <c r="Y2484" i="12"/>
  <c r="Y2546" i="12"/>
  <c r="Y497" i="12"/>
  <c r="Y2570" i="12"/>
  <c r="Y1805" i="12"/>
  <c r="Y3321" i="12"/>
  <c r="Y131" i="12"/>
  <c r="Y3126" i="12"/>
  <c r="Y503" i="12"/>
  <c r="Y3285" i="12"/>
  <c r="Y2473" i="12"/>
  <c r="Y2639" i="12"/>
  <c r="Y2179" i="12"/>
  <c r="Y833" i="12"/>
  <c r="Y981" i="12"/>
  <c r="Y2703" i="12"/>
  <c r="Y1452" i="12"/>
  <c r="Y2928" i="12"/>
  <c r="Y388" i="12"/>
  <c r="Y1684" i="12"/>
  <c r="Y2960" i="12"/>
  <c r="Y160" i="12"/>
  <c r="Y117" i="12"/>
  <c r="Y346" i="12"/>
  <c r="Y177" i="12"/>
  <c r="Y324" i="12"/>
  <c r="Y963" i="12"/>
  <c r="Y1626" i="12"/>
  <c r="Y682" i="12"/>
  <c r="Y930" i="12"/>
  <c r="Y1070" i="12"/>
  <c r="Y859" i="12"/>
  <c r="Y1066" i="12"/>
  <c r="Y1650" i="12"/>
  <c r="Y934" i="12"/>
  <c r="Y857" i="12"/>
  <c r="Y2286" i="12"/>
  <c r="Y1906" i="12"/>
  <c r="Y1932" i="12"/>
  <c r="Y1836" i="12"/>
  <c r="Y1357" i="12"/>
  <c r="Y467" i="12"/>
  <c r="Y508" i="12"/>
  <c r="Y1035" i="12"/>
  <c r="Y545" i="12"/>
  <c r="Y509" i="12"/>
  <c r="Y2631" i="12"/>
  <c r="Y3152" i="12"/>
  <c r="Y1172" i="12"/>
  <c r="Y1446" i="12"/>
  <c r="Y2796" i="12"/>
  <c r="Y1405" i="12"/>
  <c r="Y805" i="12"/>
  <c r="Y1003" i="12"/>
  <c r="Y669" i="12"/>
  <c r="Y470" i="12"/>
  <c r="Y735" i="12"/>
  <c r="Y1104" i="12"/>
  <c r="Y714" i="12"/>
  <c r="Y73" i="12"/>
  <c r="Y3009" i="12"/>
  <c r="Y1613" i="12"/>
  <c r="Y248" i="12"/>
  <c r="Y1547" i="12"/>
  <c r="Y2974" i="12"/>
  <c r="Y720" i="12"/>
  <c r="Y736" i="12"/>
  <c r="Y3096" i="12"/>
  <c r="Y1019" i="12"/>
  <c r="Y1362" i="12"/>
  <c r="Y1503" i="12"/>
  <c r="Y60" i="12"/>
  <c r="Y883" i="12"/>
  <c r="Y700" i="12"/>
  <c r="Y95" i="12"/>
  <c r="Y362" i="12"/>
  <c r="Y2734" i="12"/>
  <c r="Y21" i="12"/>
  <c r="Y1712" i="12"/>
  <c r="Y997" i="12"/>
  <c r="Y3394" i="12"/>
  <c r="Y1060" i="12"/>
  <c r="Y3463" i="12"/>
  <c r="Y2067" i="12"/>
  <c r="Y2559" i="12"/>
  <c r="Y137" i="12"/>
  <c r="Y2942" i="12"/>
  <c r="Y2008" i="12"/>
  <c r="Y2037" i="12"/>
  <c r="Y1959" i="12"/>
  <c r="Y2219" i="12"/>
  <c r="Y2847" i="12"/>
  <c r="Y398" i="12"/>
  <c r="Y1850" i="12"/>
  <c r="Y3019" i="12"/>
  <c r="Y299" i="12"/>
  <c r="Y197" i="12"/>
  <c r="Y3460" i="12"/>
  <c r="Y3064" i="12"/>
  <c r="Y2252" i="12"/>
  <c r="Y1444" i="12"/>
  <c r="Y89" i="12"/>
  <c r="Y3016" i="12"/>
  <c r="Y270" i="12"/>
  <c r="Y3180" i="12"/>
  <c r="Y3222" i="12"/>
  <c r="Y1523" i="12"/>
  <c r="Y1835" i="12"/>
  <c r="Y1614" i="12"/>
  <c r="Y1944" i="12"/>
  <c r="Y2476" i="12"/>
  <c r="Y1998" i="12"/>
  <c r="Y1623" i="12"/>
  <c r="Y411" i="12"/>
  <c r="Y1415" i="12"/>
  <c r="Y2860" i="12"/>
  <c r="Y3372" i="12"/>
  <c r="Y511" i="12"/>
  <c r="Y2054" i="12"/>
  <c r="Y475" i="12"/>
  <c r="Y198" i="12"/>
  <c r="Y262" i="12"/>
  <c r="Y2729" i="12"/>
  <c r="Y3417" i="12"/>
  <c r="Y681" i="12"/>
  <c r="Y772" i="12"/>
  <c r="Y799" i="12"/>
  <c r="Y2223" i="12"/>
  <c r="Y2287" i="12"/>
  <c r="Y1022" i="12"/>
  <c r="Y1738" i="12"/>
  <c r="Y2274" i="12"/>
  <c r="Y1065" i="12"/>
  <c r="Y2647" i="12"/>
  <c r="Y1565" i="12"/>
  <c r="Y2049" i="12"/>
  <c r="Y3234" i="12"/>
  <c r="Y562" i="12"/>
  <c r="Y1276" i="12"/>
  <c r="Y1994" i="12"/>
  <c r="Y2260" i="12"/>
  <c r="Y3347" i="12"/>
  <c r="Y22" i="12"/>
  <c r="Y365" i="12"/>
  <c r="Y176" i="12"/>
  <c r="Y240" i="12"/>
  <c r="Y1791" i="12"/>
  <c r="Y2958" i="12"/>
  <c r="Y2280" i="12"/>
  <c r="Y171" i="12"/>
  <c r="Y424" i="12"/>
  <c r="Y582" i="12"/>
  <c r="Y2038" i="12"/>
  <c r="Y1518" i="12"/>
  <c r="Y3048" i="12"/>
  <c r="Y683" i="12"/>
  <c r="Y2587" i="12"/>
  <c r="Y81" i="12"/>
  <c r="Y3360" i="12"/>
  <c r="Y2718" i="12"/>
  <c r="Y668" i="12"/>
  <c r="Y2634" i="12"/>
  <c r="Y1244" i="12"/>
  <c r="Y1246" i="12"/>
  <c r="Y1185" i="12"/>
  <c r="Y1430" i="12"/>
  <c r="Y3437" i="12"/>
  <c r="Y2802" i="12"/>
  <c r="Y2716" i="12"/>
  <c r="Y2563" i="12"/>
  <c r="Y1853" i="12"/>
  <c r="Y2792" i="12"/>
  <c r="Y3061" i="12"/>
  <c r="Y1653" i="12"/>
  <c r="Y3542" i="12"/>
  <c r="Y1207" i="12"/>
  <c r="Y2694" i="12"/>
  <c r="Y1557" i="12"/>
  <c r="Y3154" i="12"/>
  <c r="Y1709" i="12"/>
  <c r="Y383" i="12"/>
  <c r="Y2845" i="12"/>
  <c r="Y837" i="12"/>
  <c r="Y3059" i="12"/>
  <c r="Y3401" i="12"/>
  <c r="Y2294" i="12"/>
  <c r="Y2470" i="12"/>
  <c r="Y3139" i="12"/>
  <c r="Y2374" i="12"/>
  <c r="Y1685" i="12"/>
  <c r="Y1594" i="12"/>
  <c r="Y3457" i="12"/>
  <c r="Y3265" i="12"/>
  <c r="Y2970" i="12"/>
  <c r="Y1595" i="12"/>
  <c r="Y3129" i="12"/>
  <c r="Y2932" i="12"/>
  <c r="Y2934" i="12"/>
  <c r="Y1039" i="12"/>
  <c r="Y1511" i="12"/>
  <c r="Y2349" i="12"/>
  <c r="Y2089" i="12"/>
  <c r="Y2447" i="12"/>
  <c r="Y3314" i="12"/>
  <c r="Y2790" i="12"/>
  <c r="Y1781" i="12"/>
  <c r="Y2453" i="12"/>
  <c r="Y620" i="12"/>
  <c r="Y3005" i="12"/>
  <c r="Y2069" i="12"/>
  <c r="Y3132" i="12"/>
  <c r="Y3450" i="12"/>
  <c r="Y3534" i="12"/>
  <c r="Y1816" i="12"/>
  <c r="Y3075" i="12"/>
  <c r="Y2623" i="12"/>
  <c r="Y2898" i="12"/>
  <c r="Y931" i="12"/>
  <c r="Y3034" i="12"/>
  <c r="Y2295" i="12"/>
  <c r="Y3193" i="12"/>
  <c r="Y3191" i="12"/>
  <c r="Y1017" i="12"/>
  <c r="Y1657" i="12"/>
  <c r="Y1575" i="12"/>
  <c r="Y2334" i="12"/>
  <c r="Y2305" i="12"/>
  <c r="Y1841" i="12"/>
  <c r="Y2380" i="12"/>
  <c r="Y2854" i="12"/>
  <c r="Y1909" i="12"/>
  <c r="Y2819" i="12"/>
  <c r="Y1663" i="12"/>
  <c r="Y3370" i="12"/>
  <c r="Y2723" i="12"/>
  <c r="Y3548" i="12"/>
  <c r="Y3309" i="12"/>
  <c r="Y1133" i="12"/>
  <c r="Y1245" i="12"/>
  <c r="Y785" i="12"/>
  <c r="Y2345" i="12"/>
  <c r="Y2526" i="12"/>
  <c r="Y357" i="12"/>
  <c r="Y3141" i="12"/>
  <c r="Y153" i="12"/>
  <c r="Y2766" i="12"/>
  <c r="Y2074" i="12"/>
  <c r="Y3209" i="12"/>
  <c r="Y1463" i="12"/>
  <c r="Y2014" i="12"/>
  <c r="Y1993" i="12"/>
  <c r="Y3173" i="12"/>
  <c r="Y3485" i="12"/>
  <c r="Y639" i="12"/>
  <c r="Y1669" i="12"/>
  <c r="Y989" i="12"/>
  <c r="Y3315" i="12"/>
  <c r="Y2446" i="12"/>
  <c r="Y2497" i="12"/>
  <c r="Y2340" i="12"/>
  <c r="Y3072" i="12"/>
  <c r="Y2419" i="12"/>
  <c r="Y2444" i="12"/>
  <c r="Y1360" i="12"/>
  <c r="Y2692" i="12"/>
  <c r="Y3432" i="12"/>
  <c r="Y88" i="12"/>
  <c r="Y2119" i="12"/>
  <c r="Y2428" i="12"/>
  <c r="Y2841" i="12"/>
  <c r="Y2608" i="12"/>
  <c r="Y1522" i="12"/>
  <c r="Y194" i="12"/>
  <c r="Y1573" i="12"/>
  <c r="Y1280" i="12"/>
  <c r="Y948" i="12"/>
  <c r="Y908" i="12"/>
  <c r="Y2429" i="12"/>
  <c r="Y2788" i="12"/>
  <c r="Y1076" i="12"/>
  <c r="Y1000" i="12"/>
  <c r="Y2571" i="12"/>
  <c r="Y2081" i="12"/>
  <c r="Y896" i="12"/>
  <c r="Y1888" i="12"/>
  <c r="Y713" i="12"/>
  <c r="Y685" i="12"/>
  <c r="Y798" i="12"/>
  <c r="Y1804" i="12"/>
  <c r="Y1648" i="12"/>
  <c r="Y2238" i="12"/>
  <c r="Y1420" i="12"/>
  <c r="Y2485" i="12"/>
  <c r="Y244" i="12"/>
  <c r="Y477" i="12"/>
  <c r="Y188" i="12"/>
  <c r="Y190" i="12"/>
  <c r="Y2409" i="12"/>
  <c r="Y957" i="12"/>
  <c r="Y533" i="12"/>
  <c r="Y1387" i="12"/>
  <c r="Y1512" i="12"/>
  <c r="Y2856" i="12"/>
  <c r="Y584" i="12"/>
  <c r="Y1984" i="12"/>
  <c r="Y119" i="12"/>
  <c r="Y1198" i="12"/>
  <c r="Y2158" i="12"/>
  <c r="Y1632" i="12"/>
  <c r="Y2120" i="12"/>
  <c r="Y922" i="12"/>
  <c r="Y724" i="12"/>
  <c r="Y2921" i="12"/>
  <c r="Y784" i="12"/>
  <c r="Y2214" i="12"/>
  <c r="Y2199" i="12"/>
  <c r="Y1768" i="12"/>
  <c r="Y1344" i="12"/>
  <c r="Y302" i="12"/>
  <c r="Y2091" i="12"/>
  <c r="Y537" i="12"/>
  <c r="Y1966" i="12"/>
  <c r="Y893" i="12"/>
  <c r="Y2869" i="12"/>
  <c r="Y2760" i="12"/>
  <c r="Y3213" i="12"/>
  <c r="Y1980" i="12"/>
  <c r="Y2830" i="12"/>
  <c r="Y2263" i="12"/>
  <c r="Y648" i="12"/>
  <c r="Y1750" i="12"/>
  <c r="Y606" i="12"/>
  <c r="Y3227" i="12"/>
  <c r="Y2763" i="12"/>
  <c r="Y2182" i="12"/>
  <c r="Y2872" i="12"/>
  <c r="Y208" i="12"/>
  <c r="Y1647" i="12"/>
  <c r="Y65" i="12"/>
  <c r="Y599" i="12"/>
  <c r="Y2664" i="12"/>
  <c r="Y391" i="12"/>
  <c r="Y3536" i="12"/>
  <c r="Y2062" i="12"/>
  <c r="Y429" i="12"/>
  <c r="Y206" i="12"/>
  <c r="Y755" i="12"/>
  <c r="Y317" i="12"/>
  <c r="Y692" i="12"/>
  <c r="Y1854" i="12"/>
  <c r="Y1486" i="12"/>
  <c r="Y2784" i="12"/>
  <c r="Y1686" i="12"/>
  <c r="Y1733" i="12"/>
  <c r="Y3552" i="12"/>
  <c r="Y3299" i="12"/>
  <c r="Y1800" i="12"/>
  <c r="Y2683" i="12"/>
  <c r="Y2839" i="12"/>
  <c r="Y2903" i="12"/>
  <c r="Y1628" i="12"/>
  <c r="Y2740" i="12"/>
  <c r="Y361" i="12"/>
  <c r="Y611" i="12"/>
  <c r="Y739" i="12"/>
  <c r="Y2227" i="12"/>
  <c r="Y2653" i="12"/>
  <c r="Y1911" i="12"/>
  <c r="Y1507" i="12"/>
  <c r="Y2585" i="12"/>
  <c r="Y255" i="12"/>
  <c r="Y2461" i="12"/>
  <c r="Y2103" i="12"/>
  <c r="Y1284" i="12"/>
  <c r="Y1055" i="12"/>
  <c r="Y762" i="12"/>
  <c r="Y1129" i="12"/>
  <c r="Y1851" i="12"/>
  <c r="Y3433" i="12"/>
  <c r="Y1295" i="12"/>
  <c r="Y1195" i="12"/>
  <c r="Y2011" i="12"/>
  <c r="Y3085" i="12"/>
  <c r="Y1540" i="12"/>
  <c r="Y145" i="12"/>
  <c r="Y972" i="12"/>
  <c r="Y1788" i="12"/>
  <c r="Y1333" i="12"/>
  <c r="Y111" i="12"/>
  <c r="Y1073" i="12"/>
  <c r="Y3089" i="12"/>
  <c r="Y38" i="12"/>
  <c r="Y741" i="12"/>
  <c r="Y987" i="12"/>
  <c r="Y221" i="12"/>
  <c r="Y602" i="12"/>
  <c r="Y2592" i="12"/>
  <c r="Y230" i="12"/>
  <c r="Y478" i="12"/>
  <c r="Y765" i="12"/>
  <c r="Y1490" i="12"/>
  <c r="Y3084" i="12"/>
  <c r="Y2030" i="12"/>
  <c r="Y289" i="12"/>
  <c r="Y3022" i="12"/>
  <c r="Y1979" i="12"/>
  <c r="Y3483" i="12"/>
  <c r="Y3470" i="12"/>
  <c r="Y1298" i="12"/>
  <c r="Y2614" i="12"/>
  <c r="Y2597" i="12"/>
  <c r="Y744" i="12"/>
  <c r="Y2993" i="12"/>
  <c r="Y3329" i="12"/>
  <c r="Y166" i="12"/>
  <c r="Y2753" i="12"/>
  <c r="Y1048" i="12"/>
  <c r="Y1027" i="12"/>
  <c r="Y2466" i="12"/>
  <c r="Y2582" i="12"/>
  <c r="Y3036" i="12"/>
  <c r="Y1813" i="12"/>
  <c r="Y2565" i="12"/>
  <c r="Y1753" i="12"/>
  <c r="Y1233" i="12"/>
  <c r="Y2573" i="12"/>
  <c r="Y3533" i="12"/>
  <c r="Y965" i="12"/>
  <c r="Y3301" i="12"/>
  <c r="Y2910" i="12"/>
  <c r="Y2454" i="12"/>
  <c r="Y2426" i="12"/>
  <c r="Y3110" i="12"/>
  <c r="Y144" i="12"/>
  <c r="Y3338" i="12"/>
  <c r="Y1756" i="12"/>
  <c r="Y2794" i="12"/>
  <c r="Y1278" i="12"/>
  <c r="Y3017" i="12"/>
  <c r="Y1271" i="12"/>
  <c r="Y2758" i="12"/>
  <c r="Y2529" i="12"/>
  <c r="Y2779" i="12"/>
  <c r="Y3407" i="12"/>
  <c r="Y3144" i="12"/>
  <c r="Y1235" i="12"/>
  <c r="Y1543" i="12"/>
  <c r="Y101" i="12"/>
  <c r="Y1136" i="12"/>
  <c r="Y41" i="12"/>
  <c r="Y2665" i="12"/>
  <c r="Y694" i="12"/>
  <c r="Y1824" i="12"/>
  <c r="Y45" i="12"/>
  <c r="Y1640" i="12"/>
  <c r="Y2351" i="12"/>
  <c r="Y1772" i="12"/>
  <c r="Y938" i="12"/>
  <c r="Y183" i="12"/>
  <c r="Y146" i="12"/>
  <c r="Y548" i="12"/>
  <c r="Y2596" i="12"/>
  <c r="Y268" i="12"/>
  <c r="Y1668" i="12"/>
  <c r="Y1736" i="12"/>
  <c r="Y3283" i="12"/>
  <c r="Y2000" i="12"/>
  <c r="Y2184" i="12"/>
  <c r="Y2150" i="12"/>
  <c r="Y1223" i="12"/>
  <c r="Y1236" i="12"/>
  <c r="Y1875" i="12"/>
  <c r="Y3520" i="12"/>
  <c r="Y3341" i="12"/>
  <c r="Y185" i="12"/>
  <c r="Y1349" i="12"/>
  <c r="Y1941" i="12"/>
  <c r="Y899" i="12"/>
  <c r="Y2700" i="12"/>
  <c r="Y3512" i="12"/>
  <c r="Y1346" i="12"/>
  <c r="Y1225" i="12"/>
  <c r="Y1679" i="12"/>
  <c r="Y2807" i="12"/>
  <c r="Y2155" i="12"/>
  <c r="Y1827" i="12"/>
  <c r="Y2507" i="12"/>
  <c r="Y1830" i="12"/>
  <c r="Y670" i="12"/>
  <c r="Y867" i="12"/>
  <c r="Y2455" i="12"/>
  <c r="Y2603" i="12"/>
  <c r="Y1049" i="12"/>
  <c r="Y2732" i="12"/>
  <c r="Y19" i="12"/>
  <c r="Y1125" i="12"/>
  <c r="Y1018" i="12"/>
  <c r="Y1056" i="12"/>
  <c r="Y2944" i="12"/>
  <c r="Y93" i="12"/>
  <c r="Y892" i="12"/>
  <c r="Y1968" i="12"/>
  <c r="Y461" i="12"/>
  <c r="Y298" i="12"/>
  <c r="Y811" i="12"/>
  <c r="Y3121" i="12"/>
  <c r="Y3043" i="12"/>
  <c r="Y406" i="12"/>
  <c r="Y2924" i="12"/>
  <c r="Y958" i="12"/>
  <c r="Y123" i="12"/>
  <c r="Y385" i="12"/>
  <c r="Y2899" i="12"/>
  <c r="Y1525" i="12"/>
  <c r="Y3376" i="12"/>
  <c r="Y269" i="12"/>
  <c r="Y3230" i="12"/>
  <c r="Y2359" i="12"/>
  <c r="Y2439" i="12"/>
  <c r="Y2676" i="12"/>
  <c r="Y3012" i="12"/>
  <c r="Y1927" i="12"/>
  <c r="Y3127" i="12"/>
  <c r="Y1746" i="12"/>
  <c r="Y2423" i="12"/>
  <c r="Y2326" i="12"/>
  <c r="Y3350" i="12"/>
  <c r="Y1933" i="12"/>
  <c r="Y3346" i="12"/>
  <c r="Y3424" i="12"/>
  <c r="Y1758" i="12"/>
  <c r="Y1860" i="12"/>
  <c r="Y1821" i="12"/>
  <c r="Y2930" i="12"/>
  <c r="Y3165" i="12"/>
  <c r="Y3318" i="12"/>
  <c r="Y1866" i="12"/>
  <c r="Y2129" i="12"/>
  <c r="Y2602" i="12"/>
  <c r="Y527" i="12"/>
  <c r="Y2858" i="12"/>
  <c r="Y2341" i="12"/>
  <c r="Y2197" i="12"/>
  <c r="Y3513" i="12"/>
  <c r="Y425" i="12"/>
  <c r="Y2422" i="12"/>
  <c r="Y3149" i="12"/>
  <c r="Y895" i="12"/>
  <c r="Y1729" i="12"/>
  <c r="Y207" i="12"/>
  <c r="Y3319" i="12"/>
  <c r="Y773" i="12"/>
  <c r="Y399" i="12"/>
  <c r="Y1893" i="12"/>
  <c r="Y2668" i="12"/>
  <c r="Y2298" i="12"/>
  <c r="Y1322" i="12"/>
  <c r="Y2600" i="12"/>
  <c r="Y147" i="12"/>
  <c r="Y3220" i="12"/>
  <c r="Y405" i="12"/>
  <c r="Y2824" i="12"/>
  <c r="Y787" i="12"/>
  <c r="Y2848" i="12"/>
  <c r="Y2711" i="12"/>
  <c r="Y1067" i="12"/>
  <c r="Y3454" i="12"/>
  <c r="Y182" i="12"/>
  <c r="Y1438" i="12"/>
  <c r="Y1883" i="12"/>
  <c r="Y2188" i="12"/>
  <c r="Y56" i="12"/>
  <c r="Y1634" i="12"/>
  <c r="Y1238" i="12"/>
  <c r="Y1946" i="12"/>
  <c r="Y3252" i="12"/>
  <c r="Y431" i="12"/>
  <c r="Y3436" i="12"/>
  <c r="Y2031" i="12"/>
  <c r="Y2528" i="12"/>
  <c r="Y3468" i="12"/>
  <c r="Y500" i="12"/>
  <c r="Y1671" i="12"/>
  <c r="Y2561" i="12"/>
  <c r="Y2424" i="12"/>
  <c r="Y3345" i="12"/>
  <c r="Y3257" i="12"/>
  <c r="Y973" i="12"/>
  <c r="Y2523" i="12"/>
  <c r="Y2482" i="12"/>
  <c r="Y514" i="12"/>
  <c r="Y513" i="12"/>
  <c r="Y34" i="12"/>
  <c r="Y1789" i="12"/>
  <c r="Y2715" i="12"/>
  <c r="Y547" i="12"/>
  <c r="Y1103" i="12"/>
  <c r="Y2698" i="12"/>
  <c r="Y2662" i="12"/>
  <c r="Y2111" i="12"/>
  <c r="Y2866" i="12"/>
  <c r="Y1155" i="12"/>
  <c r="Y1407" i="12"/>
  <c r="Y1297" i="12"/>
  <c r="Y436" i="12"/>
  <c r="Y1348" i="12"/>
  <c r="Y1467" i="12"/>
  <c r="Y1558" i="12"/>
  <c r="Y2017" i="12"/>
  <c r="Y1605" i="12"/>
  <c r="Y3087" i="12"/>
  <c r="Y3058" i="12"/>
  <c r="Y1923" i="12"/>
  <c r="Y993" i="12"/>
  <c r="Y3541" i="12"/>
  <c r="Y3395" i="12"/>
  <c r="Y3507" i="12"/>
  <c r="Y3113" i="12"/>
  <c r="Y1493" i="12"/>
  <c r="Y3025" i="12"/>
  <c r="Y2445" i="12"/>
  <c r="Y1785" i="12"/>
  <c r="Y2265" i="12"/>
  <c r="Y242" i="12"/>
  <c r="Y1004" i="12"/>
  <c r="Y451" i="12"/>
  <c r="Y2747" i="12"/>
  <c r="Y2304" i="12"/>
  <c r="Y730" i="12"/>
  <c r="Y2512" i="12"/>
  <c r="Y722" i="12"/>
  <c r="Y1616" i="12"/>
  <c r="Y1193" i="12"/>
  <c r="Y815" i="12"/>
  <c r="Y2136" i="12"/>
  <c r="Y2975" i="12"/>
  <c r="Y2311" i="12"/>
  <c r="Y2375" i="12"/>
  <c r="Y2783" i="12"/>
  <c r="Y2836" i="12"/>
  <c r="Y2060" i="12"/>
  <c r="Y914" i="12"/>
  <c r="Y1007" i="12"/>
  <c r="Y279" i="12"/>
  <c r="Y1849" i="12"/>
  <c r="Y360" i="12"/>
  <c r="Y1537" i="12"/>
  <c r="Y2134" i="12"/>
  <c r="Y3480" i="12"/>
  <c r="Y1272" i="12"/>
  <c r="Y2939" i="12"/>
  <c r="Y2435" i="12"/>
  <c r="Y438" i="12"/>
  <c r="Y1586" i="12"/>
  <c r="Y2317" i="12"/>
  <c r="Y3486" i="12"/>
  <c r="Y2206" i="12"/>
  <c r="Y3498" i="12"/>
  <c r="Y1123" i="12"/>
  <c r="Y727" i="12"/>
  <c r="Y283" i="12"/>
  <c r="Y272" i="12"/>
  <c r="Y2963" i="12"/>
  <c r="Y3063" i="12"/>
  <c r="Y2370" i="12"/>
  <c r="Y1637" i="12"/>
  <c r="Y801" i="12"/>
  <c r="Y143" i="12"/>
  <c r="Y2642" i="12"/>
  <c r="Y3367" i="12"/>
  <c r="Y3091" i="12"/>
  <c r="Y1713" i="12"/>
  <c r="Y1176" i="12"/>
  <c r="Y3082" i="12"/>
  <c r="Y3435" i="12"/>
  <c r="Y1562" i="12"/>
  <c r="Y2804" i="12"/>
  <c r="Y3228" i="12"/>
  <c r="Y2534" i="12"/>
  <c r="Y2843" i="12"/>
  <c r="Y2829" i="12"/>
  <c r="Y3362" i="12"/>
  <c r="Y449" i="12"/>
  <c r="Y2998" i="12"/>
  <c r="Y2161" i="12"/>
  <c r="Y2137" i="12"/>
  <c r="Y2780" i="12"/>
  <c r="Y2810" i="12"/>
  <c r="Y2731" i="12"/>
  <c r="Y2785" i="12"/>
  <c r="Y3521" i="12"/>
  <c r="Y2750" i="12"/>
  <c r="Y1986" i="12"/>
  <c r="Y800" i="12"/>
  <c r="Y2015" i="12"/>
  <c r="Y718" i="12"/>
  <c r="Y1734" i="12"/>
  <c r="Y3236" i="12"/>
  <c r="Y109" i="12"/>
  <c r="Y3259" i="12"/>
  <c r="Y2399" i="12"/>
  <c r="Y998" i="12"/>
  <c r="Y473" i="12"/>
  <c r="Y241" i="12"/>
  <c r="Y98" i="12"/>
  <c r="Y1472" i="12"/>
  <c r="Y3467" i="12"/>
  <c r="Y1742" i="12"/>
  <c r="Y170" i="12"/>
  <c r="Y267" i="12"/>
  <c r="Y719" i="12"/>
  <c r="Y343" i="12"/>
  <c r="Y2185" i="12"/>
  <c r="Y50" i="12"/>
  <c r="Y1847" i="12"/>
  <c r="Y3106" i="12"/>
  <c r="Y113" i="12"/>
  <c r="Y1385" i="12"/>
  <c r="Y2373" i="12"/>
  <c r="Y3179" i="12"/>
  <c r="Y3364" i="12"/>
  <c r="Y590" i="12"/>
  <c r="Y2851" i="12"/>
  <c r="Y2275" i="12"/>
  <c r="Y2798" i="12"/>
  <c r="Y291" i="12"/>
  <c r="Y748" i="12"/>
  <c r="Y1499" i="12"/>
  <c r="Y557" i="12"/>
  <c r="Y3286" i="12"/>
  <c r="Y2940" i="12"/>
  <c r="Y2842" i="12"/>
  <c r="Y825" i="12"/>
  <c r="Y2769" i="12"/>
  <c r="Y861" i="12"/>
  <c r="Y1181" i="12"/>
  <c r="Y2174" i="12"/>
  <c r="Y2722" i="12"/>
  <c r="Y2673" i="12"/>
  <c r="Y2853" i="12"/>
  <c r="Y918" i="12"/>
  <c r="Y2021" i="12"/>
  <c r="Y2023" i="12"/>
  <c r="Y1015" i="12"/>
  <c r="Y1255" i="12"/>
  <c r="Y777" i="12"/>
  <c r="Y3459" i="12"/>
  <c r="Y3544" i="12"/>
  <c r="Y3225" i="12"/>
  <c r="Y3382" i="12"/>
  <c r="Y2130" i="12"/>
  <c r="Y2837" i="12"/>
  <c r="Y3274" i="12"/>
  <c r="Y1843" i="12"/>
  <c r="Y3250" i="12"/>
  <c r="Y3238" i="12"/>
  <c r="Y2995" i="12"/>
  <c r="Y2325" i="12"/>
  <c r="Y1971" i="12"/>
  <c r="Y2918" i="12"/>
  <c r="Y396" i="12"/>
  <c r="Y1450" i="12"/>
  <c r="Y550" i="12"/>
  <c r="Y53" i="12"/>
  <c r="Y1976" i="12"/>
  <c r="Y1291" i="12"/>
  <c r="Y174" i="12"/>
  <c r="Y1265" i="12"/>
  <c r="Y693" i="12"/>
  <c r="Y492" i="12"/>
  <c r="Y120" i="12"/>
  <c r="Y2146" i="12"/>
  <c r="Y1664" i="12"/>
  <c r="Y874" i="12"/>
  <c r="Y2095" i="12"/>
  <c r="Y2915" i="12"/>
  <c r="Y854" i="12"/>
  <c r="Y920" i="12"/>
  <c r="Y2425" i="12"/>
  <c r="Y1673" i="12"/>
  <c r="Y2331" i="12"/>
  <c r="Y315" i="12"/>
  <c r="Y3115" i="12"/>
  <c r="Y2712" i="12"/>
  <c r="Y1554" i="12"/>
  <c r="Y2799" i="12"/>
  <c r="Y878" i="12"/>
  <c r="Y1807" i="12"/>
  <c r="Y2876" i="12"/>
  <c r="Y3448" i="12"/>
  <c r="Y2289" i="12"/>
  <c r="Y3426" i="12"/>
  <c r="Y1229" i="12"/>
  <c r="Y2935" i="12"/>
  <c r="Y374" i="12"/>
  <c r="Y1182" i="12"/>
  <c r="Y1187" i="12"/>
  <c r="Y515" i="12"/>
  <c r="Y2063" i="12"/>
  <c r="Y2666" i="12"/>
  <c r="Y2239" i="12"/>
  <c r="Y1459" i="12"/>
  <c r="Y2190" i="12"/>
  <c r="Y1748" i="12"/>
  <c r="Y1161" i="12"/>
  <c r="Y1167" i="12"/>
  <c r="Y2762" i="12"/>
  <c r="Y2971" i="12"/>
  <c r="Y3125" i="12"/>
  <c r="Y2706" i="12"/>
  <c r="Y2606" i="12"/>
  <c r="Y2270" i="12"/>
  <c r="Y2658" i="12"/>
  <c r="Y2191" i="12"/>
  <c r="Y2431" i="12"/>
  <c r="Y1370" i="12"/>
  <c r="Y2458" i="12"/>
  <c r="Y521" i="12"/>
  <c r="Y1610" i="12"/>
  <c r="Y2742" i="12"/>
  <c r="Y1873" i="12"/>
  <c r="Y2491" i="12"/>
  <c r="Y3026" i="12"/>
  <c r="Y3505" i="12"/>
  <c r="Y3405" i="12"/>
  <c r="Y3237" i="12"/>
  <c r="Y1489" i="12"/>
  <c r="Y1057" i="12"/>
  <c r="Y2556" i="12"/>
  <c r="Y225" i="12"/>
  <c r="Y672" i="12"/>
  <c r="Y1248" i="12"/>
  <c r="Y2143" i="12"/>
  <c r="Y750" i="12"/>
  <c r="Y167" i="12"/>
  <c r="Y2080" i="12"/>
  <c r="Y2404" i="12"/>
  <c r="Y2637" i="12"/>
  <c r="Y1068" i="12"/>
  <c r="Y1458" i="12"/>
  <c r="Y39" i="12"/>
  <c r="Y2713" i="12"/>
  <c r="Y746" i="12"/>
  <c r="Y2328" i="12"/>
  <c r="Y142" i="12"/>
  <c r="Y3531" i="12"/>
  <c r="Y1074" i="12"/>
  <c r="Y1365" i="12"/>
  <c r="Y134" i="12"/>
  <c r="Y995" i="12"/>
  <c r="Y1560" i="12"/>
  <c r="Y1818" i="12"/>
  <c r="Y2531" i="12"/>
  <c r="Y2363" i="12"/>
  <c r="Y3159" i="12"/>
  <c r="Y3501" i="12"/>
  <c r="Y3371" i="12"/>
  <c r="Y2543" i="12"/>
  <c r="Y1434" i="12"/>
  <c r="Y1618" i="12"/>
  <c r="Y2052" i="12"/>
  <c r="Y471" i="12"/>
  <c r="Y2166" i="12"/>
  <c r="Y962" i="12"/>
  <c r="Y2986" i="12"/>
  <c r="Y951" i="12"/>
  <c r="Y1919" i="12"/>
  <c r="Y2041" i="12"/>
  <c r="Y1453" i="12"/>
  <c r="Y1649" i="12"/>
  <c r="Y2909" i="12"/>
  <c r="Y2682" i="12"/>
  <c r="Y1377" i="12"/>
  <c r="Y447" i="12"/>
  <c r="Y3475" i="12"/>
  <c r="Y2358" i="12"/>
  <c r="Y3281" i="12"/>
  <c r="Y2777" i="12"/>
  <c r="Y2678" i="12"/>
  <c r="Y3255" i="12"/>
  <c r="Y2077" i="12"/>
  <c r="Y3105" i="12"/>
  <c r="Y3021" i="12"/>
  <c r="Y2282" i="12"/>
  <c r="Y598" i="12"/>
  <c r="Y807" i="12"/>
  <c r="Y563" i="12"/>
  <c r="Y2806" i="12"/>
  <c r="Y3300" i="12"/>
  <c r="Y2599" i="12"/>
  <c r="Y1703" i="12"/>
  <c r="Y1957" i="12"/>
  <c r="Y1464" i="12"/>
  <c r="Y843" i="12"/>
  <c r="Y2580" i="12"/>
  <c r="Y2114" i="12"/>
  <c r="Y181" i="12"/>
  <c r="Y2259" i="12"/>
  <c r="Y876" i="12"/>
  <c r="Y1520" i="12"/>
  <c r="Y3088" i="12"/>
  <c r="Y1054" i="12"/>
  <c r="Y219" i="12"/>
  <c r="Y618" i="12"/>
  <c r="Y704" i="12"/>
  <c r="Y754" i="12"/>
  <c r="Y369" i="12"/>
  <c r="Y3275" i="12"/>
  <c r="Y2159" i="12"/>
  <c r="Y3540" i="12"/>
  <c r="Y1889" i="12"/>
  <c r="Y483" i="12"/>
  <c r="Y2168" i="12"/>
  <c r="Y1302" i="12"/>
  <c r="Y1079" i="12"/>
  <c r="Y1269" i="12"/>
  <c r="Y2046" i="12"/>
  <c r="Y1645" i="12"/>
  <c r="Y1774" i="12"/>
  <c r="Y1999" i="12"/>
  <c r="Y2638" i="12"/>
  <c r="Y983" i="12"/>
  <c r="Y1090" i="12"/>
  <c r="Y1293" i="12"/>
  <c r="Y1929" i="12"/>
  <c r="Y2010" i="12"/>
  <c r="Y900" i="12"/>
  <c r="Y2874" i="12"/>
  <c r="Y2889" i="12"/>
  <c r="Y1745" i="12"/>
  <c r="Y913" i="12"/>
  <c r="Y2273" i="12"/>
  <c r="Y3102" i="12"/>
  <c r="Y3090" i="12"/>
  <c r="Y3388" i="12"/>
  <c r="Y3177" i="12"/>
  <c r="Y1881" i="12"/>
  <c r="Y929" i="12"/>
  <c r="Y3477" i="12"/>
  <c r="Y1447" i="12"/>
  <c r="Y3134" i="12"/>
  <c r="Y2502" i="12"/>
  <c r="Y1837" i="12"/>
  <c r="Y3081" i="12"/>
  <c r="Y139" i="12"/>
  <c r="Y2737" i="12"/>
  <c r="Y178" i="12"/>
  <c r="Y759" i="12"/>
  <c r="Y2604" i="12"/>
  <c r="Y2714" i="12"/>
  <c r="Y573" i="12"/>
  <c r="Y472" i="12"/>
  <c r="Y1169" i="12"/>
  <c r="Y1081" i="12"/>
  <c r="Y2865" i="12"/>
  <c r="Y2433" i="12"/>
  <c r="Y2601" i="12"/>
  <c r="Y2117" i="12"/>
  <c r="Y344" i="12"/>
  <c r="Y1082" i="12"/>
  <c r="Y3100" i="12"/>
  <c r="Y1532" i="12"/>
  <c r="Y3184" i="12"/>
  <c r="Y2720" i="12"/>
  <c r="Y1867" i="12"/>
  <c r="Y560" i="12"/>
  <c r="Y1168" i="12"/>
  <c r="Y2036" i="12"/>
  <c r="Y140" i="12"/>
  <c r="Y2216" i="12"/>
  <c r="Y518" i="12"/>
  <c r="Y2574" i="12"/>
  <c r="Y306" i="12"/>
  <c r="Y1323" i="12"/>
  <c r="Y1391" i="12"/>
  <c r="Y769" i="12"/>
  <c r="Y3280" i="12"/>
  <c r="Y627" i="12"/>
  <c r="Y2519" i="12"/>
  <c r="Y886" i="12"/>
  <c r="Y1311" i="12"/>
  <c r="Y400" i="12"/>
  <c r="Y2140" i="12"/>
  <c r="Y646" i="12"/>
  <c r="Y909" i="12"/>
  <c r="Y1534" i="12"/>
  <c r="Y1694" i="12"/>
  <c r="Y2006" i="12"/>
  <c r="Y818" i="12"/>
  <c r="Y702" i="12"/>
  <c r="Y675" i="12"/>
  <c r="Y213" i="12"/>
  <c r="Y1662" i="12"/>
  <c r="Y2438" i="12"/>
  <c r="Y2738" i="12"/>
  <c r="Y3303" i="12"/>
  <c r="Y3402" i="12"/>
  <c r="Y1934" i="12"/>
  <c r="Y2822" i="12"/>
  <c r="Y3524" i="12"/>
  <c r="Y2127" i="12"/>
  <c r="Y2897" i="12"/>
  <c r="Y3550" i="12"/>
  <c r="Y2500" i="12"/>
  <c r="Y1343" i="12"/>
  <c r="Y3049" i="12"/>
  <c r="Y350" i="12"/>
  <c r="Y3151" i="12"/>
  <c r="Y2290" i="12"/>
  <c r="Y2657" i="12"/>
  <c r="Y2826" i="12"/>
  <c r="Y571" i="12"/>
  <c r="Y3073" i="12"/>
  <c r="Y1289" i="12"/>
  <c r="Y1285" i="12"/>
  <c r="Y2518" i="12"/>
  <c r="Y1059" i="12"/>
  <c r="Y1539" i="12"/>
  <c r="Y2495" i="12"/>
  <c r="Y2954" i="12"/>
  <c r="Y3266" i="12"/>
  <c r="Y1364" i="12"/>
  <c r="Y1220" i="12"/>
  <c r="Y2215" i="12"/>
  <c r="Y3153" i="12"/>
  <c r="Y2397" i="12"/>
  <c r="Y91" i="12"/>
  <c r="Y3033" i="12"/>
  <c r="Y2630" i="12"/>
  <c r="Y1872" i="12"/>
  <c r="Y2133" i="12"/>
  <c r="Y3262" i="12"/>
  <c r="S26" i="12"/>
  <c r="S29" i="12"/>
  <c r="S30" i="12"/>
  <c r="S31" i="12"/>
  <c r="T22" i="12"/>
  <c r="K11" i="12"/>
  <c r="J3" i="12"/>
  <c r="K3" i="12"/>
  <c r="J10" i="12"/>
  <c r="H3" i="12" l="1"/>
  <c r="G3" i="12"/>
  <c r="G10" i="12"/>
  <c r="I3" i="12" l="1"/>
  <c r="K12" i="12" l="1"/>
  <c r="K15" i="12"/>
  <c r="J11" i="12"/>
  <c r="K10" i="12"/>
  <c r="J14" i="12"/>
  <c r="K16" i="12"/>
  <c r="K13" i="12"/>
  <c r="K14" i="12"/>
  <c r="J12" i="12"/>
  <c r="J15" i="12"/>
  <c r="J16" i="12"/>
  <c r="J13" i="12"/>
  <c r="G13" i="12" l="1"/>
  <c r="G16" i="12"/>
  <c r="G15" i="12"/>
  <c r="G12" i="12"/>
  <c r="H14" i="12"/>
  <c r="H13" i="12"/>
  <c r="H16" i="12"/>
  <c r="I16" i="12" s="1"/>
  <c r="G14" i="12"/>
  <c r="I14" i="12" s="1"/>
  <c r="H10" i="12"/>
  <c r="I10" i="12" s="1"/>
  <c r="H11" i="12"/>
  <c r="G11" i="12"/>
  <c r="H15" i="12"/>
  <c r="I15" i="12" s="1"/>
  <c r="H12" i="12"/>
  <c r="I12" i="12" s="1"/>
  <c r="I11" i="12" l="1"/>
  <c r="I13" i="12"/>
  <c r="D28" i="3" l="1"/>
  <c r="D27" i="3"/>
  <c r="K5" i="12"/>
  <c r="J5" i="12"/>
  <c r="H5" i="12"/>
  <c r="J8" i="12"/>
  <c r="G8" i="12"/>
  <c r="K4" i="12"/>
  <c r="J4" i="12"/>
  <c r="H4" i="12"/>
  <c r="K7" i="12"/>
  <c r="J7" i="12"/>
  <c r="H7" i="12"/>
  <c r="G4" i="12"/>
  <c r="J6" i="12"/>
  <c r="G6" i="12"/>
  <c r="K8" i="12"/>
  <c r="H8" i="12"/>
  <c r="G5" i="12"/>
  <c r="G7" i="12"/>
  <c r="K6" i="12"/>
  <c r="H6" i="12"/>
  <c r="K9" i="12"/>
  <c r="J9" i="12"/>
  <c r="H9" i="12"/>
  <c r="G9" i="12"/>
  <c r="I4" i="12"/>
  <c r="I9" i="12"/>
  <c r="I8" i="12"/>
  <c r="I7" i="12"/>
  <c r="I5" i="12"/>
  <c r="I6" i="12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<sst xmlns="http://schemas.openxmlformats.org/spreadsheetml/2006/main" count="179" uniqueCount="124">
  <si>
    <t>Earliest Date</t>
  </si>
  <si>
    <t>Latest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</si>
  <si>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</si>
  <si>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</si>
  <si>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</si>
  <si>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</si>
  <si>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</si>
  <si>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</si>
  <si>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</si>
  <si>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</si>
  <si>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</si>
  <si>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</si>
  <si>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</si>
  <si>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</si>
  <si>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</si>
  <si>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</si>
  <si>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</si>
  <si>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</si>
  <si>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</si>
  <si>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</si>
  <si>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Selection</t>
  </si>
  <si>
    <t>Accuracy</t>
  </si>
  <si>
    <t>RateHelperPrefix</t>
  </si>
  <si>
    <t>1Y</t>
  </si>
  <si>
    <t>AllDepos</t>
  </si>
  <si>
    <t>Conv. Adj. / Spread</t>
  </si>
  <si>
    <t>ObjectOverwrite</t>
  </si>
  <si>
    <t>nIMMFutures</t>
  </si>
  <si>
    <t>nSerialFutures</t>
  </si>
  <si>
    <t>IndexTenor</t>
  </si>
  <si>
    <t>Discount</t>
  </si>
  <si>
    <t>Jump Quotes</t>
  </si>
  <si>
    <t>Jump Dates</t>
  </si>
  <si>
    <t>Months</t>
  </si>
  <si>
    <t>IborType</t>
  </si>
  <si>
    <t>SwapFixedFreq</t>
  </si>
  <si>
    <t>AM</t>
  </si>
  <si>
    <t>Jump Values</t>
  </si>
  <si>
    <t>Min Distance</t>
  </si>
  <si>
    <t>Rate</t>
  </si>
  <si>
    <t>HKD</t>
  </si>
  <si>
    <t>1H</t>
  </si>
  <si>
    <t>HongKong::HKEx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</si>
  <si>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</si>
  <si>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</si>
  <si>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</si>
  <si>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</si>
  <si>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</si>
  <si>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</si>
  <si>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</si>
  <si>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</si>
  <si>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</si>
  <si>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</si>
  <si>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MonotonicLogCubicNaturalSpline</t>
  </si>
  <si>
    <t>Discounting2</t>
  </si>
  <si>
    <t>Discounting</t>
  </si>
  <si>
    <t>_Quote</t>
  </si>
  <si>
    <t>QuoteSuffix</t>
  </si>
  <si>
    <t>Actual/365 (Fixed)</t>
  </si>
  <si>
    <t>MoneyMarketDayCounter</t>
  </si>
  <si>
    <t>BondBasisDayCounter</t>
  </si>
  <si>
    <t>Hibor</t>
  </si>
  <si>
    <t>FamilyName</t>
  </si>
  <si>
    <t>ADDITIONAL SETTINGS</t>
  </si>
  <si>
    <t>FileOverwrite</t>
  </si>
  <si>
    <t>SerializationPath</t>
  </si>
  <si>
    <t>Serialize</t>
  </si>
  <si>
    <t>GENERAL SETTINGS</t>
  </si>
  <si>
    <t>Modified Following</t>
  </si>
  <si>
    <t>Annual</t>
  </si>
  <si>
    <t>AM1H</t>
  </si>
  <si>
    <t>dc</t>
  </si>
  <si>
    <t>eom</t>
  </si>
  <si>
    <t>bdc</t>
  </si>
  <si>
    <t>calendar</t>
  </si>
  <si>
    <t>fix days</t>
  </si>
  <si>
    <t>Quote Object ID</t>
  </si>
  <si>
    <t>Spread</t>
  </si>
  <si>
    <t>Day Count Convention</t>
  </si>
  <si>
    <t>Business Day Convention</t>
  </si>
  <si>
    <t>Freq</t>
  </si>
  <si>
    <t>Length</t>
  </si>
  <si>
    <t>Fwd start</t>
  </si>
  <si>
    <t>1M</t>
  </si>
  <si>
    <t>60Y</t>
  </si>
  <si>
    <t>30Y</t>
  </si>
  <si>
    <t>20Y</t>
  </si>
  <si>
    <t>10Y</t>
  </si>
  <si>
    <t>5Y</t>
  </si>
  <si>
    <t>2Y</t>
  </si>
  <si>
    <t>1D</t>
  </si>
  <si>
    <t>Extrapolation</t>
  </si>
  <si>
    <t>Instruments</t>
  </si>
  <si>
    <t>Rate Helpers
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</si>
  <si>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</si>
  <si>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</si>
  <si>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</si>
  <si>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</si>
  <si>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</si>
  <si>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</si>
  <si>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</si>
  <si>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</si>
  <si>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</si>
  <si>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</si>
  <si>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</si>
  <si>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</si>
  <si>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</si>
  <si>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Swaps</t>
  </si>
  <si>
    <t>Value Date</t>
  </si>
  <si>
    <t>Tenor</t>
  </si>
  <si>
    <t>Swap Index</t>
  </si>
  <si>
    <t>Repricing error</t>
  </si>
  <si>
    <t>Max error</t>
  </si>
  <si>
    <t>Sampling Frequency</t>
  </si>
  <si>
    <t>Fixing Date</t>
  </si>
  <si>
    <t>1M Fwd</t>
  </si>
  <si>
    <t>Recalc trigger</t>
  </si>
  <si>
    <t>1w</t>
  </si>
  <si>
    <t>Ibor Index</t>
  </si>
  <si>
    <t>---</t>
  </si>
  <si>
    <t/>
  </si>
  <si>
    <t>Mkt Deposits</t>
  </si>
  <si>
    <t>Null</t>
  </si>
  <si>
    <t>Repriced quote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</si>
</sst>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General_)"/>
    <numFmt numFmtId="172" formatCode="#,##0.0;#,##0.0"/>
    <numFmt numFmtId="173" formatCode="&quot;£&quot;#,##0;[Red]\-&quot;£&quot;#,##0"/>
    <numFmt numFmtId="174" formatCode="[$-409]d\-mmm\-yy;@"/>
    <numFmt numFmtId="175" formatCode="[$-F800]dddd\,\ mmmm\ dd\,\ yyyy"/>
    <numFmt numFmtId="176" formatCode="mm/dd/yy;@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color theme="1"/>
      <name val="Courier New"/>
      <family val="3"/>
    </font>
    <font>
      <sz val="11"/>
      <color rgb="FF000000"/>
      <name val="Calibri"/>
      <family val="2"/>
    </font>
    <font>
      <b/>
      <sz val="8"/>
      <color rgb="FFFF0000"/>
      <name val="Courier New"/>
      <family val="3"/>
    </font>
    <font>
      <b/>
      <sz val="12"/>
      <color indexed="16"/>
      <name val="MS Sans Serif"/>
      <family val="2"/>
    </font>
    <font>
      <i/>
      <sz val="8"/>
      <name val="Courier New"/>
      <family val="3"/>
    </font>
    <font>
      <sz val="8"/>
      <color rgb="FF000000"/>
      <name val="Segoe UI"/>
      <family val="2"/>
    </font>
    <font>
      <b/>
      <u/>
      <sz val="8"/>
      <name val="Courier New"/>
      <family val="3"/>
    </font>
    <font>
      <sz val="14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6">
    <xf numFmtId="0" fontId="0" fillId="0" borderId="0"/>
    <xf numFmtId="0" fontId="4" fillId="0" borderId="0"/>
    <xf numFmtId="9" fontId="3" fillId="0" borderId="0" applyFont="0" applyFill="0" applyBorder="0" applyAlignment="0" applyProtection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1" fontId="11" fillId="0" borderId="0"/>
    <xf numFmtId="172" fontId="12" fillId="8" borderId="0">
      <alignment horizontal="center" vertical="center"/>
    </xf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3" fillId="0" borderId="0"/>
    <xf numFmtId="0" fontId="1" fillId="0" borderId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172" fontId="16" fillId="8" borderId="0">
      <alignment horizontal="center" vertical="center"/>
    </xf>
  </cellStyleXfs>
  <cellXfs count="219">
    <xf numFmtId="0" fontId="0" fillId="0" borderId="0" xfId="0"/>
    <xf numFmtId="0" fontId="8" fillId="0" borderId="0" xfId="0" applyFont="1"/>
    <xf numFmtId="0" fontId="7" fillId="3" borderId="18" xfId="0" applyFont="1" applyFill="1" applyBorder="1" applyAlignment="1">
      <alignment horizontal="center" vertical="center" wrapText="1"/>
    </xf>
    <xf numFmtId="0" fontId="7" fillId="3" borderId="19" xfId="0" applyFont="1" applyFill="1" applyBorder="1" applyAlignment="1">
      <alignment horizontal="center" vertical="center" wrapText="1"/>
    </xf>
    <xf numFmtId="0" fontId="7" fillId="3" borderId="20" xfId="0" applyFont="1" applyFill="1" applyBorder="1" applyAlignment="1">
      <alignment horizontal="center" vertical="center" wrapText="1"/>
    </xf>
    <xf numFmtId="167" fontId="8" fillId="0" borderId="0" xfId="0" applyNumberFormat="1" applyFont="1"/>
    <xf numFmtId="0" fontId="7" fillId="4" borderId="21" xfId="0" applyFont="1" applyFill="1" applyBorder="1" applyAlignment="1">
      <alignment horizontal="right"/>
    </xf>
    <xf numFmtId="3" fontId="8" fillId="6" borderId="22" xfId="0" applyNumberFormat="1" applyFont="1" applyFill="1" applyBorder="1" applyAlignment="1">
      <alignment horizontal="center"/>
    </xf>
    <xf numFmtId="0" fontId="8" fillId="2" borderId="8" xfId="0" applyFont="1" applyFill="1" applyBorder="1" applyAlignment="1"/>
    <xf numFmtId="164" fontId="8" fillId="2" borderId="0" xfId="0" applyNumberFormat="1" applyFont="1" applyFill="1" applyBorder="1" applyAlignment="1"/>
    <xf numFmtId="166" fontId="8" fillId="2" borderId="0" xfId="0" applyNumberFormat="1" applyFont="1" applyFill="1" applyBorder="1" applyAlignment="1"/>
    <xf numFmtId="166" fontId="8" fillId="2" borderId="9" xfId="0" applyNumberFormat="1" applyFont="1" applyFill="1" applyBorder="1" applyAlignment="1"/>
    <xf numFmtId="0" fontId="7" fillId="4" borderId="23" xfId="0" applyFont="1" applyFill="1" applyBorder="1" applyAlignment="1">
      <alignment horizontal="right"/>
    </xf>
    <xf numFmtId="3" fontId="8" fillId="6" borderId="24" xfId="0" applyNumberFormat="1" applyFont="1" applyFill="1" applyBorder="1" applyAlignment="1">
      <alignment horizontal="center"/>
    </xf>
    <xf numFmtId="0" fontId="8" fillId="2" borderId="14" xfId="0" applyFont="1" applyFill="1" applyBorder="1" applyAlignment="1"/>
    <xf numFmtId="164" fontId="8" fillId="2" borderId="17" xfId="0" applyNumberFormat="1" applyFont="1" applyFill="1" applyBorder="1" applyAlignment="1"/>
    <xf numFmtId="166" fontId="8" fillId="2" borderId="17" xfId="0" applyNumberFormat="1" applyFont="1" applyFill="1" applyBorder="1" applyAlignment="1"/>
    <xf numFmtId="166" fontId="8" fillId="2" borderId="15" xfId="0" applyNumberFormat="1" applyFont="1" applyFill="1" applyBorder="1" applyAlignment="1"/>
    <xf numFmtId="0" fontId="8" fillId="0" borderId="0" xfId="0" applyFont="1" applyAlignment="1">
      <alignment horizontal="left"/>
    </xf>
    <xf numFmtId="0" fontId="7" fillId="3" borderId="7" xfId="0" applyFont="1" applyFill="1" applyBorder="1" applyAlignment="1">
      <alignment horizontal="center" vertical="center" wrapText="1"/>
    </xf>
    <xf numFmtId="164" fontId="8" fillId="2" borderId="0" xfId="2" applyNumberFormat="1" applyFont="1" applyFill="1" applyBorder="1" applyAlignment="1">
      <alignment horizontal="right"/>
    </xf>
    <xf numFmtId="0" fontId="8" fillId="2" borderId="0" xfId="0" applyFont="1" applyFill="1" applyBorder="1" applyAlignment="1">
      <alignment horizontal="center"/>
    </xf>
    <xf numFmtId="170" fontId="8" fillId="2" borderId="0" xfId="0" applyNumberFormat="1" applyFont="1" applyFill="1" applyBorder="1" applyAlignment="1">
      <alignment horizontal="right"/>
    </xf>
    <xf numFmtId="170" fontId="8" fillId="2" borderId="4" xfId="0" applyNumberFormat="1" applyFont="1" applyFill="1" applyBorder="1" applyAlignment="1">
      <alignment horizontal="right"/>
    </xf>
    <xf numFmtId="164" fontId="8" fillId="2" borderId="1" xfId="2" applyNumberFormat="1" applyFont="1" applyFill="1" applyBorder="1" applyAlignment="1">
      <alignment horizontal="right"/>
    </xf>
    <xf numFmtId="0" fontId="8" fillId="2" borderId="1" xfId="0" applyFont="1" applyFill="1" applyBorder="1" applyAlignment="1">
      <alignment horizontal="center"/>
    </xf>
    <xf numFmtId="170" fontId="8" fillId="2" borderId="1" xfId="0" applyNumberFormat="1" applyFont="1" applyFill="1" applyBorder="1" applyAlignment="1">
      <alignment horizontal="right"/>
    </xf>
    <xf numFmtId="170" fontId="8" fillId="2" borderId="6" xfId="0" applyNumberFormat="1" applyFont="1" applyFill="1" applyBorder="1" applyAlignment="1">
      <alignment horizontal="right"/>
    </xf>
    <xf numFmtId="0" fontId="8" fillId="2" borderId="1" xfId="0" applyFont="1" applyFill="1" applyBorder="1" applyAlignment="1">
      <alignment horizontal="left"/>
    </xf>
    <xf numFmtId="0" fontId="8" fillId="2" borderId="0" xfId="0" applyFont="1" applyFill="1" applyBorder="1" applyAlignment="1">
      <alignment horizontal="left"/>
    </xf>
    <xf numFmtId="0" fontId="8" fillId="2" borderId="0" xfId="0" applyNumberFormat="1" applyFont="1" applyFill="1" applyBorder="1" applyAlignment="1">
      <alignment horizontal="center"/>
    </xf>
    <xf numFmtId="164" fontId="8" fillId="0" borderId="0" xfId="0" applyNumberFormat="1" applyFont="1"/>
    <xf numFmtId="0" fontId="8" fillId="2" borderId="26" xfId="0" applyFont="1" applyFill="1" applyBorder="1" applyAlignment="1">
      <alignment horizontal="left"/>
    </xf>
    <xf numFmtId="164" fontId="8" fillId="2" borderId="26" xfId="2" applyNumberFormat="1" applyFont="1" applyFill="1" applyBorder="1" applyAlignment="1">
      <alignment horizontal="right"/>
    </xf>
    <xf numFmtId="0" fontId="8" fillId="2" borderId="26" xfId="0" applyFont="1" applyFill="1" applyBorder="1" applyAlignment="1">
      <alignment horizontal="center"/>
    </xf>
    <xf numFmtId="170" fontId="8" fillId="2" borderId="26" xfId="0" applyNumberFormat="1" applyFont="1" applyFill="1" applyBorder="1" applyAlignment="1">
      <alignment horizontal="right"/>
    </xf>
    <xf numFmtId="170" fontId="8" fillId="2" borderId="27" xfId="0" applyNumberFormat="1" applyFont="1" applyFill="1" applyBorder="1" applyAlignment="1">
      <alignment horizontal="right"/>
    </xf>
    <xf numFmtId="0" fontId="7" fillId="3" borderId="28" xfId="0" applyFont="1" applyFill="1" applyBorder="1" applyAlignment="1">
      <alignment horizontal="center" vertical="center" wrapText="1"/>
    </xf>
    <xf numFmtId="0" fontId="7" fillId="11" borderId="31" xfId="11" applyFont="1" applyFill="1" applyBorder="1" applyAlignment="1">
      <alignment horizontal="centerContinuous"/>
    </xf>
    <xf numFmtId="0" fontId="7" fillId="11" borderId="28" xfId="11" applyFont="1" applyFill="1" applyBorder="1" applyAlignment="1">
      <alignment horizontal="centerContinuous"/>
    </xf>
    <xf numFmtId="0" fontId="7" fillId="11" borderId="30" xfId="11" applyFont="1" applyFill="1" applyBorder="1" applyAlignment="1">
      <alignment horizontal="centerContinuous"/>
    </xf>
    <xf numFmtId="0" fontId="7" fillId="11" borderId="32" xfId="11" applyFont="1" applyFill="1" applyBorder="1" applyAlignment="1">
      <alignment horizontal="centerContinuous"/>
    </xf>
    <xf numFmtId="0" fontId="13" fillId="0" borderId="0" xfId="12" applyFont="1"/>
    <xf numFmtId="0" fontId="7" fillId="12" borderId="11" xfId="11" applyFont="1" applyFill="1" applyBorder="1" applyAlignment="1">
      <alignment horizontal="center"/>
    </xf>
    <xf numFmtId="0" fontId="7" fillId="12" borderId="32" xfId="11" applyFont="1" applyFill="1" applyBorder="1" applyAlignment="1">
      <alignment horizontal="center"/>
    </xf>
    <xf numFmtId="0" fontId="8" fillId="0" borderId="0" xfId="11" applyFont="1" applyAlignment="1">
      <alignment horizontal="right"/>
    </xf>
    <xf numFmtId="0" fontId="8" fillId="9" borderId="33" xfId="11" applyFont="1" applyFill="1" applyBorder="1" applyAlignment="1">
      <alignment vertical="center"/>
    </xf>
    <xf numFmtId="0" fontId="8" fillId="9" borderId="34" xfId="11" applyFont="1" applyFill="1" applyBorder="1"/>
    <xf numFmtId="166" fontId="8" fillId="9" borderId="34" xfId="11" applyNumberFormat="1" applyFont="1" applyFill="1" applyBorder="1"/>
    <xf numFmtId="0" fontId="8" fillId="13" borderId="34" xfId="11" applyFont="1" applyFill="1" applyBorder="1"/>
    <xf numFmtId="0" fontId="8" fillId="9" borderId="34" xfId="11" applyNumberFormat="1" applyFont="1" applyFill="1" applyBorder="1"/>
    <xf numFmtId="10" fontId="8" fillId="9" borderId="34" xfId="11" applyNumberFormat="1" applyFont="1" applyFill="1" applyBorder="1"/>
    <xf numFmtId="10" fontId="8" fillId="9" borderId="35" xfId="11" applyNumberFormat="1" applyFont="1" applyFill="1" applyBorder="1"/>
    <xf numFmtId="0" fontId="8" fillId="9" borderId="36" xfId="11" applyFont="1" applyFill="1" applyBorder="1" applyAlignment="1">
      <alignment vertical="center"/>
    </xf>
    <xf numFmtId="0" fontId="8" fillId="9" borderId="13" xfId="11" applyFont="1" applyFill="1" applyBorder="1"/>
    <xf numFmtId="166" fontId="8" fillId="9" borderId="13" xfId="11" applyNumberFormat="1" applyFont="1" applyFill="1" applyBorder="1"/>
    <xf numFmtId="0" fontId="8" fillId="13" borderId="13" xfId="11" applyFont="1" applyFill="1" applyBorder="1"/>
    <xf numFmtId="0" fontId="8" fillId="9" borderId="13" xfId="11" applyNumberFormat="1" applyFont="1" applyFill="1" applyBorder="1"/>
    <xf numFmtId="10" fontId="8" fillId="9" borderId="13" xfId="11" applyNumberFormat="1" applyFont="1" applyFill="1" applyBorder="1"/>
    <xf numFmtId="10" fontId="8" fillId="9" borderId="37" xfId="11" applyNumberFormat="1" applyFont="1" applyFill="1" applyBorder="1"/>
    <xf numFmtId="0" fontId="8" fillId="9" borderId="36" xfId="11" applyFont="1" applyFill="1" applyBorder="1" applyAlignment="1">
      <alignment horizontal="center" vertical="center"/>
    </xf>
    <xf numFmtId="0" fontId="13" fillId="9" borderId="13" xfId="12" applyFont="1" applyFill="1" applyBorder="1"/>
    <xf numFmtId="0" fontId="8" fillId="9" borderId="38" xfId="11" applyFont="1" applyFill="1" applyBorder="1" applyAlignment="1">
      <alignment vertical="center"/>
    </xf>
    <xf numFmtId="0" fontId="8" fillId="9" borderId="39" xfId="11" applyFont="1" applyFill="1" applyBorder="1"/>
    <xf numFmtId="166" fontId="8" fillId="9" borderId="39" xfId="11" applyNumberFormat="1" applyFont="1" applyFill="1" applyBorder="1"/>
    <xf numFmtId="0" fontId="8" fillId="13" borderId="39" xfId="11" applyFont="1" applyFill="1" applyBorder="1"/>
    <xf numFmtId="0" fontId="13" fillId="9" borderId="39" xfId="12" applyFont="1" applyFill="1" applyBorder="1"/>
    <xf numFmtId="10" fontId="8" fillId="9" borderId="39" xfId="11" applyNumberFormat="1" applyFont="1" applyFill="1" applyBorder="1"/>
    <xf numFmtId="10" fontId="8" fillId="9" borderId="40" xfId="11" applyNumberFormat="1" applyFont="1" applyFill="1" applyBorder="1"/>
    <xf numFmtId="175" fontId="8" fillId="0" borderId="0" xfId="11" applyNumberFormat="1" applyFont="1"/>
    <xf numFmtId="0" fontId="7" fillId="12" borderId="0" xfId="11" applyFont="1" applyFill="1" applyBorder="1" applyAlignment="1">
      <alignment horizontal="center" vertical="center"/>
    </xf>
    <xf numFmtId="0" fontId="8" fillId="9" borderId="39" xfId="11" applyNumberFormat="1" applyFont="1" applyFill="1" applyBorder="1"/>
    <xf numFmtId="0" fontId="8" fillId="0" borderId="41" xfId="11" applyFont="1" applyBorder="1" applyAlignment="1">
      <alignment horizontal="center" vertical="center"/>
    </xf>
    <xf numFmtId="0" fontId="7" fillId="11" borderId="11" xfId="11" applyFont="1" applyFill="1" applyBorder="1" applyAlignment="1">
      <alignment horizontal="center"/>
    </xf>
    <xf numFmtId="0" fontId="7" fillId="11" borderId="30" xfId="11" applyFont="1" applyFill="1" applyBorder="1" applyAlignment="1">
      <alignment horizontal="center"/>
    </xf>
    <xf numFmtId="0" fontId="7" fillId="11" borderId="30" xfId="11" applyFont="1" applyFill="1" applyBorder="1" applyAlignment="1">
      <alignment horizontal="right"/>
    </xf>
    <xf numFmtId="0" fontId="7" fillId="11" borderId="12" xfId="11" applyFont="1" applyFill="1" applyBorder="1" applyAlignment="1">
      <alignment horizontal="center"/>
    </xf>
    <xf numFmtId="0" fontId="7" fillId="11" borderId="28" xfId="11" applyFont="1" applyFill="1" applyBorder="1" applyAlignment="1">
      <alignment horizontal="center"/>
    </xf>
    <xf numFmtId="0" fontId="7" fillId="11" borderId="31" xfId="11" applyFont="1" applyFill="1" applyBorder="1" applyAlignment="1">
      <alignment horizontal="center"/>
    </xf>
    <xf numFmtId="0" fontId="7" fillId="11" borderId="31" xfId="11" applyFont="1" applyFill="1" applyBorder="1" applyAlignment="1">
      <alignment horizontal="center" vertical="center"/>
    </xf>
    <xf numFmtId="0" fontId="7" fillId="11" borderId="29" xfId="11" applyFont="1" applyFill="1" applyBorder="1" applyAlignment="1">
      <alignment horizontal="center" vertical="center"/>
    </xf>
    <xf numFmtId="0" fontId="7" fillId="11" borderId="42" xfId="11" applyFont="1" applyFill="1" applyBorder="1" applyAlignment="1">
      <alignment horizontal="center"/>
    </xf>
    <xf numFmtId="166" fontId="8" fillId="0" borderId="0" xfId="11" applyNumberFormat="1" applyFont="1" applyBorder="1"/>
    <xf numFmtId="164" fontId="8" fillId="0" borderId="0" xfId="13" applyNumberFormat="1" applyFont="1" applyBorder="1"/>
    <xf numFmtId="0" fontId="8" fillId="0" borderId="0" xfId="11" applyFont="1" applyBorder="1" applyAlignment="1">
      <alignment horizontal="right" vertical="center"/>
    </xf>
    <xf numFmtId="0" fontId="8" fillId="0" borderId="0" xfId="11" applyFont="1" applyBorder="1" applyAlignment="1">
      <alignment horizontal="right"/>
    </xf>
    <xf numFmtId="0" fontId="8" fillId="0" borderId="17" xfId="11" applyFont="1" applyBorder="1" applyAlignment="1">
      <alignment horizontal="right"/>
    </xf>
    <xf numFmtId="164" fontId="8" fillId="0" borderId="0" xfId="14" applyNumberFormat="1" applyFont="1" applyBorder="1"/>
    <xf numFmtId="164" fontId="8" fillId="0" borderId="9" xfId="11" applyNumberFormat="1" applyFont="1" applyBorder="1"/>
    <xf numFmtId="164" fontId="15" fillId="0" borderId="8" xfId="13" applyNumberFormat="1" applyFont="1" applyBorder="1"/>
    <xf numFmtId="0" fontId="8" fillId="0" borderId="0" xfId="11" applyFont="1" applyAlignment="1"/>
    <xf numFmtId="166" fontId="8" fillId="0" borderId="0" xfId="11" applyNumberFormat="1" applyFont="1" applyBorder="1" applyAlignment="1"/>
    <xf numFmtId="164" fontId="8" fillId="0" borderId="0" xfId="13" quotePrefix="1" applyNumberFormat="1" applyFont="1" applyBorder="1" applyAlignment="1"/>
    <xf numFmtId="164" fontId="8" fillId="0" borderId="17" xfId="13" quotePrefix="1" applyNumberFormat="1" applyFont="1" applyBorder="1" applyAlignment="1"/>
    <xf numFmtId="164" fontId="8" fillId="0" borderId="9" xfId="13" quotePrefix="1" applyNumberFormat="1" applyFont="1" applyBorder="1" applyAlignment="1"/>
    <xf numFmtId="164" fontId="8" fillId="0" borderId="15" xfId="13" quotePrefix="1" applyNumberFormat="1" applyFont="1" applyBorder="1" applyAlignment="1"/>
    <xf numFmtId="0" fontId="8" fillId="0" borderId="42" xfId="11" applyFont="1" applyBorder="1" applyAlignment="1">
      <alignment horizontal="center"/>
    </xf>
    <xf numFmtId="164" fontId="8" fillId="0" borderId="0" xfId="13" applyNumberFormat="1" applyFont="1"/>
    <xf numFmtId="166" fontId="8" fillId="0" borderId="17" xfId="11" applyNumberFormat="1" applyFont="1" applyBorder="1"/>
    <xf numFmtId="164" fontId="8" fillId="0" borderId="17" xfId="13" applyNumberFormat="1" applyFont="1" applyBorder="1"/>
    <xf numFmtId="164" fontId="8" fillId="0" borderId="17" xfId="14" applyNumberFormat="1" applyFont="1" applyBorder="1"/>
    <xf numFmtId="164" fontId="8" fillId="0" borderId="15" xfId="11" applyNumberFormat="1" applyFont="1" applyBorder="1"/>
    <xf numFmtId="166" fontId="8" fillId="0" borderId="17" xfId="11" applyNumberFormat="1" applyFont="1" applyBorder="1" applyAlignment="1"/>
    <xf numFmtId="0" fontId="1" fillId="0" borderId="0" xfId="12"/>
    <xf numFmtId="0" fontId="8" fillId="0" borderId="0" xfId="11" applyFont="1"/>
    <xf numFmtId="0" fontId="8" fillId="2" borderId="0" xfId="11" applyFont="1" applyFill="1" applyBorder="1" applyAlignment="1">
      <alignment horizontal="center"/>
    </xf>
    <xf numFmtId="0" fontId="8" fillId="2" borderId="8" xfId="11" applyFont="1" applyFill="1" applyBorder="1"/>
    <xf numFmtId="0" fontId="8" fillId="2" borderId="0" xfId="11" applyFont="1" applyFill="1" applyBorder="1"/>
    <xf numFmtId="0" fontId="8" fillId="0" borderId="0" xfId="11" applyFont="1" applyAlignment="1">
      <alignment horizontal="center"/>
    </xf>
    <xf numFmtId="0" fontId="8" fillId="2" borderId="9" xfId="11" applyFont="1" applyFill="1" applyBorder="1"/>
    <xf numFmtId="0" fontId="8" fillId="2" borderId="8" xfId="11" applyFont="1" applyFill="1" applyBorder="1" applyAlignment="1">
      <alignment horizontal="center"/>
    </xf>
    <xf numFmtId="0" fontId="7" fillId="2" borderId="7" xfId="11" applyFont="1" applyFill="1" applyBorder="1" applyAlignment="1">
      <alignment horizontal="center" vertical="center" wrapText="1"/>
    </xf>
    <xf numFmtId="0" fontId="17" fillId="2" borderId="7" xfId="11" applyFont="1" applyFill="1" applyBorder="1" applyAlignment="1">
      <alignment horizontal="center" vertical="center"/>
    </xf>
    <xf numFmtId="0" fontId="8" fillId="5" borderId="27" xfId="11" applyNumberFormat="1" applyFont="1" applyFill="1" applyBorder="1" applyAlignment="1" applyProtection="1">
      <alignment horizontal="center" vertical="center"/>
    </xf>
    <xf numFmtId="0" fontId="9" fillId="5" borderId="7" xfId="11" applyNumberFormat="1" applyFont="1" applyFill="1" applyBorder="1" applyAlignment="1" applyProtection="1">
      <alignment horizontal="left" vertical="center"/>
    </xf>
    <xf numFmtId="0" fontId="7" fillId="2" borderId="25" xfId="11" applyFont="1" applyFill="1" applyBorder="1" applyAlignment="1">
      <alignment horizontal="center"/>
    </xf>
    <xf numFmtId="0" fontId="8" fillId="2" borderId="5" xfId="11" applyFont="1" applyFill="1" applyBorder="1" applyAlignment="1">
      <alignment horizontal="left"/>
    </xf>
    <xf numFmtId="176" fontId="8" fillId="14" borderId="16" xfId="11" applyNumberFormat="1" applyFont="1" applyFill="1" applyBorder="1" applyAlignment="1">
      <alignment horizontal="left"/>
    </xf>
    <xf numFmtId="0" fontId="8" fillId="2" borderId="6" xfId="11" applyNumberFormat="1" applyFont="1" applyFill="1" applyBorder="1" applyAlignment="1">
      <alignment horizontal="left"/>
    </xf>
    <xf numFmtId="174" fontId="9" fillId="5" borderId="27" xfId="11" applyNumberFormat="1" applyFont="1" applyFill="1" applyBorder="1" applyAlignment="1" applyProtection="1">
      <alignment horizontal="left"/>
    </xf>
    <xf numFmtId="0" fontId="8" fillId="2" borderId="14" xfId="11" applyFont="1" applyFill="1" applyBorder="1"/>
    <xf numFmtId="0" fontId="8" fillId="2" borderId="17" xfId="11" applyFont="1" applyFill="1" applyBorder="1"/>
    <xf numFmtId="0" fontId="8" fillId="2" borderId="15" xfId="11" applyFont="1" applyFill="1" applyBorder="1"/>
    <xf numFmtId="0" fontId="8" fillId="0" borderId="8" xfId="11" applyFont="1" applyBorder="1"/>
    <xf numFmtId="0" fontId="8" fillId="0" borderId="0" xfId="11" applyFont="1" applyBorder="1"/>
    <xf numFmtId="0" fontId="8" fillId="0" borderId="14" xfId="11" applyFont="1" applyBorder="1"/>
    <xf numFmtId="0" fontId="8" fillId="0" borderId="17" xfId="11" applyFont="1" applyBorder="1"/>
    <xf numFmtId="0" fontId="7" fillId="4" borderId="43" xfId="0" applyFont="1" applyFill="1" applyBorder="1" applyAlignment="1">
      <alignment horizontal="right"/>
    </xf>
    <xf numFmtId="0" fontId="8" fillId="6" borderId="44" xfId="0" applyFont="1" applyFill="1" applyBorder="1" applyAlignment="1">
      <alignment horizontal="center"/>
    </xf>
    <xf numFmtId="0" fontId="8" fillId="0" borderId="30" xfId="0" applyFont="1" applyBorder="1"/>
    <xf numFmtId="0" fontId="13" fillId="9" borderId="0" xfId="12" applyFont="1" applyFill="1"/>
    <xf numFmtId="0" fontId="8" fillId="2" borderId="8" xfId="0" applyFont="1" applyFill="1" applyBorder="1"/>
    <xf numFmtId="0" fontId="8" fillId="2" borderId="0" xfId="0" applyFont="1" applyFill="1" applyBorder="1"/>
    <xf numFmtId="0" fontId="8" fillId="2" borderId="14" xfId="0" applyFont="1" applyFill="1" applyBorder="1"/>
    <xf numFmtId="0" fontId="8" fillId="2" borderId="17" xfId="0" applyFont="1" applyFill="1" applyBorder="1"/>
    <xf numFmtId="0" fontId="8" fillId="2" borderId="11" xfId="0" applyFont="1" applyFill="1" applyBorder="1" applyAlignment="1">
      <alignment horizontal="center"/>
    </xf>
    <xf numFmtId="0" fontId="8" fillId="2" borderId="30" xfId="0" applyFont="1" applyFill="1" applyBorder="1"/>
    <xf numFmtId="0" fontId="19" fillId="2" borderId="12" xfId="0" applyFont="1" applyFill="1" applyBorder="1"/>
    <xf numFmtId="0" fontId="8" fillId="2" borderId="8" xfId="0" applyFont="1" applyFill="1" applyBorder="1" applyAlignment="1">
      <alignment horizontal="center"/>
    </xf>
    <xf numFmtId="0" fontId="17" fillId="2" borderId="7" xfId="0" applyFont="1" applyFill="1" applyBorder="1" applyAlignment="1">
      <alignment horizontal="left" vertical="center"/>
    </xf>
    <xf numFmtId="0" fontId="19" fillId="2" borderId="9" xfId="0" applyFont="1" applyFill="1" applyBorder="1"/>
    <xf numFmtId="0" fontId="7" fillId="2" borderId="7" xfId="0" applyFont="1" applyFill="1" applyBorder="1" applyAlignment="1">
      <alignment horizontal="center" vertical="center" wrapText="1"/>
    </xf>
    <xf numFmtId="0" fontId="8" fillId="5" borderId="7" xfId="0" applyNumberFormat="1" applyFont="1" applyFill="1" applyBorder="1" applyAlignment="1" applyProtection="1">
      <alignment horizontal="center" vertical="center"/>
    </xf>
    <xf numFmtId="0" fontId="9" fillId="5" borderId="7" xfId="0" applyNumberFormat="1" applyFont="1" applyFill="1" applyBorder="1" applyAlignment="1" applyProtection="1">
      <alignment horizontal="left" vertical="center"/>
    </xf>
    <xf numFmtId="0" fontId="8" fillId="2" borderId="7" xfId="0" applyFont="1" applyFill="1" applyBorder="1"/>
    <xf numFmtId="174" fontId="9" fillId="5" borderId="7" xfId="0" applyNumberFormat="1" applyFont="1" applyFill="1" applyBorder="1" applyAlignment="1" applyProtection="1">
      <alignment horizontal="left"/>
    </xf>
    <xf numFmtId="0" fontId="8" fillId="4" borderId="25" xfId="0" applyFont="1" applyFill="1" applyBorder="1" applyAlignment="1">
      <alignment horizontal="center"/>
    </xf>
    <xf numFmtId="0" fontId="8" fillId="4" borderId="7" xfId="0" applyFont="1" applyFill="1" applyBorder="1" applyAlignment="1">
      <alignment horizontal="center"/>
    </xf>
    <xf numFmtId="0" fontId="8" fillId="2" borderId="0" xfId="0" applyFont="1" applyFill="1" applyBorder="1" applyAlignment="1"/>
    <xf numFmtId="0" fontId="8" fillId="2" borderId="7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164" fontId="8" fillId="2" borderId="7" xfId="0" applyNumberFormat="1" applyFont="1" applyFill="1" applyBorder="1" applyAlignment="1"/>
    <xf numFmtId="0" fontId="8" fillId="2" borderId="7" xfId="0" applyFont="1" applyFill="1" applyBorder="1" applyAlignment="1"/>
    <xf numFmtId="0" fontId="8" fillId="2" borderId="7" xfId="0" applyNumberFormat="1" applyFont="1" applyFill="1" applyBorder="1" applyAlignment="1"/>
    <xf numFmtId="0" fontId="8" fillId="2" borderId="16" xfId="0" applyFont="1" applyFill="1" applyBorder="1" applyAlignment="1">
      <alignment horizontal="center"/>
    </xf>
    <xf numFmtId="0" fontId="8" fillId="2" borderId="17" xfId="0" applyFont="1" applyFill="1" applyBorder="1" applyAlignment="1">
      <alignment horizontal="left"/>
    </xf>
    <xf numFmtId="0" fontId="8" fillId="2" borderId="15" xfId="0" applyFont="1" applyFill="1" applyBorder="1" applyAlignment="1">
      <alignment horizontal="left"/>
    </xf>
    <xf numFmtId="0" fontId="4" fillId="10" borderId="0" xfId="1" applyFont="1" applyFill="1"/>
    <xf numFmtId="0" fontId="4" fillId="2" borderId="8" xfId="1" applyFont="1" applyFill="1" applyBorder="1"/>
    <xf numFmtId="0" fontId="21" fillId="2" borderId="0" xfId="1" applyFont="1" applyFill="1" applyBorder="1"/>
    <xf numFmtId="0" fontId="4" fillId="2" borderId="0" xfId="1" applyFont="1" applyFill="1" applyBorder="1"/>
    <xf numFmtId="0" fontId="4" fillId="2" borderId="8" xfId="0" applyFont="1" applyFill="1" applyBorder="1"/>
    <xf numFmtId="0" fontId="4" fillId="2" borderId="0" xfId="0" applyFont="1" applyFill="1" applyBorder="1"/>
    <xf numFmtId="0" fontId="4" fillId="2" borderId="9" xfId="0" applyFont="1" applyFill="1" applyBorder="1"/>
    <xf numFmtId="0" fontId="4" fillId="4" borderId="10" xfId="1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4" borderId="7" xfId="0" applyNumberFormat="1" applyFont="1" applyFill="1" applyBorder="1"/>
    <xf numFmtId="169" fontId="4" fillId="5" borderId="27" xfId="0" applyNumberFormat="1" applyFont="1" applyFill="1" applyBorder="1" applyAlignment="1" applyProtection="1">
      <alignment horizontal="center"/>
    </xf>
    <xf numFmtId="15" fontId="4" fillId="2" borderId="9" xfId="0" applyNumberFormat="1" applyFont="1" applyFill="1" applyBorder="1"/>
    <xf numFmtId="0" fontId="4" fillId="4" borderId="13" xfId="1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169" fontId="4" fillId="5" borderId="27" xfId="0" quotePrefix="1" applyNumberFormat="1" applyFont="1" applyFill="1" applyBorder="1" applyAlignment="1" applyProtection="1">
      <alignment horizontal="left"/>
    </xf>
    <xf numFmtId="169" fontId="4" fillId="5" borderId="27" xfId="0" quotePrefix="1" applyNumberFormat="1" applyFont="1" applyFill="1" applyBorder="1" applyAlignment="1" applyProtection="1">
      <alignment horizontal="center"/>
    </xf>
    <xf numFmtId="0" fontId="4" fillId="2" borderId="14" xfId="0" applyFont="1" applyFill="1" applyBorder="1"/>
    <xf numFmtId="0" fontId="4" fillId="2" borderId="17" xfId="0" applyFont="1" applyFill="1" applyBorder="1"/>
    <xf numFmtId="0" fontId="4" fillId="2" borderId="15" xfId="0" applyFont="1" applyFill="1" applyBorder="1"/>
    <xf numFmtId="166" fontId="4" fillId="2" borderId="4" xfId="0" applyNumberFormat="1" applyFont="1" applyFill="1" applyBorder="1" applyAlignment="1">
      <alignment horizontal="center"/>
    </xf>
    <xf numFmtId="0" fontId="4" fillId="4" borderId="7" xfId="0" applyFont="1" applyFill="1" applyBorder="1"/>
    <xf numFmtId="0" fontId="4" fillId="4" borderId="16" xfId="1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168" fontId="4" fillId="2" borderId="0" xfId="1" applyNumberFormat="1" applyFont="1" applyFill="1" applyBorder="1" applyAlignment="1">
      <alignment horizontal="center"/>
    </xf>
    <xf numFmtId="0" fontId="21" fillId="4" borderId="10" xfId="0" applyFont="1" applyFill="1" applyBorder="1" applyAlignment="1">
      <alignment horizontal="right"/>
    </xf>
    <xf numFmtId="165" fontId="4" fillId="5" borderId="2" xfId="0" quotePrefix="1" applyNumberFormat="1" applyFont="1" applyFill="1" applyBorder="1" applyAlignment="1">
      <alignment horizontal="center"/>
    </xf>
    <xf numFmtId="0" fontId="21" fillId="4" borderId="16" xfId="0" applyFont="1" applyFill="1" applyBorder="1" applyAlignment="1">
      <alignment horizontal="right"/>
    </xf>
    <xf numFmtId="1" fontId="22" fillId="5" borderId="6" xfId="0" applyNumberFormat="1" applyFont="1" applyFill="1" applyBorder="1" applyAlignment="1">
      <alignment horizontal="left"/>
    </xf>
    <xf numFmtId="165" fontId="4" fillId="6" borderId="2" xfId="0" applyNumberFormat="1" applyFont="1" applyFill="1" applyBorder="1" applyAlignment="1">
      <alignment horizontal="center"/>
    </xf>
    <xf numFmtId="0" fontId="21" fillId="4" borderId="13" xfId="0" applyFont="1" applyFill="1" applyBorder="1" applyAlignment="1">
      <alignment horizontal="right"/>
    </xf>
    <xf numFmtId="3" fontId="4" fillId="6" borderId="4" xfId="0" applyNumberFormat="1" applyFont="1" applyFill="1" applyBorder="1" applyAlignment="1">
      <alignment horizontal="center"/>
    </xf>
    <xf numFmtId="3" fontId="4" fillId="6" borderId="4" xfId="0" quotePrefix="1" applyNumberFormat="1" applyFont="1" applyFill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11" fontId="4" fillId="6" borderId="3" xfId="0" applyNumberFormat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/>
    </xf>
    <xf numFmtId="170" fontId="4" fillId="6" borderId="3" xfId="0" applyNumberFormat="1" applyFont="1" applyFill="1" applyBorder="1" applyAlignment="1">
      <alignment horizontal="center"/>
    </xf>
    <xf numFmtId="170" fontId="4" fillId="2" borderId="4" xfId="1" applyNumberFormat="1" applyFont="1" applyFill="1" applyBorder="1" applyAlignment="1">
      <alignment horizontal="center"/>
    </xf>
    <xf numFmtId="164" fontId="4" fillId="6" borderId="3" xfId="0" applyNumberFormat="1" applyFont="1" applyFill="1" applyBorder="1" applyAlignment="1">
      <alignment horizontal="center"/>
    </xf>
    <xf numFmtId="164" fontId="4" fillId="2" borderId="6" xfId="1" applyNumberFormat="1" applyFont="1" applyFill="1" applyBorder="1" applyAlignment="1">
      <alignment horizontal="center"/>
    </xf>
    <xf numFmtId="11" fontId="4" fillId="6" borderId="4" xfId="0" applyNumberFormat="1" applyFont="1" applyFill="1" applyBorder="1" applyAlignment="1">
      <alignment horizontal="center"/>
    </xf>
    <xf numFmtId="0" fontId="4" fillId="6" borderId="4" xfId="0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166" fontId="4" fillId="2" borderId="10" xfId="0" applyNumberFormat="1" applyFont="1" applyFill="1" applyBorder="1" applyAlignment="1">
      <alignment horizontal="right"/>
    </xf>
    <xf numFmtId="167" fontId="4" fillId="2" borderId="10" xfId="0" applyNumberFormat="1" applyFont="1" applyFill="1" applyBorder="1" applyAlignment="1">
      <alignment horizontal="center"/>
    </xf>
    <xf numFmtId="166" fontId="4" fillId="2" borderId="13" xfId="0" applyNumberFormat="1" applyFont="1" applyFill="1" applyBorder="1" applyAlignment="1">
      <alignment horizontal="right"/>
    </xf>
    <xf numFmtId="0" fontId="4" fillId="2" borderId="13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left"/>
    </xf>
    <xf numFmtId="0" fontId="4" fillId="2" borderId="13" xfId="1" applyFont="1" applyFill="1" applyBorder="1" applyAlignment="1">
      <alignment horizontal="right"/>
    </xf>
    <xf numFmtId="0" fontId="4" fillId="2" borderId="13" xfId="1" applyFont="1" applyFill="1" applyBorder="1" applyAlignment="1">
      <alignment horizontal="center"/>
    </xf>
    <xf numFmtId="0" fontId="4" fillId="2" borderId="16" xfId="1" applyFont="1" applyFill="1" applyBorder="1" applyAlignment="1">
      <alignment horizontal="right"/>
    </xf>
    <xf numFmtId="0" fontId="4" fillId="2" borderId="16" xfId="1" applyFont="1" applyFill="1" applyBorder="1" applyAlignment="1">
      <alignment horizontal="center"/>
    </xf>
    <xf numFmtId="0" fontId="4" fillId="2" borderId="14" xfId="1" applyFont="1" applyFill="1" applyBorder="1"/>
    <xf numFmtId="0" fontId="4" fillId="2" borderId="17" xfId="1" applyFont="1" applyFill="1" applyBorder="1" applyAlignment="1">
      <alignment horizontal="center"/>
    </xf>
    <xf numFmtId="0" fontId="4" fillId="2" borderId="17" xfId="1" applyFont="1" applyFill="1" applyBorder="1"/>
    <xf numFmtId="0" fontId="20" fillId="7" borderId="28" xfId="1" applyFont="1" applyFill="1" applyBorder="1" applyAlignment="1">
      <alignment horizontal="centerContinuous" vertical="center"/>
    </xf>
    <xf numFmtId="0" fontId="20" fillId="7" borderId="31" xfId="1" applyFont="1" applyFill="1" applyBorder="1" applyAlignment="1">
      <alignment horizontal="centerContinuous" vertical="center"/>
    </xf>
    <xf numFmtId="0" fontId="4" fillId="10" borderId="8" xfId="1" applyFont="1" applyFill="1" applyBorder="1"/>
    <xf numFmtId="0" fontId="20" fillId="7" borderId="29" xfId="1" applyFont="1" applyFill="1" applyBorder="1" applyAlignment="1">
      <alignment horizontal="centerContinuous" vertical="center"/>
    </xf>
    <xf numFmtId="0" fontId="17" fillId="2" borderId="25" xfId="0" applyFont="1" applyFill="1" applyBorder="1" applyAlignment="1">
      <alignment horizontal="center" vertical="center"/>
    </xf>
    <xf numFmtId="0" fontId="17" fillId="2" borderId="7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 wrapText="1"/>
    </xf>
    <xf numFmtId="0" fontId="7" fillId="3" borderId="29" xfId="0" applyFont="1" applyFill="1" applyBorder="1" applyAlignment="1">
      <alignment horizontal="center" vertical="center" wrapText="1"/>
    </xf>
  </cellXfs>
  <cellStyles count="16">
    <cellStyle name="Migliaia (0)_AZIONI" xfId="3"/>
    <cellStyle name="Migliaia_AZIONI" xfId="4"/>
    <cellStyle name="Normal" xfId="0" builtinId="0"/>
    <cellStyle name="Normal 2" xfId="9"/>
    <cellStyle name="Normal 2 2" xfId="11"/>
    <cellStyle name="Normal 3" xfId="12"/>
    <cellStyle name="Normal_SwaptionATMVols" xfId="1"/>
    <cellStyle name="Normale_AZIONI" xfId="5"/>
    <cellStyle name="Percent" xfId="2" builtinId="5"/>
    <cellStyle name="Percent 2" xfId="10"/>
    <cellStyle name="Percent 2 2" xfId="13"/>
    <cellStyle name="Percent 3" xfId="14"/>
    <cellStyle name="result" xfId="6"/>
    <cellStyle name="result 2" xfId="15"/>
    <cellStyle name="Valuta (0)_AZIONI" xfId="7"/>
    <cellStyle name="Valuta_AZIONI" xfId="8"/>
  </cellStyles>
  <dxfs count="0"/>
  <tableStyles count="0" defaultTableStyle="TableStyleMedium2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601423565772873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Monitor!$Y$18</c:f>
              <c:strCache>
                <c:ptCount val="1"/>
                <c:pt idx="0">
                  <c:v>1M Fwd</c:v>
                </c:pt>
              </c:strCache>
            </c:strRef>
          </c:tx>
          <c:marker>
            <c:symbol val="none"/>
          </c:marker>
          <c:cat>
            <c:numRef>
              <c:f>Monitor!$X$19:$X$3552</c:f>
              <c:numCache>
                <c:formatCode>ddd\,\ dd\-mmm\-yyyy</c:formatCode>
                <c:ptCount val="3534"/>
                <c:pt idx="0">
                  <c:v>41878</c:v>
                </c:pt>
                <c:pt idx="1">
                  <c:v>41879</c:v>
                </c:pt>
                <c:pt idx="2">
                  <c:v>41880</c:v>
                </c:pt>
                <c:pt idx="3">
                  <c:v>41883</c:v>
                </c:pt>
                <c:pt idx="4">
                  <c:v>41884</c:v>
                </c:pt>
                <c:pt idx="5">
                  <c:v>41885</c:v>
                </c:pt>
                <c:pt idx="6">
                  <c:v>41886</c:v>
                </c:pt>
                <c:pt idx="7">
                  <c:v>41887</c:v>
                </c:pt>
                <c:pt idx="8">
                  <c:v>41890</c:v>
                </c:pt>
                <c:pt idx="9">
                  <c:v>41892</c:v>
                </c:pt>
                <c:pt idx="10">
                  <c:v>41893</c:v>
                </c:pt>
                <c:pt idx="11">
                  <c:v>41894</c:v>
                </c:pt>
                <c:pt idx="12">
                  <c:v>41897</c:v>
                </c:pt>
                <c:pt idx="13">
                  <c:v>41898</c:v>
                </c:pt>
                <c:pt idx="14">
                  <c:v>41899</c:v>
                </c:pt>
                <c:pt idx="15">
                  <c:v>41900</c:v>
                </c:pt>
                <c:pt idx="16">
                  <c:v>41901</c:v>
                </c:pt>
                <c:pt idx="17">
                  <c:v>41904</c:v>
                </c:pt>
                <c:pt idx="18">
                  <c:v>41905</c:v>
                </c:pt>
                <c:pt idx="19">
                  <c:v>41906</c:v>
                </c:pt>
                <c:pt idx="20">
                  <c:v>41907</c:v>
                </c:pt>
                <c:pt idx="21">
                  <c:v>41908</c:v>
                </c:pt>
                <c:pt idx="22">
                  <c:v>41911</c:v>
                </c:pt>
                <c:pt idx="23">
                  <c:v>41912</c:v>
                </c:pt>
                <c:pt idx="24">
                  <c:v>41915</c:v>
                </c:pt>
                <c:pt idx="25">
                  <c:v>41918</c:v>
                </c:pt>
                <c:pt idx="26">
                  <c:v>41919</c:v>
                </c:pt>
                <c:pt idx="27">
                  <c:v>41920</c:v>
                </c:pt>
                <c:pt idx="28">
                  <c:v>41921</c:v>
                </c:pt>
                <c:pt idx="29">
                  <c:v>41922</c:v>
                </c:pt>
                <c:pt idx="30">
                  <c:v>41925</c:v>
                </c:pt>
                <c:pt idx="31">
                  <c:v>41926</c:v>
                </c:pt>
                <c:pt idx="32">
                  <c:v>41927</c:v>
                </c:pt>
                <c:pt idx="33">
                  <c:v>41928</c:v>
                </c:pt>
                <c:pt idx="34">
                  <c:v>41929</c:v>
                </c:pt>
                <c:pt idx="35">
                  <c:v>41932</c:v>
                </c:pt>
                <c:pt idx="36">
                  <c:v>41933</c:v>
                </c:pt>
                <c:pt idx="37">
                  <c:v>41934</c:v>
                </c:pt>
                <c:pt idx="38">
                  <c:v>41935</c:v>
                </c:pt>
                <c:pt idx="39">
                  <c:v>41936</c:v>
                </c:pt>
                <c:pt idx="40">
                  <c:v>41939</c:v>
                </c:pt>
                <c:pt idx="41">
                  <c:v>41940</c:v>
                </c:pt>
                <c:pt idx="42">
                  <c:v>41941</c:v>
                </c:pt>
                <c:pt idx="43">
                  <c:v>41942</c:v>
                </c:pt>
                <c:pt idx="44">
                  <c:v>41943</c:v>
                </c:pt>
                <c:pt idx="45">
                  <c:v>41946</c:v>
                </c:pt>
                <c:pt idx="46">
                  <c:v>41947</c:v>
                </c:pt>
                <c:pt idx="47">
                  <c:v>41948</c:v>
                </c:pt>
                <c:pt idx="48">
                  <c:v>41949</c:v>
                </c:pt>
                <c:pt idx="49">
                  <c:v>41950</c:v>
                </c:pt>
                <c:pt idx="50">
                  <c:v>41953</c:v>
                </c:pt>
                <c:pt idx="51">
                  <c:v>41954</c:v>
                </c:pt>
                <c:pt idx="52">
                  <c:v>41955</c:v>
                </c:pt>
                <c:pt idx="53">
                  <c:v>41956</c:v>
                </c:pt>
                <c:pt idx="54">
                  <c:v>41957</c:v>
                </c:pt>
                <c:pt idx="55">
                  <c:v>41960</c:v>
                </c:pt>
                <c:pt idx="56">
                  <c:v>41961</c:v>
                </c:pt>
                <c:pt idx="57">
                  <c:v>41962</c:v>
                </c:pt>
                <c:pt idx="58">
                  <c:v>41963</c:v>
                </c:pt>
                <c:pt idx="59">
                  <c:v>41964</c:v>
                </c:pt>
                <c:pt idx="60">
                  <c:v>41967</c:v>
                </c:pt>
                <c:pt idx="61">
                  <c:v>41968</c:v>
                </c:pt>
                <c:pt idx="62">
                  <c:v>41969</c:v>
                </c:pt>
                <c:pt idx="63">
                  <c:v>41970</c:v>
                </c:pt>
                <c:pt idx="64">
                  <c:v>41971</c:v>
                </c:pt>
                <c:pt idx="65">
                  <c:v>41974</c:v>
                </c:pt>
                <c:pt idx="66">
                  <c:v>41975</c:v>
                </c:pt>
                <c:pt idx="67">
                  <c:v>41976</c:v>
                </c:pt>
                <c:pt idx="68">
                  <c:v>41977</c:v>
                </c:pt>
                <c:pt idx="69">
                  <c:v>41978</c:v>
                </c:pt>
                <c:pt idx="70">
                  <c:v>41981</c:v>
                </c:pt>
                <c:pt idx="71">
                  <c:v>41982</c:v>
                </c:pt>
                <c:pt idx="72">
                  <c:v>41983</c:v>
                </c:pt>
                <c:pt idx="73">
                  <c:v>41984</c:v>
                </c:pt>
                <c:pt idx="74">
                  <c:v>41985</c:v>
                </c:pt>
                <c:pt idx="75">
                  <c:v>41988</c:v>
                </c:pt>
                <c:pt idx="76">
                  <c:v>41989</c:v>
                </c:pt>
                <c:pt idx="77">
                  <c:v>41990</c:v>
                </c:pt>
                <c:pt idx="78">
                  <c:v>41991</c:v>
                </c:pt>
                <c:pt idx="79">
                  <c:v>41992</c:v>
                </c:pt>
                <c:pt idx="80">
                  <c:v>41995</c:v>
                </c:pt>
                <c:pt idx="81">
                  <c:v>41996</c:v>
                </c:pt>
                <c:pt idx="82">
                  <c:v>41997</c:v>
                </c:pt>
                <c:pt idx="83">
                  <c:v>42002</c:v>
                </c:pt>
                <c:pt idx="84">
                  <c:v>42003</c:v>
                </c:pt>
                <c:pt idx="85">
                  <c:v>42004</c:v>
                </c:pt>
                <c:pt idx="86">
                  <c:v>42006</c:v>
                </c:pt>
                <c:pt idx="87">
                  <c:v>42009</c:v>
                </c:pt>
                <c:pt idx="88">
                  <c:v>42010</c:v>
                </c:pt>
                <c:pt idx="89">
                  <c:v>42011</c:v>
                </c:pt>
                <c:pt idx="90">
                  <c:v>42012</c:v>
                </c:pt>
                <c:pt idx="91">
                  <c:v>42013</c:v>
                </c:pt>
                <c:pt idx="92">
                  <c:v>42016</c:v>
                </c:pt>
                <c:pt idx="93">
                  <c:v>42017</c:v>
                </c:pt>
                <c:pt idx="94">
                  <c:v>42018</c:v>
                </c:pt>
                <c:pt idx="95">
                  <c:v>42019</c:v>
                </c:pt>
                <c:pt idx="96">
                  <c:v>42020</c:v>
                </c:pt>
                <c:pt idx="97">
                  <c:v>42023</c:v>
                </c:pt>
                <c:pt idx="98">
                  <c:v>42024</c:v>
                </c:pt>
                <c:pt idx="99">
                  <c:v>42025</c:v>
                </c:pt>
                <c:pt idx="100">
                  <c:v>42026</c:v>
                </c:pt>
                <c:pt idx="101">
                  <c:v>42027</c:v>
                </c:pt>
                <c:pt idx="102">
                  <c:v>42030</c:v>
                </c:pt>
                <c:pt idx="103">
                  <c:v>42031</c:v>
                </c:pt>
                <c:pt idx="104">
                  <c:v>42032</c:v>
                </c:pt>
                <c:pt idx="105">
                  <c:v>42033</c:v>
                </c:pt>
                <c:pt idx="106">
                  <c:v>42034</c:v>
                </c:pt>
                <c:pt idx="107">
                  <c:v>42037</c:v>
                </c:pt>
                <c:pt idx="108">
                  <c:v>42038</c:v>
                </c:pt>
                <c:pt idx="109">
                  <c:v>42039</c:v>
                </c:pt>
                <c:pt idx="110">
                  <c:v>42040</c:v>
                </c:pt>
                <c:pt idx="111">
                  <c:v>42041</c:v>
                </c:pt>
                <c:pt idx="112">
                  <c:v>42044</c:v>
                </c:pt>
                <c:pt idx="113">
                  <c:v>42045</c:v>
                </c:pt>
                <c:pt idx="114">
                  <c:v>42046</c:v>
                </c:pt>
                <c:pt idx="115">
                  <c:v>42047</c:v>
                </c:pt>
                <c:pt idx="116">
                  <c:v>42048</c:v>
                </c:pt>
                <c:pt idx="117">
                  <c:v>42051</c:v>
                </c:pt>
                <c:pt idx="118">
                  <c:v>42052</c:v>
                </c:pt>
                <c:pt idx="119">
                  <c:v>42053</c:v>
                </c:pt>
                <c:pt idx="120">
                  <c:v>42054</c:v>
                </c:pt>
                <c:pt idx="121">
                  <c:v>42055</c:v>
                </c:pt>
                <c:pt idx="122">
                  <c:v>42058</c:v>
                </c:pt>
                <c:pt idx="123">
                  <c:v>42059</c:v>
                </c:pt>
                <c:pt idx="124">
                  <c:v>42060</c:v>
                </c:pt>
                <c:pt idx="125">
                  <c:v>42061</c:v>
                </c:pt>
                <c:pt idx="126">
                  <c:v>42062</c:v>
                </c:pt>
                <c:pt idx="127">
                  <c:v>42065</c:v>
                </c:pt>
                <c:pt idx="128">
                  <c:v>42066</c:v>
                </c:pt>
                <c:pt idx="129">
                  <c:v>42067</c:v>
                </c:pt>
                <c:pt idx="130">
                  <c:v>42068</c:v>
                </c:pt>
                <c:pt idx="131">
                  <c:v>42069</c:v>
                </c:pt>
                <c:pt idx="132">
                  <c:v>42072</c:v>
                </c:pt>
                <c:pt idx="133">
                  <c:v>42073</c:v>
                </c:pt>
                <c:pt idx="134">
                  <c:v>42074</c:v>
                </c:pt>
                <c:pt idx="135">
                  <c:v>42075</c:v>
                </c:pt>
                <c:pt idx="136">
                  <c:v>42076</c:v>
                </c:pt>
                <c:pt idx="137">
                  <c:v>42079</c:v>
                </c:pt>
                <c:pt idx="138">
                  <c:v>42080</c:v>
                </c:pt>
                <c:pt idx="139">
                  <c:v>42081</c:v>
                </c:pt>
                <c:pt idx="140">
                  <c:v>42082</c:v>
                </c:pt>
                <c:pt idx="141">
                  <c:v>42083</c:v>
                </c:pt>
                <c:pt idx="142">
                  <c:v>42086</c:v>
                </c:pt>
                <c:pt idx="143">
                  <c:v>42087</c:v>
                </c:pt>
                <c:pt idx="144">
                  <c:v>42088</c:v>
                </c:pt>
                <c:pt idx="145">
                  <c:v>42089</c:v>
                </c:pt>
                <c:pt idx="146">
                  <c:v>42090</c:v>
                </c:pt>
                <c:pt idx="147">
                  <c:v>42093</c:v>
                </c:pt>
                <c:pt idx="148">
                  <c:v>42094</c:v>
                </c:pt>
                <c:pt idx="149">
                  <c:v>42095</c:v>
                </c:pt>
                <c:pt idx="150">
                  <c:v>42096</c:v>
                </c:pt>
                <c:pt idx="151">
                  <c:v>42101</c:v>
                </c:pt>
                <c:pt idx="152">
                  <c:v>42102</c:v>
                </c:pt>
                <c:pt idx="153">
                  <c:v>42103</c:v>
                </c:pt>
                <c:pt idx="154">
                  <c:v>42104</c:v>
                </c:pt>
                <c:pt idx="155">
                  <c:v>42107</c:v>
                </c:pt>
                <c:pt idx="156">
                  <c:v>42108</c:v>
                </c:pt>
                <c:pt idx="157">
                  <c:v>42109</c:v>
                </c:pt>
                <c:pt idx="158">
                  <c:v>42110</c:v>
                </c:pt>
                <c:pt idx="159">
                  <c:v>42111</c:v>
                </c:pt>
                <c:pt idx="160">
                  <c:v>42114</c:v>
                </c:pt>
                <c:pt idx="161">
                  <c:v>42115</c:v>
                </c:pt>
                <c:pt idx="162">
                  <c:v>42116</c:v>
                </c:pt>
                <c:pt idx="163">
                  <c:v>42117</c:v>
                </c:pt>
                <c:pt idx="164">
                  <c:v>42118</c:v>
                </c:pt>
                <c:pt idx="165">
                  <c:v>42121</c:v>
                </c:pt>
                <c:pt idx="166">
                  <c:v>42122</c:v>
                </c:pt>
                <c:pt idx="167">
                  <c:v>42123</c:v>
                </c:pt>
                <c:pt idx="168">
                  <c:v>42124</c:v>
                </c:pt>
                <c:pt idx="169">
                  <c:v>42128</c:v>
                </c:pt>
                <c:pt idx="170">
                  <c:v>42129</c:v>
                </c:pt>
                <c:pt idx="171">
                  <c:v>42130</c:v>
                </c:pt>
                <c:pt idx="172">
                  <c:v>42131</c:v>
                </c:pt>
                <c:pt idx="173">
                  <c:v>42132</c:v>
                </c:pt>
                <c:pt idx="174">
                  <c:v>42135</c:v>
                </c:pt>
                <c:pt idx="175">
                  <c:v>42136</c:v>
                </c:pt>
                <c:pt idx="176">
                  <c:v>42137</c:v>
                </c:pt>
                <c:pt idx="177">
                  <c:v>42138</c:v>
                </c:pt>
                <c:pt idx="178">
                  <c:v>42139</c:v>
                </c:pt>
                <c:pt idx="179">
                  <c:v>42142</c:v>
                </c:pt>
                <c:pt idx="180">
                  <c:v>42143</c:v>
                </c:pt>
                <c:pt idx="181">
                  <c:v>42144</c:v>
                </c:pt>
                <c:pt idx="182">
                  <c:v>42145</c:v>
                </c:pt>
                <c:pt idx="183">
                  <c:v>42146</c:v>
                </c:pt>
                <c:pt idx="184">
                  <c:v>42149</c:v>
                </c:pt>
                <c:pt idx="185">
                  <c:v>42150</c:v>
                </c:pt>
                <c:pt idx="186">
                  <c:v>42151</c:v>
                </c:pt>
                <c:pt idx="187">
                  <c:v>42152</c:v>
                </c:pt>
                <c:pt idx="188">
                  <c:v>42153</c:v>
                </c:pt>
                <c:pt idx="189">
                  <c:v>42156</c:v>
                </c:pt>
                <c:pt idx="190">
                  <c:v>42157</c:v>
                </c:pt>
                <c:pt idx="191">
                  <c:v>42158</c:v>
                </c:pt>
                <c:pt idx="192">
                  <c:v>42159</c:v>
                </c:pt>
                <c:pt idx="193">
                  <c:v>42160</c:v>
                </c:pt>
                <c:pt idx="194">
                  <c:v>42163</c:v>
                </c:pt>
                <c:pt idx="195">
                  <c:v>42164</c:v>
                </c:pt>
                <c:pt idx="196">
                  <c:v>42165</c:v>
                </c:pt>
                <c:pt idx="197">
                  <c:v>42166</c:v>
                </c:pt>
                <c:pt idx="198">
                  <c:v>42167</c:v>
                </c:pt>
                <c:pt idx="199">
                  <c:v>42170</c:v>
                </c:pt>
                <c:pt idx="200">
                  <c:v>42171</c:v>
                </c:pt>
                <c:pt idx="201">
                  <c:v>42172</c:v>
                </c:pt>
                <c:pt idx="202">
                  <c:v>42173</c:v>
                </c:pt>
                <c:pt idx="203">
                  <c:v>42174</c:v>
                </c:pt>
                <c:pt idx="204">
                  <c:v>42177</c:v>
                </c:pt>
                <c:pt idx="205">
                  <c:v>42178</c:v>
                </c:pt>
                <c:pt idx="206">
                  <c:v>42179</c:v>
                </c:pt>
                <c:pt idx="207">
                  <c:v>42180</c:v>
                </c:pt>
                <c:pt idx="208">
                  <c:v>42181</c:v>
                </c:pt>
                <c:pt idx="209">
                  <c:v>42184</c:v>
                </c:pt>
                <c:pt idx="210">
                  <c:v>42185</c:v>
                </c:pt>
                <c:pt idx="211">
                  <c:v>42187</c:v>
                </c:pt>
                <c:pt idx="212">
                  <c:v>42188</c:v>
                </c:pt>
                <c:pt idx="213">
                  <c:v>42191</c:v>
                </c:pt>
                <c:pt idx="214">
                  <c:v>42192</c:v>
                </c:pt>
                <c:pt idx="215">
                  <c:v>42193</c:v>
                </c:pt>
                <c:pt idx="216">
                  <c:v>42194</c:v>
                </c:pt>
                <c:pt idx="217">
                  <c:v>42195</c:v>
                </c:pt>
                <c:pt idx="218">
                  <c:v>42198</c:v>
                </c:pt>
                <c:pt idx="219">
                  <c:v>42199</c:v>
                </c:pt>
                <c:pt idx="220">
                  <c:v>42200</c:v>
                </c:pt>
                <c:pt idx="221">
                  <c:v>42201</c:v>
                </c:pt>
                <c:pt idx="222">
                  <c:v>42202</c:v>
                </c:pt>
                <c:pt idx="223">
                  <c:v>42205</c:v>
                </c:pt>
                <c:pt idx="224">
                  <c:v>42206</c:v>
                </c:pt>
                <c:pt idx="225">
                  <c:v>42207</c:v>
                </c:pt>
                <c:pt idx="226">
                  <c:v>42208</c:v>
                </c:pt>
                <c:pt idx="227">
                  <c:v>42209</c:v>
                </c:pt>
                <c:pt idx="228">
                  <c:v>42212</c:v>
                </c:pt>
                <c:pt idx="229">
                  <c:v>42213</c:v>
                </c:pt>
                <c:pt idx="230">
                  <c:v>42214</c:v>
                </c:pt>
                <c:pt idx="231">
                  <c:v>42215</c:v>
                </c:pt>
                <c:pt idx="232">
                  <c:v>42216</c:v>
                </c:pt>
                <c:pt idx="233">
                  <c:v>42219</c:v>
                </c:pt>
                <c:pt idx="234">
                  <c:v>42220</c:v>
                </c:pt>
                <c:pt idx="235">
                  <c:v>42221</c:v>
                </c:pt>
                <c:pt idx="236">
                  <c:v>42222</c:v>
                </c:pt>
                <c:pt idx="237">
                  <c:v>42223</c:v>
                </c:pt>
                <c:pt idx="238">
                  <c:v>42226</c:v>
                </c:pt>
                <c:pt idx="239">
                  <c:v>42227</c:v>
                </c:pt>
                <c:pt idx="240">
                  <c:v>42228</c:v>
                </c:pt>
                <c:pt idx="241">
                  <c:v>42229</c:v>
                </c:pt>
                <c:pt idx="242">
                  <c:v>42230</c:v>
                </c:pt>
                <c:pt idx="243">
                  <c:v>42233</c:v>
                </c:pt>
                <c:pt idx="244">
                  <c:v>42234</c:v>
                </c:pt>
                <c:pt idx="245">
                  <c:v>42235</c:v>
                </c:pt>
                <c:pt idx="246">
                  <c:v>42236</c:v>
                </c:pt>
                <c:pt idx="247">
                  <c:v>42237</c:v>
                </c:pt>
                <c:pt idx="248">
                  <c:v>42240</c:v>
                </c:pt>
                <c:pt idx="249">
                  <c:v>42241</c:v>
                </c:pt>
                <c:pt idx="250">
                  <c:v>42242</c:v>
                </c:pt>
                <c:pt idx="251">
                  <c:v>42243</c:v>
                </c:pt>
                <c:pt idx="252">
                  <c:v>42244</c:v>
                </c:pt>
                <c:pt idx="253">
                  <c:v>42247</c:v>
                </c:pt>
                <c:pt idx="254">
                  <c:v>42248</c:v>
                </c:pt>
                <c:pt idx="255">
                  <c:v>42249</c:v>
                </c:pt>
                <c:pt idx="256">
                  <c:v>42250</c:v>
                </c:pt>
                <c:pt idx="257">
                  <c:v>42251</c:v>
                </c:pt>
                <c:pt idx="258">
                  <c:v>42254</c:v>
                </c:pt>
                <c:pt idx="259">
                  <c:v>42255</c:v>
                </c:pt>
                <c:pt idx="260">
                  <c:v>42256</c:v>
                </c:pt>
                <c:pt idx="261">
                  <c:v>42257</c:v>
                </c:pt>
                <c:pt idx="262">
                  <c:v>42258</c:v>
                </c:pt>
                <c:pt idx="263">
                  <c:v>42261</c:v>
                </c:pt>
                <c:pt idx="264">
                  <c:v>42262</c:v>
                </c:pt>
                <c:pt idx="265">
                  <c:v>42263</c:v>
                </c:pt>
                <c:pt idx="266">
                  <c:v>42264</c:v>
                </c:pt>
                <c:pt idx="267">
                  <c:v>42265</c:v>
                </c:pt>
                <c:pt idx="268">
                  <c:v>42268</c:v>
                </c:pt>
                <c:pt idx="269">
                  <c:v>42269</c:v>
                </c:pt>
                <c:pt idx="270">
                  <c:v>42270</c:v>
                </c:pt>
                <c:pt idx="271">
                  <c:v>42271</c:v>
                </c:pt>
                <c:pt idx="272">
                  <c:v>42272</c:v>
                </c:pt>
                <c:pt idx="273">
                  <c:v>42275</c:v>
                </c:pt>
                <c:pt idx="274">
                  <c:v>42276</c:v>
                </c:pt>
                <c:pt idx="275">
                  <c:v>42277</c:v>
                </c:pt>
                <c:pt idx="276">
                  <c:v>42279</c:v>
                </c:pt>
                <c:pt idx="277">
                  <c:v>42282</c:v>
                </c:pt>
                <c:pt idx="278">
                  <c:v>42283</c:v>
                </c:pt>
                <c:pt idx="279">
                  <c:v>42284</c:v>
                </c:pt>
                <c:pt idx="280">
                  <c:v>42285</c:v>
                </c:pt>
                <c:pt idx="281">
                  <c:v>42286</c:v>
                </c:pt>
                <c:pt idx="282">
                  <c:v>42289</c:v>
                </c:pt>
                <c:pt idx="283">
                  <c:v>42290</c:v>
                </c:pt>
                <c:pt idx="284">
                  <c:v>42291</c:v>
                </c:pt>
                <c:pt idx="285">
                  <c:v>42292</c:v>
                </c:pt>
                <c:pt idx="286">
                  <c:v>42293</c:v>
                </c:pt>
                <c:pt idx="287">
                  <c:v>42296</c:v>
                </c:pt>
                <c:pt idx="288">
                  <c:v>42297</c:v>
                </c:pt>
                <c:pt idx="289">
                  <c:v>42298</c:v>
                </c:pt>
                <c:pt idx="290">
                  <c:v>42299</c:v>
                </c:pt>
                <c:pt idx="291">
                  <c:v>42300</c:v>
                </c:pt>
                <c:pt idx="292">
                  <c:v>42303</c:v>
                </c:pt>
                <c:pt idx="293">
                  <c:v>42304</c:v>
                </c:pt>
                <c:pt idx="294">
                  <c:v>42305</c:v>
                </c:pt>
                <c:pt idx="295">
                  <c:v>42306</c:v>
                </c:pt>
                <c:pt idx="296">
                  <c:v>42307</c:v>
                </c:pt>
                <c:pt idx="297">
                  <c:v>42310</c:v>
                </c:pt>
                <c:pt idx="298">
                  <c:v>42311</c:v>
                </c:pt>
                <c:pt idx="299">
                  <c:v>42312</c:v>
                </c:pt>
                <c:pt idx="300">
                  <c:v>42313</c:v>
                </c:pt>
                <c:pt idx="301">
                  <c:v>42314</c:v>
                </c:pt>
                <c:pt idx="302">
                  <c:v>42317</c:v>
                </c:pt>
                <c:pt idx="303">
                  <c:v>42318</c:v>
                </c:pt>
                <c:pt idx="304">
                  <c:v>42319</c:v>
                </c:pt>
                <c:pt idx="305">
                  <c:v>42320</c:v>
                </c:pt>
                <c:pt idx="306">
                  <c:v>42321</c:v>
                </c:pt>
                <c:pt idx="307">
                  <c:v>42324</c:v>
                </c:pt>
                <c:pt idx="308">
                  <c:v>42325</c:v>
                </c:pt>
                <c:pt idx="309">
                  <c:v>42326</c:v>
                </c:pt>
                <c:pt idx="310">
                  <c:v>42327</c:v>
                </c:pt>
                <c:pt idx="311">
                  <c:v>42328</c:v>
                </c:pt>
                <c:pt idx="312">
                  <c:v>42331</c:v>
                </c:pt>
                <c:pt idx="313">
                  <c:v>42332</c:v>
                </c:pt>
                <c:pt idx="314">
                  <c:v>42333</c:v>
                </c:pt>
                <c:pt idx="315">
                  <c:v>42334</c:v>
                </c:pt>
                <c:pt idx="316">
                  <c:v>42335</c:v>
                </c:pt>
                <c:pt idx="317">
                  <c:v>42338</c:v>
                </c:pt>
                <c:pt idx="318">
                  <c:v>42339</c:v>
                </c:pt>
                <c:pt idx="319">
                  <c:v>42340</c:v>
                </c:pt>
                <c:pt idx="320">
                  <c:v>42341</c:v>
                </c:pt>
                <c:pt idx="321">
                  <c:v>42342</c:v>
                </c:pt>
                <c:pt idx="322">
                  <c:v>42345</c:v>
                </c:pt>
                <c:pt idx="323">
                  <c:v>42346</c:v>
                </c:pt>
                <c:pt idx="324">
                  <c:v>42347</c:v>
                </c:pt>
                <c:pt idx="325">
                  <c:v>42348</c:v>
                </c:pt>
                <c:pt idx="326">
                  <c:v>42349</c:v>
                </c:pt>
                <c:pt idx="327">
                  <c:v>42352</c:v>
                </c:pt>
                <c:pt idx="328">
                  <c:v>42353</c:v>
                </c:pt>
                <c:pt idx="329">
                  <c:v>42354</c:v>
                </c:pt>
                <c:pt idx="330">
                  <c:v>42355</c:v>
                </c:pt>
                <c:pt idx="331">
                  <c:v>42356</c:v>
                </c:pt>
                <c:pt idx="332">
                  <c:v>42359</c:v>
                </c:pt>
                <c:pt idx="333">
                  <c:v>42360</c:v>
                </c:pt>
                <c:pt idx="334">
                  <c:v>42361</c:v>
                </c:pt>
                <c:pt idx="335">
                  <c:v>42362</c:v>
                </c:pt>
                <c:pt idx="336">
                  <c:v>42366</c:v>
                </c:pt>
                <c:pt idx="337">
                  <c:v>42367</c:v>
                </c:pt>
                <c:pt idx="338">
                  <c:v>42368</c:v>
                </c:pt>
                <c:pt idx="339">
                  <c:v>42369</c:v>
                </c:pt>
                <c:pt idx="340">
                  <c:v>42373</c:v>
                </c:pt>
                <c:pt idx="341">
                  <c:v>42374</c:v>
                </c:pt>
                <c:pt idx="342">
                  <c:v>42375</c:v>
                </c:pt>
                <c:pt idx="343">
                  <c:v>42376</c:v>
                </c:pt>
                <c:pt idx="344">
                  <c:v>42377</c:v>
                </c:pt>
                <c:pt idx="345">
                  <c:v>42380</c:v>
                </c:pt>
                <c:pt idx="346">
                  <c:v>42381</c:v>
                </c:pt>
                <c:pt idx="347">
                  <c:v>42382</c:v>
                </c:pt>
                <c:pt idx="348">
                  <c:v>42383</c:v>
                </c:pt>
                <c:pt idx="349">
                  <c:v>42384</c:v>
                </c:pt>
                <c:pt idx="350">
                  <c:v>42387</c:v>
                </c:pt>
                <c:pt idx="351">
                  <c:v>42388</c:v>
                </c:pt>
                <c:pt idx="352">
                  <c:v>42389</c:v>
                </c:pt>
                <c:pt idx="353">
                  <c:v>42390</c:v>
                </c:pt>
                <c:pt idx="354">
                  <c:v>42391</c:v>
                </c:pt>
                <c:pt idx="355">
                  <c:v>42394</c:v>
                </c:pt>
                <c:pt idx="356">
                  <c:v>42395</c:v>
                </c:pt>
                <c:pt idx="357">
                  <c:v>42396</c:v>
                </c:pt>
                <c:pt idx="358">
                  <c:v>42397</c:v>
                </c:pt>
                <c:pt idx="359">
                  <c:v>42398</c:v>
                </c:pt>
                <c:pt idx="360">
                  <c:v>42401</c:v>
                </c:pt>
                <c:pt idx="361">
                  <c:v>42402</c:v>
                </c:pt>
                <c:pt idx="362">
                  <c:v>42403</c:v>
                </c:pt>
                <c:pt idx="363">
                  <c:v>42404</c:v>
                </c:pt>
                <c:pt idx="364">
                  <c:v>42405</c:v>
                </c:pt>
                <c:pt idx="365">
                  <c:v>42408</c:v>
                </c:pt>
                <c:pt idx="366">
                  <c:v>42409</c:v>
                </c:pt>
                <c:pt idx="367">
                  <c:v>42410</c:v>
                </c:pt>
                <c:pt idx="368">
                  <c:v>42411</c:v>
                </c:pt>
                <c:pt idx="369">
                  <c:v>42412</c:v>
                </c:pt>
                <c:pt idx="370">
                  <c:v>42415</c:v>
                </c:pt>
                <c:pt idx="371">
                  <c:v>42416</c:v>
                </c:pt>
                <c:pt idx="372">
                  <c:v>42417</c:v>
                </c:pt>
                <c:pt idx="373">
                  <c:v>42418</c:v>
                </c:pt>
                <c:pt idx="374">
                  <c:v>42419</c:v>
                </c:pt>
                <c:pt idx="375">
                  <c:v>42422</c:v>
                </c:pt>
                <c:pt idx="376">
                  <c:v>42423</c:v>
                </c:pt>
                <c:pt idx="377">
                  <c:v>42424</c:v>
                </c:pt>
                <c:pt idx="378">
                  <c:v>42425</c:v>
                </c:pt>
                <c:pt idx="379">
                  <c:v>42426</c:v>
                </c:pt>
                <c:pt idx="380">
                  <c:v>42429</c:v>
                </c:pt>
                <c:pt idx="381">
                  <c:v>42430</c:v>
                </c:pt>
                <c:pt idx="382">
                  <c:v>42431</c:v>
                </c:pt>
                <c:pt idx="383">
                  <c:v>42432</c:v>
                </c:pt>
                <c:pt idx="384">
                  <c:v>42433</c:v>
                </c:pt>
                <c:pt idx="385">
                  <c:v>42436</c:v>
                </c:pt>
                <c:pt idx="386">
                  <c:v>42437</c:v>
                </c:pt>
                <c:pt idx="387">
                  <c:v>42438</c:v>
                </c:pt>
                <c:pt idx="388">
                  <c:v>42439</c:v>
                </c:pt>
                <c:pt idx="389">
                  <c:v>42440</c:v>
                </c:pt>
                <c:pt idx="390">
                  <c:v>42443</c:v>
                </c:pt>
                <c:pt idx="391">
                  <c:v>42444</c:v>
                </c:pt>
                <c:pt idx="392">
                  <c:v>42445</c:v>
                </c:pt>
                <c:pt idx="393">
                  <c:v>42446</c:v>
                </c:pt>
                <c:pt idx="394">
                  <c:v>42447</c:v>
                </c:pt>
                <c:pt idx="395">
                  <c:v>42450</c:v>
                </c:pt>
                <c:pt idx="396">
                  <c:v>42451</c:v>
                </c:pt>
                <c:pt idx="397">
                  <c:v>42452</c:v>
                </c:pt>
                <c:pt idx="398">
                  <c:v>42453</c:v>
                </c:pt>
                <c:pt idx="399">
                  <c:v>42458</c:v>
                </c:pt>
                <c:pt idx="400">
                  <c:v>42459</c:v>
                </c:pt>
                <c:pt idx="401">
                  <c:v>42460</c:v>
                </c:pt>
                <c:pt idx="402">
                  <c:v>42461</c:v>
                </c:pt>
                <c:pt idx="403">
                  <c:v>42464</c:v>
                </c:pt>
                <c:pt idx="404">
                  <c:v>42465</c:v>
                </c:pt>
                <c:pt idx="405">
                  <c:v>42466</c:v>
                </c:pt>
                <c:pt idx="406">
                  <c:v>42467</c:v>
                </c:pt>
                <c:pt idx="407">
                  <c:v>42468</c:v>
                </c:pt>
                <c:pt idx="408">
                  <c:v>42471</c:v>
                </c:pt>
                <c:pt idx="409">
                  <c:v>42472</c:v>
                </c:pt>
                <c:pt idx="410">
                  <c:v>42473</c:v>
                </c:pt>
                <c:pt idx="411">
                  <c:v>42474</c:v>
                </c:pt>
                <c:pt idx="412">
                  <c:v>42475</c:v>
                </c:pt>
                <c:pt idx="413">
                  <c:v>42478</c:v>
                </c:pt>
                <c:pt idx="414">
                  <c:v>42479</c:v>
                </c:pt>
                <c:pt idx="415">
                  <c:v>42480</c:v>
                </c:pt>
                <c:pt idx="416">
                  <c:v>42481</c:v>
                </c:pt>
                <c:pt idx="417">
                  <c:v>42482</c:v>
                </c:pt>
                <c:pt idx="418">
                  <c:v>42485</c:v>
                </c:pt>
                <c:pt idx="419">
                  <c:v>42486</c:v>
                </c:pt>
                <c:pt idx="420">
                  <c:v>42487</c:v>
                </c:pt>
                <c:pt idx="421">
                  <c:v>42488</c:v>
                </c:pt>
                <c:pt idx="422">
                  <c:v>42489</c:v>
                </c:pt>
                <c:pt idx="423">
                  <c:v>42493</c:v>
                </c:pt>
                <c:pt idx="424">
                  <c:v>42494</c:v>
                </c:pt>
                <c:pt idx="425">
                  <c:v>42495</c:v>
                </c:pt>
                <c:pt idx="426">
                  <c:v>42496</c:v>
                </c:pt>
                <c:pt idx="427">
                  <c:v>42499</c:v>
                </c:pt>
                <c:pt idx="428">
                  <c:v>42500</c:v>
                </c:pt>
                <c:pt idx="429">
                  <c:v>42501</c:v>
                </c:pt>
                <c:pt idx="430">
                  <c:v>42502</c:v>
                </c:pt>
                <c:pt idx="431">
                  <c:v>42503</c:v>
                </c:pt>
                <c:pt idx="432">
                  <c:v>42506</c:v>
                </c:pt>
                <c:pt idx="433">
                  <c:v>42507</c:v>
                </c:pt>
                <c:pt idx="434">
                  <c:v>42508</c:v>
                </c:pt>
                <c:pt idx="435">
                  <c:v>42509</c:v>
                </c:pt>
                <c:pt idx="436">
                  <c:v>42510</c:v>
                </c:pt>
                <c:pt idx="437">
                  <c:v>42513</c:v>
                </c:pt>
                <c:pt idx="438">
                  <c:v>42514</c:v>
                </c:pt>
                <c:pt idx="439">
                  <c:v>42515</c:v>
                </c:pt>
                <c:pt idx="440">
                  <c:v>42516</c:v>
                </c:pt>
                <c:pt idx="441">
                  <c:v>42517</c:v>
                </c:pt>
                <c:pt idx="442">
                  <c:v>42520</c:v>
                </c:pt>
                <c:pt idx="443">
                  <c:v>42521</c:v>
                </c:pt>
                <c:pt idx="444">
                  <c:v>42522</c:v>
                </c:pt>
                <c:pt idx="445">
                  <c:v>42523</c:v>
                </c:pt>
                <c:pt idx="446">
                  <c:v>42524</c:v>
                </c:pt>
                <c:pt idx="447">
                  <c:v>42527</c:v>
                </c:pt>
                <c:pt idx="448">
                  <c:v>42528</c:v>
                </c:pt>
                <c:pt idx="449">
                  <c:v>42529</c:v>
                </c:pt>
                <c:pt idx="450">
                  <c:v>42530</c:v>
                </c:pt>
                <c:pt idx="451">
                  <c:v>42531</c:v>
                </c:pt>
                <c:pt idx="452">
                  <c:v>42534</c:v>
                </c:pt>
                <c:pt idx="453">
                  <c:v>42535</c:v>
                </c:pt>
                <c:pt idx="454">
                  <c:v>42536</c:v>
                </c:pt>
                <c:pt idx="455">
                  <c:v>42537</c:v>
                </c:pt>
                <c:pt idx="456">
                  <c:v>42538</c:v>
                </c:pt>
                <c:pt idx="457">
                  <c:v>42541</c:v>
                </c:pt>
                <c:pt idx="458">
                  <c:v>42542</c:v>
                </c:pt>
                <c:pt idx="459">
                  <c:v>42543</c:v>
                </c:pt>
                <c:pt idx="460">
                  <c:v>42544</c:v>
                </c:pt>
                <c:pt idx="461">
                  <c:v>42545</c:v>
                </c:pt>
                <c:pt idx="462">
                  <c:v>42548</c:v>
                </c:pt>
                <c:pt idx="463">
                  <c:v>42549</c:v>
                </c:pt>
                <c:pt idx="464">
                  <c:v>42550</c:v>
                </c:pt>
                <c:pt idx="465">
                  <c:v>42551</c:v>
                </c:pt>
                <c:pt idx="466">
                  <c:v>42555</c:v>
                </c:pt>
                <c:pt idx="467">
                  <c:v>42556</c:v>
                </c:pt>
                <c:pt idx="468">
                  <c:v>42557</c:v>
                </c:pt>
                <c:pt idx="469">
                  <c:v>42558</c:v>
                </c:pt>
                <c:pt idx="470">
                  <c:v>42559</c:v>
                </c:pt>
                <c:pt idx="471">
                  <c:v>42562</c:v>
                </c:pt>
                <c:pt idx="472">
                  <c:v>42563</c:v>
                </c:pt>
                <c:pt idx="473">
                  <c:v>42564</c:v>
                </c:pt>
                <c:pt idx="474">
                  <c:v>42565</c:v>
                </c:pt>
                <c:pt idx="475">
                  <c:v>42566</c:v>
                </c:pt>
                <c:pt idx="476">
                  <c:v>42569</c:v>
                </c:pt>
                <c:pt idx="477">
                  <c:v>42570</c:v>
                </c:pt>
                <c:pt idx="478">
                  <c:v>42571</c:v>
                </c:pt>
                <c:pt idx="479">
                  <c:v>42572</c:v>
                </c:pt>
                <c:pt idx="480">
                  <c:v>42573</c:v>
                </c:pt>
                <c:pt idx="481">
                  <c:v>42576</c:v>
                </c:pt>
                <c:pt idx="482">
                  <c:v>42577</c:v>
                </c:pt>
                <c:pt idx="483">
                  <c:v>42578</c:v>
                </c:pt>
                <c:pt idx="484">
                  <c:v>42579</c:v>
                </c:pt>
                <c:pt idx="485">
                  <c:v>42580</c:v>
                </c:pt>
                <c:pt idx="486">
                  <c:v>42583</c:v>
                </c:pt>
                <c:pt idx="487">
                  <c:v>42584</c:v>
                </c:pt>
                <c:pt idx="488">
                  <c:v>42585</c:v>
                </c:pt>
                <c:pt idx="489">
                  <c:v>42586</c:v>
                </c:pt>
                <c:pt idx="490">
                  <c:v>42587</c:v>
                </c:pt>
                <c:pt idx="491">
                  <c:v>42590</c:v>
                </c:pt>
                <c:pt idx="492">
                  <c:v>42591</c:v>
                </c:pt>
                <c:pt idx="493">
                  <c:v>42592</c:v>
                </c:pt>
                <c:pt idx="494">
                  <c:v>42593</c:v>
                </c:pt>
                <c:pt idx="495">
                  <c:v>42594</c:v>
                </c:pt>
                <c:pt idx="496">
                  <c:v>42597</c:v>
                </c:pt>
                <c:pt idx="497">
                  <c:v>42598</c:v>
                </c:pt>
                <c:pt idx="498">
                  <c:v>42599</c:v>
                </c:pt>
                <c:pt idx="499">
                  <c:v>42600</c:v>
                </c:pt>
                <c:pt idx="500">
                  <c:v>42601</c:v>
                </c:pt>
                <c:pt idx="501">
                  <c:v>42604</c:v>
                </c:pt>
                <c:pt idx="502">
                  <c:v>42605</c:v>
                </c:pt>
                <c:pt idx="503">
                  <c:v>42606</c:v>
                </c:pt>
                <c:pt idx="504">
                  <c:v>42607</c:v>
                </c:pt>
                <c:pt idx="505">
                  <c:v>42608</c:v>
                </c:pt>
                <c:pt idx="506">
                  <c:v>42611</c:v>
                </c:pt>
                <c:pt idx="507">
                  <c:v>42612</c:v>
                </c:pt>
                <c:pt idx="508">
                  <c:v>42613</c:v>
                </c:pt>
                <c:pt idx="509">
                  <c:v>42614</c:v>
                </c:pt>
                <c:pt idx="510">
                  <c:v>42615</c:v>
                </c:pt>
                <c:pt idx="511">
                  <c:v>42618</c:v>
                </c:pt>
                <c:pt idx="512">
                  <c:v>42619</c:v>
                </c:pt>
                <c:pt idx="513">
                  <c:v>42620</c:v>
                </c:pt>
                <c:pt idx="514">
                  <c:v>42621</c:v>
                </c:pt>
                <c:pt idx="515">
                  <c:v>42622</c:v>
                </c:pt>
                <c:pt idx="516">
                  <c:v>42625</c:v>
                </c:pt>
                <c:pt idx="517">
                  <c:v>42626</c:v>
                </c:pt>
                <c:pt idx="518">
                  <c:v>42633</c:v>
                </c:pt>
                <c:pt idx="519">
                  <c:v>42640</c:v>
                </c:pt>
                <c:pt idx="520">
                  <c:v>42647</c:v>
                </c:pt>
                <c:pt idx="521">
                  <c:v>42654</c:v>
                </c:pt>
                <c:pt idx="522">
                  <c:v>42661</c:v>
                </c:pt>
                <c:pt idx="523">
                  <c:v>42668</c:v>
                </c:pt>
                <c:pt idx="524">
                  <c:v>42675</c:v>
                </c:pt>
                <c:pt idx="525">
                  <c:v>42682</c:v>
                </c:pt>
                <c:pt idx="526">
                  <c:v>42689</c:v>
                </c:pt>
                <c:pt idx="527">
                  <c:v>42696</c:v>
                </c:pt>
                <c:pt idx="528">
                  <c:v>42703</c:v>
                </c:pt>
                <c:pt idx="529">
                  <c:v>42710</c:v>
                </c:pt>
                <c:pt idx="530">
                  <c:v>42717</c:v>
                </c:pt>
                <c:pt idx="531">
                  <c:v>42724</c:v>
                </c:pt>
                <c:pt idx="532">
                  <c:v>42731</c:v>
                </c:pt>
                <c:pt idx="533">
                  <c:v>42738</c:v>
                </c:pt>
                <c:pt idx="534">
                  <c:v>42745</c:v>
                </c:pt>
                <c:pt idx="535">
                  <c:v>42752</c:v>
                </c:pt>
                <c:pt idx="536">
                  <c:v>42759</c:v>
                </c:pt>
                <c:pt idx="537">
                  <c:v>42766</c:v>
                </c:pt>
                <c:pt idx="538">
                  <c:v>42773</c:v>
                </c:pt>
                <c:pt idx="539">
                  <c:v>42780</c:v>
                </c:pt>
                <c:pt idx="540">
                  <c:v>42787</c:v>
                </c:pt>
                <c:pt idx="541">
                  <c:v>42794</c:v>
                </c:pt>
                <c:pt idx="542">
                  <c:v>42801</c:v>
                </c:pt>
                <c:pt idx="543">
                  <c:v>42808</c:v>
                </c:pt>
                <c:pt idx="544">
                  <c:v>42815</c:v>
                </c:pt>
                <c:pt idx="545">
                  <c:v>42822</c:v>
                </c:pt>
                <c:pt idx="546">
                  <c:v>42829</c:v>
                </c:pt>
                <c:pt idx="547">
                  <c:v>42836</c:v>
                </c:pt>
                <c:pt idx="548">
                  <c:v>42843</c:v>
                </c:pt>
                <c:pt idx="549">
                  <c:v>42850</c:v>
                </c:pt>
                <c:pt idx="550">
                  <c:v>42857</c:v>
                </c:pt>
                <c:pt idx="551">
                  <c:v>42864</c:v>
                </c:pt>
                <c:pt idx="552">
                  <c:v>42871</c:v>
                </c:pt>
                <c:pt idx="553">
                  <c:v>42878</c:v>
                </c:pt>
                <c:pt idx="554">
                  <c:v>42885</c:v>
                </c:pt>
                <c:pt idx="555">
                  <c:v>42892</c:v>
                </c:pt>
                <c:pt idx="556">
                  <c:v>42899</c:v>
                </c:pt>
                <c:pt idx="557">
                  <c:v>42906</c:v>
                </c:pt>
                <c:pt idx="558">
                  <c:v>42913</c:v>
                </c:pt>
                <c:pt idx="559">
                  <c:v>42920</c:v>
                </c:pt>
                <c:pt idx="560">
                  <c:v>42927</c:v>
                </c:pt>
                <c:pt idx="561">
                  <c:v>42934</c:v>
                </c:pt>
                <c:pt idx="562">
                  <c:v>42941</c:v>
                </c:pt>
                <c:pt idx="563">
                  <c:v>42948</c:v>
                </c:pt>
                <c:pt idx="564">
                  <c:v>42955</c:v>
                </c:pt>
                <c:pt idx="565">
                  <c:v>42962</c:v>
                </c:pt>
                <c:pt idx="566">
                  <c:v>42969</c:v>
                </c:pt>
                <c:pt idx="567">
                  <c:v>42976</c:v>
                </c:pt>
                <c:pt idx="568">
                  <c:v>42983</c:v>
                </c:pt>
                <c:pt idx="569">
                  <c:v>42990</c:v>
                </c:pt>
                <c:pt idx="570">
                  <c:v>42997</c:v>
                </c:pt>
                <c:pt idx="571">
                  <c:v>43004</c:v>
                </c:pt>
                <c:pt idx="572">
                  <c:v>43011</c:v>
                </c:pt>
                <c:pt idx="573">
                  <c:v>43018</c:v>
                </c:pt>
                <c:pt idx="574">
                  <c:v>43025</c:v>
                </c:pt>
                <c:pt idx="575">
                  <c:v>43032</c:v>
                </c:pt>
                <c:pt idx="576">
                  <c:v>43039</c:v>
                </c:pt>
                <c:pt idx="577">
                  <c:v>43046</c:v>
                </c:pt>
                <c:pt idx="578">
                  <c:v>43053</c:v>
                </c:pt>
                <c:pt idx="579">
                  <c:v>43060</c:v>
                </c:pt>
                <c:pt idx="580">
                  <c:v>43067</c:v>
                </c:pt>
                <c:pt idx="581">
                  <c:v>43074</c:v>
                </c:pt>
                <c:pt idx="582">
                  <c:v>43081</c:v>
                </c:pt>
                <c:pt idx="583">
                  <c:v>43088</c:v>
                </c:pt>
                <c:pt idx="584">
                  <c:v>43096</c:v>
                </c:pt>
                <c:pt idx="585">
                  <c:v>43103</c:v>
                </c:pt>
                <c:pt idx="586">
                  <c:v>43110</c:v>
                </c:pt>
                <c:pt idx="587">
                  <c:v>43117</c:v>
                </c:pt>
                <c:pt idx="588">
                  <c:v>43124</c:v>
                </c:pt>
                <c:pt idx="589">
                  <c:v>43131</c:v>
                </c:pt>
                <c:pt idx="590">
                  <c:v>43138</c:v>
                </c:pt>
                <c:pt idx="591">
                  <c:v>43145</c:v>
                </c:pt>
                <c:pt idx="592">
                  <c:v>43152</c:v>
                </c:pt>
                <c:pt idx="593">
                  <c:v>43159</c:v>
                </c:pt>
                <c:pt idx="594">
                  <c:v>43166</c:v>
                </c:pt>
                <c:pt idx="595">
                  <c:v>43173</c:v>
                </c:pt>
                <c:pt idx="596">
                  <c:v>43180</c:v>
                </c:pt>
                <c:pt idx="597">
                  <c:v>43187</c:v>
                </c:pt>
                <c:pt idx="598">
                  <c:v>43194</c:v>
                </c:pt>
                <c:pt idx="599">
                  <c:v>43201</c:v>
                </c:pt>
                <c:pt idx="600">
                  <c:v>43208</c:v>
                </c:pt>
                <c:pt idx="601">
                  <c:v>43215</c:v>
                </c:pt>
                <c:pt idx="602">
                  <c:v>43222</c:v>
                </c:pt>
                <c:pt idx="603">
                  <c:v>43229</c:v>
                </c:pt>
                <c:pt idx="604">
                  <c:v>43236</c:v>
                </c:pt>
                <c:pt idx="605">
                  <c:v>43243</c:v>
                </c:pt>
                <c:pt idx="606">
                  <c:v>43250</c:v>
                </c:pt>
                <c:pt idx="607">
                  <c:v>43257</c:v>
                </c:pt>
                <c:pt idx="608">
                  <c:v>43264</c:v>
                </c:pt>
                <c:pt idx="609">
                  <c:v>43271</c:v>
                </c:pt>
                <c:pt idx="610">
                  <c:v>43278</c:v>
                </c:pt>
                <c:pt idx="611">
                  <c:v>43285</c:v>
                </c:pt>
                <c:pt idx="612">
                  <c:v>43292</c:v>
                </c:pt>
                <c:pt idx="613">
                  <c:v>43299</c:v>
                </c:pt>
                <c:pt idx="614">
                  <c:v>43306</c:v>
                </c:pt>
                <c:pt idx="615">
                  <c:v>43313</c:v>
                </c:pt>
                <c:pt idx="616">
                  <c:v>43320</c:v>
                </c:pt>
                <c:pt idx="617">
                  <c:v>43327</c:v>
                </c:pt>
                <c:pt idx="618">
                  <c:v>43334</c:v>
                </c:pt>
                <c:pt idx="619">
                  <c:v>43341</c:v>
                </c:pt>
                <c:pt idx="620">
                  <c:v>43348</c:v>
                </c:pt>
                <c:pt idx="621">
                  <c:v>43355</c:v>
                </c:pt>
                <c:pt idx="622">
                  <c:v>43362</c:v>
                </c:pt>
                <c:pt idx="623">
                  <c:v>43369</c:v>
                </c:pt>
                <c:pt idx="624">
                  <c:v>43376</c:v>
                </c:pt>
                <c:pt idx="625">
                  <c:v>43383</c:v>
                </c:pt>
                <c:pt idx="626">
                  <c:v>43390</c:v>
                </c:pt>
                <c:pt idx="627">
                  <c:v>43397</c:v>
                </c:pt>
                <c:pt idx="628">
                  <c:v>43404</c:v>
                </c:pt>
                <c:pt idx="629">
                  <c:v>43411</c:v>
                </c:pt>
                <c:pt idx="630">
                  <c:v>43418</c:v>
                </c:pt>
                <c:pt idx="631">
                  <c:v>43425</c:v>
                </c:pt>
                <c:pt idx="632">
                  <c:v>43432</c:v>
                </c:pt>
                <c:pt idx="633">
                  <c:v>43439</c:v>
                </c:pt>
                <c:pt idx="634">
                  <c:v>43446</c:v>
                </c:pt>
                <c:pt idx="635">
                  <c:v>43453</c:v>
                </c:pt>
                <c:pt idx="636">
                  <c:v>43461</c:v>
                </c:pt>
                <c:pt idx="637">
                  <c:v>43468</c:v>
                </c:pt>
                <c:pt idx="638">
                  <c:v>43475</c:v>
                </c:pt>
                <c:pt idx="639">
                  <c:v>43482</c:v>
                </c:pt>
                <c:pt idx="640">
                  <c:v>43489</c:v>
                </c:pt>
                <c:pt idx="641">
                  <c:v>43496</c:v>
                </c:pt>
                <c:pt idx="642">
                  <c:v>43503</c:v>
                </c:pt>
                <c:pt idx="643">
                  <c:v>43510</c:v>
                </c:pt>
                <c:pt idx="644">
                  <c:v>43517</c:v>
                </c:pt>
                <c:pt idx="645">
                  <c:v>43524</c:v>
                </c:pt>
                <c:pt idx="646">
                  <c:v>43531</c:v>
                </c:pt>
                <c:pt idx="647">
                  <c:v>43538</c:v>
                </c:pt>
                <c:pt idx="648">
                  <c:v>43545</c:v>
                </c:pt>
                <c:pt idx="649">
                  <c:v>43552</c:v>
                </c:pt>
                <c:pt idx="650">
                  <c:v>43559</c:v>
                </c:pt>
                <c:pt idx="651">
                  <c:v>43566</c:v>
                </c:pt>
                <c:pt idx="652">
                  <c:v>43573</c:v>
                </c:pt>
                <c:pt idx="653">
                  <c:v>43580</c:v>
                </c:pt>
                <c:pt idx="654">
                  <c:v>43587</c:v>
                </c:pt>
                <c:pt idx="655">
                  <c:v>43594</c:v>
                </c:pt>
                <c:pt idx="656">
                  <c:v>43601</c:v>
                </c:pt>
                <c:pt idx="657">
                  <c:v>43608</c:v>
                </c:pt>
                <c:pt idx="658">
                  <c:v>43615</c:v>
                </c:pt>
                <c:pt idx="659">
                  <c:v>43622</c:v>
                </c:pt>
                <c:pt idx="660">
                  <c:v>43629</c:v>
                </c:pt>
                <c:pt idx="661">
                  <c:v>43636</c:v>
                </c:pt>
                <c:pt idx="662">
                  <c:v>43643</c:v>
                </c:pt>
                <c:pt idx="663">
                  <c:v>43650</c:v>
                </c:pt>
                <c:pt idx="664">
                  <c:v>43657</c:v>
                </c:pt>
                <c:pt idx="665">
                  <c:v>43664</c:v>
                </c:pt>
                <c:pt idx="666">
                  <c:v>43671</c:v>
                </c:pt>
                <c:pt idx="667">
                  <c:v>43678</c:v>
                </c:pt>
                <c:pt idx="668">
                  <c:v>43685</c:v>
                </c:pt>
                <c:pt idx="669">
                  <c:v>43692</c:v>
                </c:pt>
                <c:pt idx="670">
                  <c:v>43699</c:v>
                </c:pt>
                <c:pt idx="671">
                  <c:v>43706</c:v>
                </c:pt>
                <c:pt idx="672">
                  <c:v>43713</c:v>
                </c:pt>
                <c:pt idx="673">
                  <c:v>43720</c:v>
                </c:pt>
                <c:pt idx="674">
                  <c:v>43727</c:v>
                </c:pt>
                <c:pt idx="675">
                  <c:v>43734</c:v>
                </c:pt>
                <c:pt idx="676">
                  <c:v>43741</c:v>
                </c:pt>
                <c:pt idx="677">
                  <c:v>43748</c:v>
                </c:pt>
                <c:pt idx="678">
                  <c:v>43755</c:v>
                </c:pt>
                <c:pt idx="679">
                  <c:v>43762</c:v>
                </c:pt>
                <c:pt idx="680">
                  <c:v>43769</c:v>
                </c:pt>
                <c:pt idx="681">
                  <c:v>43776</c:v>
                </c:pt>
                <c:pt idx="682">
                  <c:v>43783</c:v>
                </c:pt>
                <c:pt idx="683">
                  <c:v>43790</c:v>
                </c:pt>
                <c:pt idx="684">
                  <c:v>43797</c:v>
                </c:pt>
                <c:pt idx="685">
                  <c:v>43804</c:v>
                </c:pt>
                <c:pt idx="686">
                  <c:v>43811</c:v>
                </c:pt>
                <c:pt idx="687">
                  <c:v>43818</c:v>
                </c:pt>
                <c:pt idx="688">
                  <c:v>43826</c:v>
                </c:pt>
                <c:pt idx="689">
                  <c:v>43833</c:v>
                </c:pt>
                <c:pt idx="690">
                  <c:v>43840</c:v>
                </c:pt>
                <c:pt idx="691">
                  <c:v>43847</c:v>
                </c:pt>
                <c:pt idx="692">
                  <c:v>43854</c:v>
                </c:pt>
                <c:pt idx="693">
                  <c:v>43861</c:v>
                </c:pt>
                <c:pt idx="694">
                  <c:v>43868</c:v>
                </c:pt>
                <c:pt idx="695">
                  <c:v>43875</c:v>
                </c:pt>
                <c:pt idx="696">
                  <c:v>43882</c:v>
                </c:pt>
                <c:pt idx="697">
                  <c:v>43889</c:v>
                </c:pt>
                <c:pt idx="698">
                  <c:v>43896</c:v>
                </c:pt>
                <c:pt idx="699">
                  <c:v>43903</c:v>
                </c:pt>
                <c:pt idx="700">
                  <c:v>43910</c:v>
                </c:pt>
                <c:pt idx="701">
                  <c:v>43917</c:v>
                </c:pt>
                <c:pt idx="702">
                  <c:v>43924</c:v>
                </c:pt>
                <c:pt idx="703">
                  <c:v>43935</c:v>
                </c:pt>
                <c:pt idx="704">
                  <c:v>43942</c:v>
                </c:pt>
                <c:pt idx="705">
                  <c:v>43949</c:v>
                </c:pt>
                <c:pt idx="706">
                  <c:v>43956</c:v>
                </c:pt>
                <c:pt idx="707">
                  <c:v>43963</c:v>
                </c:pt>
                <c:pt idx="708">
                  <c:v>43970</c:v>
                </c:pt>
                <c:pt idx="709">
                  <c:v>43977</c:v>
                </c:pt>
                <c:pt idx="710">
                  <c:v>43984</c:v>
                </c:pt>
                <c:pt idx="711">
                  <c:v>43991</c:v>
                </c:pt>
                <c:pt idx="712">
                  <c:v>43998</c:v>
                </c:pt>
                <c:pt idx="713">
                  <c:v>44005</c:v>
                </c:pt>
                <c:pt idx="714">
                  <c:v>44012</c:v>
                </c:pt>
                <c:pt idx="715">
                  <c:v>44019</c:v>
                </c:pt>
                <c:pt idx="716">
                  <c:v>44026</c:v>
                </c:pt>
                <c:pt idx="717">
                  <c:v>44033</c:v>
                </c:pt>
                <c:pt idx="718">
                  <c:v>44040</c:v>
                </c:pt>
                <c:pt idx="719">
                  <c:v>44047</c:v>
                </c:pt>
                <c:pt idx="720">
                  <c:v>44054</c:v>
                </c:pt>
                <c:pt idx="721">
                  <c:v>44061</c:v>
                </c:pt>
                <c:pt idx="722">
                  <c:v>44068</c:v>
                </c:pt>
                <c:pt idx="723">
                  <c:v>44075</c:v>
                </c:pt>
                <c:pt idx="724">
                  <c:v>44082</c:v>
                </c:pt>
                <c:pt idx="725">
                  <c:v>44089</c:v>
                </c:pt>
                <c:pt idx="726">
                  <c:v>44096</c:v>
                </c:pt>
                <c:pt idx="727">
                  <c:v>44103</c:v>
                </c:pt>
                <c:pt idx="728">
                  <c:v>44110</c:v>
                </c:pt>
                <c:pt idx="729">
                  <c:v>44117</c:v>
                </c:pt>
                <c:pt idx="730">
                  <c:v>44124</c:v>
                </c:pt>
                <c:pt idx="731">
                  <c:v>44131</c:v>
                </c:pt>
                <c:pt idx="732">
                  <c:v>44138</c:v>
                </c:pt>
                <c:pt idx="733">
                  <c:v>44145</c:v>
                </c:pt>
                <c:pt idx="734">
                  <c:v>44152</c:v>
                </c:pt>
                <c:pt idx="735">
                  <c:v>44159</c:v>
                </c:pt>
                <c:pt idx="736">
                  <c:v>44166</c:v>
                </c:pt>
                <c:pt idx="737">
                  <c:v>44173</c:v>
                </c:pt>
                <c:pt idx="738">
                  <c:v>44180</c:v>
                </c:pt>
                <c:pt idx="739">
                  <c:v>44187</c:v>
                </c:pt>
                <c:pt idx="740">
                  <c:v>44194</c:v>
                </c:pt>
                <c:pt idx="741">
                  <c:v>44201</c:v>
                </c:pt>
                <c:pt idx="742">
                  <c:v>44208</c:v>
                </c:pt>
                <c:pt idx="743">
                  <c:v>44215</c:v>
                </c:pt>
                <c:pt idx="744">
                  <c:v>44222</c:v>
                </c:pt>
                <c:pt idx="745">
                  <c:v>44229</c:v>
                </c:pt>
                <c:pt idx="746">
                  <c:v>44236</c:v>
                </c:pt>
                <c:pt idx="747">
                  <c:v>44243</c:v>
                </c:pt>
                <c:pt idx="748">
                  <c:v>44250</c:v>
                </c:pt>
                <c:pt idx="749">
                  <c:v>44257</c:v>
                </c:pt>
                <c:pt idx="750">
                  <c:v>44264</c:v>
                </c:pt>
                <c:pt idx="751">
                  <c:v>44271</c:v>
                </c:pt>
                <c:pt idx="752">
                  <c:v>44278</c:v>
                </c:pt>
                <c:pt idx="753">
                  <c:v>44285</c:v>
                </c:pt>
                <c:pt idx="754">
                  <c:v>44292</c:v>
                </c:pt>
                <c:pt idx="755">
                  <c:v>44299</c:v>
                </c:pt>
                <c:pt idx="756">
                  <c:v>44306</c:v>
                </c:pt>
                <c:pt idx="757">
                  <c:v>44313</c:v>
                </c:pt>
                <c:pt idx="758">
                  <c:v>44320</c:v>
                </c:pt>
                <c:pt idx="759">
                  <c:v>44327</c:v>
                </c:pt>
                <c:pt idx="760">
                  <c:v>44334</c:v>
                </c:pt>
                <c:pt idx="761">
                  <c:v>44341</c:v>
                </c:pt>
                <c:pt idx="762">
                  <c:v>44348</c:v>
                </c:pt>
                <c:pt idx="763">
                  <c:v>44355</c:v>
                </c:pt>
                <c:pt idx="764">
                  <c:v>44362</c:v>
                </c:pt>
                <c:pt idx="765">
                  <c:v>44369</c:v>
                </c:pt>
                <c:pt idx="766">
                  <c:v>44376</c:v>
                </c:pt>
                <c:pt idx="767">
                  <c:v>44383</c:v>
                </c:pt>
                <c:pt idx="768">
                  <c:v>44390</c:v>
                </c:pt>
                <c:pt idx="769">
                  <c:v>44397</c:v>
                </c:pt>
                <c:pt idx="770">
                  <c:v>44404</c:v>
                </c:pt>
                <c:pt idx="771">
                  <c:v>44411</c:v>
                </c:pt>
                <c:pt idx="772">
                  <c:v>44418</c:v>
                </c:pt>
                <c:pt idx="773">
                  <c:v>44425</c:v>
                </c:pt>
                <c:pt idx="774">
                  <c:v>44432</c:v>
                </c:pt>
                <c:pt idx="775">
                  <c:v>44439</c:v>
                </c:pt>
                <c:pt idx="776">
                  <c:v>44446</c:v>
                </c:pt>
                <c:pt idx="777">
                  <c:v>44453</c:v>
                </c:pt>
                <c:pt idx="778">
                  <c:v>44460</c:v>
                </c:pt>
                <c:pt idx="779">
                  <c:v>44467</c:v>
                </c:pt>
                <c:pt idx="780">
                  <c:v>44474</c:v>
                </c:pt>
                <c:pt idx="781">
                  <c:v>44481</c:v>
                </c:pt>
                <c:pt idx="782">
                  <c:v>44488</c:v>
                </c:pt>
                <c:pt idx="783">
                  <c:v>44495</c:v>
                </c:pt>
                <c:pt idx="784">
                  <c:v>44502</c:v>
                </c:pt>
                <c:pt idx="785">
                  <c:v>44509</c:v>
                </c:pt>
                <c:pt idx="786">
                  <c:v>44516</c:v>
                </c:pt>
                <c:pt idx="787">
                  <c:v>44523</c:v>
                </c:pt>
                <c:pt idx="788">
                  <c:v>44530</c:v>
                </c:pt>
                <c:pt idx="789">
                  <c:v>44537</c:v>
                </c:pt>
                <c:pt idx="790">
                  <c:v>44544</c:v>
                </c:pt>
                <c:pt idx="791">
                  <c:v>44551</c:v>
                </c:pt>
                <c:pt idx="792">
                  <c:v>44558</c:v>
                </c:pt>
                <c:pt idx="793">
                  <c:v>44565</c:v>
                </c:pt>
                <c:pt idx="794">
                  <c:v>44572</c:v>
                </c:pt>
                <c:pt idx="795">
                  <c:v>44579</c:v>
                </c:pt>
                <c:pt idx="796">
                  <c:v>44586</c:v>
                </c:pt>
                <c:pt idx="797">
                  <c:v>44593</c:v>
                </c:pt>
                <c:pt idx="798">
                  <c:v>44600</c:v>
                </c:pt>
                <c:pt idx="799">
                  <c:v>44607</c:v>
                </c:pt>
                <c:pt idx="800">
                  <c:v>44614</c:v>
                </c:pt>
                <c:pt idx="801">
                  <c:v>44621</c:v>
                </c:pt>
                <c:pt idx="802">
                  <c:v>44628</c:v>
                </c:pt>
                <c:pt idx="803">
                  <c:v>44635</c:v>
                </c:pt>
                <c:pt idx="804">
                  <c:v>44642</c:v>
                </c:pt>
                <c:pt idx="805">
                  <c:v>44649</c:v>
                </c:pt>
                <c:pt idx="806">
                  <c:v>44656</c:v>
                </c:pt>
                <c:pt idx="807">
                  <c:v>44663</c:v>
                </c:pt>
                <c:pt idx="808">
                  <c:v>44670</c:v>
                </c:pt>
                <c:pt idx="809">
                  <c:v>44677</c:v>
                </c:pt>
                <c:pt idx="810">
                  <c:v>44684</c:v>
                </c:pt>
                <c:pt idx="811">
                  <c:v>44691</c:v>
                </c:pt>
                <c:pt idx="812">
                  <c:v>44698</c:v>
                </c:pt>
                <c:pt idx="813">
                  <c:v>44705</c:v>
                </c:pt>
                <c:pt idx="814">
                  <c:v>44712</c:v>
                </c:pt>
                <c:pt idx="815">
                  <c:v>44719</c:v>
                </c:pt>
                <c:pt idx="816">
                  <c:v>44726</c:v>
                </c:pt>
                <c:pt idx="817">
                  <c:v>44733</c:v>
                </c:pt>
                <c:pt idx="818">
                  <c:v>44740</c:v>
                </c:pt>
                <c:pt idx="819">
                  <c:v>44747</c:v>
                </c:pt>
                <c:pt idx="820">
                  <c:v>44754</c:v>
                </c:pt>
                <c:pt idx="821">
                  <c:v>44761</c:v>
                </c:pt>
                <c:pt idx="822">
                  <c:v>44768</c:v>
                </c:pt>
                <c:pt idx="823">
                  <c:v>44775</c:v>
                </c:pt>
                <c:pt idx="824">
                  <c:v>44782</c:v>
                </c:pt>
                <c:pt idx="825">
                  <c:v>44789</c:v>
                </c:pt>
                <c:pt idx="826">
                  <c:v>44796</c:v>
                </c:pt>
                <c:pt idx="827">
                  <c:v>44803</c:v>
                </c:pt>
                <c:pt idx="828">
                  <c:v>44810</c:v>
                </c:pt>
                <c:pt idx="829">
                  <c:v>44817</c:v>
                </c:pt>
                <c:pt idx="830">
                  <c:v>44824</c:v>
                </c:pt>
                <c:pt idx="831">
                  <c:v>44831</c:v>
                </c:pt>
                <c:pt idx="832">
                  <c:v>44838</c:v>
                </c:pt>
                <c:pt idx="833">
                  <c:v>44845</c:v>
                </c:pt>
                <c:pt idx="834">
                  <c:v>44852</c:v>
                </c:pt>
                <c:pt idx="835">
                  <c:v>44859</c:v>
                </c:pt>
                <c:pt idx="836">
                  <c:v>44866</c:v>
                </c:pt>
                <c:pt idx="837">
                  <c:v>44873</c:v>
                </c:pt>
                <c:pt idx="838">
                  <c:v>44880</c:v>
                </c:pt>
                <c:pt idx="839">
                  <c:v>44887</c:v>
                </c:pt>
                <c:pt idx="840">
                  <c:v>44894</c:v>
                </c:pt>
                <c:pt idx="841">
                  <c:v>44901</c:v>
                </c:pt>
                <c:pt idx="842">
                  <c:v>44908</c:v>
                </c:pt>
                <c:pt idx="843">
                  <c:v>44915</c:v>
                </c:pt>
                <c:pt idx="844">
                  <c:v>44922</c:v>
                </c:pt>
                <c:pt idx="845">
                  <c:v>44929</c:v>
                </c:pt>
                <c:pt idx="846">
                  <c:v>44936</c:v>
                </c:pt>
                <c:pt idx="847">
                  <c:v>44943</c:v>
                </c:pt>
                <c:pt idx="848">
                  <c:v>44950</c:v>
                </c:pt>
                <c:pt idx="849">
                  <c:v>44957</c:v>
                </c:pt>
                <c:pt idx="850">
                  <c:v>44964</c:v>
                </c:pt>
                <c:pt idx="851">
                  <c:v>44971</c:v>
                </c:pt>
                <c:pt idx="852">
                  <c:v>44978</c:v>
                </c:pt>
                <c:pt idx="853">
                  <c:v>44985</c:v>
                </c:pt>
                <c:pt idx="854">
                  <c:v>44992</c:v>
                </c:pt>
                <c:pt idx="855">
                  <c:v>44999</c:v>
                </c:pt>
                <c:pt idx="856">
                  <c:v>45006</c:v>
                </c:pt>
                <c:pt idx="857">
                  <c:v>45013</c:v>
                </c:pt>
                <c:pt idx="858">
                  <c:v>45020</c:v>
                </c:pt>
                <c:pt idx="859">
                  <c:v>45027</c:v>
                </c:pt>
                <c:pt idx="860">
                  <c:v>45034</c:v>
                </c:pt>
                <c:pt idx="861">
                  <c:v>45041</c:v>
                </c:pt>
                <c:pt idx="862">
                  <c:v>45048</c:v>
                </c:pt>
                <c:pt idx="863">
                  <c:v>45055</c:v>
                </c:pt>
                <c:pt idx="864">
                  <c:v>45062</c:v>
                </c:pt>
                <c:pt idx="865">
                  <c:v>45069</c:v>
                </c:pt>
                <c:pt idx="866">
                  <c:v>45076</c:v>
                </c:pt>
                <c:pt idx="867">
                  <c:v>45083</c:v>
                </c:pt>
                <c:pt idx="868">
                  <c:v>45090</c:v>
                </c:pt>
                <c:pt idx="869">
                  <c:v>45097</c:v>
                </c:pt>
                <c:pt idx="870">
                  <c:v>45104</c:v>
                </c:pt>
                <c:pt idx="871">
                  <c:v>45111</c:v>
                </c:pt>
                <c:pt idx="872">
                  <c:v>45118</c:v>
                </c:pt>
                <c:pt idx="873">
                  <c:v>45125</c:v>
                </c:pt>
                <c:pt idx="874">
                  <c:v>45132</c:v>
                </c:pt>
                <c:pt idx="875">
                  <c:v>45139</c:v>
                </c:pt>
                <c:pt idx="876">
                  <c:v>45146</c:v>
                </c:pt>
                <c:pt idx="877">
                  <c:v>45153</c:v>
                </c:pt>
                <c:pt idx="878">
                  <c:v>45160</c:v>
                </c:pt>
                <c:pt idx="879">
                  <c:v>45167</c:v>
                </c:pt>
                <c:pt idx="880">
                  <c:v>45174</c:v>
                </c:pt>
                <c:pt idx="881">
                  <c:v>45181</c:v>
                </c:pt>
                <c:pt idx="882">
                  <c:v>45188</c:v>
                </c:pt>
                <c:pt idx="883">
                  <c:v>45195</c:v>
                </c:pt>
                <c:pt idx="884">
                  <c:v>45202</c:v>
                </c:pt>
                <c:pt idx="885">
                  <c:v>45209</c:v>
                </c:pt>
                <c:pt idx="886">
                  <c:v>45216</c:v>
                </c:pt>
                <c:pt idx="887">
                  <c:v>45223</c:v>
                </c:pt>
                <c:pt idx="888">
                  <c:v>45230</c:v>
                </c:pt>
                <c:pt idx="889">
                  <c:v>45237</c:v>
                </c:pt>
                <c:pt idx="890">
                  <c:v>45244</c:v>
                </c:pt>
                <c:pt idx="891">
                  <c:v>45251</c:v>
                </c:pt>
                <c:pt idx="892">
                  <c:v>45258</c:v>
                </c:pt>
                <c:pt idx="893">
                  <c:v>45265</c:v>
                </c:pt>
                <c:pt idx="894">
                  <c:v>45272</c:v>
                </c:pt>
                <c:pt idx="895">
                  <c:v>45279</c:v>
                </c:pt>
                <c:pt idx="896">
                  <c:v>45287</c:v>
                </c:pt>
                <c:pt idx="897">
                  <c:v>45294</c:v>
                </c:pt>
                <c:pt idx="898">
                  <c:v>45301</c:v>
                </c:pt>
                <c:pt idx="899">
                  <c:v>45308</c:v>
                </c:pt>
                <c:pt idx="900">
                  <c:v>45315</c:v>
                </c:pt>
                <c:pt idx="901">
                  <c:v>45322</c:v>
                </c:pt>
                <c:pt idx="902">
                  <c:v>45329</c:v>
                </c:pt>
                <c:pt idx="903">
                  <c:v>45336</c:v>
                </c:pt>
                <c:pt idx="904">
                  <c:v>45343</c:v>
                </c:pt>
                <c:pt idx="905">
                  <c:v>45350</c:v>
                </c:pt>
                <c:pt idx="906">
                  <c:v>45357</c:v>
                </c:pt>
                <c:pt idx="907">
                  <c:v>45364</c:v>
                </c:pt>
                <c:pt idx="908">
                  <c:v>45371</c:v>
                </c:pt>
                <c:pt idx="909">
                  <c:v>45378</c:v>
                </c:pt>
                <c:pt idx="910">
                  <c:v>45385</c:v>
                </c:pt>
                <c:pt idx="911">
                  <c:v>45392</c:v>
                </c:pt>
                <c:pt idx="912">
                  <c:v>45399</c:v>
                </c:pt>
                <c:pt idx="913">
                  <c:v>45406</c:v>
                </c:pt>
                <c:pt idx="914">
                  <c:v>45414</c:v>
                </c:pt>
                <c:pt idx="915">
                  <c:v>45421</c:v>
                </c:pt>
                <c:pt idx="916">
                  <c:v>45428</c:v>
                </c:pt>
                <c:pt idx="917">
                  <c:v>45435</c:v>
                </c:pt>
                <c:pt idx="918">
                  <c:v>45442</c:v>
                </c:pt>
                <c:pt idx="919">
                  <c:v>45449</c:v>
                </c:pt>
                <c:pt idx="920">
                  <c:v>45456</c:v>
                </c:pt>
                <c:pt idx="921">
                  <c:v>45463</c:v>
                </c:pt>
                <c:pt idx="922">
                  <c:v>45470</c:v>
                </c:pt>
                <c:pt idx="923">
                  <c:v>45477</c:v>
                </c:pt>
                <c:pt idx="924">
                  <c:v>45484</c:v>
                </c:pt>
                <c:pt idx="925">
                  <c:v>45491</c:v>
                </c:pt>
                <c:pt idx="926">
                  <c:v>45498</c:v>
                </c:pt>
                <c:pt idx="927">
                  <c:v>45505</c:v>
                </c:pt>
                <c:pt idx="928">
                  <c:v>45512</c:v>
                </c:pt>
                <c:pt idx="929">
                  <c:v>45519</c:v>
                </c:pt>
                <c:pt idx="930">
                  <c:v>45526</c:v>
                </c:pt>
                <c:pt idx="931">
                  <c:v>45533</c:v>
                </c:pt>
                <c:pt idx="932">
                  <c:v>45540</c:v>
                </c:pt>
                <c:pt idx="933">
                  <c:v>45547</c:v>
                </c:pt>
                <c:pt idx="934">
                  <c:v>45554</c:v>
                </c:pt>
                <c:pt idx="935">
                  <c:v>45561</c:v>
                </c:pt>
                <c:pt idx="936">
                  <c:v>45568</c:v>
                </c:pt>
                <c:pt idx="937">
                  <c:v>45575</c:v>
                </c:pt>
                <c:pt idx="938">
                  <c:v>45582</c:v>
                </c:pt>
                <c:pt idx="939">
                  <c:v>45589</c:v>
                </c:pt>
                <c:pt idx="940">
                  <c:v>45596</c:v>
                </c:pt>
                <c:pt idx="941">
                  <c:v>45603</c:v>
                </c:pt>
                <c:pt idx="942">
                  <c:v>45610</c:v>
                </c:pt>
                <c:pt idx="943">
                  <c:v>45617</c:v>
                </c:pt>
                <c:pt idx="944">
                  <c:v>45624</c:v>
                </c:pt>
                <c:pt idx="945">
                  <c:v>45631</c:v>
                </c:pt>
                <c:pt idx="946">
                  <c:v>45638</c:v>
                </c:pt>
                <c:pt idx="947">
                  <c:v>45645</c:v>
                </c:pt>
                <c:pt idx="948">
                  <c:v>45653</c:v>
                </c:pt>
                <c:pt idx="949">
                  <c:v>45660</c:v>
                </c:pt>
                <c:pt idx="950">
                  <c:v>45667</c:v>
                </c:pt>
                <c:pt idx="951">
                  <c:v>45674</c:v>
                </c:pt>
                <c:pt idx="952">
                  <c:v>45681</c:v>
                </c:pt>
                <c:pt idx="953">
                  <c:v>45688</c:v>
                </c:pt>
                <c:pt idx="954">
                  <c:v>45695</c:v>
                </c:pt>
                <c:pt idx="955">
                  <c:v>45702</c:v>
                </c:pt>
                <c:pt idx="956">
                  <c:v>45709</c:v>
                </c:pt>
                <c:pt idx="957">
                  <c:v>45716</c:v>
                </c:pt>
                <c:pt idx="958">
                  <c:v>45723</c:v>
                </c:pt>
                <c:pt idx="959">
                  <c:v>45730</c:v>
                </c:pt>
                <c:pt idx="960">
                  <c:v>45737</c:v>
                </c:pt>
                <c:pt idx="961">
                  <c:v>45744</c:v>
                </c:pt>
                <c:pt idx="962">
                  <c:v>45751</c:v>
                </c:pt>
                <c:pt idx="963">
                  <c:v>45758</c:v>
                </c:pt>
                <c:pt idx="964">
                  <c:v>45769</c:v>
                </c:pt>
                <c:pt idx="965">
                  <c:v>45776</c:v>
                </c:pt>
                <c:pt idx="966">
                  <c:v>45783</c:v>
                </c:pt>
                <c:pt idx="967">
                  <c:v>45790</c:v>
                </c:pt>
                <c:pt idx="968">
                  <c:v>45797</c:v>
                </c:pt>
                <c:pt idx="969">
                  <c:v>45804</c:v>
                </c:pt>
                <c:pt idx="970">
                  <c:v>45811</c:v>
                </c:pt>
                <c:pt idx="971">
                  <c:v>45818</c:v>
                </c:pt>
                <c:pt idx="972">
                  <c:v>45825</c:v>
                </c:pt>
                <c:pt idx="973">
                  <c:v>45832</c:v>
                </c:pt>
                <c:pt idx="974">
                  <c:v>45840</c:v>
                </c:pt>
                <c:pt idx="975">
                  <c:v>45847</c:v>
                </c:pt>
                <c:pt idx="976">
                  <c:v>45854</c:v>
                </c:pt>
                <c:pt idx="977">
                  <c:v>45861</c:v>
                </c:pt>
                <c:pt idx="978">
                  <c:v>45868</c:v>
                </c:pt>
                <c:pt idx="979">
                  <c:v>45875</c:v>
                </c:pt>
                <c:pt idx="980">
                  <c:v>45882</c:v>
                </c:pt>
                <c:pt idx="981">
                  <c:v>45889</c:v>
                </c:pt>
                <c:pt idx="982">
                  <c:v>45896</c:v>
                </c:pt>
                <c:pt idx="983">
                  <c:v>45903</c:v>
                </c:pt>
                <c:pt idx="984">
                  <c:v>45910</c:v>
                </c:pt>
                <c:pt idx="985">
                  <c:v>45917</c:v>
                </c:pt>
                <c:pt idx="986">
                  <c:v>45924</c:v>
                </c:pt>
                <c:pt idx="987">
                  <c:v>45932</c:v>
                </c:pt>
                <c:pt idx="988">
                  <c:v>45939</c:v>
                </c:pt>
                <c:pt idx="989">
                  <c:v>45946</c:v>
                </c:pt>
                <c:pt idx="990">
                  <c:v>45953</c:v>
                </c:pt>
                <c:pt idx="991">
                  <c:v>45960</c:v>
                </c:pt>
                <c:pt idx="992">
                  <c:v>45967</c:v>
                </c:pt>
                <c:pt idx="993">
                  <c:v>45974</c:v>
                </c:pt>
                <c:pt idx="994">
                  <c:v>45981</c:v>
                </c:pt>
                <c:pt idx="995">
                  <c:v>45988</c:v>
                </c:pt>
                <c:pt idx="996">
                  <c:v>45995</c:v>
                </c:pt>
                <c:pt idx="997">
                  <c:v>46002</c:v>
                </c:pt>
                <c:pt idx="998">
                  <c:v>46009</c:v>
                </c:pt>
                <c:pt idx="999">
                  <c:v>46020</c:v>
                </c:pt>
                <c:pt idx="1000">
                  <c:v>46027</c:v>
                </c:pt>
                <c:pt idx="1001">
                  <c:v>46034</c:v>
                </c:pt>
                <c:pt idx="1002">
                  <c:v>46041</c:v>
                </c:pt>
                <c:pt idx="1003">
                  <c:v>46048</c:v>
                </c:pt>
                <c:pt idx="1004">
                  <c:v>46055</c:v>
                </c:pt>
                <c:pt idx="1005">
                  <c:v>46062</c:v>
                </c:pt>
                <c:pt idx="1006">
                  <c:v>46069</c:v>
                </c:pt>
                <c:pt idx="1007">
                  <c:v>46076</c:v>
                </c:pt>
                <c:pt idx="1008">
                  <c:v>46083</c:v>
                </c:pt>
                <c:pt idx="1009">
                  <c:v>46090</c:v>
                </c:pt>
                <c:pt idx="1010">
                  <c:v>46097</c:v>
                </c:pt>
                <c:pt idx="1011">
                  <c:v>46104</c:v>
                </c:pt>
                <c:pt idx="1012">
                  <c:v>46111</c:v>
                </c:pt>
                <c:pt idx="1013">
                  <c:v>46119</c:v>
                </c:pt>
                <c:pt idx="1014">
                  <c:v>46126</c:v>
                </c:pt>
                <c:pt idx="1015">
                  <c:v>46133</c:v>
                </c:pt>
                <c:pt idx="1016">
                  <c:v>46140</c:v>
                </c:pt>
                <c:pt idx="1017">
                  <c:v>46147</c:v>
                </c:pt>
                <c:pt idx="1018">
                  <c:v>46154</c:v>
                </c:pt>
                <c:pt idx="1019">
                  <c:v>46161</c:v>
                </c:pt>
                <c:pt idx="1020">
                  <c:v>46168</c:v>
                </c:pt>
                <c:pt idx="1021">
                  <c:v>46175</c:v>
                </c:pt>
                <c:pt idx="1022">
                  <c:v>46182</c:v>
                </c:pt>
                <c:pt idx="1023">
                  <c:v>46189</c:v>
                </c:pt>
                <c:pt idx="1024">
                  <c:v>46196</c:v>
                </c:pt>
                <c:pt idx="1025">
                  <c:v>46203</c:v>
                </c:pt>
                <c:pt idx="1026">
                  <c:v>46210</c:v>
                </c:pt>
                <c:pt idx="1027">
                  <c:v>46217</c:v>
                </c:pt>
                <c:pt idx="1028">
                  <c:v>46224</c:v>
                </c:pt>
                <c:pt idx="1029">
                  <c:v>46231</c:v>
                </c:pt>
                <c:pt idx="1030">
                  <c:v>46238</c:v>
                </c:pt>
                <c:pt idx="1031">
                  <c:v>46245</c:v>
                </c:pt>
                <c:pt idx="1032">
                  <c:v>46252</c:v>
                </c:pt>
                <c:pt idx="1033">
                  <c:v>46259</c:v>
                </c:pt>
                <c:pt idx="1034">
                  <c:v>46266</c:v>
                </c:pt>
                <c:pt idx="1035">
                  <c:v>46273</c:v>
                </c:pt>
                <c:pt idx="1036">
                  <c:v>46280</c:v>
                </c:pt>
                <c:pt idx="1037">
                  <c:v>46287</c:v>
                </c:pt>
                <c:pt idx="1038">
                  <c:v>46294</c:v>
                </c:pt>
                <c:pt idx="1039">
                  <c:v>46301</c:v>
                </c:pt>
                <c:pt idx="1040">
                  <c:v>46308</c:v>
                </c:pt>
                <c:pt idx="1041">
                  <c:v>46315</c:v>
                </c:pt>
                <c:pt idx="1042">
                  <c:v>46322</c:v>
                </c:pt>
                <c:pt idx="1043">
                  <c:v>46329</c:v>
                </c:pt>
                <c:pt idx="1044">
                  <c:v>46336</c:v>
                </c:pt>
                <c:pt idx="1045">
                  <c:v>46343</c:v>
                </c:pt>
                <c:pt idx="1046">
                  <c:v>46350</c:v>
                </c:pt>
                <c:pt idx="1047">
                  <c:v>46357</c:v>
                </c:pt>
                <c:pt idx="1048">
                  <c:v>46364</c:v>
                </c:pt>
                <c:pt idx="1049">
                  <c:v>46371</c:v>
                </c:pt>
                <c:pt idx="1050">
                  <c:v>46378</c:v>
                </c:pt>
                <c:pt idx="1051">
                  <c:v>46385</c:v>
                </c:pt>
                <c:pt idx="1052">
                  <c:v>46392</c:v>
                </c:pt>
                <c:pt idx="1053">
                  <c:v>46399</c:v>
                </c:pt>
                <c:pt idx="1054">
                  <c:v>46406</c:v>
                </c:pt>
                <c:pt idx="1055">
                  <c:v>46413</c:v>
                </c:pt>
                <c:pt idx="1056">
                  <c:v>46420</c:v>
                </c:pt>
                <c:pt idx="1057">
                  <c:v>46427</c:v>
                </c:pt>
                <c:pt idx="1058">
                  <c:v>46434</c:v>
                </c:pt>
                <c:pt idx="1059">
                  <c:v>46441</c:v>
                </c:pt>
                <c:pt idx="1060">
                  <c:v>46448</c:v>
                </c:pt>
                <c:pt idx="1061">
                  <c:v>46455</c:v>
                </c:pt>
                <c:pt idx="1062">
                  <c:v>46462</c:v>
                </c:pt>
                <c:pt idx="1063">
                  <c:v>46469</c:v>
                </c:pt>
                <c:pt idx="1064">
                  <c:v>46476</c:v>
                </c:pt>
                <c:pt idx="1065">
                  <c:v>46483</c:v>
                </c:pt>
                <c:pt idx="1066">
                  <c:v>46490</c:v>
                </c:pt>
                <c:pt idx="1067">
                  <c:v>46497</c:v>
                </c:pt>
                <c:pt idx="1068">
                  <c:v>46504</c:v>
                </c:pt>
                <c:pt idx="1069">
                  <c:v>46511</c:v>
                </c:pt>
                <c:pt idx="1070">
                  <c:v>46518</c:v>
                </c:pt>
                <c:pt idx="1071">
                  <c:v>46525</c:v>
                </c:pt>
                <c:pt idx="1072">
                  <c:v>46532</c:v>
                </c:pt>
                <c:pt idx="1073">
                  <c:v>46539</c:v>
                </c:pt>
                <c:pt idx="1074">
                  <c:v>46546</c:v>
                </c:pt>
                <c:pt idx="1075">
                  <c:v>46553</c:v>
                </c:pt>
                <c:pt idx="1076">
                  <c:v>46560</c:v>
                </c:pt>
                <c:pt idx="1077">
                  <c:v>46567</c:v>
                </c:pt>
                <c:pt idx="1078">
                  <c:v>46574</c:v>
                </c:pt>
                <c:pt idx="1079">
                  <c:v>46581</c:v>
                </c:pt>
                <c:pt idx="1080">
                  <c:v>46588</c:v>
                </c:pt>
                <c:pt idx="1081">
                  <c:v>46595</c:v>
                </c:pt>
                <c:pt idx="1082">
                  <c:v>46602</c:v>
                </c:pt>
                <c:pt idx="1083">
                  <c:v>46609</c:v>
                </c:pt>
                <c:pt idx="1084">
                  <c:v>46616</c:v>
                </c:pt>
                <c:pt idx="1085">
                  <c:v>46623</c:v>
                </c:pt>
                <c:pt idx="1086">
                  <c:v>46630</c:v>
                </c:pt>
                <c:pt idx="1087">
                  <c:v>46637</c:v>
                </c:pt>
                <c:pt idx="1088">
                  <c:v>46644</c:v>
                </c:pt>
                <c:pt idx="1089">
                  <c:v>46651</c:v>
                </c:pt>
                <c:pt idx="1090">
                  <c:v>46658</c:v>
                </c:pt>
                <c:pt idx="1091">
                  <c:v>46665</c:v>
                </c:pt>
                <c:pt idx="1092">
                  <c:v>46672</c:v>
                </c:pt>
                <c:pt idx="1093">
                  <c:v>46679</c:v>
                </c:pt>
                <c:pt idx="1094">
                  <c:v>46686</c:v>
                </c:pt>
                <c:pt idx="1095">
                  <c:v>46693</c:v>
                </c:pt>
                <c:pt idx="1096">
                  <c:v>46700</c:v>
                </c:pt>
                <c:pt idx="1097">
                  <c:v>46707</c:v>
                </c:pt>
                <c:pt idx="1098">
                  <c:v>46714</c:v>
                </c:pt>
                <c:pt idx="1099">
                  <c:v>46721</c:v>
                </c:pt>
                <c:pt idx="1100">
                  <c:v>46728</c:v>
                </c:pt>
                <c:pt idx="1101">
                  <c:v>46735</c:v>
                </c:pt>
                <c:pt idx="1102">
                  <c:v>46742</c:v>
                </c:pt>
                <c:pt idx="1103">
                  <c:v>46749</c:v>
                </c:pt>
                <c:pt idx="1104">
                  <c:v>46756</c:v>
                </c:pt>
                <c:pt idx="1105">
                  <c:v>46763</c:v>
                </c:pt>
                <c:pt idx="1106">
                  <c:v>46770</c:v>
                </c:pt>
                <c:pt idx="1107">
                  <c:v>46777</c:v>
                </c:pt>
                <c:pt idx="1108">
                  <c:v>46784</c:v>
                </c:pt>
                <c:pt idx="1109">
                  <c:v>46791</c:v>
                </c:pt>
                <c:pt idx="1110">
                  <c:v>46798</c:v>
                </c:pt>
                <c:pt idx="1111">
                  <c:v>46805</c:v>
                </c:pt>
                <c:pt idx="1112">
                  <c:v>46812</c:v>
                </c:pt>
                <c:pt idx="1113">
                  <c:v>46819</c:v>
                </c:pt>
                <c:pt idx="1114">
                  <c:v>46826</c:v>
                </c:pt>
                <c:pt idx="1115">
                  <c:v>46833</c:v>
                </c:pt>
                <c:pt idx="1116">
                  <c:v>46840</c:v>
                </c:pt>
                <c:pt idx="1117">
                  <c:v>46847</c:v>
                </c:pt>
                <c:pt idx="1118">
                  <c:v>46854</c:v>
                </c:pt>
                <c:pt idx="1119">
                  <c:v>46861</c:v>
                </c:pt>
                <c:pt idx="1120">
                  <c:v>46868</c:v>
                </c:pt>
                <c:pt idx="1121">
                  <c:v>46875</c:v>
                </c:pt>
                <c:pt idx="1122">
                  <c:v>46882</c:v>
                </c:pt>
                <c:pt idx="1123">
                  <c:v>46889</c:v>
                </c:pt>
                <c:pt idx="1124">
                  <c:v>46896</c:v>
                </c:pt>
                <c:pt idx="1125">
                  <c:v>46903</c:v>
                </c:pt>
                <c:pt idx="1126">
                  <c:v>46910</c:v>
                </c:pt>
                <c:pt idx="1127">
                  <c:v>46917</c:v>
                </c:pt>
                <c:pt idx="1128">
                  <c:v>46924</c:v>
                </c:pt>
                <c:pt idx="1129">
                  <c:v>46931</c:v>
                </c:pt>
                <c:pt idx="1130">
                  <c:v>46938</c:v>
                </c:pt>
                <c:pt idx="1131">
                  <c:v>46945</c:v>
                </c:pt>
                <c:pt idx="1132">
                  <c:v>46952</c:v>
                </c:pt>
                <c:pt idx="1133">
                  <c:v>46959</c:v>
                </c:pt>
                <c:pt idx="1134">
                  <c:v>46966</c:v>
                </c:pt>
                <c:pt idx="1135">
                  <c:v>46973</c:v>
                </c:pt>
                <c:pt idx="1136">
                  <c:v>46980</c:v>
                </c:pt>
                <c:pt idx="1137">
                  <c:v>46987</c:v>
                </c:pt>
                <c:pt idx="1138">
                  <c:v>46994</c:v>
                </c:pt>
                <c:pt idx="1139">
                  <c:v>47001</c:v>
                </c:pt>
                <c:pt idx="1140">
                  <c:v>47008</c:v>
                </c:pt>
                <c:pt idx="1141">
                  <c:v>47015</c:v>
                </c:pt>
                <c:pt idx="1142">
                  <c:v>47022</c:v>
                </c:pt>
                <c:pt idx="1143">
                  <c:v>47029</c:v>
                </c:pt>
                <c:pt idx="1144">
                  <c:v>47036</c:v>
                </c:pt>
                <c:pt idx="1145">
                  <c:v>47043</c:v>
                </c:pt>
                <c:pt idx="1146">
                  <c:v>47050</c:v>
                </c:pt>
                <c:pt idx="1147">
                  <c:v>47057</c:v>
                </c:pt>
                <c:pt idx="1148">
                  <c:v>47064</c:v>
                </c:pt>
                <c:pt idx="1149">
                  <c:v>47071</c:v>
                </c:pt>
                <c:pt idx="1150">
                  <c:v>47078</c:v>
                </c:pt>
                <c:pt idx="1151">
                  <c:v>47085</c:v>
                </c:pt>
                <c:pt idx="1152">
                  <c:v>47092</c:v>
                </c:pt>
                <c:pt idx="1153">
                  <c:v>47099</c:v>
                </c:pt>
                <c:pt idx="1154">
                  <c:v>47106</c:v>
                </c:pt>
                <c:pt idx="1155">
                  <c:v>47114</c:v>
                </c:pt>
                <c:pt idx="1156">
                  <c:v>47121</c:v>
                </c:pt>
                <c:pt idx="1157">
                  <c:v>47128</c:v>
                </c:pt>
                <c:pt idx="1158">
                  <c:v>47135</c:v>
                </c:pt>
                <c:pt idx="1159">
                  <c:v>47142</c:v>
                </c:pt>
                <c:pt idx="1160">
                  <c:v>47149</c:v>
                </c:pt>
                <c:pt idx="1161">
                  <c:v>47156</c:v>
                </c:pt>
                <c:pt idx="1162">
                  <c:v>47163</c:v>
                </c:pt>
                <c:pt idx="1163">
                  <c:v>47170</c:v>
                </c:pt>
                <c:pt idx="1164">
                  <c:v>47177</c:v>
                </c:pt>
                <c:pt idx="1165">
                  <c:v>47184</c:v>
                </c:pt>
                <c:pt idx="1166">
                  <c:v>47191</c:v>
                </c:pt>
                <c:pt idx="1167">
                  <c:v>47198</c:v>
                </c:pt>
                <c:pt idx="1168">
                  <c:v>47205</c:v>
                </c:pt>
                <c:pt idx="1169">
                  <c:v>47212</c:v>
                </c:pt>
                <c:pt idx="1170">
                  <c:v>47219</c:v>
                </c:pt>
                <c:pt idx="1171">
                  <c:v>47226</c:v>
                </c:pt>
                <c:pt idx="1172">
                  <c:v>47233</c:v>
                </c:pt>
                <c:pt idx="1173">
                  <c:v>47240</c:v>
                </c:pt>
                <c:pt idx="1174">
                  <c:v>47247</c:v>
                </c:pt>
                <c:pt idx="1175">
                  <c:v>47254</c:v>
                </c:pt>
                <c:pt idx="1176">
                  <c:v>47261</c:v>
                </c:pt>
                <c:pt idx="1177">
                  <c:v>47268</c:v>
                </c:pt>
                <c:pt idx="1178">
                  <c:v>47275</c:v>
                </c:pt>
                <c:pt idx="1179">
                  <c:v>47282</c:v>
                </c:pt>
                <c:pt idx="1180">
                  <c:v>47289</c:v>
                </c:pt>
                <c:pt idx="1181">
                  <c:v>47296</c:v>
                </c:pt>
                <c:pt idx="1182">
                  <c:v>47303</c:v>
                </c:pt>
                <c:pt idx="1183">
                  <c:v>47310</c:v>
                </c:pt>
                <c:pt idx="1184">
                  <c:v>47317</c:v>
                </c:pt>
                <c:pt idx="1185">
                  <c:v>47324</c:v>
                </c:pt>
                <c:pt idx="1186">
                  <c:v>47331</c:v>
                </c:pt>
                <c:pt idx="1187">
                  <c:v>47338</c:v>
                </c:pt>
                <c:pt idx="1188">
                  <c:v>47345</c:v>
                </c:pt>
                <c:pt idx="1189">
                  <c:v>47352</c:v>
                </c:pt>
                <c:pt idx="1190">
                  <c:v>47359</c:v>
                </c:pt>
                <c:pt idx="1191">
                  <c:v>47366</c:v>
                </c:pt>
                <c:pt idx="1192">
                  <c:v>47373</c:v>
                </c:pt>
                <c:pt idx="1193">
                  <c:v>47380</c:v>
                </c:pt>
                <c:pt idx="1194">
                  <c:v>47387</c:v>
                </c:pt>
                <c:pt idx="1195">
                  <c:v>47394</c:v>
                </c:pt>
                <c:pt idx="1196">
                  <c:v>47401</c:v>
                </c:pt>
                <c:pt idx="1197">
                  <c:v>47408</c:v>
                </c:pt>
                <c:pt idx="1198">
                  <c:v>47415</c:v>
                </c:pt>
                <c:pt idx="1199">
                  <c:v>47422</c:v>
                </c:pt>
                <c:pt idx="1200">
                  <c:v>47429</c:v>
                </c:pt>
                <c:pt idx="1201">
                  <c:v>47436</c:v>
                </c:pt>
                <c:pt idx="1202">
                  <c:v>47443</c:v>
                </c:pt>
                <c:pt idx="1203">
                  <c:v>47450</c:v>
                </c:pt>
                <c:pt idx="1204">
                  <c:v>47457</c:v>
                </c:pt>
                <c:pt idx="1205">
                  <c:v>47464</c:v>
                </c:pt>
                <c:pt idx="1206">
                  <c:v>47471</c:v>
                </c:pt>
                <c:pt idx="1207">
                  <c:v>47479</c:v>
                </c:pt>
                <c:pt idx="1208">
                  <c:v>47486</c:v>
                </c:pt>
                <c:pt idx="1209">
                  <c:v>47493</c:v>
                </c:pt>
                <c:pt idx="1210">
                  <c:v>47500</c:v>
                </c:pt>
                <c:pt idx="1211">
                  <c:v>47507</c:v>
                </c:pt>
                <c:pt idx="1212">
                  <c:v>47514</c:v>
                </c:pt>
                <c:pt idx="1213">
                  <c:v>47521</c:v>
                </c:pt>
                <c:pt idx="1214">
                  <c:v>47528</c:v>
                </c:pt>
                <c:pt idx="1215">
                  <c:v>47535</c:v>
                </c:pt>
                <c:pt idx="1216">
                  <c:v>47542</c:v>
                </c:pt>
                <c:pt idx="1217">
                  <c:v>47549</c:v>
                </c:pt>
                <c:pt idx="1218">
                  <c:v>47556</c:v>
                </c:pt>
                <c:pt idx="1219">
                  <c:v>47563</c:v>
                </c:pt>
                <c:pt idx="1220">
                  <c:v>47570</c:v>
                </c:pt>
                <c:pt idx="1221">
                  <c:v>47577</c:v>
                </c:pt>
                <c:pt idx="1222">
                  <c:v>47584</c:v>
                </c:pt>
                <c:pt idx="1223">
                  <c:v>47591</c:v>
                </c:pt>
                <c:pt idx="1224">
                  <c:v>47598</c:v>
                </c:pt>
                <c:pt idx="1225">
                  <c:v>47605</c:v>
                </c:pt>
                <c:pt idx="1226">
                  <c:v>47612</c:v>
                </c:pt>
                <c:pt idx="1227">
                  <c:v>47619</c:v>
                </c:pt>
                <c:pt idx="1228">
                  <c:v>47626</c:v>
                </c:pt>
                <c:pt idx="1229">
                  <c:v>47633</c:v>
                </c:pt>
                <c:pt idx="1230">
                  <c:v>47640</c:v>
                </c:pt>
                <c:pt idx="1231">
                  <c:v>47647</c:v>
                </c:pt>
                <c:pt idx="1232">
                  <c:v>47654</c:v>
                </c:pt>
                <c:pt idx="1233">
                  <c:v>47661</c:v>
                </c:pt>
                <c:pt idx="1234">
                  <c:v>47668</c:v>
                </c:pt>
                <c:pt idx="1235">
                  <c:v>47675</c:v>
                </c:pt>
                <c:pt idx="1236">
                  <c:v>47682</c:v>
                </c:pt>
                <c:pt idx="1237">
                  <c:v>47689</c:v>
                </c:pt>
                <c:pt idx="1238">
                  <c:v>47696</c:v>
                </c:pt>
                <c:pt idx="1239">
                  <c:v>47703</c:v>
                </c:pt>
                <c:pt idx="1240">
                  <c:v>47710</c:v>
                </c:pt>
                <c:pt idx="1241">
                  <c:v>47717</c:v>
                </c:pt>
                <c:pt idx="1242">
                  <c:v>47724</c:v>
                </c:pt>
                <c:pt idx="1243">
                  <c:v>47731</c:v>
                </c:pt>
                <c:pt idx="1244">
                  <c:v>47738</c:v>
                </c:pt>
                <c:pt idx="1245">
                  <c:v>47745</c:v>
                </c:pt>
                <c:pt idx="1246">
                  <c:v>47752</c:v>
                </c:pt>
                <c:pt idx="1247">
                  <c:v>47759</c:v>
                </c:pt>
                <c:pt idx="1248">
                  <c:v>47766</c:v>
                </c:pt>
                <c:pt idx="1249">
                  <c:v>47773</c:v>
                </c:pt>
                <c:pt idx="1250">
                  <c:v>47780</c:v>
                </c:pt>
                <c:pt idx="1251">
                  <c:v>47787</c:v>
                </c:pt>
                <c:pt idx="1252">
                  <c:v>47794</c:v>
                </c:pt>
                <c:pt idx="1253">
                  <c:v>47801</c:v>
                </c:pt>
                <c:pt idx="1254">
                  <c:v>47808</c:v>
                </c:pt>
                <c:pt idx="1255">
                  <c:v>47815</c:v>
                </c:pt>
                <c:pt idx="1256">
                  <c:v>47822</c:v>
                </c:pt>
                <c:pt idx="1257">
                  <c:v>47829</c:v>
                </c:pt>
                <c:pt idx="1258">
                  <c:v>47836</c:v>
                </c:pt>
                <c:pt idx="1259">
                  <c:v>47844</c:v>
                </c:pt>
                <c:pt idx="1260">
                  <c:v>47851</c:v>
                </c:pt>
                <c:pt idx="1261">
                  <c:v>47858</c:v>
                </c:pt>
                <c:pt idx="1262">
                  <c:v>47865</c:v>
                </c:pt>
                <c:pt idx="1263">
                  <c:v>47872</c:v>
                </c:pt>
                <c:pt idx="1264">
                  <c:v>47879</c:v>
                </c:pt>
                <c:pt idx="1265">
                  <c:v>47886</c:v>
                </c:pt>
                <c:pt idx="1266">
                  <c:v>47893</c:v>
                </c:pt>
                <c:pt idx="1267">
                  <c:v>47900</c:v>
                </c:pt>
                <c:pt idx="1268">
                  <c:v>47907</c:v>
                </c:pt>
                <c:pt idx="1269">
                  <c:v>47914</c:v>
                </c:pt>
                <c:pt idx="1270">
                  <c:v>47921</c:v>
                </c:pt>
                <c:pt idx="1271">
                  <c:v>47928</c:v>
                </c:pt>
                <c:pt idx="1272">
                  <c:v>47935</c:v>
                </c:pt>
                <c:pt idx="1273">
                  <c:v>47942</c:v>
                </c:pt>
                <c:pt idx="1274">
                  <c:v>47953</c:v>
                </c:pt>
                <c:pt idx="1275">
                  <c:v>47960</c:v>
                </c:pt>
                <c:pt idx="1276">
                  <c:v>47967</c:v>
                </c:pt>
                <c:pt idx="1277">
                  <c:v>47974</c:v>
                </c:pt>
                <c:pt idx="1278">
                  <c:v>47981</c:v>
                </c:pt>
                <c:pt idx="1279">
                  <c:v>47988</c:v>
                </c:pt>
                <c:pt idx="1280">
                  <c:v>47995</c:v>
                </c:pt>
                <c:pt idx="1281">
                  <c:v>48002</c:v>
                </c:pt>
                <c:pt idx="1282">
                  <c:v>48009</c:v>
                </c:pt>
                <c:pt idx="1283">
                  <c:v>48016</c:v>
                </c:pt>
                <c:pt idx="1284">
                  <c:v>48023</c:v>
                </c:pt>
                <c:pt idx="1285">
                  <c:v>48031</c:v>
                </c:pt>
                <c:pt idx="1286">
                  <c:v>48038</c:v>
                </c:pt>
                <c:pt idx="1287">
                  <c:v>48045</c:v>
                </c:pt>
                <c:pt idx="1288">
                  <c:v>48052</c:v>
                </c:pt>
                <c:pt idx="1289">
                  <c:v>48059</c:v>
                </c:pt>
                <c:pt idx="1290">
                  <c:v>48066</c:v>
                </c:pt>
                <c:pt idx="1291">
                  <c:v>48073</c:v>
                </c:pt>
                <c:pt idx="1292">
                  <c:v>48080</c:v>
                </c:pt>
                <c:pt idx="1293">
                  <c:v>48087</c:v>
                </c:pt>
                <c:pt idx="1294">
                  <c:v>48094</c:v>
                </c:pt>
                <c:pt idx="1295">
                  <c:v>48101</c:v>
                </c:pt>
                <c:pt idx="1296">
                  <c:v>48108</c:v>
                </c:pt>
                <c:pt idx="1297">
                  <c:v>48115</c:v>
                </c:pt>
                <c:pt idx="1298">
                  <c:v>48123</c:v>
                </c:pt>
                <c:pt idx="1299">
                  <c:v>48130</c:v>
                </c:pt>
                <c:pt idx="1300">
                  <c:v>48137</c:v>
                </c:pt>
                <c:pt idx="1301">
                  <c:v>48144</c:v>
                </c:pt>
                <c:pt idx="1302">
                  <c:v>48151</c:v>
                </c:pt>
                <c:pt idx="1303">
                  <c:v>48158</c:v>
                </c:pt>
                <c:pt idx="1304">
                  <c:v>48165</c:v>
                </c:pt>
                <c:pt idx="1305">
                  <c:v>48172</c:v>
                </c:pt>
                <c:pt idx="1306">
                  <c:v>48179</c:v>
                </c:pt>
                <c:pt idx="1307">
                  <c:v>48186</c:v>
                </c:pt>
                <c:pt idx="1308">
                  <c:v>48193</c:v>
                </c:pt>
                <c:pt idx="1309">
                  <c:v>48200</c:v>
                </c:pt>
                <c:pt idx="1310">
                  <c:v>48211</c:v>
                </c:pt>
                <c:pt idx="1311">
                  <c:v>48218</c:v>
                </c:pt>
                <c:pt idx="1312">
                  <c:v>48225</c:v>
                </c:pt>
                <c:pt idx="1313">
                  <c:v>48232</c:v>
                </c:pt>
                <c:pt idx="1314">
                  <c:v>48239</c:v>
                </c:pt>
                <c:pt idx="1315">
                  <c:v>48246</c:v>
                </c:pt>
                <c:pt idx="1316">
                  <c:v>48253</c:v>
                </c:pt>
                <c:pt idx="1317">
                  <c:v>48260</c:v>
                </c:pt>
                <c:pt idx="1318">
                  <c:v>48267</c:v>
                </c:pt>
                <c:pt idx="1319">
                  <c:v>48274</c:v>
                </c:pt>
                <c:pt idx="1320">
                  <c:v>48281</c:v>
                </c:pt>
                <c:pt idx="1321">
                  <c:v>48288</c:v>
                </c:pt>
                <c:pt idx="1322">
                  <c:v>48295</c:v>
                </c:pt>
                <c:pt idx="1323">
                  <c:v>48303</c:v>
                </c:pt>
                <c:pt idx="1324">
                  <c:v>48310</c:v>
                </c:pt>
                <c:pt idx="1325">
                  <c:v>48317</c:v>
                </c:pt>
                <c:pt idx="1326">
                  <c:v>48324</c:v>
                </c:pt>
                <c:pt idx="1327">
                  <c:v>48331</c:v>
                </c:pt>
                <c:pt idx="1328">
                  <c:v>48338</c:v>
                </c:pt>
                <c:pt idx="1329">
                  <c:v>48345</c:v>
                </c:pt>
                <c:pt idx="1330">
                  <c:v>48352</c:v>
                </c:pt>
                <c:pt idx="1331">
                  <c:v>48359</c:v>
                </c:pt>
                <c:pt idx="1332">
                  <c:v>48366</c:v>
                </c:pt>
                <c:pt idx="1333">
                  <c:v>48373</c:v>
                </c:pt>
                <c:pt idx="1334">
                  <c:v>48380</c:v>
                </c:pt>
                <c:pt idx="1335">
                  <c:v>48387</c:v>
                </c:pt>
                <c:pt idx="1336">
                  <c:v>48394</c:v>
                </c:pt>
                <c:pt idx="1337">
                  <c:v>48401</c:v>
                </c:pt>
                <c:pt idx="1338">
                  <c:v>48408</c:v>
                </c:pt>
                <c:pt idx="1339">
                  <c:v>48415</c:v>
                </c:pt>
                <c:pt idx="1340">
                  <c:v>48422</c:v>
                </c:pt>
                <c:pt idx="1341">
                  <c:v>48429</c:v>
                </c:pt>
                <c:pt idx="1342">
                  <c:v>48436</c:v>
                </c:pt>
                <c:pt idx="1343">
                  <c:v>48443</c:v>
                </c:pt>
                <c:pt idx="1344">
                  <c:v>48450</c:v>
                </c:pt>
                <c:pt idx="1345">
                  <c:v>48457</c:v>
                </c:pt>
                <c:pt idx="1346">
                  <c:v>48464</c:v>
                </c:pt>
                <c:pt idx="1347">
                  <c:v>48471</c:v>
                </c:pt>
                <c:pt idx="1348">
                  <c:v>48478</c:v>
                </c:pt>
                <c:pt idx="1349">
                  <c:v>48485</c:v>
                </c:pt>
                <c:pt idx="1350">
                  <c:v>48492</c:v>
                </c:pt>
                <c:pt idx="1351">
                  <c:v>48499</c:v>
                </c:pt>
                <c:pt idx="1352">
                  <c:v>48506</c:v>
                </c:pt>
                <c:pt idx="1353">
                  <c:v>48513</c:v>
                </c:pt>
                <c:pt idx="1354">
                  <c:v>48520</c:v>
                </c:pt>
                <c:pt idx="1355">
                  <c:v>48527</c:v>
                </c:pt>
                <c:pt idx="1356">
                  <c:v>48534</c:v>
                </c:pt>
                <c:pt idx="1357">
                  <c:v>48541</c:v>
                </c:pt>
                <c:pt idx="1358">
                  <c:v>48548</c:v>
                </c:pt>
                <c:pt idx="1359">
                  <c:v>48555</c:v>
                </c:pt>
                <c:pt idx="1360">
                  <c:v>48562</c:v>
                </c:pt>
                <c:pt idx="1361">
                  <c:v>48569</c:v>
                </c:pt>
                <c:pt idx="1362">
                  <c:v>48576</c:v>
                </c:pt>
                <c:pt idx="1363">
                  <c:v>48583</c:v>
                </c:pt>
                <c:pt idx="1364">
                  <c:v>48590</c:v>
                </c:pt>
                <c:pt idx="1365">
                  <c:v>48597</c:v>
                </c:pt>
                <c:pt idx="1366">
                  <c:v>48604</c:v>
                </c:pt>
                <c:pt idx="1367">
                  <c:v>48611</c:v>
                </c:pt>
                <c:pt idx="1368">
                  <c:v>48618</c:v>
                </c:pt>
                <c:pt idx="1369">
                  <c:v>48625</c:v>
                </c:pt>
                <c:pt idx="1370">
                  <c:v>48632</c:v>
                </c:pt>
                <c:pt idx="1371">
                  <c:v>48639</c:v>
                </c:pt>
                <c:pt idx="1372">
                  <c:v>48646</c:v>
                </c:pt>
                <c:pt idx="1373">
                  <c:v>48653</c:v>
                </c:pt>
                <c:pt idx="1374">
                  <c:v>48660</c:v>
                </c:pt>
                <c:pt idx="1375">
                  <c:v>48667</c:v>
                </c:pt>
                <c:pt idx="1376">
                  <c:v>48674</c:v>
                </c:pt>
                <c:pt idx="1377">
                  <c:v>48681</c:v>
                </c:pt>
                <c:pt idx="1378">
                  <c:v>48688</c:v>
                </c:pt>
                <c:pt idx="1379">
                  <c:v>48695</c:v>
                </c:pt>
                <c:pt idx="1380">
                  <c:v>48702</c:v>
                </c:pt>
                <c:pt idx="1381">
                  <c:v>48709</c:v>
                </c:pt>
                <c:pt idx="1382">
                  <c:v>48716</c:v>
                </c:pt>
                <c:pt idx="1383">
                  <c:v>48723</c:v>
                </c:pt>
                <c:pt idx="1384">
                  <c:v>48730</c:v>
                </c:pt>
                <c:pt idx="1385">
                  <c:v>48737</c:v>
                </c:pt>
                <c:pt idx="1386">
                  <c:v>48744</c:v>
                </c:pt>
                <c:pt idx="1387">
                  <c:v>48751</c:v>
                </c:pt>
                <c:pt idx="1388">
                  <c:v>48758</c:v>
                </c:pt>
                <c:pt idx="1389">
                  <c:v>48765</c:v>
                </c:pt>
                <c:pt idx="1390">
                  <c:v>48772</c:v>
                </c:pt>
                <c:pt idx="1391">
                  <c:v>48779</c:v>
                </c:pt>
                <c:pt idx="1392">
                  <c:v>48786</c:v>
                </c:pt>
                <c:pt idx="1393">
                  <c:v>48793</c:v>
                </c:pt>
                <c:pt idx="1394">
                  <c:v>48800</c:v>
                </c:pt>
                <c:pt idx="1395">
                  <c:v>48807</c:v>
                </c:pt>
                <c:pt idx="1396">
                  <c:v>48814</c:v>
                </c:pt>
                <c:pt idx="1397">
                  <c:v>48821</c:v>
                </c:pt>
                <c:pt idx="1398">
                  <c:v>48828</c:v>
                </c:pt>
                <c:pt idx="1399">
                  <c:v>48835</c:v>
                </c:pt>
                <c:pt idx="1400">
                  <c:v>48842</c:v>
                </c:pt>
                <c:pt idx="1401">
                  <c:v>48849</c:v>
                </c:pt>
                <c:pt idx="1402">
                  <c:v>48856</c:v>
                </c:pt>
                <c:pt idx="1403">
                  <c:v>48863</c:v>
                </c:pt>
                <c:pt idx="1404">
                  <c:v>48870</c:v>
                </c:pt>
                <c:pt idx="1405">
                  <c:v>48877</c:v>
                </c:pt>
                <c:pt idx="1406">
                  <c:v>48884</c:v>
                </c:pt>
                <c:pt idx="1407">
                  <c:v>48891</c:v>
                </c:pt>
                <c:pt idx="1408">
                  <c:v>48898</c:v>
                </c:pt>
                <c:pt idx="1409">
                  <c:v>48905</c:v>
                </c:pt>
                <c:pt idx="1410">
                  <c:v>48912</c:v>
                </c:pt>
                <c:pt idx="1411">
                  <c:v>48919</c:v>
                </c:pt>
                <c:pt idx="1412">
                  <c:v>48926</c:v>
                </c:pt>
                <c:pt idx="1413">
                  <c:v>48933</c:v>
                </c:pt>
                <c:pt idx="1414">
                  <c:v>48940</c:v>
                </c:pt>
                <c:pt idx="1415">
                  <c:v>48947</c:v>
                </c:pt>
                <c:pt idx="1416">
                  <c:v>48954</c:v>
                </c:pt>
                <c:pt idx="1417">
                  <c:v>48961</c:v>
                </c:pt>
                <c:pt idx="1418">
                  <c:v>48968</c:v>
                </c:pt>
                <c:pt idx="1419">
                  <c:v>48975</c:v>
                </c:pt>
                <c:pt idx="1420">
                  <c:v>48982</c:v>
                </c:pt>
                <c:pt idx="1421">
                  <c:v>48989</c:v>
                </c:pt>
                <c:pt idx="1422">
                  <c:v>48996</c:v>
                </c:pt>
                <c:pt idx="1423">
                  <c:v>49003</c:v>
                </c:pt>
                <c:pt idx="1424">
                  <c:v>49010</c:v>
                </c:pt>
                <c:pt idx="1425">
                  <c:v>49017</c:v>
                </c:pt>
                <c:pt idx="1426">
                  <c:v>49024</c:v>
                </c:pt>
                <c:pt idx="1427">
                  <c:v>49031</c:v>
                </c:pt>
                <c:pt idx="1428">
                  <c:v>49038</c:v>
                </c:pt>
                <c:pt idx="1429">
                  <c:v>49045</c:v>
                </c:pt>
                <c:pt idx="1430">
                  <c:v>49052</c:v>
                </c:pt>
                <c:pt idx="1431">
                  <c:v>49059</c:v>
                </c:pt>
                <c:pt idx="1432">
                  <c:v>49066</c:v>
                </c:pt>
                <c:pt idx="1433">
                  <c:v>49073</c:v>
                </c:pt>
                <c:pt idx="1434">
                  <c:v>49080</c:v>
                </c:pt>
                <c:pt idx="1435">
                  <c:v>49087</c:v>
                </c:pt>
                <c:pt idx="1436">
                  <c:v>49094</c:v>
                </c:pt>
                <c:pt idx="1437">
                  <c:v>49101</c:v>
                </c:pt>
                <c:pt idx="1438">
                  <c:v>49108</c:v>
                </c:pt>
                <c:pt idx="1439">
                  <c:v>49115</c:v>
                </c:pt>
                <c:pt idx="1440">
                  <c:v>49122</c:v>
                </c:pt>
                <c:pt idx="1441">
                  <c:v>49129</c:v>
                </c:pt>
                <c:pt idx="1442">
                  <c:v>49136</c:v>
                </c:pt>
                <c:pt idx="1443">
                  <c:v>49143</c:v>
                </c:pt>
                <c:pt idx="1444">
                  <c:v>49150</c:v>
                </c:pt>
                <c:pt idx="1445">
                  <c:v>49157</c:v>
                </c:pt>
                <c:pt idx="1446">
                  <c:v>49164</c:v>
                </c:pt>
                <c:pt idx="1447">
                  <c:v>49171</c:v>
                </c:pt>
                <c:pt idx="1448">
                  <c:v>49178</c:v>
                </c:pt>
                <c:pt idx="1449">
                  <c:v>49185</c:v>
                </c:pt>
                <c:pt idx="1450">
                  <c:v>49192</c:v>
                </c:pt>
                <c:pt idx="1451">
                  <c:v>49199</c:v>
                </c:pt>
                <c:pt idx="1452">
                  <c:v>49206</c:v>
                </c:pt>
                <c:pt idx="1453">
                  <c:v>49213</c:v>
                </c:pt>
                <c:pt idx="1454">
                  <c:v>49220</c:v>
                </c:pt>
                <c:pt idx="1455">
                  <c:v>49227</c:v>
                </c:pt>
                <c:pt idx="1456">
                  <c:v>49234</c:v>
                </c:pt>
                <c:pt idx="1457">
                  <c:v>49241</c:v>
                </c:pt>
                <c:pt idx="1458">
                  <c:v>49248</c:v>
                </c:pt>
                <c:pt idx="1459">
                  <c:v>49255</c:v>
                </c:pt>
                <c:pt idx="1460">
                  <c:v>49262</c:v>
                </c:pt>
                <c:pt idx="1461">
                  <c:v>49269</c:v>
                </c:pt>
                <c:pt idx="1462">
                  <c:v>49276</c:v>
                </c:pt>
                <c:pt idx="1463">
                  <c:v>49283</c:v>
                </c:pt>
                <c:pt idx="1464">
                  <c:v>49290</c:v>
                </c:pt>
                <c:pt idx="1465">
                  <c:v>49297</c:v>
                </c:pt>
                <c:pt idx="1466">
                  <c:v>49305</c:v>
                </c:pt>
                <c:pt idx="1467">
                  <c:v>49312</c:v>
                </c:pt>
                <c:pt idx="1468">
                  <c:v>49319</c:v>
                </c:pt>
                <c:pt idx="1469">
                  <c:v>49326</c:v>
                </c:pt>
                <c:pt idx="1470">
                  <c:v>49333</c:v>
                </c:pt>
                <c:pt idx="1471">
                  <c:v>49340</c:v>
                </c:pt>
                <c:pt idx="1472">
                  <c:v>49347</c:v>
                </c:pt>
                <c:pt idx="1473">
                  <c:v>49354</c:v>
                </c:pt>
                <c:pt idx="1474">
                  <c:v>49361</c:v>
                </c:pt>
                <c:pt idx="1475">
                  <c:v>49368</c:v>
                </c:pt>
                <c:pt idx="1476">
                  <c:v>49375</c:v>
                </c:pt>
                <c:pt idx="1477">
                  <c:v>49382</c:v>
                </c:pt>
                <c:pt idx="1478">
                  <c:v>49389</c:v>
                </c:pt>
                <c:pt idx="1479">
                  <c:v>49396</c:v>
                </c:pt>
                <c:pt idx="1480">
                  <c:v>49403</c:v>
                </c:pt>
                <c:pt idx="1481">
                  <c:v>49410</c:v>
                </c:pt>
                <c:pt idx="1482">
                  <c:v>49417</c:v>
                </c:pt>
                <c:pt idx="1483">
                  <c:v>49424</c:v>
                </c:pt>
                <c:pt idx="1484">
                  <c:v>49431</c:v>
                </c:pt>
                <c:pt idx="1485">
                  <c:v>49438</c:v>
                </c:pt>
                <c:pt idx="1486">
                  <c:v>49445</c:v>
                </c:pt>
                <c:pt idx="1487">
                  <c:v>49452</c:v>
                </c:pt>
                <c:pt idx="1488">
                  <c:v>49459</c:v>
                </c:pt>
                <c:pt idx="1489">
                  <c:v>49466</c:v>
                </c:pt>
                <c:pt idx="1490">
                  <c:v>49473</c:v>
                </c:pt>
                <c:pt idx="1491">
                  <c:v>49480</c:v>
                </c:pt>
                <c:pt idx="1492">
                  <c:v>49487</c:v>
                </c:pt>
                <c:pt idx="1493">
                  <c:v>49494</c:v>
                </c:pt>
                <c:pt idx="1494">
                  <c:v>49501</c:v>
                </c:pt>
                <c:pt idx="1495">
                  <c:v>49508</c:v>
                </c:pt>
                <c:pt idx="1496">
                  <c:v>49515</c:v>
                </c:pt>
                <c:pt idx="1497">
                  <c:v>49522</c:v>
                </c:pt>
                <c:pt idx="1498">
                  <c:v>49529</c:v>
                </c:pt>
                <c:pt idx="1499">
                  <c:v>49536</c:v>
                </c:pt>
                <c:pt idx="1500">
                  <c:v>49543</c:v>
                </c:pt>
                <c:pt idx="1501">
                  <c:v>49550</c:v>
                </c:pt>
                <c:pt idx="1502">
                  <c:v>49557</c:v>
                </c:pt>
                <c:pt idx="1503">
                  <c:v>49564</c:v>
                </c:pt>
                <c:pt idx="1504">
                  <c:v>49571</c:v>
                </c:pt>
                <c:pt idx="1505">
                  <c:v>49578</c:v>
                </c:pt>
                <c:pt idx="1506">
                  <c:v>49585</c:v>
                </c:pt>
                <c:pt idx="1507">
                  <c:v>49592</c:v>
                </c:pt>
                <c:pt idx="1508">
                  <c:v>49599</c:v>
                </c:pt>
                <c:pt idx="1509">
                  <c:v>49606</c:v>
                </c:pt>
                <c:pt idx="1510">
                  <c:v>49613</c:v>
                </c:pt>
                <c:pt idx="1511">
                  <c:v>49620</c:v>
                </c:pt>
                <c:pt idx="1512">
                  <c:v>49627</c:v>
                </c:pt>
                <c:pt idx="1513">
                  <c:v>49634</c:v>
                </c:pt>
                <c:pt idx="1514">
                  <c:v>49641</c:v>
                </c:pt>
                <c:pt idx="1515">
                  <c:v>49648</c:v>
                </c:pt>
                <c:pt idx="1516">
                  <c:v>49655</c:v>
                </c:pt>
                <c:pt idx="1517">
                  <c:v>49662</c:v>
                </c:pt>
                <c:pt idx="1518">
                  <c:v>49670</c:v>
                </c:pt>
                <c:pt idx="1519">
                  <c:v>49677</c:v>
                </c:pt>
                <c:pt idx="1520">
                  <c:v>49684</c:v>
                </c:pt>
                <c:pt idx="1521">
                  <c:v>49691</c:v>
                </c:pt>
                <c:pt idx="1522">
                  <c:v>49698</c:v>
                </c:pt>
                <c:pt idx="1523">
                  <c:v>49705</c:v>
                </c:pt>
                <c:pt idx="1524">
                  <c:v>49712</c:v>
                </c:pt>
                <c:pt idx="1525">
                  <c:v>49719</c:v>
                </c:pt>
                <c:pt idx="1526">
                  <c:v>49726</c:v>
                </c:pt>
                <c:pt idx="1527">
                  <c:v>49733</c:v>
                </c:pt>
                <c:pt idx="1528">
                  <c:v>49740</c:v>
                </c:pt>
                <c:pt idx="1529">
                  <c:v>49747</c:v>
                </c:pt>
                <c:pt idx="1530">
                  <c:v>49754</c:v>
                </c:pt>
                <c:pt idx="1531">
                  <c:v>49761</c:v>
                </c:pt>
                <c:pt idx="1532">
                  <c:v>49768</c:v>
                </c:pt>
                <c:pt idx="1533">
                  <c:v>49775</c:v>
                </c:pt>
                <c:pt idx="1534">
                  <c:v>49782</c:v>
                </c:pt>
                <c:pt idx="1535">
                  <c:v>49789</c:v>
                </c:pt>
                <c:pt idx="1536">
                  <c:v>49797</c:v>
                </c:pt>
                <c:pt idx="1537">
                  <c:v>49804</c:v>
                </c:pt>
                <c:pt idx="1538">
                  <c:v>49811</c:v>
                </c:pt>
                <c:pt idx="1539">
                  <c:v>49818</c:v>
                </c:pt>
                <c:pt idx="1540">
                  <c:v>49825</c:v>
                </c:pt>
                <c:pt idx="1541">
                  <c:v>49832</c:v>
                </c:pt>
                <c:pt idx="1542">
                  <c:v>49839</c:v>
                </c:pt>
                <c:pt idx="1543">
                  <c:v>49846</c:v>
                </c:pt>
                <c:pt idx="1544">
                  <c:v>49853</c:v>
                </c:pt>
                <c:pt idx="1545">
                  <c:v>49860</c:v>
                </c:pt>
                <c:pt idx="1546">
                  <c:v>49867</c:v>
                </c:pt>
                <c:pt idx="1547">
                  <c:v>49874</c:v>
                </c:pt>
                <c:pt idx="1548">
                  <c:v>49881</c:v>
                </c:pt>
                <c:pt idx="1549">
                  <c:v>49888</c:v>
                </c:pt>
                <c:pt idx="1550">
                  <c:v>49895</c:v>
                </c:pt>
                <c:pt idx="1551">
                  <c:v>49902</c:v>
                </c:pt>
                <c:pt idx="1552">
                  <c:v>49909</c:v>
                </c:pt>
                <c:pt idx="1553">
                  <c:v>49916</c:v>
                </c:pt>
                <c:pt idx="1554">
                  <c:v>49923</c:v>
                </c:pt>
                <c:pt idx="1555">
                  <c:v>49930</c:v>
                </c:pt>
                <c:pt idx="1556">
                  <c:v>49937</c:v>
                </c:pt>
                <c:pt idx="1557">
                  <c:v>49944</c:v>
                </c:pt>
                <c:pt idx="1558">
                  <c:v>49951</c:v>
                </c:pt>
                <c:pt idx="1559">
                  <c:v>49958</c:v>
                </c:pt>
                <c:pt idx="1560">
                  <c:v>49965</c:v>
                </c:pt>
                <c:pt idx="1561">
                  <c:v>49972</c:v>
                </c:pt>
                <c:pt idx="1562">
                  <c:v>49979</c:v>
                </c:pt>
                <c:pt idx="1563">
                  <c:v>49986</c:v>
                </c:pt>
                <c:pt idx="1564">
                  <c:v>49993</c:v>
                </c:pt>
                <c:pt idx="1565">
                  <c:v>50000</c:v>
                </c:pt>
                <c:pt idx="1566">
                  <c:v>50007</c:v>
                </c:pt>
                <c:pt idx="1567">
                  <c:v>50014</c:v>
                </c:pt>
                <c:pt idx="1568">
                  <c:v>50021</c:v>
                </c:pt>
                <c:pt idx="1569">
                  <c:v>50028</c:v>
                </c:pt>
                <c:pt idx="1570">
                  <c:v>50038</c:v>
                </c:pt>
                <c:pt idx="1571">
                  <c:v>50045</c:v>
                </c:pt>
                <c:pt idx="1572">
                  <c:v>50052</c:v>
                </c:pt>
                <c:pt idx="1573">
                  <c:v>50059</c:v>
                </c:pt>
                <c:pt idx="1574">
                  <c:v>50066</c:v>
                </c:pt>
                <c:pt idx="1575">
                  <c:v>50073</c:v>
                </c:pt>
                <c:pt idx="1576">
                  <c:v>50080</c:v>
                </c:pt>
                <c:pt idx="1577">
                  <c:v>50087</c:v>
                </c:pt>
                <c:pt idx="1578">
                  <c:v>50094</c:v>
                </c:pt>
                <c:pt idx="1579">
                  <c:v>50101</c:v>
                </c:pt>
                <c:pt idx="1580">
                  <c:v>50108</c:v>
                </c:pt>
                <c:pt idx="1581">
                  <c:v>50115</c:v>
                </c:pt>
                <c:pt idx="1582">
                  <c:v>50122</c:v>
                </c:pt>
                <c:pt idx="1583">
                  <c:v>50129</c:v>
                </c:pt>
                <c:pt idx="1584">
                  <c:v>50137</c:v>
                </c:pt>
                <c:pt idx="1585">
                  <c:v>50144</c:v>
                </c:pt>
                <c:pt idx="1586">
                  <c:v>50151</c:v>
                </c:pt>
                <c:pt idx="1587">
                  <c:v>50158</c:v>
                </c:pt>
                <c:pt idx="1588">
                  <c:v>50165</c:v>
                </c:pt>
                <c:pt idx="1589">
                  <c:v>50172</c:v>
                </c:pt>
                <c:pt idx="1590">
                  <c:v>50179</c:v>
                </c:pt>
                <c:pt idx="1591">
                  <c:v>50186</c:v>
                </c:pt>
                <c:pt idx="1592">
                  <c:v>50193</c:v>
                </c:pt>
                <c:pt idx="1593">
                  <c:v>50200</c:v>
                </c:pt>
                <c:pt idx="1594">
                  <c:v>50207</c:v>
                </c:pt>
                <c:pt idx="1595">
                  <c:v>50214</c:v>
                </c:pt>
                <c:pt idx="1596">
                  <c:v>50221</c:v>
                </c:pt>
                <c:pt idx="1597">
                  <c:v>50228</c:v>
                </c:pt>
                <c:pt idx="1598">
                  <c:v>50235</c:v>
                </c:pt>
                <c:pt idx="1599">
                  <c:v>50242</c:v>
                </c:pt>
                <c:pt idx="1600">
                  <c:v>50249</c:v>
                </c:pt>
                <c:pt idx="1601">
                  <c:v>50256</c:v>
                </c:pt>
                <c:pt idx="1602">
                  <c:v>50263</c:v>
                </c:pt>
                <c:pt idx="1603">
                  <c:v>50270</c:v>
                </c:pt>
                <c:pt idx="1604">
                  <c:v>50277</c:v>
                </c:pt>
                <c:pt idx="1605">
                  <c:v>50284</c:v>
                </c:pt>
                <c:pt idx="1606">
                  <c:v>50291</c:v>
                </c:pt>
                <c:pt idx="1607">
                  <c:v>50298</c:v>
                </c:pt>
                <c:pt idx="1608">
                  <c:v>50305</c:v>
                </c:pt>
                <c:pt idx="1609">
                  <c:v>50312</c:v>
                </c:pt>
                <c:pt idx="1610">
                  <c:v>50319</c:v>
                </c:pt>
                <c:pt idx="1611">
                  <c:v>50326</c:v>
                </c:pt>
                <c:pt idx="1612">
                  <c:v>50333</c:v>
                </c:pt>
                <c:pt idx="1613">
                  <c:v>50340</c:v>
                </c:pt>
                <c:pt idx="1614">
                  <c:v>50347</c:v>
                </c:pt>
                <c:pt idx="1615">
                  <c:v>50354</c:v>
                </c:pt>
                <c:pt idx="1616">
                  <c:v>50361</c:v>
                </c:pt>
                <c:pt idx="1617">
                  <c:v>50368</c:v>
                </c:pt>
                <c:pt idx="1618">
                  <c:v>50375</c:v>
                </c:pt>
                <c:pt idx="1619">
                  <c:v>50382</c:v>
                </c:pt>
                <c:pt idx="1620">
                  <c:v>50389</c:v>
                </c:pt>
                <c:pt idx="1621">
                  <c:v>50396</c:v>
                </c:pt>
                <c:pt idx="1622">
                  <c:v>50403</c:v>
                </c:pt>
                <c:pt idx="1623">
                  <c:v>50410</c:v>
                </c:pt>
                <c:pt idx="1624">
                  <c:v>50417</c:v>
                </c:pt>
                <c:pt idx="1625">
                  <c:v>50424</c:v>
                </c:pt>
                <c:pt idx="1626">
                  <c:v>50431</c:v>
                </c:pt>
                <c:pt idx="1627">
                  <c:v>50438</c:v>
                </c:pt>
                <c:pt idx="1628">
                  <c:v>50445</c:v>
                </c:pt>
                <c:pt idx="1629">
                  <c:v>50452</c:v>
                </c:pt>
                <c:pt idx="1630">
                  <c:v>50459</c:v>
                </c:pt>
                <c:pt idx="1631">
                  <c:v>50466</c:v>
                </c:pt>
                <c:pt idx="1632">
                  <c:v>50473</c:v>
                </c:pt>
                <c:pt idx="1633">
                  <c:v>50480</c:v>
                </c:pt>
                <c:pt idx="1634">
                  <c:v>50487</c:v>
                </c:pt>
                <c:pt idx="1635">
                  <c:v>50494</c:v>
                </c:pt>
                <c:pt idx="1636">
                  <c:v>50501</c:v>
                </c:pt>
                <c:pt idx="1637">
                  <c:v>50508</c:v>
                </c:pt>
                <c:pt idx="1638">
                  <c:v>50515</c:v>
                </c:pt>
                <c:pt idx="1639">
                  <c:v>50522</c:v>
                </c:pt>
                <c:pt idx="1640">
                  <c:v>50529</c:v>
                </c:pt>
                <c:pt idx="1641">
                  <c:v>50536</c:v>
                </c:pt>
                <c:pt idx="1642">
                  <c:v>50543</c:v>
                </c:pt>
                <c:pt idx="1643">
                  <c:v>50550</c:v>
                </c:pt>
                <c:pt idx="1644">
                  <c:v>50557</c:v>
                </c:pt>
                <c:pt idx="1645">
                  <c:v>50564</c:v>
                </c:pt>
                <c:pt idx="1646">
                  <c:v>50571</c:v>
                </c:pt>
                <c:pt idx="1647">
                  <c:v>50578</c:v>
                </c:pt>
                <c:pt idx="1648">
                  <c:v>50585</c:v>
                </c:pt>
                <c:pt idx="1649">
                  <c:v>50592</c:v>
                </c:pt>
                <c:pt idx="1650">
                  <c:v>50599</c:v>
                </c:pt>
                <c:pt idx="1651">
                  <c:v>50606</c:v>
                </c:pt>
                <c:pt idx="1652">
                  <c:v>50613</c:v>
                </c:pt>
                <c:pt idx="1653">
                  <c:v>50620</c:v>
                </c:pt>
                <c:pt idx="1654">
                  <c:v>50627</c:v>
                </c:pt>
                <c:pt idx="1655">
                  <c:v>50634</c:v>
                </c:pt>
                <c:pt idx="1656">
                  <c:v>50641</c:v>
                </c:pt>
                <c:pt idx="1657">
                  <c:v>50648</c:v>
                </c:pt>
                <c:pt idx="1658">
                  <c:v>50655</c:v>
                </c:pt>
                <c:pt idx="1659">
                  <c:v>50662</c:v>
                </c:pt>
                <c:pt idx="1660">
                  <c:v>50669</c:v>
                </c:pt>
                <c:pt idx="1661">
                  <c:v>50676</c:v>
                </c:pt>
                <c:pt idx="1662">
                  <c:v>50683</c:v>
                </c:pt>
                <c:pt idx="1663">
                  <c:v>50690</c:v>
                </c:pt>
                <c:pt idx="1664">
                  <c:v>50697</c:v>
                </c:pt>
                <c:pt idx="1665">
                  <c:v>50704</c:v>
                </c:pt>
                <c:pt idx="1666">
                  <c:v>50711</c:v>
                </c:pt>
                <c:pt idx="1667">
                  <c:v>50718</c:v>
                </c:pt>
                <c:pt idx="1668">
                  <c:v>50725</c:v>
                </c:pt>
                <c:pt idx="1669">
                  <c:v>50732</c:v>
                </c:pt>
                <c:pt idx="1670">
                  <c:v>50739</c:v>
                </c:pt>
                <c:pt idx="1671">
                  <c:v>50746</c:v>
                </c:pt>
                <c:pt idx="1672">
                  <c:v>50753</c:v>
                </c:pt>
                <c:pt idx="1673">
                  <c:v>50760</c:v>
                </c:pt>
                <c:pt idx="1674">
                  <c:v>50767</c:v>
                </c:pt>
                <c:pt idx="1675">
                  <c:v>50774</c:v>
                </c:pt>
                <c:pt idx="1676">
                  <c:v>50781</c:v>
                </c:pt>
                <c:pt idx="1677">
                  <c:v>50788</c:v>
                </c:pt>
                <c:pt idx="1678">
                  <c:v>50795</c:v>
                </c:pt>
                <c:pt idx="1679">
                  <c:v>50802</c:v>
                </c:pt>
                <c:pt idx="1680">
                  <c:v>50809</c:v>
                </c:pt>
                <c:pt idx="1681">
                  <c:v>50816</c:v>
                </c:pt>
                <c:pt idx="1682">
                  <c:v>50823</c:v>
                </c:pt>
                <c:pt idx="1683">
                  <c:v>50830</c:v>
                </c:pt>
                <c:pt idx="1684">
                  <c:v>50837</c:v>
                </c:pt>
                <c:pt idx="1685">
                  <c:v>50844</c:v>
                </c:pt>
                <c:pt idx="1686">
                  <c:v>50851</c:v>
                </c:pt>
                <c:pt idx="1687">
                  <c:v>50858</c:v>
                </c:pt>
                <c:pt idx="1688">
                  <c:v>50865</c:v>
                </c:pt>
                <c:pt idx="1689">
                  <c:v>50872</c:v>
                </c:pt>
                <c:pt idx="1690">
                  <c:v>50879</c:v>
                </c:pt>
                <c:pt idx="1691">
                  <c:v>50886</c:v>
                </c:pt>
                <c:pt idx="1692">
                  <c:v>50893</c:v>
                </c:pt>
                <c:pt idx="1693">
                  <c:v>50900</c:v>
                </c:pt>
                <c:pt idx="1694">
                  <c:v>50907</c:v>
                </c:pt>
                <c:pt idx="1695">
                  <c:v>50914</c:v>
                </c:pt>
                <c:pt idx="1696">
                  <c:v>50921</c:v>
                </c:pt>
                <c:pt idx="1697">
                  <c:v>50928</c:v>
                </c:pt>
                <c:pt idx="1698">
                  <c:v>50935</c:v>
                </c:pt>
                <c:pt idx="1699">
                  <c:v>50942</c:v>
                </c:pt>
                <c:pt idx="1700">
                  <c:v>50949</c:v>
                </c:pt>
                <c:pt idx="1701">
                  <c:v>50956</c:v>
                </c:pt>
                <c:pt idx="1702">
                  <c:v>50963</c:v>
                </c:pt>
                <c:pt idx="1703">
                  <c:v>50970</c:v>
                </c:pt>
                <c:pt idx="1704">
                  <c:v>50977</c:v>
                </c:pt>
                <c:pt idx="1705">
                  <c:v>50984</c:v>
                </c:pt>
                <c:pt idx="1706">
                  <c:v>50991</c:v>
                </c:pt>
                <c:pt idx="1707">
                  <c:v>50998</c:v>
                </c:pt>
                <c:pt idx="1708">
                  <c:v>51005</c:v>
                </c:pt>
                <c:pt idx="1709">
                  <c:v>51012</c:v>
                </c:pt>
                <c:pt idx="1710">
                  <c:v>51019</c:v>
                </c:pt>
                <c:pt idx="1711">
                  <c:v>51026</c:v>
                </c:pt>
                <c:pt idx="1712">
                  <c:v>51033</c:v>
                </c:pt>
                <c:pt idx="1713">
                  <c:v>51040</c:v>
                </c:pt>
                <c:pt idx="1714">
                  <c:v>51047</c:v>
                </c:pt>
                <c:pt idx="1715">
                  <c:v>51054</c:v>
                </c:pt>
                <c:pt idx="1716">
                  <c:v>51061</c:v>
                </c:pt>
                <c:pt idx="1717">
                  <c:v>51068</c:v>
                </c:pt>
                <c:pt idx="1718">
                  <c:v>51075</c:v>
                </c:pt>
                <c:pt idx="1719">
                  <c:v>51082</c:v>
                </c:pt>
                <c:pt idx="1720">
                  <c:v>51089</c:v>
                </c:pt>
                <c:pt idx="1721">
                  <c:v>51096</c:v>
                </c:pt>
                <c:pt idx="1722">
                  <c:v>51103</c:v>
                </c:pt>
                <c:pt idx="1723">
                  <c:v>51110</c:v>
                </c:pt>
                <c:pt idx="1724">
                  <c:v>51117</c:v>
                </c:pt>
                <c:pt idx="1725">
                  <c:v>51124</c:v>
                </c:pt>
                <c:pt idx="1726">
                  <c:v>51131</c:v>
                </c:pt>
                <c:pt idx="1727">
                  <c:v>51138</c:v>
                </c:pt>
                <c:pt idx="1728">
                  <c:v>51145</c:v>
                </c:pt>
                <c:pt idx="1729">
                  <c:v>51152</c:v>
                </c:pt>
                <c:pt idx="1730">
                  <c:v>51159</c:v>
                </c:pt>
                <c:pt idx="1731">
                  <c:v>51166</c:v>
                </c:pt>
                <c:pt idx="1732">
                  <c:v>51173</c:v>
                </c:pt>
                <c:pt idx="1733">
                  <c:v>51180</c:v>
                </c:pt>
                <c:pt idx="1734">
                  <c:v>51187</c:v>
                </c:pt>
                <c:pt idx="1735">
                  <c:v>51194</c:v>
                </c:pt>
                <c:pt idx="1736">
                  <c:v>51201</c:v>
                </c:pt>
                <c:pt idx="1737">
                  <c:v>51208</c:v>
                </c:pt>
                <c:pt idx="1738">
                  <c:v>51215</c:v>
                </c:pt>
                <c:pt idx="1739">
                  <c:v>51222</c:v>
                </c:pt>
                <c:pt idx="1740">
                  <c:v>51229</c:v>
                </c:pt>
                <c:pt idx="1741">
                  <c:v>51236</c:v>
                </c:pt>
                <c:pt idx="1742">
                  <c:v>51243</c:v>
                </c:pt>
                <c:pt idx="1743">
                  <c:v>51250</c:v>
                </c:pt>
                <c:pt idx="1744">
                  <c:v>51258</c:v>
                </c:pt>
                <c:pt idx="1745">
                  <c:v>51265</c:v>
                </c:pt>
                <c:pt idx="1746">
                  <c:v>51272</c:v>
                </c:pt>
                <c:pt idx="1747">
                  <c:v>51279</c:v>
                </c:pt>
                <c:pt idx="1748">
                  <c:v>51286</c:v>
                </c:pt>
                <c:pt idx="1749">
                  <c:v>51293</c:v>
                </c:pt>
                <c:pt idx="1750">
                  <c:v>51300</c:v>
                </c:pt>
                <c:pt idx="1751">
                  <c:v>51307</c:v>
                </c:pt>
                <c:pt idx="1752">
                  <c:v>51314</c:v>
                </c:pt>
                <c:pt idx="1753">
                  <c:v>51321</c:v>
                </c:pt>
                <c:pt idx="1754">
                  <c:v>51328</c:v>
                </c:pt>
                <c:pt idx="1755">
                  <c:v>51335</c:v>
                </c:pt>
                <c:pt idx="1756">
                  <c:v>51342</c:v>
                </c:pt>
                <c:pt idx="1757">
                  <c:v>51349</c:v>
                </c:pt>
                <c:pt idx="1758">
                  <c:v>51356</c:v>
                </c:pt>
                <c:pt idx="1759">
                  <c:v>51363</c:v>
                </c:pt>
                <c:pt idx="1760">
                  <c:v>51370</c:v>
                </c:pt>
                <c:pt idx="1761">
                  <c:v>51377</c:v>
                </c:pt>
                <c:pt idx="1762">
                  <c:v>51384</c:v>
                </c:pt>
                <c:pt idx="1763">
                  <c:v>51391</c:v>
                </c:pt>
                <c:pt idx="1764">
                  <c:v>51398</c:v>
                </c:pt>
                <c:pt idx="1765">
                  <c:v>51405</c:v>
                </c:pt>
                <c:pt idx="1766">
                  <c:v>51412</c:v>
                </c:pt>
                <c:pt idx="1767">
                  <c:v>51419</c:v>
                </c:pt>
                <c:pt idx="1768">
                  <c:v>51426</c:v>
                </c:pt>
                <c:pt idx="1769">
                  <c:v>51433</c:v>
                </c:pt>
                <c:pt idx="1770">
                  <c:v>51440</c:v>
                </c:pt>
                <c:pt idx="1771">
                  <c:v>51447</c:v>
                </c:pt>
                <c:pt idx="1772">
                  <c:v>51454</c:v>
                </c:pt>
                <c:pt idx="1773">
                  <c:v>51461</c:v>
                </c:pt>
                <c:pt idx="1774">
                  <c:v>51468</c:v>
                </c:pt>
                <c:pt idx="1775">
                  <c:v>51475</c:v>
                </c:pt>
                <c:pt idx="1776">
                  <c:v>51482</c:v>
                </c:pt>
                <c:pt idx="1777">
                  <c:v>51489</c:v>
                </c:pt>
                <c:pt idx="1778">
                  <c:v>51497</c:v>
                </c:pt>
                <c:pt idx="1779">
                  <c:v>51504</c:v>
                </c:pt>
                <c:pt idx="1780">
                  <c:v>51511</c:v>
                </c:pt>
                <c:pt idx="1781">
                  <c:v>51518</c:v>
                </c:pt>
                <c:pt idx="1782">
                  <c:v>51525</c:v>
                </c:pt>
                <c:pt idx="1783">
                  <c:v>51532</c:v>
                </c:pt>
                <c:pt idx="1784">
                  <c:v>51539</c:v>
                </c:pt>
                <c:pt idx="1785">
                  <c:v>51546</c:v>
                </c:pt>
                <c:pt idx="1786">
                  <c:v>51553</c:v>
                </c:pt>
                <c:pt idx="1787">
                  <c:v>51560</c:v>
                </c:pt>
                <c:pt idx="1788">
                  <c:v>51567</c:v>
                </c:pt>
                <c:pt idx="1789">
                  <c:v>51574</c:v>
                </c:pt>
                <c:pt idx="1790">
                  <c:v>51581</c:v>
                </c:pt>
                <c:pt idx="1791">
                  <c:v>51588</c:v>
                </c:pt>
                <c:pt idx="1792">
                  <c:v>51595</c:v>
                </c:pt>
                <c:pt idx="1793">
                  <c:v>51602</c:v>
                </c:pt>
                <c:pt idx="1794">
                  <c:v>51609</c:v>
                </c:pt>
                <c:pt idx="1795">
                  <c:v>51616</c:v>
                </c:pt>
                <c:pt idx="1796">
                  <c:v>51623</c:v>
                </c:pt>
                <c:pt idx="1797">
                  <c:v>51630</c:v>
                </c:pt>
                <c:pt idx="1798">
                  <c:v>51637</c:v>
                </c:pt>
                <c:pt idx="1799">
                  <c:v>51644</c:v>
                </c:pt>
                <c:pt idx="1800">
                  <c:v>51651</c:v>
                </c:pt>
                <c:pt idx="1801">
                  <c:v>51658</c:v>
                </c:pt>
                <c:pt idx="1802">
                  <c:v>51665</c:v>
                </c:pt>
                <c:pt idx="1803">
                  <c:v>51672</c:v>
                </c:pt>
                <c:pt idx="1804">
                  <c:v>51679</c:v>
                </c:pt>
                <c:pt idx="1805">
                  <c:v>51686</c:v>
                </c:pt>
                <c:pt idx="1806">
                  <c:v>51693</c:v>
                </c:pt>
                <c:pt idx="1807">
                  <c:v>51700</c:v>
                </c:pt>
                <c:pt idx="1808">
                  <c:v>51707</c:v>
                </c:pt>
                <c:pt idx="1809">
                  <c:v>51714</c:v>
                </c:pt>
                <c:pt idx="1810">
                  <c:v>51721</c:v>
                </c:pt>
                <c:pt idx="1811">
                  <c:v>51728</c:v>
                </c:pt>
                <c:pt idx="1812">
                  <c:v>51735</c:v>
                </c:pt>
                <c:pt idx="1813">
                  <c:v>51742</c:v>
                </c:pt>
                <c:pt idx="1814">
                  <c:v>51749</c:v>
                </c:pt>
                <c:pt idx="1815">
                  <c:v>51756</c:v>
                </c:pt>
                <c:pt idx="1816">
                  <c:v>51763</c:v>
                </c:pt>
                <c:pt idx="1817">
                  <c:v>51770</c:v>
                </c:pt>
                <c:pt idx="1818">
                  <c:v>51777</c:v>
                </c:pt>
                <c:pt idx="1819">
                  <c:v>51784</c:v>
                </c:pt>
                <c:pt idx="1820">
                  <c:v>51791</c:v>
                </c:pt>
                <c:pt idx="1821">
                  <c:v>51798</c:v>
                </c:pt>
                <c:pt idx="1822">
                  <c:v>51805</c:v>
                </c:pt>
                <c:pt idx="1823">
                  <c:v>51812</c:v>
                </c:pt>
                <c:pt idx="1824">
                  <c:v>51819</c:v>
                </c:pt>
                <c:pt idx="1825">
                  <c:v>51826</c:v>
                </c:pt>
                <c:pt idx="1826">
                  <c:v>51833</c:v>
                </c:pt>
                <c:pt idx="1827">
                  <c:v>51840</c:v>
                </c:pt>
                <c:pt idx="1828">
                  <c:v>51847</c:v>
                </c:pt>
                <c:pt idx="1829">
                  <c:v>51854</c:v>
                </c:pt>
                <c:pt idx="1830">
                  <c:v>51862</c:v>
                </c:pt>
                <c:pt idx="1831">
                  <c:v>51869</c:v>
                </c:pt>
                <c:pt idx="1832">
                  <c:v>51876</c:v>
                </c:pt>
                <c:pt idx="1833">
                  <c:v>51883</c:v>
                </c:pt>
                <c:pt idx="1834">
                  <c:v>51890</c:v>
                </c:pt>
                <c:pt idx="1835">
                  <c:v>51897</c:v>
                </c:pt>
                <c:pt idx="1836">
                  <c:v>51904</c:v>
                </c:pt>
                <c:pt idx="1837">
                  <c:v>51911</c:v>
                </c:pt>
                <c:pt idx="1838">
                  <c:v>51918</c:v>
                </c:pt>
                <c:pt idx="1839">
                  <c:v>51925</c:v>
                </c:pt>
                <c:pt idx="1840">
                  <c:v>51932</c:v>
                </c:pt>
                <c:pt idx="1841">
                  <c:v>51939</c:v>
                </c:pt>
                <c:pt idx="1842">
                  <c:v>51946</c:v>
                </c:pt>
                <c:pt idx="1843">
                  <c:v>51953</c:v>
                </c:pt>
                <c:pt idx="1844">
                  <c:v>51964</c:v>
                </c:pt>
                <c:pt idx="1845">
                  <c:v>51971</c:v>
                </c:pt>
                <c:pt idx="1846">
                  <c:v>51978</c:v>
                </c:pt>
                <c:pt idx="1847">
                  <c:v>51985</c:v>
                </c:pt>
                <c:pt idx="1848">
                  <c:v>51992</c:v>
                </c:pt>
                <c:pt idx="1849">
                  <c:v>51999</c:v>
                </c:pt>
                <c:pt idx="1850">
                  <c:v>52006</c:v>
                </c:pt>
                <c:pt idx="1851">
                  <c:v>52013</c:v>
                </c:pt>
                <c:pt idx="1852">
                  <c:v>52020</c:v>
                </c:pt>
                <c:pt idx="1853">
                  <c:v>52027</c:v>
                </c:pt>
                <c:pt idx="1854">
                  <c:v>52034</c:v>
                </c:pt>
                <c:pt idx="1855">
                  <c:v>52041</c:v>
                </c:pt>
                <c:pt idx="1856">
                  <c:v>52049</c:v>
                </c:pt>
                <c:pt idx="1857">
                  <c:v>52056</c:v>
                </c:pt>
                <c:pt idx="1858">
                  <c:v>52063</c:v>
                </c:pt>
                <c:pt idx="1859">
                  <c:v>52070</c:v>
                </c:pt>
                <c:pt idx="1860">
                  <c:v>52077</c:v>
                </c:pt>
                <c:pt idx="1861">
                  <c:v>52084</c:v>
                </c:pt>
                <c:pt idx="1862">
                  <c:v>52091</c:v>
                </c:pt>
                <c:pt idx="1863">
                  <c:v>52098</c:v>
                </c:pt>
                <c:pt idx="1864">
                  <c:v>52105</c:v>
                </c:pt>
                <c:pt idx="1865">
                  <c:v>52112</c:v>
                </c:pt>
                <c:pt idx="1866">
                  <c:v>52119</c:v>
                </c:pt>
                <c:pt idx="1867">
                  <c:v>52126</c:v>
                </c:pt>
                <c:pt idx="1868">
                  <c:v>52133</c:v>
                </c:pt>
                <c:pt idx="1869">
                  <c:v>52141</c:v>
                </c:pt>
                <c:pt idx="1870">
                  <c:v>52148</c:v>
                </c:pt>
                <c:pt idx="1871">
                  <c:v>52155</c:v>
                </c:pt>
                <c:pt idx="1872">
                  <c:v>52162</c:v>
                </c:pt>
                <c:pt idx="1873">
                  <c:v>52169</c:v>
                </c:pt>
                <c:pt idx="1874">
                  <c:v>52176</c:v>
                </c:pt>
                <c:pt idx="1875">
                  <c:v>52183</c:v>
                </c:pt>
                <c:pt idx="1876">
                  <c:v>52190</c:v>
                </c:pt>
                <c:pt idx="1877">
                  <c:v>52197</c:v>
                </c:pt>
                <c:pt idx="1878">
                  <c:v>52204</c:v>
                </c:pt>
                <c:pt idx="1879">
                  <c:v>52211</c:v>
                </c:pt>
                <c:pt idx="1880">
                  <c:v>52218</c:v>
                </c:pt>
                <c:pt idx="1881">
                  <c:v>52229</c:v>
                </c:pt>
                <c:pt idx="1882">
                  <c:v>52236</c:v>
                </c:pt>
                <c:pt idx="1883">
                  <c:v>52243</c:v>
                </c:pt>
                <c:pt idx="1884">
                  <c:v>52250</c:v>
                </c:pt>
                <c:pt idx="1885">
                  <c:v>52257</c:v>
                </c:pt>
                <c:pt idx="1886">
                  <c:v>52264</c:v>
                </c:pt>
                <c:pt idx="1887">
                  <c:v>52271</c:v>
                </c:pt>
                <c:pt idx="1888">
                  <c:v>52278</c:v>
                </c:pt>
                <c:pt idx="1889">
                  <c:v>52285</c:v>
                </c:pt>
                <c:pt idx="1890">
                  <c:v>52292</c:v>
                </c:pt>
                <c:pt idx="1891">
                  <c:v>52299</c:v>
                </c:pt>
                <c:pt idx="1892">
                  <c:v>52306</c:v>
                </c:pt>
                <c:pt idx="1893">
                  <c:v>52313</c:v>
                </c:pt>
                <c:pt idx="1894">
                  <c:v>52321</c:v>
                </c:pt>
                <c:pt idx="1895">
                  <c:v>52328</c:v>
                </c:pt>
                <c:pt idx="1896">
                  <c:v>52335</c:v>
                </c:pt>
                <c:pt idx="1897">
                  <c:v>52342</c:v>
                </c:pt>
                <c:pt idx="1898">
                  <c:v>52349</c:v>
                </c:pt>
                <c:pt idx="1899">
                  <c:v>52356</c:v>
                </c:pt>
                <c:pt idx="1900">
                  <c:v>52363</c:v>
                </c:pt>
                <c:pt idx="1901">
                  <c:v>52370</c:v>
                </c:pt>
                <c:pt idx="1902">
                  <c:v>52377</c:v>
                </c:pt>
                <c:pt idx="1903">
                  <c:v>52384</c:v>
                </c:pt>
                <c:pt idx="1904">
                  <c:v>52391</c:v>
                </c:pt>
                <c:pt idx="1905">
                  <c:v>52398</c:v>
                </c:pt>
                <c:pt idx="1906">
                  <c:v>52405</c:v>
                </c:pt>
                <c:pt idx="1907">
                  <c:v>52412</c:v>
                </c:pt>
                <c:pt idx="1908">
                  <c:v>52419</c:v>
                </c:pt>
                <c:pt idx="1909">
                  <c:v>52426</c:v>
                </c:pt>
                <c:pt idx="1910">
                  <c:v>52433</c:v>
                </c:pt>
                <c:pt idx="1911">
                  <c:v>52440</c:v>
                </c:pt>
                <c:pt idx="1912">
                  <c:v>52447</c:v>
                </c:pt>
                <c:pt idx="1913">
                  <c:v>52454</c:v>
                </c:pt>
                <c:pt idx="1914">
                  <c:v>52461</c:v>
                </c:pt>
                <c:pt idx="1915">
                  <c:v>52468</c:v>
                </c:pt>
                <c:pt idx="1916">
                  <c:v>52475</c:v>
                </c:pt>
                <c:pt idx="1917">
                  <c:v>52482</c:v>
                </c:pt>
                <c:pt idx="1918">
                  <c:v>52489</c:v>
                </c:pt>
                <c:pt idx="1919">
                  <c:v>52496</c:v>
                </c:pt>
                <c:pt idx="1920">
                  <c:v>52503</c:v>
                </c:pt>
                <c:pt idx="1921">
                  <c:v>52510</c:v>
                </c:pt>
                <c:pt idx="1922">
                  <c:v>52517</c:v>
                </c:pt>
                <c:pt idx="1923">
                  <c:v>52524</c:v>
                </c:pt>
                <c:pt idx="1924">
                  <c:v>52531</c:v>
                </c:pt>
                <c:pt idx="1925">
                  <c:v>52538</c:v>
                </c:pt>
                <c:pt idx="1926">
                  <c:v>52545</c:v>
                </c:pt>
                <c:pt idx="1927">
                  <c:v>52552</c:v>
                </c:pt>
                <c:pt idx="1928">
                  <c:v>52559</c:v>
                </c:pt>
                <c:pt idx="1929">
                  <c:v>52566</c:v>
                </c:pt>
                <c:pt idx="1930">
                  <c:v>52573</c:v>
                </c:pt>
                <c:pt idx="1931">
                  <c:v>52580</c:v>
                </c:pt>
                <c:pt idx="1932">
                  <c:v>52587</c:v>
                </c:pt>
                <c:pt idx="1933">
                  <c:v>52594</c:v>
                </c:pt>
                <c:pt idx="1934">
                  <c:v>52601</c:v>
                </c:pt>
                <c:pt idx="1935">
                  <c:v>52608</c:v>
                </c:pt>
                <c:pt idx="1936">
                  <c:v>52615</c:v>
                </c:pt>
                <c:pt idx="1937">
                  <c:v>52622</c:v>
                </c:pt>
                <c:pt idx="1938">
                  <c:v>52629</c:v>
                </c:pt>
                <c:pt idx="1939">
                  <c:v>52636</c:v>
                </c:pt>
                <c:pt idx="1940">
                  <c:v>52643</c:v>
                </c:pt>
                <c:pt idx="1941">
                  <c:v>52650</c:v>
                </c:pt>
                <c:pt idx="1942">
                  <c:v>52657</c:v>
                </c:pt>
                <c:pt idx="1943">
                  <c:v>52664</c:v>
                </c:pt>
                <c:pt idx="1944">
                  <c:v>52671</c:v>
                </c:pt>
                <c:pt idx="1945">
                  <c:v>52678</c:v>
                </c:pt>
                <c:pt idx="1946">
                  <c:v>52685</c:v>
                </c:pt>
                <c:pt idx="1947">
                  <c:v>52692</c:v>
                </c:pt>
                <c:pt idx="1948">
                  <c:v>52699</c:v>
                </c:pt>
                <c:pt idx="1949">
                  <c:v>52706</c:v>
                </c:pt>
                <c:pt idx="1950">
                  <c:v>52713</c:v>
                </c:pt>
                <c:pt idx="1951">
                  <c:v>52720</c:v>
                </c:pt>
                <c:pt idx="1952">
                  <c:v>52727</c:v>
                </c:pt>
                <c:pt idx="1953">
                  <c:v>52734</c:v>
                </c:pt>
                <c:pt idx="1954">
                  <c:v>52741</c:v>
                </c:pt>
                <c:pt idx="1955">
                  <c:v>52748</c:v>
                </c:pt>
                <c:pt idx="1956">
                  <c:v>52755</c:v>
                </c:pt>
                <c:pt idx="1957">
                  <c:v>52762</c:v>
                </c:pt>
                <c:pt idx="1958">
                  <c:v>52769</c:v>
                </c:pt>
                <c:pt idx="1959">
                  <c:v>52776</c:v>
                </c:pt>
                <c:pt idx="1960">
                  <c:v>52783</c:v>
                </c:pt>
                <c:pt idx="1961">
                  <c:v>52790</c:v>
                </c:pt>
                <c:pt idx="1962">
                  <c:v>52797</c:v>
                </c:pt>
                <c:pt idx="1963">
                  <c:v>52804</c:v>
                </c:pt>
                <c:pt idx="1964">
                  <c:v>52811</c:v>
                </c:pt>
                <c:pt idx="1965">
                  <c:v>52818</c:v>
                </c:pt>
                <c:pt idx="1966">
                  <c:v>52825</c:v>
                </c:pt>
                <c:pt idx="1967">
                  <c:v>52832</c:v>
                </c:pt>
                <c:pt idx="1968">
                  <c:v>52839</c:v>
                </c:pt>
                <c:pt idx="1969">
                  <c:v>52846</c:v>
                </c:pt>
                <c:pt idx="1970">
                  <c:v>52853</c:v>
                </c:pt>
                <c:pt idx="1971">
                  <c:v>52860</c:v>
                </c:pt>
                <c:pt idx="1972">
                  <c:v>52867</c:v>
                </c:pt>
                <c:pt idx="1973">
                  <c:v>52874</c:v>
                </c:pt>
                <c:pt idx="1974">
                  <c:v>52881</c:v>
                </c:pt>
                <c:pt idx="1975">
                  <c:v>52888</c:v>
                </c:pt>
                <c:pt idx="1976">
                  <c:v>52895</c:v>
                </c:pt>
                <c:pt idx="1977">
                  <c:v>52902</c:v>
                </c:pt>
                <c:pt idx="1978">
                  <c:v>52909</c:v>
                </c:pt>
                <c:pt idx="1979">
                  <c:v>52916</c:v>
                </c:pt>
                <c:pt idx="1980">
                  <c:v>52923</c:v>
                </c:pt>
                <c:pt idx="1981">
                  <c:v>52930</c:v>
                </c:pt>
                <c:pt idx="1982">
                  <c:v>52937</c:v>
                </c:pt>
                <c:pt idx="1983">
                  <c:v>52944</c:v>
                </c:pt>
                <c:pt idx="1984">
                  <c:v>52951</c:v>
                </c:pt>
                <c:pt idx="1985">
                  <c:v>52958</c:v>
                </c:pt>
                <c:pt idx="1986">
                  <c:v>52965</c:v>
                </c:pt>
                <c:pt idx="1987">
                  <c:v>52972</c:v>
                </c:pt>
                <c:pt idx="1988">
                  <c:v>52979</c:v>
                </c:pt>
                <c:pt idx="1989">
                  <c:v>52986</c:v>
                </c:pt>
                <c:pt idx="1990">
                  <c:v>52993</c:v>
                </c:pt>
                <c:pt idx="1991">
                  <c:v>53000</c:v>
                </c:pt>
                <c:pt idx="1992">
                  <c:v>53007</c:v>
                </c:pt>
                <c:pt idx="1993">
                  <c:v>53014</c:v>
                </c:pt>
                <c:pt idx="1994">
                  <c:v>53021</c:v>
                </c:pt>
                <c:pt idx="1995">
                  <c:v>53028</c:v>
                </c:pt>
                <c:pt idx="1996">
                  <c:v>53035</c:v>
                </c:pt>
                <c:pt idx="1997">
                  <c:v>53042</c:v>
                </c:pt>
                <c:pt idx="1998">
                  <c:v>53049</c:v>
                </c:pt>
                <c:pt idx="1999">
                  <c:v>53056</c:v>
                </c:pt>
                <c:pt idx="2000">
                  <c:v>53063</c:v>
                </c:pt>
                <c:pt idx="2001">
                  <c:v>53070</c:v>
                </c:pt>
                <c:pt idx="2002">
                  <c:v>53077</c:v>
                </c:pt>
                <c:pt idx="2003">
                  <c:v>53084</c:v>
                </c:pt>
                <c:pt idx="2004">
                  <c:v>53091</c:v>
                </c:pt>
                <c:pt idx="2005">
                  <c:v>53098</c:v>
                </c:pt>
                <c:pt idx="2006">
                  <c:v>53105</c:v>
                </c:pt>
                <c:pt idx="2007">
                  <c:v>53112</c:v>
                </c:pt>
                <c:pt idx="2008">
                  <c:v>53119</c:v>
                </c:pt>
                <c:pt idx="2009">
                  <c:v>53126</c:v>
                </c:pt>
                <c:pt idx="2010">
                  <c:v>53133</c:v>
                </c:pt>
                <c:pt idx="2011">
                  <c:v>53140</c:v>
                </c:pt>
                <c:pt idx="2012">
                  <c:v>53147</c:v>
                </c:pt>
                <c:pt idx="2013">
                  <c:v>53154</c:v>
                </c:pt>
                <c:pt idx="2014">
                  <c:v>53161</c:v>
                </c:pt>
                <c:pt idx="2015">
                  <c:v>53168</c:v>
                </c:pt>
                <c:pt idx="2016">
                  <c:v>53175</c:v>
                </c:pt>
                <c:pt idx="2017">
                  <c:v>53182</c:v>
                </c:pt>
                <c:pt idx="2018">
                  <c:v>53189</c:v>
                </c:pt>
                <c:pt idx="2019">
                  <c:v>53196</c:v>
                </c:pt>
                <c:pt idx="2020">
                  <c:v>53203</c:v>
                </c:pt>
                <c:pt idx="2021">
                  <c:v>53210</c:v>
                </c:pt>
                <c:pt idx="2022">
                  <c:v>53217</c:v>
                </c:pt>
                <c:pt idx="2023">
                  <c:v>53224</c:v>
                </c:pt>
                <c:pt idx="2024">
                  <c:v>53231</c:v>
                </c:pt>
                <c:pt idx="2025">
                  <c:v>53238</c:v>
                </c:pt>
                <c:pt idx="2026">
                  <c:v>53245</c:v>
                </c:pt>
                <c:pt idx="2027">
                  <c:v>53252</c:v>
                </c:pt>
                <c:pt idx="2028">
                  <c:v>53259</c:v>
                </c:pt>
                <c:pt idx="2029">
                  <c:v>53266</c:v>
                </c:pt>
                <c:pt idx="2030">
                  <c:v>53273</c:v>
                </c:pt>
                <c:pt idx="2031">
                  <c:v>53280</c:v>
                </c:pt>
                <c:pt idx="2032">
                  <c:v>53287</c:v>
                </c:pt>
                <c:pt idx="2033">
                  <c:v>53294</c:v>
                </c:pt>
                <c:pt idx="2034">
                  <c:v>53301</c:v>
                </c:pt>
                <c:pt idx="2035">
                  <c:v>53308</c:v>
                </c:pt>
                <c:pt idx="2036">
                  <c:v>53315</c:v>
                </c:pt>
                <c:pt idx="2037">
                  <c:v>53323</c:v>
                </c:pt>
                <c:pt idx="2038">
                  <c:v>53330</c:v>
                </c:pt>
                <c:pt idx="2039">
                  <c:v>53337</c:v>
                </c:pt>
                <c:pt idx="2040">
                  <c:v>53344</c:v>
                </c:pt>
                <c:pt idx="2041">
                  <c:v>53351</c:v>
                </c:pt>
                <c:pt idx="2042">
                  <c:v>53358</c:v>
                </c:pt>
                <c:pt idx="2043">
                  <c:v>53365</c:v>
                </c:pt>
                <c:pt idx="2044">
                  <c:v>53372</c:v>
                </c:pt>
                <c:pt idx="2045">
                  <c:v>53379</c:v>
                </c:pt>
                <c:pt idx="2046">
                  <c:v>53386</c:v>
                </c:pt>
                <c:pt idx="2047">
                  <c:v>53393</c:v>
                </c:pt>
                <c:pt idx="2048">
                  <c:v>53400</c:v>
                </c:pt>
                <c:pt idx="2049">
                  <c:v>53407</c:v>
                </c:pt>
                <c:pt idx="2050">
                  <c:v>53414</c:v>
                </c:pt>
                <c:pt idx="2051">
                  <c:v>53421</c:v>
                </c:pt>
                <c:pt idx="2052">
                  <c:v>53428</c:v>
                </c:pt>
                <c:pt idx="2053">
                  <c:v>53435</c:v>
                </c:pt>
                <c:pt idx="2054">
                  <c:v>53442</c:v>
                </c:pt>
                <c:pt idx="2055">
                  <c:v>53449</c:v>
                </c:pt>
                <c:pt idx="2056">
                  <c:v>53456</c:v>
                </c:pt>
                <c:pt idx="2057">
                  <c:v>53463</c:v>
                </c:pt>
                <c:pt idx="2058">
                  <c:v>53470</c:v>
                </c:pt>
                <c:pt idx="2059">
                  <c:v>53477</c:v>
                </c:pt>
                <c:pt idx="2060">
                  <c:v>53484</c:v>
                </c:pt>
                <c:pt idx="2061">
                  <c:v>53491</c:v>
                </c:pt>
                <c:pt idx="2062">
                  <c:v>53498</c:v>
                </c:pt>
                <c:pt idx="2063">
                  <c:v>53505</c:v>
                </c:pt>
                <c:pt idx="2064">
                  <c:v>53512</c:v>
                </c:pt>
                <c:pt idx="2065">
                  <c:v>53519</c:v>
                </c:pt>
                <c:pt idx="2066">
                  <c:v>53526</c:v>
                </c:pt>
                <c:pt idx="2067">
                  <c:v>53533</c:v>
                </c:pt>
                <c:pt idx="2068">
                  <c:v>53540</c:v>
                </c:pt>
                <c:pt idx="2069">
                  <c:v>53547</c:v>
                </c:pt>
                <c:pt idx="2070">
                  <c:v>53554</c:v>
                </c:pt>
                <c:pt idx="2071">
                  <c:v>53561</c:v>
                </c:pt>
                <c:pt idx="2072">
                  <c:v>53568</c:v>
                </c:pt>
                <c:pt idx="2073">
                  <c:v>53575</c:v>
                </c:pt>
                <c:pt idx="2074">
                  <c:v>53582</c:v>
                </c:pt>
                <c:pt idx="2075">
                  <c:v>53589</c:v>
                </c:pt>
                <c:pt idx="2076">
                  <c:v>53596</c:v>
                </c:pt>
                <c:pt idx="2077">
                  <c:v>53603</c:v>
                </c:pt>
                <c:pt idx="2078">
                  <c:v>53610</c:v>
                </c:pt>
                <c:pt idx="2079">
                  <c:v>53617</c:v>
                </c:pt>
                <c:pt idx="2080">
                  <c:v>53624</c:v>
                </c:pt>
                <c:pt idx="2081">
                  <c:v>53631</c:v>
                </c:pt>
                <c:pt idx="2082">
                  <c:v>53638</c:v>
                </c:pt>
                <c:pt idx="2083">
                  <c:v>53645</c:v>
                </c:pt>
                <c:pt idx="2084">
                  <c:v>53652</c:v>
                </c:pt>
                <c:pt idx="2085">
                  <c:v>53659</c:v>
                </c:pt>
                <c:pt idx="2086">
                  <c:v>53666</c:v>
                </c:pt>
                <c:pt idx="2087">
                  <c:v>53673</c:v>
                </c:pt>
                <c:pt idx="2088">
                  <c:v>53680</c:v>
                </c:pt>
                <c:pt idx="2089">
                  <c:v>53688</c:v>
                </c:pt>
                <c:pt idx="2090">
                  <c:v>53695</c:v>
                </c:pt>
                <c:pt idx="2091">
                  <c:v>53702</c:v>
                </c:pt>
                <c:pt idx="2092">
                  <c:v>53709</c:v>
                </c:pt>
                <c:pt idx="2093">
                  <c:v>53716</c:v>
                </c:pt>
                <c:pt idx="2094">
                  <c:v>53723</c:v>
                </c:pt>
                <c:pt idx="2095">
                  <c:v>53730</c:v>
                </c:pt>
                <c:pt idx="2096">
                  <c:v>53737</c:v>
                </c:pt>
                <c:pt idx="2097">
                  <c:v>53744</c:v>
                </c:pt>
                <c:pt idx="2098">
                  <c:v>53751</c:v>
                </c:pt>
                <c:pt idx="2099">
                  <c:v>53758</c:v>
                </c:pt>
                <c:pt idx="2100">
                  <c:v>53765</c:v>
                </c:pt>
                <c:pt idx="2101">
                  <c:v>53772</c:v>
                </c:pt>
                <c:pt idx="2102">
                  <c:v>53779</c:v>
                </c:pt>
                <c:pt idx="2103">
                  <c:v>53786</c:v>
                </c:pt>
                <c:pt idx="2104">
                  <c:v>53793</c:v>
                </c:pt>
                <c:pt idx="2105">
                  <c:v>53800</c:v>
                </c:pt>
                <c:pt idx="2106">
                  <c:v>53807</c:v>
                </c:pt>
                <c:pt idx="2107">
                  <c:v>53814</c:v>
                </c:pt>
                <c:pt idx="2108">
                  <c:v>53821</c:v>
                </c:pt>
                <c:pt idx="2109">
                  <c:v>53828</c:v>
                </c:pt>
                <c:pt idx="2110">
                  <c:v>53835</c:v>
                </c:pt>
                <c:pt idx="2111">
                  <c:v>53842</c:v>
                </c:pt>
                <c:pt idx="2112">
                  <c:v>53849</c:v>
                </c:pt>
                <c:pt idx="2113">
                  <c:v>53856</c:v>
                </c:pt>
                <c:pt idx="2114">
                  <c:v>53863</c:v>
                </c:pt>
                <c:pt idx="2115">
                  <c:v>53870</c:v>
                </c:pt>
                <c:pt idx="2116">
                  <c:v>53877</c:v>
                </c:pt>
                <c:pt idx="2117">
                  <c:v>53884</c:v>
                </c:pt>
                <c:pt idx="2118">
                  <c:v>53891</c:v>
                </c:pt>
                <c:pt idx="2119">
                  <c:v>53898</c:v>
                </c:pt>
                <c:pt idx="2120">
                  <c:v>53905</c:v>
                </c:pt>
                <c:pt idx="2121">
                  <c:v>53912</c:v>
                </c:pt>
                <c:pt idx="2122">
                  <c:v>53919</c:v>
                </c:pt>
                <c:pt idx="2123">
                  <c:v>53926</c:v>
                </c:pt>
                <c:pt idx="2124">
                  <c:v>53933</c:v>
                </c:pt>
                <c:pt idx="2125">
                  <c:v>53940</c:v>
                </c:pt>
                <c:pt idx="2126">
                  <c:v>53947</c:v>
                </c:pt>
                <c:pt idx="2127">
                  <c:v>53954</c:v>
                </c:pt>
                <c:pt idx="2128">
                  <c:v>53961</c:v>
                </c:pt>
                <c:pt idx="2129">
                  <c:v>53968</c:v>
                </c:pt>
                <c:pt idx="2130">
                  <c:v>53975</c:v>
                </c:pt>
                <c:pt idx="2131">
                  <c:v>53982</c:v>
                </c:pt>
                <c:pt idx="2132">
                  <c:v>53989</c:v>
                </c:pt>
                <c:pt idx="2133">
                  <c:v>53996</c:v>
                </c:pt>
                <c:pt idx="2134">
                  <c:v>54003</c:v>
                </c:pt>
                <c:pt idx="2135">
                  <c:v>54010</c:v>
                </c:pt>
                <c:pt idx="2136">
                  <c:v>54017</c:v>
                </c:pt>
                <c:pt idx="2137">
                  <c:v>54024</c:v>
                </c:pt>
                <c:pt idx="2138">
                  <c:v>54031</c:v>
                </c:pt>
                <c:pt idx="2139">
                  <c:v>54038</c:v>
                </c:pt>
                <c:pt idx="2140">
                  <c:v>54045</c:v>
                </c:pt>
                <c:pt idx="2141">
                  <c:v>54053</c:v>
                </c:pt>
                <c:pt idx="2142">
                  <c:v>54060</c:v>
                </c:pt>
                <c:pt idx="2143">
                  <c:v>54067</c:v>
                </c:pt>
                <c:pt idx="2144">
                  <c:v>54074</c:v>
                </c:pt>
                <c:pt idx="2145">
                  <c:v>54081</c:v>
                </c:pt>
                <c:pt idx="2146">
                  <c:v>54088</c:v>
                </c:pt>
                <c:pt idx="2147">
                  <c:v>54095</c:v>
                </c:pt>
                <c:pt idx="2148">
                  <c:v>54102</c:v>
                </c:pt>
                <c:pt idx="2149">
                  <c:v>54109</c:v>
                </c:pt>
                <c:pt idx="2150">
                  <c:v>54116</c:v>
                </c:pt>
                <c:pt idx="2151">
                  <c:v>54123</c:v>
                </c:pt>
                <c:pt idx="2152">
                  <c:v>54130</c:v>
                </c:pt>
                <c:pt idx="2153">
                  <c:v>54137</c:v>
                </c:pt>
                <c:pt idx="2154">
                  <c:v>54144</c:v>
                </c:pt>
                <c:pt idx="2155">
                  <c:v>54155</c:v>
                </c:pt>
                <c:pt idx="2156">
                  <c:v>54162</c:v>
                </c:pt>
                <c:pt idx="2157">
                  <c:v>54169</c:v>
                </c:pt>
                <c:pt idx="2158">
                  <c:v>54176</c:v>
                </c:pt>
                <c:pt idx="2159">
                  <c:v>54183</c:v>
                </c:pt>
                <c:pt idx="2160">
                  <c:v>54190</c:v>
                </c:pt>
                <c:pt idx="2161">
                  <c:v>54197</c:v>
                </c:pt>
                <c:pt idx="2162">
                  <c:v>54204</c:v>
                </c:pt>
                <c:pt idx="2163">
                  <c:v>54211</c:v>
                </c:pt>
                <c:pt idx="2164">
                  <c:v>54218</c:v>
                </c:pt>
                <c:pt idx="2165">
                  <c:v>54225</c:v>
                </c:pt>
                <c:pt idx="2166">
                  <c:v>54232</c:v>
                </c:pt>
                <c:pt idx="2167">
                  <c:v>54239</c:v>
                </c:pt>
                <c:pt idx="2168">
                  <c:v>54246</c:v>
                </c:pt>
                <c:pt idx="2169">
                  <c:v>54253</c:v>
                </c:pt>
                <c:pt idx="2170">
                  <c:v>54260</c:v>
                </c:pt>
                <c:pt idx="2171">
                  <c:v>54267</c:v>
                </c:pt>
                <c:pt idx="2172">
                  <c:v>54274</c:v>
                </c:pt>
                <c:pt idx="2173">
                  <c:v>54281</c:v>
                </c:pt>
                <c:pt idx="2174">
                  <c:v>54288</c:v>
                </c:pt>
                <c:pt idx="2175">
                  <c:v>54295</c:v>
                </c:pt>
                <c:pt idx="2176">
                  <c:v>54302</c:v>
                </c:pt>
                <c:pt idx="2177">
                  <c:v>54309</c:v>
                </c:pt>
                <c:pt idx="2178">
                  <c:v>54316</c:v>
                </c:pt>
                <c:pt idx="2179">
                  <c:v>54323</c:v>
                </c:pt>
                <c:pt idx="2180">
                  <c:v>54330</c:v>
                </c:pt>
                <c:pt idx="2181">
                  <c:v>54337</c:v>
                </c:pt>
                <c:pt idx="2182">
                  <c:v>54344</c:v>
                </c:pt>
                <c:pt idx="2183">
                  <c:v>54351</c:v>
                </c:pt>
                <c:pt idx="2184">
                  <c:v>54358</c:v>
                </c:pt>
                <c:pt idx="2185">
                  <c:v>54365</c:v>
                </c:pt>
                <c:pt idx="2186">
                  <c:v>54372</c:v>
                </c:pt>
                <c:pt idx="2187">
                  <c:v>54379</c:v>
                </c:pt>
                <c:pt idx="2188">
                  <c:v>54386</c:v>
                </c:pt>
                <c:pt idx="2189">
                  <c:v>54393</c:v>
                </c:pt>
                <c:pt idx="2190">
                  <c:v>54400</c:v>
                </c:pt>
                <c:pt idx="2191">
                  <c:v>54407</c:v>
                </c:pt>
                <c:pt idx="2192">
                  <c:v>54414</c:v>
                </c:pt>
                <c:pt idx="2193">
                  <c:v>54421</c:v>
                </c:pt>
                <c:pt idx="2194">
                  <c:v>54428</c:v>
                </c:pt>
                <c:pt idx="2195">
                  <c:v>54435</c:v>
                </c:pt>
                <c:pt idx="2196">
                  <c:v>54442</c:v>
                </c:pt>
                <c:pt idx="2197">
                  <c:v>54449</c:v>
                </c:pt>
                <c:pt idx="2198">
                  <c:v>54456</c:v>
                </c:pt>
                <c:pt idx="2199">
                  <c:v>54463</c:v>
                </c:pt>
                <c:pt idx="2200">
                  <c:v>54470</c:v>
                </c:pt>
                <c:pt idx="2201">
                  <c:v>54477</c:v>
                </c:pt>
                <c:pt idx="2202">
                  <c:v>54484</c:v>
                </c:pt>
                <c:pt idx="2203">
                  <c:v>54491</c:v>
                </c:pt>
                <c:pt idx="2204">
                  <c:v>54498</c:v>
                </c:pt>
                <c:pt idx="2205">
                  <c:v>54505</c:v>
                </c:pt>
                <c:pt idx="2206">
                  <c:v>54512</c:v>
                </c:pt>
                <c:pt idx="2207">
                  <c:v>54519</c:v>
                </c:pt>
                <c:pt idx="2208">
                  <c:v>54526</c:v>
                </c:pt>
                <c:pt idx="2209">
                  <c:v>54533</c:v>
                </c:pt>
                <c:pt idx="2210">
                  <c:v>54540</c:v>
                </c:pt>
                <c:pt idx="2211">
                  <c:v>54547</c:v>
                </c:pt>
                <c:pt idx="2212">
                  <c:v>54554</c:v>
                </c:pt>
                <c:pt idx="2213">
                  <c:v>54561</c:v>
                </c:pt>
                <c:pt idx="2214">
                  <c:v>54568</c:v>
                </c:pt>
                <c:pt idx="2215">
                  <c:v>54575</c:v>
                </c:pt>
                <c:pt idx="2216">
                  <c:v>54582</c:v>
                </c:pt>
                <c:pt idx="2217">
                  <c:v>54589</c:v>
                </c:pt>
                <c:pt idx="2218">
                  <c:v>54596</c:v>
                </c:pt>
                <c:pt idx="2219">
                  <c:v>54603</c:v>
                </c:pt>
                <c:pt idx="2220">
                  <c:v>54610</c:v>
                </c:pt>
                <c:pt idx="2221">
                  <c:v>54617</c:v>
                </c:pt>
                <c:pt idx="2222">
                  <c:v>54624</c:v>
                </c:pt>
                <c:pt idx="2223">
                  <c:v>54631</c:v>
                </c:pt>
                <c:pt idx="2224">
                  <c:v>54638</c:v>
                </c:pt>
                <c:pt idx="2225">
                  <c:v>54645</c:v>
                </c:pt>
                <c:pt idx="2226">
                  <c:v>54652</c:v>
                </c:pt>
                <c:pt idx="2227">
                  <c:v>54659</c:v>
                </c:pt>
                <c:pt idx="2228">
                  <c:v>54666</c:v>
                </c:pt>
                <c:pt idx="2229">
                  <c:v>54673</c:v>
                </c:pt>
                <c:pt idx="2230">
                  <c:v>54680</c:v>
                </c:pt>
                <c:pt idx="2231">
                  <c:v>54687</c:v>
                </c:pt>
                <c:pt idx="2232">
                  <c:v>54694</c:v>
                </c:pt>
                <c:pt idx="2233">
                  <c:v>54701</c:v>
                </c:pt>
                <c:pt idx="2234">
                  <c:v>54708</c:v>
                </c:pt>
                <c:pt idx="2235">
                  <c:v>54715</c:v>
                </c:pt>
                <c:pt idx="2236">
                  <c:v>54722</c:v>
                </c:pt>
                <c:pt idx="2237">
                  <c:v>54729</c:v>
                </c:pt>
                <c:pt idx="2238">
                  <c:v>54736</c:v>
                </c:pt>
                <c:pt idx="2239">
                  <c:v>54743</c:v>
                </c:pt>
                <c:pt idx="2240">
                  <c:v>54750</c:v>
                </c:pt>
                <c:pt idx="2241">
                  <c:v>54757</c:v>
                </c:pt>
                <c:pt idx="2242">
                  <c:v>54764</c:v>
                </c:pt>
                <c:pt idx="2243">
                  <c:v>54771</c:v>
                </c:pt>
                <c:pt idx="2244">
                  <c:v>54778</c:v>
                </c:pt>
                <c:pt idx="2245">
                  <c:v>54785</c:v>
                </c:pt>
                <c:pt idx="2246">
                  <c:v>54792</c:v>
                </c:pt>
                <c:pt idx="2247">
                  <c:v>54799</c:v>
                </c:pt>
                <c:pt idx="2248">
                  <c:v>54806</c:v>
                </c:pt>
                <c:pt idx="2249">
                  <c:v>54813</c:v>
                </c:pt>
                <c:pt idx="2250">
                  <c:v>54820</c:v>
                </c:pt>
                <c:pt idx="2251">
                  <c:v>54827</c:v>
                </c:pt>
                <c:pt idx="2252">
                  <c:v>54834</c:v>
                </c:pt>
                <c:pt idx="2253">
                  <c:v>54841</c:v>
                </c:pt>
                <c:pt idx="2254">
                  <c:v>54848</c:v>
                </c:pt>
                <c:pt idx="2255">
                  <c:v>54855</c:v>
                </c:pt>
                <c:pt idx="2256">
                  <c:v>54862</c:v>
                </c:pt>
                <c:pt idx="2257">
                  <c:v>54869</c:v>
                </c:pt>
                <c:pt idx="2258">
                  <c:v>54876</c:v>
                </c:pt>
                <c:pt idx="2259">
                  <c:v>54883</c:v>
                </c:pt>
                <c:pt idx="2260">
                  <c:v>54890</c:v>
                </c:pt>
                <c:pt idx="2261">
                  <c:v>54897</c:v>
                </c:pt>
                <c:pt idx="2262">
                  <c:v>54904</c:v>
                </c:pt>
                <c:pt idx="2263">
                  <c:v>54911</c:v>
                </c:pt>
                <c:pt idx="2264">
                  <c:v>54918</c:v>
                </c:pt>
                <c:pt idx="2265">
                  <c:v>54925</c:v>
                </c:pt>
                <c:pt idx="2266">
                  <c:v>54932</c:v>
                </c:pt>
                <c:pt idx="2267">
                  <c:v>54939</c:v>
                </c:pt>
                <c:pt idx="2268">
                  <c:v>54946</c:v>
                </c:pt>
                <c:pt idx="2269">
                  <c:v>54953</c:v>
                </c:pt>
                <c:pt idx="2270">
                  <c:v>54960</c:v>
                </c:pt>
                <c:pt idx="2271">
                  <c:v>54967</c:v>
                </c:pt>
                <c:pt idx="2272">
                  <c:v>54974</c:v>
                </c:pt>
                <c:pt idx="2273">
                  <c:v>54981</c:v>
                </c:pt>
                <c:pt idx="2274">
                  <c:v>54988</c:v>
                </c:pt>
                <c:pt idx="2275">
                  <c:v>54995</c:v>
                </c:pt>
                <c:pt idx="2276">
                  <c:v>55002</c:v>
                </c:pt>
                <c:pt idx="2277">
                  <c:v>55009</c:v>
                </c:pt>
                <c:pt idx="2278">
                  <c:v>55016</c:v>
                </c:pt>
                <c:pt idx="2279">
                  <c:v>55023</c:v>
                </c:pt>
                <c:pt idx="2280">
                  <c:v>55030</c:v>
                </c:pt>
                <c:pt idx="2281">
                  <c:v>55037</c:v>
                </c:pt>
                <c:pt idx="2282">
                  <c:v>55044</c:v>
                </c:pt>
                <c:pt idx="2283">
                  <c:v>55051</c:v>
                </c:pt>
                <c:pt idx="2284">
                  <c:v>55058</c:v>
                </c:pt>
                <c:pt idx="2285">
                  <c:v>55065</c:v>
                </c:pt>
                <c:pt idx="2286">
                  <c:v>55072</c:v>
                </c:pt>
                <c:pt idx="2287">
                  <c:v>55079</c:v>
                </c:pt>
                <c:pt idx="2288">
                  <c:v>55086</c:v>
                </c:pt>
                <c:pt idx="2289">
                  <c:v>55093</c:v>
                </c:pt>
                <c:pt idx="2290">
                  <c:v>55100</c:v>
                </c:pt>
                <c:pt idx="2291">
                  <c:v>55107</c:v>
                </c:pt>
                <c:pt idx="2292">
                  <c:v>55114</c:v>
                </c:pt>
                <c:pt idx="2293">
                  <c:v>55121</c:v>
                </c:pt>
                <c:pt idx="2294">
                  <c:v>55128</c:v>
                </c:pt>
                <c:pt idx="2295">
                  <c:v>55135</c:v>
                </c:pt>
                <c:pt idx="2296">
                  <c:v>55142</c:v>
                </c:pt>
                <c:pt idx="2297">
                  <c:v>55149</c:v>
                </c:pt>
                <c:pt idx="2298">
                  <c:v>55156</c:v>
                </c:pt>
                <c:pt idx="2299">
                  <c:v>55163</c:v>
                </c:pt>
                <c:pt idx="2300">
                  <c:v>55170</c:v>
                </c:pt>
                <c:pt idx="2301">
                  <c:v>55177</c:v>
                </c:pt>
                <c:pt idx="2302">
                  <c:v>55184</c:v>
                </c:pt>
                <c:pt idx="2303">
                  <c:v>55191</c:v>
                </c:pt>
                <c:pt idx="2304">
                  <c:v>55198</c:v>
                </c:pt>
                <c:pt idx="2305">
                  <c:v>55205</c:v>
                </c:pt>
                <c:pt idx="2306">
                  <c:v>55212</c:v>
                </c:pt>
                <c:pt idx="2307">
                  <c:v>55219</c:v>
                </c:pt>
                <c:pt idx="2308">
                  <c:v>55226</c:v>
                </c:pt>
                <c:pt idx="2309">
                  <c:v>55233</c:v>
                </c:pt>
                <c:pt idx="2310">
                  <c:v>55240</c:v>
                </c:pt>
                <c:pt idx="2311">
                  <c:v>55247</c:v>
                </c:pt>
                <c:pt idx="2312">
                  <c:v>55254</c:v>
                </c:pt>
                <c:pt idx="2313">
                  <c:v>55261</c:v>
                </c:pt>
                <c:pt idx="2314">
                  <c:v>55268</c:v>
                </c:pt>
                <c:pt idx="2315">
                  <c:v>55275</c:v>
                </c:pt>
                <c:pt idx="2316">
                  <c:v>55282</c:v>
                </c:pt>
                <c:pt idx="2317">
                  <c:v>55289</c:v>
                </c:pt>
                <c:pt idx="2318">
                  <c:v>55296</c:v>
                </c:pt>
                <c:pt idx="2319">
                  <c:v>55303</c:v>
                </c:pt>
                <c:pt idx="2320">
                  <c:v>55310</c:v>
                </c:pt>
                <c:pt idx="2321">
                  <c:v>55317</c:v>
                </c:pt>
                <c:pt idx="2322">
                  <c:v>55324</c:v>
                </c:pt>
                <c:pt idx="2323">
                  <c:v>55331</c:v>
                </c:pt>
                <c:pt idx="2324">
                  <c:v>55338</c:v>
                </c:pt>
                <c:pt idx="2325">
                  <c:v>55345</c:v>
                </c:pt>
                <c:pt idx="2326">
                  <c:v>55352</c:v>
                </c:pt>
                <c:pt idx="2327">
                  <c:v>55359</c:v>
                </c:pt>
                <c:pt idx="2328">
                  <c:v>55366</c:v>
                </c:pt>
                <c:pt idx="2329">
                  <c:v>55373</c:v>
                </c:pt>
                <c:pt idx="2330">
                  <c:v>55380</c:v>
                </c:pt>
                <c:pt idx="2331">
                  <c:v>55387</c:v>
                </c:pt>
                <c:pt idx="2332">
                  <c:v>55394</c:v>
                </c:pt>
                <c:pt idx="2333">
                  <c:v>55401</c:v>
                </c:pt>
                <c:pt idx="2334">
                  <c:v>55408</c:v>
                </c:pt>
                <c:pt idx="2335">
                  <c:v>55415</c:v>
                </c:pt>
                <c:pt idx="2336">
                  <c:v>55422</c:v>
                </c:pt>
                <c:pt idx="2337">
                  <c:v>55429</c:v>
                </c:pt>
                <c:pt idx="2338">
                  <c:v>55436</c:v>
                </c:pt>
                <c:pt idx="2339">
                  <c:v>55443</c:v>
                </c:pt>
                <c:pt idx="2340">
                  <c:v>55450</c:v>
                </c:pt>
                <c:pt idx="2341">
                  <c:v>55457</c:v>
                </c:pt>
                <c:pt idx="2342">
                  <c:v>55464</c:v>
                </c:pt>
                <c:pt idx="2343">
                  <c:v>55471</c:v>
                </c:pt>
                <c:pt idx="2344">
                  <c:v>55478</c:v>
                </c:pt>
                <c:pt idx="2345">
                  <c:v>55485</c:v>
                </c:pt>
                <c:pt idx="2346">
                  <c:v>55492</c:v>
                </c:pt>
                <c:pt idx="2347">
                  <c:v>55499</c:v>
                </c:pt>
                <c:pt idx="2348">
                  <c:v>55506</c:v>
                </c:pt>
                <c:pt idx="2349">
                  <c:v>55514</c:v>
                </c:pt>
                <c:pt idx="2350">
                  <c:v>55521</c:v>
                </c:pt>
                <c:pt idx="2351">
                  <c:v>55528</c:v>
                </c:pt>
                <c:pt idx="2352">
                  <c:v>55535</c:v>
                </c:pt>
                <c:pt idx="2353">
                  <c:v>55542</c:v>
                </c:pt>
                <c:pt idx="2354">
                  <c:v>55549</c:v>
                </c:pt>
                <c:pt idx="2355">
                  <c:v>55556</c:v>
                </c:pt>
                <c:pt idx="2356">
                  <c:v>55563</c:v>
                </c:pt>
                <c:pt idx="2357">
                  <c:v>55570</c:v>
                </c:pt>
                <c:pt idx="2358">
                  <c:v>55577</c:v>
                </c:pt>
                <c:pt idx="2359">
                  <c:v>55584</c:v>
                </c:pt>
                <c:pt idx="2360">
                  <c:v>55591</c:v>
                </c:pt>
                <c:pt idx="2361">
                  <c:v>55598</c:v>
                </c:pt>
                <c:pt idx="2362">
                  <c:v>55605</c:v>
                </c:pt>
                <c:pt idx="2363">
                  <c:v>55612</c:v>
                </c:pt>
                <c:pt idx="2364">
                  <c:v>55619</c:v>
                </c:pt>
                <c:pt idx="2365">
                  <c:v>55626</c:v>
                </c:pt>
                <c:pt idx="2366">
                  <c:v>55633</c:v>
                </c:pt>
                <c:pt idx="2367">
                  <c:v>55641</c:v>
                </c:pt>
                <c:pt idx="2368">
                  <c:v>55648</c:v>
                </c:pt>
                <c:pt idx="2369">
                  <c:v>55655</c:v>
                </c:pt>
                <c:pt idx="2370">
                  <c:v>55662</c:v>
                </c:pt>
                <c:pt idx="2371">
                  <c:v>55669</c:v>
                </c:pt>
                <c:pt idx="2372">
                  <c:v>55676</c:v>
                </c:pt>
                <c:pt idx="2373">
                  <c:v>55683</c:v>
                </c:pt>
                <c:pt idx="2374">
                  <c:v>55690</c:v>
                </c:pt>
                <c:pt idx="2375">
                  <c:v>55697</c:v>
                </c:pt>
                <c:pt idx="2376">
                  <c:v>55704</c:v>
                </c:pt>
                <c:pt idx="2377">
                  <c:v>55711</c:v>
                </c:pt>
                <c:pt idx="2378">
                  <c:v>55718</c:v>
                </c:pt>
                <c:pt idx="2379">
                  <c:v>55725</c:v>
                </c:pt>
                <c:pt idx="2380">
                  <c:v>55732</c:v>
                </c:pt>
                <c:pt idx="2381">
                  <c:v>55739</c:v>
                </c:pt>
                <c:pt idx="2382">
                  <c:v>55746</c:v>
                </c:pt>
                <c:pt idx="2383">
                  <c:v>55753</c:v>
                </c:pt>
                <c:pt idx="2384">
                  <c:v>55760</c:v>
                </c:pt>
                <c:pt idx="2385">
                  <c:v>55767</c:v>
                </c:pt>
                <c:pt idx="2386">
                  <c:v>55774</c:v>
                </c:pt>
                <c:pt idx="2387">
                  <c:v>55781</c:v>
                </c:pt>
                <c:pt idx="2388">
                  <c:v>55788</c:v>
                </c:pt>
                <c:pt idx="2389">
                  <c:v>55795</c:v>
                </c:pt>
                <c:pt idx="2390">
                  <c:v>55802</c:v>
                </c:pt>
                <c:pt idx="2391">
                  <c:v>55809</c:v>
                </c:pt>
                <c:pt idx="2392">
                  <c:v>55816</c:v>
                </c:pt>
                <c:pt idx="2393">
                  <c:v>55823</c:v>
                </c:pt>
                <c:pt idx="2394">
                  <c:v>55830</c:v>
                </c:pt>
                <c:pt idx="2395">
                  <c:v>55837</c:v>
                </c:pt>
                <c:pt idx="2396">
                  <c:v>55844</c:v>
                </c:pt>
                <c:pt idx="2397">
                  <c:v>55851</c:v>
                </c:pt>
                <c:pt idx="2398">
                  <c:v>55858</c:v>
                </c:pt>
                <c:pt idx="2399">
                  <c:v>55865</c:v>
                </c:pt>
                <c:pt idx="2400">
                  <c:v>55872</c:v>
                </c:pt>
                <c:pt idx="2401">
                  <c:v>55880</c:v>
                </c:pt>
                <c:pt idx="2402">
                  <c:v>55887</c:v>
                </c:pt>
                <c:pt idx="2403">
                  <c:v>55894</c:v>
                </c:pt>
                <c:pt idx="2404">
                  <c:v>55901</c:v>
                </c:pt>
                <c:pt idx="2405">
                  <c:v>55908</c:v>
                </c:pt>
                <c:pt idx="2406">
                  <c:v>55915</c:v>
                </c:pt>
                <c:pt idx="2407">
                  <c:v>55922</c:v>
                </c:pt>
                <c:pt idx="2408">
                  <c:v>55929</c:v>
                </c:pt>
                <c:pt idx="2409">
                  <c:v>55936</c:v>
                </c:pt>
                <c:pt idx="2410">
                  <c:v>55943</c:v>
                </c:pt>
                <c:pt idx="2411">
                  <c:v>55950</c:v>
                </c:pt>
                <c:pt idx="2412">
                  <c:v>55957</c:v>
                </c:pt>
                <c:pt idx="2413">
                  <c:v>55964</c:v>
                </c:pt>
                <c:pt idx="2414">
                  <c:v>55971</c:v>
                </c:pt>
                <c:pt idx="2415">
                  <c:v>55982</c:v>
                </c:pt>
                <c:pt idx="2416">
                  <c:v>55989</c:v>
                </c:pt>
                <c:pt idx="2417">
                  <c:v>55996</c:v>
                </c:pt>
                <c:pt idx="2418">
                  <c:v>56003</c:v>
                </c:pt>
                <c:pt idx="2419">
                  <c:v>56010</c:v>
                </c:pt>
                <c:pt idx="2420">
                  <c:v>56017</c:v>
                </c:pt>
                <c:pt idx="2421">
                  <c:v>56024</c:v>
                </c:pt>
                <c:pt idx="2422">
                  <c:v>56031</c:v>
                </c:pt>
                <c:pt idx="2423">
                  <c:v>56038</c:v>
                </c:pt>
                <c:pt idx="2424">
                  <c:v>56045</c:v>
                </c:pt>
                <c:pt idx="2425">
                  <c:v>56052</c:v>
                </c:pt>
                <c:pt idx="2426">
                  <c:v>56059</c:v>
                </c:pt>
                <c:pt idx="2427">
                  <c:v>56067</c:v>
                </c:pt>
                <c:pt idx="2428">
                  <c:v>56074</c:v>
                </c:pt>
                <c:pt idx="2429">
                  <c:v>56081</c:v>
                </c:pt>
                <c:pt idx="2430">
                  <c:v>56088</c:v>
                </c:pt>
                <c:pt idx="2431">
                  <c:v>56095</c:v>
                </c:pt>
                <c:pt idx="2432">
                  <c:v>56102</c:v>
                </c:pt>
                <c:pt idx="2433">
                  <c:v>56109</c:v>
                </c:pt>
                <c:pt idx="2434">
                  <c:v>56116</c:v>
                </c:pt>
                <c:pt idx="2435">
                  <c:v>56123</c:v>
                </c:pt>
                <c:pt idx="2436">
                  <c:v>56130</c:v>
                </c:pt>
                <c:pt idx="2437">
                  <c:v>56137</c:v>
                </c:pt>
                <c:pt idx="2438">
                  <c:v>56144</c:v>
                </c:pt>
                <c:pt idx="2439">
                  <c:v>56151</c:v>
                </c:pt>
                <c:pt idx="2440">
                  <c:v>56159</c:v>
                </c:pt>
                <c:pt idx="2441">
                  <c:v>56166</c:v>
                </c:pt>
                <c:pt idx="2442">
                  <c:v>56173</c:v>
                </c:pt>
                <c:pt idx="2443">
                  <c:v>56180</c:v>
                </c:pt>
                <c:pt idx="2444">
                  <c:v>56187</c:v>
                </c:pt>
                <c:pt idx="2445">
                  <c:v>56194</c:v>
                </c:pt>
                <c:pt idx="2446">
                  <c:v>56201</c:v>
                </c:pt>
                <c:pt idx="2447">
                  <c:v>56208</c:v>
                </c:pt>
                <c:pt idx="2448">
                  <c:v>56215</c:v>
                </c:pt>
                <c:pt idx="2449">
                  <c:v>56222</c:v>
                </c:pt>
                <c:pt idx="2450">
                  <c:v>56229</c:v>
                </c:pt>
                <c:pt idx="2451">
                  <c:v>56236</c:v>
                </c:pt>
                <c:pt idx="2452">
                  <c:v>56247</c:v>
                </c:pt>
                <c:pt idx="2453">
                  <c:v>56254</c:v>
                </c:pt>
                <c:pt idx="2454">
                  <c:v>56261</c:v>
                </c:pt>
                <c:pt idx="2455">
                  <c:v>56268</c:v>
                </c:pt>
                <c:pt idx="2456">
                  <c:v>56275</c:v>
                </c:pt>
                <c:pt idx="2457">
                  <c:v>56282</c:v>
                </c:pt>
                <c:pt idx="2458">
                  <c:v>56289</c:v>
                </c:pt>
                <c:pt idx="2459">
                  <c:v>56296</c:v>
                </c:pt>
                <c:pt idx="2460">
                  <c:v>56303</c:v>
                </c:pt>
                <c:pt idx="2461">
                  <c:v>56310</c:v>
                </c:pt>
                <c:pt idx="2462">
                  <c:v>56317</c:v>
                </c:pt>
                <c:pt idx="2463">
                  <c:v>56324</c:v>
                </c:pt>
                <c:pt idx="2464">
                  <c:v>56331</c:v>
                </c:pt>
                <c:pt idx="2465">
                  <c:v>56339</c:v>
                </c:pt>
                <c:pt idx="2466">
                  <c:v>56346</c:v>
                </c:pt>
                <c:pt idx="2467">
                  <c:v>56353</c:v>
                </c:pt>
                <c:pt idx="2468">
                  <c:v>56360</c:v>
                </c:pt>
                <c:pt idx="2469">
                  <c:v>56367</c:v>
                </c:pt>
                <c:pt idx="2470">
                  <c:v>56374</c:v>
                </c:pt>
                <c:pt idx="2471">
                  <c:v>56381</c:v>
                </c:pt>
                <c:pt idx="2472">
                  <c:v>56388</c:v>
                </c:pt>
                <c:pt idx="2473">
                  <c:v>56395</c:v>
                </c:pt>
                <c:pt idx="2474">
                  <c:v>56402</c:v>
                </c:pt>
                <c:pt idx="2475">
                  <c:v>56409</c:v>
                </c:pt>
                <c:pt idx="2476">
                  <c:v>56416</c:v>
                </c:pt>
                <c:pt idx="2477">
                  <c:v>56423</c:v>
                </c:pt>
                <c:pt idx="2478">
                  <c:v>56430</c:v>
                </c:pt>
                <c:pt idx="2479">
                  <c:v>56437</c:v>
                </c:pt>
                <c:pt idx="2480">
                  <c:v>56444</c:v>
                </c:pt>
                <c:pt idx="2481">
                  <c:v>56451</c:v>
                </c:pt>
                <c:pt idx="2482">
                  <c:v>56458</c:v>
                </c:pt>
                <c:pt idx="2483">
                  <c:v>56465</c:v>
                </c:pt>
                <c:pt idx="2484">
                  <c:v>56472</c:v>
                </c:pt>
                <c:pt idx="2485">
                  <c:v>56479</c:v>
                </c:pt>
                <c:pt idx="2486">
                  <c:v>56486</c:v>
                </c:pt>
                <c:pt idx="2487">
                  <c:v>56493</c:v>
                </c:pt>
                <c:pt idx="2488">
                  <c:v>56500</c:v>
                </c:pt>
                <c:pt idx="2489">
                  <c:v>56507</c:v>
                </c:pt>
                <c:pt idx="2490">
                  <c:v>56514</c:v>
                </c:pt>
                <c:pt idx="2491">
                  <c:v>56521</c:v>
                </c:pt>
                <c:pt idx="2492">
                  <c:v>56528</c:v>
                </c:pt>
                <c:pt idx="2493">
                  <c:v>56535</c:v>
                </c:pt>
                <c:pt idx="2494">
                  <c:v>56542</c:v>
                </c:pt>
                <c:pt idx="2495">
                  <c:v>56549</c:v>
                </c:pt>
                <c:pt idx="2496">
                  <c:v>56556</c:v>
                </c:pt>
                <c:pt idx="2497">
                  <c:v>56563</c:v>
                </c:pt>
                <c:pt idx="2498">
                  <c:v>56570</c:v>
                </c:pt>
                <c:pt idx="2499">
                  <c:v>56577</c:v>
                </c:pt>
                <c:pt idx="2500">
                  <c:v>56584</c:v>
                </c:pt>
                <c:pt idx="2501">
                  <c:v>56591</c:v>
                </c:pt>
                <c:pt idx="2502">
                  <c:v>56598</c:v>
                </c:pt>
                <c:pt idx="2503">
                  <c:v>56605</c:v>
                </c:pt>
                <c:pt idx="2504">
                  <c:v>56612</c:v>
                </c:pt>
                <c:pt idx="2505">
                  <c:v>56619</c:v>
                </c:pt>
                <c:pt idx="2506">
                  <c:v>56626</c:v>
                </c:pt>
                <c:pt idx="2507">
                  <c:v>56633</c:v>
                </c:pt>
                <c:pt idx="2508">
                  <c:v>56640</c:v>
                </c:pt>
                <c:pt idx="2509">
                  <c:v>56647</c:v>
                </c:pt>
                <c:pt idx="2510">
                  <c:v>56654</c:v>
                </c:pt>
                <c:pt idx="2511">
                  <c:v>56661</c:v>
                </c:pt>
                <c:pt idx="2512">
                  <c:v>56668</c:v>
                </c:pt>
                <c:pt idx="2513">
                  <c:v>56675</c:v>
                </c:pt>
                <c:pt idx="2514">
                  <c:v>56682</c:v>
                </c:pt>
                <c:pt idx="2515">
                  <c:v>56689</c:v>
                </c:pt>
                <c:pt idx="2516">
                  <c:v>56696</c:v>
                </c:pt>
                <c:pt idx="2517">
                  <c:v>56703</c:v>
                </c:pt>
                <c:pt idx="2518">
                  <c:v>56710</c:v>
                </c:pt>
                <c:pt idx="2519">
                  <c:v>56717</c:v>
                </c:pt>
                <c:pt idx="2520">
                  <c:v>56724</c:v>
                </c:pt>
                <c:pt idx="2521">
                  <c:v>56731</c:v>
                </c:pt>
                <c:pt idx="2522">
                  <c:v>56738</c:v>
                </c:pt>
                <c:pt idx="2523">
                  <c:v>56745</c:v>
                </c:pt>
                <c:pt idx="2524">
                  <c:v>56752</c:v>
                </c:pt>
                <c:pt idx="2525">
                  <c:v>56759</c:v>
                </c:pt>
                <c:pt idx="2526">
                  <c:v>56766</c:v>
                </c:pt>
                <c:pt idx="2527">
                  <c:v>56773</c:v>
                </c:pt>
                <c:pt idx="2528">
                  <c:v>56780</c:v>
                </c:pt>
                <c:pt idx="2529">
                  <c:v>56787</c:v>
                </c:pt>
                <c:pt idx="2530">
                  <c:v>56794</c:v>
                </c:pt>
                <c:pt idx="2531">
                  <c:v>56801</c:v>
                </c:pt>
                <c:pt idx="2532">
                  <c:v>56808</c:v>
                </c:pt>
                <c:pt idx="2533">
                  <c:v>56815</c:v>
                </c:pt>
                <c:pt idx="2534">
                  <c:v>56822</c:v>
                </c:pt>
                <c:pt idx="2535">
                  <c:v>56829</c:v>
                </c:pt>
                <c:pt idx="2536">
                  <c:v>56836</c:v>
                </c:pt>
                <c:pt idx="2537">
                  <c:v>56843</c:v>
                </c:pt>
                <c:pt idx="2538">
                  <c:v>56850</c:v>
                </c:pt>
                <c:pt idx="2539">
                  <c:v>56857</c:v>
                </c:pt>
                <c:pt idx="2540">
                  <c:v>56864</c:v>
                </c:pt>
                <c:pt idx="2541">
                  <c:v>56871</c:v>
                </c:pt>
                <c:pt idx="2542">
                  <c:v>56878</c:v>
                </c:pt>
                <c:pt idx="2543">
                  <c:v>56885</c:v>
                </c:pt>
                <c:pt idx="2544">
                  <c:v>56892</c:v>
                </c:pt>
                <c:pt idx="2545">
                  <c:v>56899</c:v>
                </c:pt>
                <c:pt idx="2546">
                  <c:v>56906</c:v>
                </c:pt>
                <c:pt idx="2547">
                  <c:v>56913</c:v>
                </c:pt>
                <c:pt idx="2548">
                  <c:v>56920</c:v>
                </c:pt>
                <c:pt idx="2549">
                  <c:v>56927</c:v>
                </c:pt>
                <c:pt idx="2550">
                  <c:v>56934</c:v>
                </c:pt>
                <c:pt idx="2551">
                  <c:v>56941</c:v>
                </c:pt>
                <c:pt idx="2552">
                  <c:v>56948</c:v>
                </c:pt>
                <c:pt idx="2553">
                  <c:v>56955</c:v>
                </c:pt>
                <c:pt idx="2554">
                  <c:v>56962</c:v>
                </c:pt>
                <c:pt idx="2555">
                  <c:v>56969</c:v>
                </c:pt>
                <c:pt idx="2556">
                  <c:v>56976</c:v>
                </c:pt>
                <c:pt idx="2557">
                  <c:v>56983</c:v>
                </c:pt>
                <c:pt idx="2558">
                  <c:v>56990</c:v>
                </c:pt>
                <c:pt idx="2559">
                  <c:v>56997</c:v>
                </c:pt>
                <c:pt idx="2560">
                  <c:v>57004</c:v>
                </c:pt>
                <c:pt idx="2561">
                  <c:v>57011</c:v>
                </c:pt>
                <c:pt idx="2562">
                  <c:v>57018</c:v>
                </c:pt>
                <c:pt idx="2563">
                  <c:v>57025</c:v>
                </c:pt>
                <c:pt idx="2564">
                  <c:v>57032</c:v>
                </c:pt>
                <c:pt idx="2565">
                  <c:v>57039</c:v>
                </c:pt>
                <c:pt idx="2566">
                  <c:v>57046</c:v>
                </c:pt>
                <c:pt idx="2567">
                  <c:v>57053</c:v>
                </c:pt>
                <c:pt idx="2568">
                  <c:v>57060</c:v>
                </c:pt>
                <c:pt idx="2569">
                  <c:v>57067</c:v>
                </c:pt>
                <c:pt idx="2570">
                  <c:v>57074</c:v>
                </c:pt>
                <c:pt idx="2571">
                  <c:v>57081</c:v>
                </c:pt>
                <c:pt idx="2572">
                  <c:v>57088</c:v>
                </c:pt>
                <c:pt idx="2573">
                  <c:v>57095</c:v>
                </c:pt>
                <c:pt idx="2574">
                  <c:v>57102</c:v>
                </c:pt>
                <c:pt idx="2575">
                  <c:v>57109</c:v>
                </c:pt>
                <c:pt idx="2576">
                  <c:v>57116</c:v>
                </c:pt>
                <c:pt idx="2577">
                  <c:v>57123</c:v>
                </c:pt>
                <c:pt idx="2578">
                  <c:v>57130</c:v>
                </c:pt>
                <c:pt idx="2579">
                  <c:v>57137</c:v>
                </c:pt>
                <c:pt idx="2580">
                  <c:v>57144</c:v>
                </c:pt>
                <c:pt idx="2581">
                  <c:v>57151</c:v>
                </c:pt>
                <c:pt idx="2582">
                  <c:v>57158</c:v>
                </c:pt>
                <c:pt idx="2583">
                  <c:v>57165</c:v>
                </c:pt>
                <c:pt idx="2584">
                  <c:v>57172</c:v>
                </c:pt>
                <c:pt idx="2585">
                  <c:v>57179</c:v>
                </c:pt>
                <c:pt idx="2586">
                  <c:v>57186</c:v>
                </c:pt>
                <c:pt idx="2587">
                  <c:v>57193</c:v>
                </c:pt>
                <c:pt idx="2588">
                  <c:v>57200</c:v>
                </c:pt>
                <c:pt idx="2589">
                  <c:v>57207</c:v>
                </c:pt>
                <c:pt idx="2590">
                  <c:v>57214</c:v>
                </c:pt>
                <c:pt idx="2591">
                  <c:v>57221</c:v>
                </c:pt>
                <c:pt idx="2592">
                  <c:v>57228</c:v>
                </c:pt>
                <c:pt idx="2593">
                  <c:v>57235</c:v>
                </c:pt>
                <c:pt idx="2594">
                  <c:v>57242</c:v>
                </c:pt>
                <c:pt idx="2595">
                  <c:v>57249</c:v>
                </c:pt>
                <c:pt idx="2596">
                  <c:v>57256</c:v>
                </c:pt>
                <c:pt idx="2597">
                  <c:v>57263</c:v>
                </c:pt>
                <c:pt idx="2598">
                  <c:v>57270</c:v>
                </c:pt>
                <c:pt idx="2599">
                  <c:v>57277</c:v>
                </c:pt>
                <c:pt idx="2600">
                  <c:v>57284</c:v>
                </c:pt>
                <c:pt idx="2601">
                  <c:v>57291</c:v>
                </c:pt>
                <c:pt idx="2602">
                  <c:v>57298</c:v>
                </c:pt>
                <c:pt idx="2603">
                  <c:v>57305</c:v>
                </c:pt>
                <c:pt idx="2604">
                  <c:v>57312</c:v>
                </c:pt>
                <c:pt idx="2605">
                  <c:v>57319</c:v>
                </c:pt>
                <c:pt idx="2606">
                  <c:v>57326</c:v>
                </c:pt>
                <c:pt idx="2607">
                  <c:v>57333</c:v>
                </c:pt>
                <c:pt idx="2608">
                  <c:v>57341</c:v>
                </c:pt>
                <c:pt idx="2609">
                  <c:v>57348</c:v>
                </c:pt>
                <c:pt idx="2610">
                  <c:v>57355</c:v>
                </c:pt>
                <c:pt idx="2611">
                  <c:v>57362</c:v>
                </c:pt>
                <c:pt idx="2612">
                  <c:v>57369</c:v>
                </c:pt>
                <c:pt idx="2613">
                  <c:v>57376</c:v>
                </c:pt>
                <c:pt idx="2614">
                  <c:v>57383</c:v>
                </c:pt>
                <c:pt idx="2615">
                  <c:v>57390</c:v>
                </c:pt>
                <c:pt idx="2616">
                  <c:v>57397</c:v>
                </c:pt>
                <c:pt idx="2617">
                  <c:v>57404</c:v>
                </c:pt>
                <c:pt idx="2618">
                  <c:v>57411</c:v>
                </c:pt>
                <c:pt idx="2619">
                  <c:v>57418</c:v>
                </c:pt>
                <c:pt idx="2620">
                  <c:v>57425</c:v>
                </c:pt>
                <c:pt idx="2621">
                  <c:v>57432</c:v>
                </c:pt>
                <c:pt idx="2622">
                  <c:v>57439</c:v>
                </c:pt>
                <c:pt idx="2623">
                  <c:v>57446</c:v>
                </c:pt>
                <c:pt idx="2624">
                  <c:v>57453</c:v>
                </c:pt>
                <c:pt idx="2625">
                  <c:v>57460</c:v>
                </c:pt>
                <c:pt idx="2626">
                  <c:v>57467</c:v>
                </c:pt>
                <c:pt idx="2627">
                  <c:v>57474</c:v>
                </c:pt>
                <c:pt idx="2628">
                  <c:v>57481</c:v>
                </c:pt>
                <c:pt idx="2629">
                  <c:v>57488</c:v>
                </c:pt>
                <c:pt idx="2630">
                  <c:v>57495</c:v>
                </c:pt>
                <c:pt idx="2631">
                  <c:v>57502</c:v>
                </c:pt>
                <c:pt idx="2632">
                  <c:v>57509</c:v>
                </c:pt>
                <c:pt idx="2633">
                  <c:v>57516</c:v>
                </c:pt>
                <c:pt idx="2634">
                  <c:v>57523</c:v>
                </c:pt>
                <c:pt idx="2635">
                  <c:v>57530</c:v>
                </c:pt>
                <c:pt idx="2636">
                  <c:v>57537</c:v>
                </c:pt>
                <c:pt idx="2637">
                  <c:v>57544</c:v>
                </c:pt>
                <c:pt idx="2638">
                  <c:v>57551</c:v>
                </c:pt>
                <c:pt idx="2639">
                  <c:v>57558</c:v>
                </c:pt>
                <c:pt idx="2640">
                  <c:v>57565</c:v>
                </c:pt>
                <c:pt idx="2641">
                  <c:v>57572</c:v>
                </c:pt>
                <c:pt idx="2642">
                  <c:v>57579</c:v>
                </c:pt>
                <c:pt idx="2643">
                  <c:v>57586</c:v>
                </c:pt>
                <c:pt idx="2644">
                  <c:v>57593</c:v>
                </c:pt>
                <c:pt idx="2645">
                  <c:v>57600</c:v>
                </c:pt>
                <c:pt idx="2646">
                  <c:v>57607</c:v>
                </c:pt>
                <c:pt idx="2647">
                  <c:v>57614</c:v>
                </c:pt>
                <c:pt idx="2648">
                  <c:v>57621</c:v>
                </c:pt>
                <c:pt idx="2649">
                  <c:v>57628</c:v>
                </c:pt>
                <c:pt idx="2650">
                  <c:v>57635</c:v>
                </c:pt>
                <c:pt idx="2651">
                  <c:v>57642</c:v>
                </c:pt>
                <c:pt idx="2652">
                  <c:v>57649</c:v>
                </c:pt>
                <c:pt idx="2653">
                  <c:v>57656</c:v>
                </c:pt>
                <c:pt idx="2654">
                  <c:v>57663</c:v>
                </c:pt>
                <c:pt idx="2655">
                  <c:v>57670</c:v>
                </c:pt>
                <c:pt idx="2656">
                  <c:v>57677</c:v>
                </c:pt>
                <c:pt idx="2657">
                  <c:v>57684</c:v>
                </c:pt>
                <c:pt idx="2658">
                  <c:v>57691</c:v>
                </c:pt>
                <c:pt idx="2659">
                  <c:v>57698</c:v>
                </c:pt>
                <c:pt idx="2660">
                  <c:v>57706</c:v>
                </c:pt>
                <c:pt idx="2661">
                  <c:v>57713</c:v>
                </c:pt>
                <c:pt idx="2662">
                  <c:v>57720</c:v>
                </c:pt>
                <c:pt idx="2663">
                  <c:v>57727</c:v>
                </c:pt>
                <c:pt idx="2664">
                  <c:v>57734</c:v>
                </c:pt>
                <c:pt idx="2665">
                  <c:v>57741</c:v>
                </c:pt>
                <c:pt idx="2666">
                  <c:v>57748</c:v>
                </c:pt>
                <c:pt idx="2667">
                  <c:v>57755</c:v>
                </c:pt>
                <c:pt idx="2668">
                  <c:v>57762</c:v>
                </c:pt>
                <c:pt idx="2669">
                  <c:v>57769</c:v>
                </c:pt>
                <c:pt idx="2670">
                  <c:v>57776</c:v>
                </c:pt>
                <c:pt idx="2671">
                  <c:v>57783</c:v>
                </c:pt>
                <c:pt idx="2672">
                  <c:v>57790</c:v>
                </c:pt>
                <c:pt idx="2673">
                  <c:v>57797</c:v>
                </c:pt>
                <c:pt idx="2674">
                  <c:v>57804</c:v>
                </c:pt>
                <c:pt idx="2675">
                  <c:v>57811</c:v>
                </c:pt>
                <c:pt idx="2676">
                  <c:v>57818</c:v>
                </c:pt>
                <c:pt idx="2677">
                  <c:v>57825</c:v>
                </c:pt>
                <c:pt idx="2678">
                  <c:v>57832</c:v>
                </c:pt>
                <c:pt idx="2679">
                  <c:v>57839</c:v>
                </c:pt>
                <c:pt idx="2680">
                  <c:v>57846</c:v>
                </c:pt>
                <c:pt idx="2681">
                  <c:v>57853</c:v>
                </c:pt>
                <c:pt idx="2682">
                  <c:v>57860</c:v>
                </c:pt>
                <c:pt idx="2683">
                  <c:v>57867</c:v>
                </c:pt>
                <c:pt idx="2684">
                  <c:v>57874</c:v>
                </c:pt>
                <c:pt idx="2685">
                  <c:v>57881</c:v>
                </c:pt>
                <c:pt idx="2686">
                  <c:v>57888</c:v>
                </c:pt>
                <c:pt idx="2687">
                  <c:v>57895</c:v>
                </c:pt>
                <c:pt idx="2688">
                  <c:v>57902</c:v>
                </c:pt>
                <c:pt idx="2689">
                  <c:v>57909</c:v>
                </c:pt>
                <c:pt idx="2690">
                  <c:v>57916</c:v>
                </c:pt>
                <c:pt idx="2691">
                  <c:v>57923</c:v>
                </c:pt>
                <c:pt idx="2692">
                  <c:v>57930</c:v>
                </c:pt>
                <c:pt idx="2693">
                  <c:v>57937</c:v>
                </c:pt>
                <c:pt idx="2694">
                  <c:v>57944</c:v>
                </c:pt>
                <c:pt idx="2695">
                  <c:v>57951</c:v>
                </c:pt>
                <c:pt idx="2696">
                  <c:v>57958</c:v>
                </c:pt>
                <c:pt idx="2697">
                  <c:v>57965</c:v>
                </c:pt>
                <c:pt idx="2698">
                  <c:v>57972</c:v>
                </c:pt>
                <c:pt idx="2699">
                  <c:v>57979</c:v>
                </c:pt>
                <c:pt idx="2700">
                  <c:v>57986</c:v>
                </c:pt>
                <c:pt idx="2701">
                  <c:v>57993</c:v>
                </c:pt>
                <c:pt idx="2702">
                  <c:v>58000</c:v>
                </c:pt>
                <c:pt idx="2703">
                  <c:v>58007</c:v>
                </c:pt>
                <c:pt idx="2704">
                  <c:v>58014</c:v>
                </c:pt>
                <c:pt idx="2705">
                  <c:v>58021</c:v>
                </c:pt>
                <c:pt idx="2706">
                  <c:v>58028</c:v>
                </c:pt>
                <c:pt idx="2707">
                  <c:v>58035</c:v>
                </c:pt>
                <c:pt idx="2708">
                  <c:v>58042</c:v>
                </c:pt>
                <c:pt idx="2709">
                  <c:v>58049</c:v>
                </c:pt>
                <c:pt idx="2710">
                  <c:v>58056</c:v>
                </c:pt>
                <c:pt idx="2711">
                  <c:v>58063</c:v>
                </c:pt>
                <c:pt idx="2712">
                  <c:v>58071</c:v>
                </c:pt>
                <c:pt idx="2713">
                  <c:v>58078</c:v>
                </c:pt>
                <c:pt idx="2714">
                  <c:v>58085</c:v>
                </c:pt>
                <c:pt idx="2715">
                  <c:v>58092</c:v>
                </c:pt>
                <c:pt idx="2716">
                  <c:v>58099</c:v>
                </c:pt>
                <c:pt idx="2717">
                  <c:v>58106</c:v>
                </c:pt>
                <c:pt idx="2718">
                  <c:v>58113</c:v>
                </c:pt>
                <c:pt idx="2719">
                  <c:v>58120</c:v>
                </c:pt>
                <c:pt idx="2720">
                  <c:v>58127</c:v>
                </c:pt>
                <c:pt idx="2721">
                  <c:v>58134</c:v>
                </c:pt>
                <c:pt idx="2722">
                  <c:v>58141</c:v>
                </c:pt>
                <c:pt idx="2723">
                  <c:v>58148</c:v>
                </c:pt>
                <c:pt idx="2724">
                  <c:v>58155</c:v>
                </c:pt>
                <c:pt idx="2725">
                  <c:v>58166</c:v>
                </c:pt>
                <c:pt idx="2726">
                  <c:v>58173</c:v>
                </c:pt>
                <c:pt idx="2727">
                  <c:v>58180</c:v>
                </c:pt>
                <c:pt idx="2728">
                  <c:v>58187</c:v>
                </c:pt>
                <c:pt idx="2729">
                  <c:v>58194</c:v>
                </c:pt>
                <c:pt idx="2730">
                  <c:v>58201</c:v>
                </c:pt>
                <c:pt idx="2731">
                  <c:v>58208</c:v>
                </c:pt>
                <c:pt idx="2732">
                  <c:v>58215</c:v>
                </c:pt>
                <c:pt idx="2733">
                  <c:v>58222</c:v>
                </c:pt>
                <c:pt idx="2734">
                  <c:v>58229</c:v>
                </c:pt>
                <c:pt idx="2735">
                  <c:v>58236</c:v>
                </c:pt>
                <c:pt idx="2736">
                  <c:v>58243</c:v>
                </c:pt>
                <c:pt idx="2737">
                  <c:v>58250</c:v>
                </c:pt>
                <c:pt idx="2738">
                  <c:v>58258</c:v>
                </c:pt>
                <c:pt idx="2739">
                  <c:v>58265</c:v>
                </c:pt>
                <c:pt idx="2740">
                  <c:v>58272</c:v>
                </c:pt>
                <c:pt idx="2741">
                  <c:v>58279</c:v>
                </c:pt>
                <c:pt idx="2742">
                  <c:v>58286</c:v>
                </c:pt>
                <c:pt idx="2743">
                  <c:v>58293</c:v>
                </c:pt>
                <c:pt idx="2744">
                  <c:v>58300</c:v>
                </c:pt>
                <c:pt idx="2745">
                  <c:v>58307</c:v>
                </c:pt>
                <c:pt idx="2746">
                  <c:v>58314</c:v>
                </c:pt>
                <c:pt idx="2747">
                  <c:v>58321</c:v>
                </c:pt>
                <c:pt idx="2748">
                  <c:v>58328</c:v>
                </c:pt>
                <c:pt idx="2749">
                  <c:v>58335</c:v>
                </c:pt>
                <c:pt idx="2750">
                  <c:v>58342</c:v>
                </c:pt>
                <c:pt idx="2751">
                  <c:v>58350</c:v>
                </c:pt>
                <c:pt idx="2752">
                  <c:v>58357</c:v>
                </c:pt>
                <c:pt idx="2753">
                  <c:v>58364</c:v>
                </c:pt>
                <c:pt idx="2754">
                  <c:v>58371</c:v>
                </c:pt>
                <c:pt idx="2755">
                  <c:v>58378</c:v>
                </c:pt>
                <c:pt idx="2756">
                  <c:v>58385</c:v>
                </c:pt>
                <c:pt idx="2757">
                  <c:v>58392</c:v>
                </c:pt>
                <c:pt idx="2758">
                  <c:v>58399</c:v>
                </c:pt>
                <c:pt idx="2759">
                  <c:v>58406</c:v>
                </c:pt>
                <c:pt idx="2760">
                  <c:v>58413</c:v>
                </c:pt>
                <c:pt idx="2761">
                  <c:v>58420</c:v>
                </c:pt>
                <c:pt idx="2762">
                  <c:v>58427</c:v>
                </c:pt>
                <c:pt idx="2763">
                  <c:v>58438</c:v>
                </c:pt>
                <c:pt idx="2764">
                  <c:v>58445</c:v>
                </c:pt>
                <c:pt idx="2765">
                  <c:v>58452</c:v>
                </c:pt>
                <c:pt idx="2766">
                  <c:v>58459</c:v>
                </c:pt>
                <c:pt idx="2767">
                  <c:v>58466</c:v>
                </c:pt>
                <c:pt idx="2768">
                  <c:v>58473</c:v>
                </c:pt>
                <c:pt idx="2769">
                  <c:v>58480</c:v>
                </c:pt>
                <c:pt idx="2770">
                  <c:v>58487</c:v>
                </c:pt>
                <c:pt idx="2771">
                  <c:v>58494</c:v>
                </c:pt>
                <c:pt idx="2772">
                  <c:v>58501</c:v>
                </c:pt>
                <c:pt idx="2773">
                  <c:v>58508</c:v>
                </c:pt>
                <c:pt idx="2774">
                  <c:v>58515</c:v>
                </c:pt>
                <c:pt idx="2775">
                  <c:v>58522</c:v>
                </c:pt>
                <c:pt idx="2776">
                  <c:v>58529</c:v>
                </c:pt>
                <c:pt idx="2777">
                  <c:v>58536</c:v>
                </c:pt>
                <c:pt idx="2778">
                  <c:v>58543</c:v>
                </c:pt>
                <c:pt idx="2779">
                  <c:v>58551</c:v>
                </c:pt>
                <c:pt idx="2780">
                  <c:v>58558</c:v>
                </c:pt>
                <c:pt idx="2781">
                  <c:v>58565</c:v>
                </c:pt>
                <c:pt idx="2782">
                  <c:v>58572</c:v>
                </c:pt>
                <c:pt idx="2783">
                  <c:v>58579</c:v>
                </c:pt>
                <c:pt idx="2784">
                  <c:v>58586</c:v>
                </c:pt>
                <c:pt idx="2785">
                  <c:v>58593</c:v>
                </c:pt>
                <c:pt idx="2786">
                  <c:v>58600</c:v>
                </c:pt>
                <c:pt idx="2787">
                  <c:v>58607</c:v>
                </c:pt>
                <c:pt idx="2788">
                  <c:v>58614</c:v>
                </c:pt>
                <c:pt idx="2789">
                  <c:v>58621</c:v>
                </c:pt>
                <c:pt idx="2790">
                  <c:v>58628</c:v>
                </c:pt>
                <c:pt idx="2791">
                  <c:v>58635</c:v>
                </c:pt>
                <c:pt idx="2792">
                  <c:v>58642</c:v>
                </c:pt>
                <c:pt idx="2793">
                  <c:v>58649</c:v>
                </c:pt>
                <c:pt idx="2794">
                  <c:v>58656</c:v>
                </c:pt>
                <c:pt idx="2795">
                  <c:v>58663</c:v>
                </c:pt>
                <c:pt idx="2796">
                  <c:v>58670</c:v>
                </c:pt>
                <c:pt idx="2797">
                  <c:v>58677</c:v>
                </c:pt>
                <c:pt idx="2798">
                  <c:v>58684</c:v>
                </c:pt>
                <c:pt idx="2799">
                  <c:v>58691</c:v>
                </c:pt>
                <c:pt idx="2800">
                  <c:v>58698</c:v>
                </c:pt>
                <c:pt idx="2801">
                  <c:v>58705</c:v>
                </c:pt>
                <c:pt idx="2802">
                  <c:v>58712</c:v>
                </c:pt>
                <c:pt idx="2803">
                  <c:v>58719</c:v>
                </c:pt>
                <c:pt idx="2804">
                  <c:v>58726</c:v>
                </c:pt>
                <c:pt idx="2805">
                  <c:v>58733</c:v>
                </c:pt>
                <c:pt idx="2806">
                  <c:v>58740</c:v>
                </c:pt>
                <c:pt idx="2807">
                  <c:v>58747</c:v>
                </c:pt>
                <c:pt idx="2808">
                  <c:v>58754</c:v>
                </c:pt>
                <c:pt idx="2809">
                  <c:v>58761</c:v>
                </c:pt>
                <c:pt idx="2810">
                  <c:v>58768</c:v>
                </c:pt>
                <c:pt idx="2811">
                  <c:v>58775</c:v>
                </c:pt>
                <c:pt idx="2812">
                  <c:v>58782</c:v>
                </c:pt>
                <c:pt idx="2813">
                  <c:v>58789</c:v>
                </c:pt>
                <c:pt idx="2814">
                  <c:v>58796</c:v>
                </c:pt>
                <c:pt idx="2815">
                  <c:v>58803</c:v>
                </c:pt>
                <c:pt idx="2816">
                  <c:v>58810</c:v>
                </c:pt>
                <c:pt idx="2817">
                  <c:v>58817</c:v>
                </c:pt>
                <c:pt idx="2818">
                  <c:v>58824</c:v>
                </c:pt>
                <c:pt idx="2819">
                  <c:v>58831</c:v>
                </c:pt>
                <c:pt idx="2820">
                  <c:v>58838</c:v>
                </c:pt>
                <c:pt idx="2821">
                  <c:v>58845</c:v>
                </c:pt>
                <c:pt idx="2822">
                  <c:v>58852</c:v>
                </c:pt>
                <c:pt idx="2823">
                  <c:v>58859</c:v>
                </c:pt>
                <c:pt idx="2824">
                  <c:v>58866</c:v>
                </c:pt>
                <c:pt idx="2825">
                  <c:v>58873</c:v>
                </c:pt>
                <c:pt idx="2826">
                  <c:v>58880</c:v>
                </c:pt>
                <c:pt idx="2827">
                  <c:v>58887</c:v>
                </c:pt>
                <c:pt idx="2828">
                  <c:v>58894</c:v>
                </c:pt>
                <c:pt idx="2829">
                  <c:v>58901</c:v>
                </c:pt>
                <c:pt idx="2830">
                  <c:v>58908</c:v>
                </c:pt>
                <c:pt idx="2831">
                  <c:v>58915</c:v>
                </c:pt>
                <c:pt idx="2832">
                  <c:v>58922</c:v>
                </c:pt>
                <c:pt idx="2833">
                  <c:v>58929</c:v>
                </c:pt>
                <c:pt idx="2834">
                  <c:v>58936</c:v>
                </c:pt>
                <c:pt idx="2835">
                  <c:v>58943</c:v>
                </c:pt>
                <c:pt idx="2836">
                  <c:v>58950</c:v>
                </c:pt>
                <c:pt idx="2837">
                  <c:v>58957</c:v>
                </c:pt>
                <c:pt idx="2838">
                  <c:v>58964</c:v>
                </c:pt>
                <c:pt idx="2839">
                  <c:v>58971</c:v>
                </c:pt>
                <c:pt idx="2840">
                  <c:v>58978</c:v>
                </c:pt>
                <c:pt idx="2841">
                  <c:v>58985</c:v>
                </c:pt>
                <c:pt idx="2842">
                  <c:v>58992</c:v>
                </c:pt>
                <c:pt idx="2843">
                  <c:v>58999</c:v>
                </c:pt>
                <c:pt idx="2844">
                  <c:v>59006</c:v>
                </c:pt>
                <c:pt idx="2845">
                  <c:v>59013</c:v>
                </c:pt>
                <c:pt idx="2846">
                  <c:v>59020</c:v>
                </c:pt>
                <c:pt idx="2847">
                  <c:v>59027</c:v>
                </c:pt>
                <c:pt idx="2848">
                  <c:v>59034</c:v>
                </c:pt>
                <c:pt idx="2849">
                  <c:v>59041</c:v>
                </c:pt>
                <c:pt idx="2850">
                  <c:v>59048</c:v>
                </c:pt>
                <c:pt idx="2851">
                  <c:v>59055</c:v>
                </c:pt>
                <c:pt idx="2852">
                  <c:v>59062</c:v>
                </c:pt>
                <c:pt idx="2853">
                  <c:v>59069</c:v>
                </c:pt>
                <c:pt idx="2854">
                  <c:v>59076</c:v>
                </c:pt>
                <c:pt idx="2855">
                  <c:v>59083</c:v>
                </c:pt>
                <c:pt idx="2856">
                  <c:v>59090</c:v>
                </c:pt>
                <c:pt idx="2857">
                  <c:v>59097</c:v>
                </c:pt>
                <c:pt idx="2858">
                  <c:v>59104</c:v>
                </c:pt>
                <c:pt idx="2859">
                  <c:v>59111</c:v>
                </c:pt>
                <c:pt idx="2860">
                  <c:v>59118</c:v>
                </c:pt>
                <c:pt idx="2861">
                  <c:v>59125</c:v>
                </c:pt>
                <c:pt idx="2862">
                  <c:v>59132</c:v>
                </c:pt>
                <c:pt idx="2863">
                  <c:v>59139</c:v>
                </c:pt>
                <c:pt idx="2864">
                  <c:v>59146</c:v>
                </c:pt>
                <c:pt idx="2865">
                  <c:v>59153</c:v>
                </c:pt>
                <c:pt idx="2866">
                  <c:v>59160</c:v>
                </c:pt>
                <c:pt idx="2867">
                  <c:v>59167</c:v>
                </c:pt>
                <c:pt idx="2868">
                  <c:v>59174</c:v>
                </c:pt>
                <c:pt idx="2869">
                  <c:v>59181</c:v>
                </c:pt>
                <c:pt idx="2870">
                  <c:v>59188</c:v>
                </c:pt>
                <c:pt idx="2871">
                  <c:v>59195</c:v>
                </c:pt>
                <c:pt idx="2872">
                  <c:v>59202</c:v>
                </c:pt>
                <c:pt idx="2873">
                  <c:v>59209</c:v>
                </c:pt>
                <c:pt idx="2874">
                  <c:v>59216</c:v>
                </c:pt>
                <c:pt idx="2875">
                  <c:v>59223</c:v>
                </c:pt>
                <c:pt idx="2876">
                  <c:v>59230</c:v>
                </c:pt>
                <c:pt idx="2877">
                  <c:v>59237</c:v>
                </c:pt>
                <c:pt idx="2878">
                  <c:v>59244</c:v>
                </c:pt>
                <c:pt idx="2879">
                  <c:v>59251</c:v>
                </c:pt>
                <c:pt idx="2880">
                  <c:v>59258</c:v>
                </c:pt>
                <c:pt idx="2881">
                  <c:v>59265</c:v>
                </c:pt>
                <c:pt idx="2882">
                  <c:v>59272</c:v>
                </c:pt>
                <c:pt idx="2883">
                  <c:v>59279</c:v>
                </c:pt>
                <c:pt idx="2884">
                  <c:v>59286</c:v>
                </c:pt>
                <c:pt idx="2885">
                  <c:v>59293</c:v>
                </c:pt>
                <c:pt idx="2886">
                  <c:v>59300</c:v>
                </c:pt>
                <c:pt idx="2887">
                  <c:v>59307</c:v>
                </c:pt>
                <c:pt idx="2888">
                  <c:v>59314</c:v>
                </c:pt>
                <c:pt idx="2889">
                  <c:v>59321</c:v>
                </c:pt>
                <c:pt idx="2890">
                  <c:v>59328</c:v>
                </c:pt>
                <c:pt idx="2891">
                  <c:v>59335</c:v>
                </c:pt>
                <c:pt idx="2892">
                  <c:v>59342</c:v>
                </c:pt>
                <c:pt idx="2893">
                  <c:v>59349</c:v>
                </c:pt>
                <c:pt idx="2894">
                  <c:v>59356</c:v>
                </c:pt>
                <c:pt idx="2895">
                  <c:v>59363</c:v>
                </c:pt>
                <c:pt idx="2896">
                  <c:v>59370</c:v>
                </c:pt>
                <c:pt idx="2897">
                  <c:v>59377</c:v>
                </c:pt>
                <c:pt idx="2898">
                  <c:v>59384</c:v>
                </c:pt>
                <c:pt idx="2899">
                  <c:v>59391</c:v>
                </c:pt>
                <c:pt idx="2900">
                  <c:v>59398</c:v>
                </c:pt>
                <c:pt idx="2901">
                  <c:v>59405</c:v>
                </c:pt>
                <c:pt idx="2902">
                  <c:v>59412</c:v>
                </c:pt>
                <c:pt idx="2903">
                  <c:v>59419</c:v>
                </c:pt>
                <c:pt idx="2904">
                  <c:v>59426</c:v>
                </c:pt>
                <c:pt idx="2905">
                  <c:v>59433</c:v>
                </c:pt>
                <c:pt idx="2906">
                  <c:v>59440</c:v>
                </c:pt>
                <c:pt idx="2907">
                  <c:v>59447</c:v>
                </c:pt>
                <c:pt idx="2908">
                  <c:v>59454</c:v>
                </c:pt>
                <c:pt idx="2909">
                  <c:v>59461</c:v>
                </c:pt>
                <c:pt idx="2910">
                  <c:v>59468</c:v>
                </c:pt>
                <c:pt idx="2911">
                  <c:v>59475</c:v>
                </c:pt>
                <c:pt idx="2912">
                  <c:v>59482</c:v>
                </c:pt>
                <c:pt idx="2913">
                  <c:v>59489</c:v>
                </c:pt>
                <c:pt idx="2914">
                  <c:v>59496</c:v>
                </c:pt>
                <c:pt idx="2915">
                  <c:v>59503</c:v>
                </c:pt>
                <c:pt idx="2916">
                  <c:v>59510</c:v>
                </c:pt>
                <c:pt idx="2917">
                  <c:v>59517</c:v>
                </c:pt>
                <c:pt idx="2918">
                  <c:v>59524</c:v>
                </c:pt>
                <c:pt idx="2919">
                  <c:v>59532</c:v>
                </c:pt>
                <c:pt idx="2920">
                  <c:v>59539</c:v>
                </c:pt>
                <c:pt idx="2921">
                  <c:v>59546</c:v>
                </c:pt>
                <c:pt idx="2922">
                  <c:v>59553</c:v>
                </c:pt>
                <c:pt idx="2923">
                  <c:v>59560</c:v>
                </c:pt>
                <c:pt idx="2924">
                  <c:v>59567</c:v>
                </c:pt>
                <c:pt idx="2925">
                  <c:v>59574</c:v>
                </c:pt>
                <c:pt idx="2926">
                  <c:v>59581</c:v>
                </c:pt>
                <c:pt idx="2927">
                  <c:v>59588</c:v>
                </c:pt>
                <c:pt idx="2928">
                  <c:v>59595</c:v>
                </c:pt>
                <c:pt idx="2929">
                  <c:v>59602</c:v>
                </c:pt>
                <c:pt idx="2930">
                  <c:v>59609</c:v>
                </c:pt>
                <c:pt idx="2931">
                  <c:v>59616</c:v>
                </c:pt>
                <c:pt idx="2932">
                  <c:v>59623</c:v>
                </c:pt>
                <c:pt idx="2933">
                  <c:v>59630</c:v>
                </c:pt>
                <c:pt idx="2934">
                  <c:v>59637</c:v>
                </c:pt>
                <c:pt idx="2935">
                  <c:v>59644</c:v>
                </c:pt>
                <c:pt idx="2936">
                  <c:v>59651</c:v>
                </c:pt>
                <c:pt idx="2937">
                  <c:v>59658</c:v>
                </c:pt>
                <c:pt idx="2938">
                  <c:v>59665</c:v>
                </c:pt>
                <c:pt idx="2939">
                  <c:v>59672</c:v>
                </c:pt>
                <c:pt idx="2940">
                  <c:v>59679</c:v>
                </c:pt>
                <c:pt idx="2941">
                  <c:v>59686</c:v>
                </c:pt>
                <c:pt idx="2942">
                  <c:v>59693</c:v>
                </c:pt>
                <c:pt idx="2943">
                  <c:v>59700</c:v>
                </c:pt>
                <c:pt idx="2944">
                  <c:v>59707</c:v>
                </c:pt>
                <c:pt idx="2945">
                  <c:v>59714</c:v>
                </c:pt>
                <c:pt idx="2946">
                  <c:v>59721</c:v>
                </c:pt>
                <c:pt idx="2947">
                  <c:v>59728</c:v>
                </c:pt>
                <c:pt idx="2948">
                  <c:v>59735</c:v>
                </c:pt>
                <c:pt idx="2949">
                  <c:v>59742</c:v>
                </c:pt>
                <c:pt idx="2950">
                  <c:v>59749</c:v>
                </c:pt>
                <c:pt idx="2951">
                  <c:v>59756</c:v>
                </c:pt>
                <c:pt idx="2952">
                  <c:v>59763</c:v>
                </c:pt>
                <c:pt idx="2953">
                  <c:v>59770</c:v>
                </c:pt>
                <c:pt idx="2954">
                  <c:v>59777</c:v>
                </c:pt>
                <c:pt idx="2955">
                  <c:v>59784</c:v>
                </c:pt>
                <c:pt idx="2956">
                  <c:v>59791</c:v>
                </c:pt>
                <c:pt idx="2957">
                  <c:v>59798</c:v>
                </c:pt>
                <c:pt idx="2958">
                  <c:v>59805</c:v>
                </c:pt>
                <c:pt idx="2959">
                  <c:v>59812</c:v>
                </c:pt>
                <c:pt idx="2960">
                  <c:v>59819</c:v>
                </c:pt>
                <c:pt idx="2961">
                  <c:v>59826</c:v>
                </c:pt>
                <c:pt idx="2962">
                  <c:v>59833</c:v>
                </c:pt>
                <c:pt idx="2963">
                  <c:v>59840</c:v>
                </c:pt>
                <c:pt idx="2964">
                  <c:v>59847</c:v>
                </c:pt>
                <c:pt idx="2965">
                  <c:v>59854</c:v>
                </c:pt>
                <c:pt idx="2966">
                  <c:v>59861</c:v>
                </c:pt>
                <c:pt idx="2967">
                  <c:v>59868</c:v>
                </c:pt>
                <c:pt idx="2968">
                  <c:v>59875</c:v>
                </c:pt>
                <c:pt idx="2969">
                  <c:v>59882</c:v>
                </c:pt>
                <c:pt idx="2970">
                  <c:v>59889</c:v>
                </c:pt>
                <c:pt idx="2971">
                  <c:v>59897</c:v>
                </c:pt>
                <c:pt idx="2972">
                  <c:v>59904</c:v>
                </c:pt>
                <c:pt idx="2973">
                  <c:v>59911</c:v>
                </c:pt>
                <c:pt idx="2974">
                  <c:v>59918</c:v>
                </c:pt>
                <c:pt idx="2975">
                  <c:v>59925</c:v>
                </c:pt>
                <c:pt idx="2976">
                  <c:v>59932</c:v>
                </c:pt>
                <c:pt idx="2977">
                  <c:v>59939</c:v>
                </c:pt>
                <c:pt idx="2978">
                  <c:v>59946</c:v>
                </c:pt>
                <c:pt idx="2979">
                  <c:v>59953</c:v>
                </c:pt>
                <c:pt idx="2980">
                  <c:v>59960</c:v>
                </c:pt>
                <c:pt idx="2981">
                  <c:v>59967</c:v>
                </c:pt>
                <c:pt idx="2982">
                  <c:v>59974</c:v>
                </c:pt>
                <c:pt idx="2983">
                  <c:v>59981</c:v>
                </c:pt>
                <c:pt idx="2984">
                  <c:v>59988</c:v>
                </c:pt>
                <c:pt idx="2985">
                  <c:v>59995</c:v>
                </c:pt>
                <c:pt idx="2986">
                  <c:v>60002</c:v>
                </c:pt>
                <c:pt idx="2987">
                  <c:v>60009</c:v>
                </c:pt>
                <c:pt idx="2988">
                  <c:v>60016</c:v>
                </c:pt>
                <c:pt idx="2989">
                  <c:v>60024</c:v>
                </c:pt>
                <c:pt idx="2990">
                  <c:v>60031</c:v>
                </c:pt>
                <c:pt idx="2991">
                  <c:v>60038</c:v>
                </c:pt>
                <c:pt idx="2992">
                  <c:v>60045</c:v>
                </c:pt>
                <c:pt idx="2993">
                  <c:v>60052</c:v>
                </c:pt>
                <c:pt idx="2994">
                  <c:v>60059</c:v>
                </c:pt>
                <c:pt idx="2995">
                  <c:v>60066</c:v>
                </c:pt>
                <c:pt idx="2996">
                  <c:v>60073</c:v>
                </c:pt>
                <c:pt idx="2997">
                  <c:v>60080</c:v>
                </c:pt>
                <c:pt idx="2998">
                  <c:v>60087</c:v>
                </c:pt>
                <c:pt idx="2999">
                  <c:v>60094</c:v>
                </c:pt>
                <c:pt idx="3000">
                  <c:v>60101</c:v>
                </c:pt>
                <c:pt idx="3001">
                  <c:v>60108</c:v>
                </c:pt>
                <c:pt idx="3002">
                  <c:v>60115</c:v>
                </c:pt>
                <c:pt idx="3003">
                  <c:v>60122</c:v>
                </c:pt>
                <c:pt idx="3004">
                  <c:v>60129</c:v>
                </c:pt>
                <c:pt idx="3005">
                  <c:v>60136</c:v>
                </c:pt>
                <c:pt idx="3006">
                  <c:v>60143</c:v>
                </c:pt>
                <c:pt idx="3007">
                  <c:v>60150</c:v>
                </c:pt>
                <c:pt idx="3008">
                  <c:v>60157</c:v>
                </c:pt>
                <c:pt idx="3009">
                  <c:v>60164</c:v>
                </c:pt>
                <c:pt idx="3010">
                  <c:v>60171</c:v>
                </c:pt>
                <c:pt idx="3011">
                  <c:v>60178</c:v>
                </c:pt>
                <c:pt idx="3012">
                  <c:v>60185</c:v>
                </c:pt>
                <c:pt idx="3013">
                  <c:v>60192</c:v>
                </c:pt>
                <c:pt idx="3014">
                  <c:v>60199</c:v>
                </c:pt>
                <c:pt idx="3015">
                  <c:v>60206</c:v>
                </c:pt>
                <c:pt idx="3016">
                  <c:v>60213</c:v>
                </c:pt>
                <c:pt idx="3017">
                  <c:v>60220</c:v>
                </c:pt>
                <c:pt idx="3018">
                  <c:v>60227</c:v>
                </c:pt>
                <c:pt idx="3019">
                  <c:v>60234</c:v>
                </c:pt>
                <c:pt idx="3020">
                  <c:v>60241</c:v>
                </c:pt>
                <c:pt idx="3021">
                  <c:v>60248</c:v>
                </c:pt>
                <c:pt idx="3022">
                  <c:v>60255</c:v>
                </c:pt>
                <c:pt idx="3023">
                  <c:v>60265</c:v>
                </c:pt>
                <c:pt idx="3024">
                  <c:v>60272</c:v>
                </c:pt>
                <c:pt idx="3025">
                  <c:v>60279</c:v>
                </c:pt>
                <c:pt idx="3026">
                  <c:v>60286</c:v>
                </c:pt>
                <c:pt idx="3027">
                  <c:v>60293</c:v>
                </c:pt>
                <c:pt idx="3028">
                  <c:v>60300</c:v>
                </c:pt>
                <c:pt idx="3029">
                  <c:v>60307</c:v>
                </c:pt>
                <c:pt idx="3030">
                  <c:v>60314</c:v>
                </c:pt>
                <c:pt idx="3031">
                  <c:v>60321</c:v>
                </c:pt>
                <c:pt idx="3032">
                  <c:v>60328</c:v>
                </c:pt>
                <c:pt idx="3033">
                  <c:v>60335</c:v>
                </c:pt>
                <c:pt idx="3034">
                  <c:v>60342</c:v>
                </c:pt>
                <c:pt idx="3035">
                  <c:v>60349</c:v>
                </c:pt>
                <c:pt idx="3036">
                  <c:v>60357</c:v>
                </c:pt>
                <c:pt idx="3037">
                  <c:v>60364</c:v>
                </c:pt>
                <c:pt idx="3038">
                  <c:v>60371</c:v>
                </c:pt>
                <c:pt idx="3039">
                  <c:v>60378</c:v>
                </c:pt>
                <c:pt idx="3040">
                  <c:v>60385</c:v>
                </c:pt>
                <c:pt idx="3041">
                  <c:v>60392</c:v>
                </c:pt>
                <c:pt idx="3042">
                  <c:v>60399</c:v>
                </c:pt>
                <c:pt idx="3043">
                  <c:v>60406</c:v>
                </c:pt>
                <c:pt idx="3044">
                  <c:v>60413</c:v>
                </c:pt>
                <c:pt idx="3045">
                  <c:v>60420</c:v>
                </c:pt>
                <c:pt idx="3046">
                  <c:v>60427</c:v>
                </c:pt>
                <c:pt idx="3047">
                  <c:v>60434</c:v>
                </c:pt>
                <c:pt idx="3048">
                  <c:v>60441</c:v>
                </c:pt>
                <c:pt idx="3049">
                  <c:v>60448</c:v>
                </c:pt>
                <c:pt idx="3050">
                  <c:v>60455</c:v>
                </c:pt>
                <c:pt idx="3051">
                  <c:v>60462</c:v>
                </c:pt>
                <c:pt idx="3052">
                  <c:v>60469</c:v>
                </c:pt>
                <c:pt idx="3053">
                  <c:v>60476</c:v>
                </c:pt>
                <c:pt idx="3054">
                  <c:v>60483</c:v>
                </c:pt>
                <c:pt idx="3055">
                  <c:v>60490</c:v>
                </c:pt>
                <c:pt idx="3056">
                  <c:v>60497</c:v>
                </c:pt>
                <c:pt idx="3057">
                  <c:v>60504</c:v>
                </c:pt>
                <c:pt idx="3058">
                  <c:v>60511</c:v>
                </c:pt>
                <c:pt idx="3059">
                  <c:v>60518</c:v>
                </c:pt>
                <c:pt idx="3060">
                  <c:v>60525</c:v>
                </c:pt>
                <c:pt idx="3061">
                  <c:v>60532</c:v>
                </c:pt>
                <c:pt idx="3062">
                  <c:v>60539</c:v>
                </c:pt>
                <c:pt idx="3063">
                  <c:v>60546</c:v>
                </c:pt>
                <c:pt idx="3064">
                  <c:v>60553</c:v>
                </c:pt>
                <c:pt idx="3065">
                  <c:v>60560</c:v>
                </c:pt>
                <c:pt idx="3066">
                  <c:v>60567</c:v>
                </c:pt>
                <c:pt idx="3067">
                  <c:v>60574</c:v>
                </c:pt>
                <c:pt idx="3068">
                  <c:v>60581</c:v>
                </c:pt>
                <c:pt idx="3069">
                  <c:v>60588</c:v>
                </c:pt>
                <c:pt idx="3070">
                  <c:v>60595</c:v>
                </c:pt>
                <c:pt idx="3071">
                  <c:v>60602</c:v>
                </c:pt>
                <c:pt idx="3072">
                  <c:v>60609</c:v>
                </c:pt>
                <c:pt idx="3073">
                  <c:v>60616</c:v>
                </c:pt>
                <c:pt idx="3074">
                  <c:v>60623</c:v>
                </c:pt>
                <c:pt idx="3075">
                  <c:v>60630</c:v>
                </c:pt>
                <c:pt idx="3076">
                  <c:v>60637</c:v>
                </c:pt>
                <c:pt idx="3077">
                  <c:v>60644</c:v>
                </c:pt>
                <c:pt idx="3078">
                  <c:v>60651</c:v>
                </c:pt>
                <c:pt idx="3079">
                  <c:v>60658</c:v>
                </c:pt>
                <c:pt idx="3080">
                  <c:v>60665</c:v>
                </c:pt>
                <c:pt idx="3081">
                  <c:v>60672</c:v>
                </c:pt>
                <c:pt idx="3082">
                  <c:v>60679</c:v>
                </c:pt>
                <c:pt idx="3083">
                  <c:v>60686</c:v>
                </c:pt>
                <c:pt idx="3084">
                  <c:v>60693</c:v>
                </c:pt>
                <c:pt idx="3085">
                  <c:v>60700</c:v>
                </c:pt>
                <c:pt idx="3086">
                  <c:v>60707</c:v>
                </c:pt>
                <c:pt idx="3087">
                  <c:v>60714</c:v>
                </c:pt>
                <c:pt idx="3088">
                  <c:v>60721</c:v>
                </c:pt>
                <c:pt idx="3089">
                  <c:v>60728</c:v>
                </c:pt>
                <c:pt idx="3090">
                  <c:v>60735</c:v>
                </c:pt>
                <c:pt idx="3091">
                  <c:v>60742</c:v>
                </c:pt>
                <c:pt idx="3092">
                  <c:v>60749</c:v>
                </c:pt>
                <c:pt idx="3093">
                  <c:v>60756</c:v>
                </c:pt>
                <c:pt idx="3094">
                  <c:v>60763</c:v>
                </c:pt>
                <c:pt idx="3095">
                  <c:v>60770</c:v>
                </c:pt>
                <c:pt idx="3096">
                  <c:v>60777</c:v>
                </c:pt>
                <c:pt idx="3097">
                  <c:v>60784</c:v>
                </c:pt>
                <c:pt idx="3098">
                  <c:v>60791</c:v>
                </c:pt>
                <c:pt idx="3099">
                  <c:v>60798</c:v>
                </c:pt>
                <c:pt idx="3100">
                  <c:v>60805</c:v>
                </c:pt>
                <c:pt idx="3101">
                  <c:v>60812</c:v>
                </c:pt>
                <c:pt idx="3102">
                  <c:v>60819</c:v>
                </c:pt>
                <c:pt idx="3103">
                  <c:v>60826</c:v>
                </c:pt>
                <c:pt idx="3104">
                  <c:v>60833</c:v>
                </c:pt>
                <c:pt idx="3105">
                  <c:v>60840</c:v>
                </c:pt>
                <c:pt idx="3106">
                  <c:v>60847</c:v>
                </c:pt>
                <c:pt idx="3107">
                  <c:v>60854</c:v>
                </c:pt>
                <c:pt idx="3108">
                  <c:v>60861</c:v>
                </c:pt>
                <c:pt idx="3109">
                  <c:v>60868</c:v>
                </c:pt>
                <c:pt idx="3110">
                  <c:v>60875</c:v>
                </c:pt>
                <c:pt idx="3111">
                  <c:v>60882</c:v>
                </c:pt>
                <c:pt idx="3112">
                  <c:v>60889</c:v>
                </c:pt>
                <c:pt idx="3113">
                  <c:v>60896</c:v>
                </c:pt>
                <c:pt idx="3114">
                  <c:v>60903</c:v>
                </c:pt>
                <c:pt idx="3115">
                  <c:v>60910</c:v>
                </c:pt>
                <c:pt idx="3116">
                  <c:v>60917</c:v>
                </c:pt>
                <c:pt idx="3117">
                  <c:v>60924</c:v>
                </c:pt>
                <c:pt idx="3118">
                  <c:v>60931</c:v>
                </c:pt>
                <c:pt idx="3119">
                  <c:v>60938</c:v>
                </c:pt>
                <c:pt idx="3120">
                  <c:v>60945</c:v>
                </c:pt>
                <c:pt idx="3121">
                  <c:v>60952</c:v>
                </c:pt>
                <c:pt idx="3122">
                  <c:v>60959</c:v>
                </c:pt>
                <c:pt idx="3123">
                  <c:v>60966</c:v>
                </c:pt>
                <c:pt idx="3124">
                  <c:v>60973</c:v>
                </c:pt>
                <c:pt idx="3125">
                  <c:v>60980</c:v>
                </c:pt>
                <c:pt idx="3126">
                  <c:v>60987</c:v>
                </c:pt>
                <c:pt idx="3127">
                  <c:v>60994</c:v>
                </c:pt>
                <c:pt idx="3128">
                  <c:v>61001</c:v>
                </c:pt>
                <c:pt idx="3129">
                  <c:v>61008</c:v>
                </c:pt>
                <c:pt idx="3130">
                  <c:v>61015</c:v>
                </c:pt>
                <c:pt idx="3131">
                  <c:v>61022</c:v>
                </c:pt>
                <c:pt idx="3132">
                  <c:v>61029</c:v>
                </c:pt>
                <c:pt idx="3133">
                  <c:v>61036</c:v>
                </c:pt>
                <c:pt idx="3134">
                  <c:v>61043</c:v>
                </c:pt>
                <c:pt idx="3135">
                  <c:v>61050</c:v>
                </c:pt>
                <c:pt idx="3136">
                  <c:v>61057</c:v>
                </c:pt>
                <c:pt idx="3137">
                  <c:v>61064</c:v>
                </c:pt>
                <c:pt idx="3138">
                  <c:v>61071</c:v>
                </c:pt>
                <c:pt idx="3139">
                  <c:v>61078</c:v>
                </c:pt>
                <c:pt idx="3140">
                  <c:v>61085</c:v>
                </c:pt>
                <c:pt idx="3141">
                  <c:v>61092</c:v>
                </c:pt>
                <c:pt idx="3142">
                  <c:v>61099</c:v>
                </c:pt>
                <c:pt idx="3143">
                  <c:v>61106</c:v>
                </c:pt>
                <c:pt idx="3144">
                  <c:v>61113</c:v>
                </c:pt>
                <c:pt idx="3145">
                  <c:v>61120</c:v>
                </c:pt>
                <c:pt idx="3146">
                  <c:v>61127</c:v>
                </c:pt>
                <c:pt idx="3147">
                  <c:v>61134</c:v>
                </c:pt>
                <c:pt idx="3148">
                  <c:v>61141</c:v>
                </c:pt>
                <c:pt idx="3149">
                  <c:v>61148</c:v>
                </c:pt>
                <c:pt idx="3150">
                  <c:v>61155</c:v>
                </c:pt>
                <c:pt idx="3151">
                  <c:v>61162</c:v>
                </c:pt>
                <c:pt idx="3152">
                  <c:v>61169</c:v>
                </c:pt>
                <c:pt idx="3153">
                  <c:v>61176</c:v>
                </c:pt>
                <c:pt idx="3154">
                  <c:v>61183</c:v>
                </c:pt>
                <c:pt idx="3155">
                  <c:v>61190</c:v>
                </c:pt>
                <c:pt idx="3156">
                  <c:v>61197</c:v>
                </c:pt>
                <c:pt idx="3157">
                  <c:v>61204</c:v>
                </c:pt>
                <c:pt idx="3158">
                  <c:v>61211</c:v>
                </c:pt>
                <c:pt idx="3159">
                  <c:v>61218</c:v>
                </c:pt>
                <c:pt idx="3160">
                  <c:v>61225</c:v>
                </c:pt>
                <c:pt idx="3161">
                  <c:v>61232</c:v>
                </c:pt>
                <c:pt idx="3162">
                  <c:v>61239</c:v>
                </c:pt>
                <c:pt idx="3163">
                  <c:v>61246</c:v>
                </c:pt>
                <c:pt idx="3164">
                  <c:v>61253</c:v>
                </c:pt>
                <c:pt idx="3165">
                  <c:v>61260</c:v>
                </c:pt>
                <c:pt idx="3166">
                  <c:v>61267</c:v>
                </c:pt>
                <c:pt idx="3167">
                  <c:v>61274</c:v>
                </c:pt>
                <c:pt idx="3168">
                  <c:v>61281</c:v>
                </c:pt>
                <c:pt idx="3169">
                  <c:v>61288</c:v>
                </c:pt>
                <c:pt idx="3170">
                  <c:v>61295</c:v>
                </c:pt>
                <c:pt idx="3171">
                  <c:v>61302</c:v>
                </c:pt>
                <c:pt idx="3172">
                  <c:v>61309</c:v>
                </c:pt>
                <c:pt idx="3173">
                  <c:v>61316</c:v>
                </c:pt>
                <c:pt idx="3174">
                  <c:v>61323</c:v>
                </c:pt>
                <c:pt idx="3175">
                  <c:v>61330</c:v>
                </c:pt>
                <c:pt idx="3176">
                  <c:v>61337</c:v>
                </c:pt>
                <c:pt idx="3177">
                  <c:v>61344</c:v>
                </c:pt>
                <c:pt idx="3178">
                  <c:v>61351</c:v>
                </c:pt>
                <c:pt idx="3179">
                  <c:v>61358</c:v>
                </c:pt>
                <c:pt idx="3180">
                  <c:v>61365</c:v>
                </c:pt>
                <c:pt idx="3181">
                  <c:v>61372</c:v>
                </c:pt>
                <c:pt idx="3182">
                  <c:v>61379</c:v>
                </c:pt>
                <c:pt idx="3183">
                  <c:v>61386</c:v>
                </c:pt>
                <c:pt idx="3184">
                  <c:v>61393</c:v>
                </c:pt>
                <c:pt idx="3185">
                  <c:v>61400</c:v>
                </c:pt>
                <c:pt idx="3186">
                  <c:v>61407</c:v>
                </c:pt>
                <c:pt idx="3187">
                  <c:v>61414</c:v>
                </c:pt>
                <c:pt idx="3188">
                  <c:v>61421</c:v>
                </c:pt>
                <c:pt idx="3189">
                  <c:v>61428</c:v>
                </c:pt>
                <c:pt idx="3190">
                  <c:v>61435</c:v>
                </c:pt>
                <c:pt idx="3191">
                  <c:v>61442</c:v>
                </c:pt>
                <c:pt idx="3192">
                  <c:v>61449</c:v>
                </c:pt>
                <c:pt idx="3193">
                  <c:v>61456</c:v>
                </c:pt>
                <c:pt idx="3194">
                  <c:v>61463</c:v>
                </c:pt>
                <c:pt idx="3195">
                  <c:v>61470</c:v>
                </c:pt>
                <c:pt idx="3196">
                  <c:v>61477</c:v>
                </c:pt>
                <c:pt idx="3197">
                  <c:v>61485</c:v>
                </c:pt>
                <c:pt idx="3198">
                  <c:v>61492</c:v>
                </c:pt>
                <c:pt idx="3199">
                  <c:v>61499</c:v>
                </c:pt>
                <c:pt idx="3200">
                  <c:v>61506</c:v>
                </c:pt>
                <c:pt idx="3201">
                  <c:v>61513</c:v>
                </c:pt>
                <c:pt idx="3202">
                  <c:v>61520</c:v>
                </c:pt>
                <c:pt idx="3203">
                  <c:v>61527</c:v>
                </c:pt>
                <c:pt idx="3204">
                  <c:v>61534</c:v>
                </c:pt>
                <c:pt idx="3205">
                  <c:v>61541</c:v>
                </c:pt>
                <c:pt idx="3206">
                  <c:v>61548</c:v>
                </c:pt>
                <c:pt idx="3207">
                  <c:v>61555</c:v>
                </c:pt>
                <c:pt idx="3208">
                  <c:v>61562</c:v>
                </c:pt>
                <c:pt idx="3209">
                  <c:v>61569</c:v>
                </c:pt>
                <c:pt idx="3210">
                  <c:v>61576</c:v>
                </c:pt>
                <c:pt idx="3211">
                  <c:v>61583</c:v>
                </c:pt>
                <c:pt idx="3212">
                  <c:v>61590</c:v>
                </c:pt>
                <c:pt idx="3213">
                  <c:v>61597</c:v>
                </c:pt>
                <c:pt idx="3214">
                  <c:v>61604</c:v>
                </c:pt>
                <c:pt idx="3215">
                  <c:v>61611</c:v>
                </c:pt>
                <c:pt idx="3216">
                  <c:v>61618</c:v>
                </c:pt>
                <c:pt idx="3217">
                  <c:v>61625</c:v>
                </c:pt>
                <c:pt idx="3218">
                  <c:v>61632</c:v>
                </c:pt>
                <c:pt idx="3219">
                  <c:v>61639</c:v>
                </c:pt>
                <c:pt idx="3220">
                  <c:v>61646</c:v>
                </c:pt>
                <c:pt idx="3221">
                  <c:v>61653</c:v>
                </c:pt>
                <c:pt idx="3222">
                  <c:v>61660</c:v>
                </c:pt>
                <c:pt idx="3223">
                  <c:v>61667</c:v>
                </c:pt>
                <c:pt idx="3224">
                  <c:v>61674</c:v>
                </c:pt>
                <c:pt idx="3225">
                  <c:v>61681</c:v>
                </c:pt>
                <c:pt idx="3226">
                  <c:v>61688</c:v>
                </c:pt>
                <c:pt idx="3227">
                  <c:v>61695</c:v>
                </c:pt>
                <c:pt idx="3228">
                  <c:v>61702</c:v>
                </c:pt>
                <c:pt idx="3229">
                  <c:v>61709</c:v>
                </c:pt>
                <c:pt idx="3230">
                  <c:v>61716</c:v>
                </c:pt>
                <c:pt idx="3231">
                  <c:v>61724</c:v>
                </c:pt>
                <c:pt idx="3232">
                  <c:v>61731</c:v>
                </c:pt>
                <c:pt idx="3233">
                  <c:v>61738</c:v>
                </c:pt>
                <c:pt idx="3234">
                  <c:v>61745</c:v>
                </c:pt>
                <c:pt idx="3235">
                  <c:v>61752</c:v>
                </c:pt>
                <c:pt idx="3236">
                  <c:v>61759</c:v>
                </c:pt>
                <c:pt idx="3237">
                  <c:v>61766</c:v>
                </c:pt>
                <c:pt idx="3238">
                  <c:v>61773</c:v>
                </c:pt>
                <c:pt idx="3239">
                  <c:v>61780</c:v>
                </c:pt>
                <c:pt idx="3240">
                  <c:v>61787</c:v>
                </c:pt>
                <c:pt idx="3241">
                  <c:v>61794</c:v>
                </c:pt>
                <c:pt idx="3242">
                  <c:v>61801</c:v>
                </c:pt>
                <c:pt idx="3243">
                  <c:v>61808</c:v>
                </c:pt>
                <c:pt idx="3244">
                  <c:v>61815</c:v>
                </c:pt>
                <c:pt idx="3245">
                  <c:v>61822</c:v>
                </c:pt>
                <c:pt idx="3246">
                  <c:v>61829</c:v>
                </c:pt>
                <c:pt idx="3247">
                  <c:v>61836</c:v>
                </c:pt>
                <c:pt idx="3248">
                  <c:v>61843</c:v>
                </c:pt>
                <c:pt idx="3249">
                  <c:v>61850</c:v>
                </c:pt>
                <c:pt idx="3250">
                  <c:v>61857</c:v>
                </c:pt>
                <c:pt idx="3251">
                  <c:v>61864</c:v>
                </c:pt>
                <c:pt idx="3252">
                  <c:v>61871</c:v>
                </c:pt>
                <c:pt idx="3253">
                  <c:v>61878</c:v>
                </c:pt>
                <c:pt idx="3254">
                  <c:v>61885</c:v>
                </c:pt>
                <c:pt idx="3255">
                  <c:v>61892</c:v>
                </c:pt>
                <c:pt idx="3256">
                  <c:v>61899</c:v>
                </c:pt>
                <c:pt idx="3257">
                  <c:v>61906</c:v>
                </c:pt>
                <c:pt idx="3258">
                  <c:v>61913</c:v>
                </c:pt>
                <c:pt idx="3259">
                  <c:v>61920</c:v>
                </c:pt>
                <c:pt idx="3260">
                  <c:v>61927</c:v>
                </c:pt>
                <c:pt idx="3261">
                  <c:v>61934</c:v>
                </c:pt>
                <c:pt idx="3262">
                  <c:v>61941</c:v>
                </c:pt>
                <c:pt idx="3263">
                  <c:v>61948</c:v>
                </c:pt>
                <c:pt idx="3264">
                  <c:v>61955</c:v>
                </c:pt>
                <c:pt idx="3265">
                  <c:v>61962</c:v>
                </c:pt>
                <c:pt idx="3266">
                  <c:v>61969</c:v>
                </c:pt>
                <c:pt idx="3267">
                  <c:v>61976</c:v>
                </c:pt>
                <c:pt idx="3268">
                  <c:v>61983</c:v>
                </c:pt>
                <c:pt idx="3269">
                  <c:v>61990</c:v>
                </c:pt>
                <c:pt idx="3270">
                  <c:v>61997</c:v>
                </c:pt>
                <c:pt idx="3271">
                  <c:v>62004</c:v>
                </c:pt>
                <c:pt idx="3272">
                  <c:v>62011</c:v>
                </c:pt>
                <c:pt idx="3273">
                  <c:v>62018</c:v>
                </c:pt>
                <c:pt idx="3274">
                  <c:v>62025</c:v>
                </c:pt>
                <c:pt idx="3275">
                  <c:v>62032</c:v>
                </c:pt>
                <c:pt idx="3276">
                  <c:v>62039</c:v>
                </c:pt>
                <c:pt idx="3277">
                  <c:v>62046</c:v>
                </c:pt>
                <c:pt idx="3278">
                  <c:v>62053</c:v>
                </c:pt>
                <c:pt idx="3279">
                  <c:v>62060</c:v>
                </c:pt>
                <c:pt idx="3280">
                  <c:v>62067</c:v>
                </c:pt>
                <c:pt idx="3281">
                  <c:v>62074</c:v>
                </c:pt>
                <c:pt idx="3282">
                  <c:v>62081</c:v>
                </c:pt>
                <c:pt idx="3283">
                  <c:v>62089</c:v>
                </c:pt>
                <c:pt idx="3284">
                  <c:v>62096</c:v>
                </c:pt>
                <c:pt idx="3285">
                  <c:v>62103</c:v>
                </c:pt>
                <c:pt idx="3286">
                  <c:v>62110</c:v>
                </c:pt>
                <c:pt idx="3287">
                  <c:v>62117</c:v>
                </c:pt>
                <c:pt idx="3288">
                  <c:v>62124</c:v>
                </c:pt>
                <c:pt idx="3289">
                  <c:v>62131</c:v>
                </c:pt>
                <c:pt idx="3290">
                  <c:v>62138</c:v>
                </c:pt>
                <c:pt idx="3291">
                  <c:v>62145</c:v>
                </c:pt>
                <c:pt idx="3292">
                  <c:v>62152</c:v>
                </c:pt>
                <c:pt idx="3293">
                  <c:v>62159</c:v>
                </c:pt>
                <c:pt idx="3294">
                  <c:v>62166</c:v>
                </c:pt>
                <c:pt idx="3295">
                  <c:v>62173</c:v>
                </c:pt>
                <c:pt idx="3296">
                  <c:v>62184</c:v>
                </c:pt>
                <c:pt idx="3297">
                  <c:v>62191</c:v>
                </c:pt>
                <c:pt idx="3298">
                  <c:v>62198</c:v>
                </c:pt>
                <c:pt idx="3299">
                  <c:v>62205</c:v>
                </c:pt>
                <c:pt idx="3300">
                  <c:v>62212</c:v>
                </c:pt>
                <c:pt idx="3301">
                  <c:v>62219</c:v>
                </c:pt>
                <c:pt idx="3302">
                  <c:v>62226</c:v>
                </c:pt>
                <c:pt idx="3303">
                  <c:v>62233</c:v>
                </c:pt>
                <c:pt idx="3304">
                  <c:v>62240</c:v>
                </c:pt>
                <c:pt idx="3305">
                  <c:v>62247</c:v>
                </c:pt>
                <c:pt idx="3306">
                  <c:v>62254</c:v>
                </c:pt>
                <c:pt idx="3307">
                  <c:v>62261</c:v>
                </c:pt>
                <c:pt idx="3308">
                  <c:v>62268</c:v>
                </c:pt>
                <c:pt idx="3309">
                  <c:v>62276</c:v>
                </c:pt>
                <c:pt idx="3310">
                  <c:v>62283</c:v>
                </c:pt>
                <c:pt idx="3311">
                  <c:v>62290</c:v>
                </c:pt>
                <c:pt idx="3312">
                  <c:v>62297</c:v>
                </c:pt>
                <c:pt idx="3313">
                  <c:v>62304</c:v>
                </c:pt>
                <c:pt idx="3314">
                  <c:v>62311</c:v>
                </c:pt>
                <c:pt idx="3315">
                  <c:v>62318</c:v>
                </c:pt>
                <c:pt idx="3316">
                  <c:v>62325</c:v>
                </c:pt>
                <c:pt idx="3317">
                  <c:v>62332</c:v>
                </c:pt>
                <c:pt idx="3318">
                  <c:v>62339</c:v>
                </c:pt>
                <c:pt idx="3319">
                  <c:v>62346</c:v>
                </c:pt>
                <c:pt idx="3320">
                  <c:v>62353</c:v>
                </c:pt>
                <c:pt idx="3321">
                  <c:v>62360</c:v>
                </c:pt>
                <c:pt idx="3322">
                  <c:v>62368</c:v>
                </c:pt>
                <c:pt idx="3323">
                  <c:v>62375</c:v>
                </c:pt>
                <c:pt idx="3324">
                  <c:v>62382</c:v>
                </c:pt>
                <c:pt idx="3325">
                  <c:v>62389</c:v>
                </c:pt>
                <c:pt idx="3326">
                  <c:v>62396</c:v>
                </c:pt>
                <c:pt idx="3327">
                  <c:v>62403</c:v>
                </c:pt>
                <c:pt idx="3328">
                  <c:v>62410</c:v>
                </c:pt>
                <c:pt idx="3329">
                  <c:v>62417</c:v>
                </c:pt>
                <c:pt idx="3330">
                  <c:v>62424</c:v>
                </c:pt>
                <c:pt idx="3331">
                  <c:v>62431</c:v>
                </c:pt>
                <c:pt idx="3332">
                  <c:v>62438</c:v>
                </c:pt>
                <c:pt idx="3333">
                  <c:v>62445</c:v>
                </c:pt>
                <c:pt idx="3334">
                  <c:v>62456</c:v>
                </c:pt>
                <c:pt idx="3335">
                  <c:v>62463</c:v>
                </c:pt>
                <c:pt idx="3336">
                  <c:v>62470</c:v>
                </c:pt>
                <c:pt idx="3337">
                  <c:v>62477</c:v>
                </c:pt>
                <c:pt idx="3338">
                  <c:v>62484</c:v>
                </c:pt>
                <c:pt idx="3339">
                  <c:v>62491</c:v>
                </c:pt>
                <c:pt idx="3340">
                  <c:v>62498</c:v>
                </c:pt>
                <c:pt idx="3341">
                  <c:v>62505</c:v>
                </c:pt>
                <c:pt idx="3342">
                  <c:v>62512</c:v>
                </c:pt>
                <c:pt idx="3343">
                  <c:v>62519</c:v>
                </c:pt>
                <c:pt idx="3344">
                  <c:v>62526</c:v>
                </c:pt>
                <c:pt idx="3345">
                  <c:v>62533</c:v>
                </c:pt>
                <c:pt idx="3346">
                  <c:v>62540</c:v>
                </c:pt>
                <c:pt idx="3347">
                  <c:v>62547</c:v>
                </c:pt>
                <c:pt idx="3348">
                  <c:v>62554</c:v>
                </c:pt>
                <c:pt idx="3349">
                  <c:v>62561</c:v>
                </c:pt>
                <c:pt idx="3350">
                  <c:v>62569</c:v>
                </c:pt>
                <c:pt idx="3351">
                  <c:v>62576</c:v>
                </c:pt>
                <c:pt idx="3352">
                  <c:v>62583</c:v>
                </c:pt>
                <c:pt idx="3353">
                  <c:v>62590</c:v>
                </c:pt>
                <c:pt idx="3354">
                  <c:v>62597</c:v>
                </c:pt>
                <c:pt idx="3355">
                  <c:v>62604</c:v>
                </c:pt>
                <c:pt idx="3356">
                  <c:v>62611</c:v>
                </c:pt>
                <c:pt idx="3357">
                  <c:v>62618</c:v>
                </c:pt>
                <c:pt idx="3358">
                  <c:v>62625</c:v>
                </c:pt>
                <c:pt idx="3359">
                  <c:v>62632</c:v>
                </c:pt>
                <c:pt idx="3360">
                  <c:v>62639</c:v>
                </c:pt>
                <c:pt idx="3361">
                  <c:v>62646</c:v>
                </c:pt>
                <c:pt idx="3362">
                  <c:v>62653</c:v>
                </c:pt>
                <c:pt idx="3363">
                  <c:v>62660</c:v>
                </c:pt>
                <c:pt idx="3364">
                  <c:v>62667</c:v>
                </c:pt>
                <c:pt idx="3365">
                  <c:v>62674</c:v>
                </c:pt>
                <c:pt idx="3366">
                  <c:v>62681</c:v>
                </c:pt>
                <c:pt idx="3367">
                  <c:v>62688</c:v>
                </c:pt>
                <c:pt idx="3368">
                  <c:v>62695</c:v>
                </c:pt>
                <c:pt idx="3369">
                  <c:v>62702</c:v>
                </c:pt>
                <c:pt idx="3370">
                  <c:v>62709</c:v>
                </c:pt>
                <c:pt idx="3371">
                  <c:v>62716</c:v>
                </c:pt>
                <c:pt idx="3372">
                  <c:v>62723</c:v>
                </c:pt>
                <c:pt idx="3373">
                  <c:v>62730</c:v>
                </c:pt>
                <c:pt idx="3374">
                  <c:v>62737</c:v>
                </c:pt>
                <c:pt idx="3375">
                  <c:v>62744</c:v>
                </c:pt>
                <c:pt idx="3376">
                  <c:v>62751</c:v>
                </c:pt>
                <c:pt idx="3377">
                  <c:v>62758</c:v>
                </c:pt>
                <c:pt idx="3378">
                  <c:v>62765</c:v>
                </c:pt>
                <c:pt idx="3379">
                  <c:v>62772</c:v>
                </c:pt>
                <c:pt idx="3380">
                  <c:v>62779</c:v>
                </c:pt>
                <c:pt idx="3381">
                  <c:v>62786</c:v>
                </c:pt>
                <c:pt idx="3382">
                  <c:v>62793</c:v>
                </c:pt>
                <c:pt idx="3383">
                  <c:v>62800</c:v>
                </c:pt>
                <c:pt idx="3384">
                  <c:v>62807</c:v>
                </c:pt>
                <c:pt idx="3385">
                  <c:v>62814</c:v>
                </c:pt>
                <c:pt idx="3386">
                  <c:v>62821</c:v>
                </c:pt>
                <c:pt idx="3387">
                  <c:v>62828</c:v>
                </c:pt>
                <c:pt idx="3388">
                  <c:v>62835</c:v>
                </c:pt>
                <c:pt idx="3389">
                  <c:v>62842</c:v>
                </c:pt>
                <c:pt idx="3390">
                  <c:v>62849</c:v>
                </c:pt>
                <c:pt idx="3391">
                  <c:v>62856</c:v>
                </c:pt>
                <c:pt idx="3392">
                  <c:v>62863</c:v>
                </c:pt>
                <c:pt idx="3393">
                  <c:v>62870</c:v>
                </c:pt>
                <c:pt idx="3394">
                  <c:v>62877</c:v>
                </c:pt>
                <c:pt idx="3395">
                  <c:v>62884</c:v>
                </c:pt>
                <c:pt idx="3396">
                  <c:v>62891</c:v>
                </c:pt>
                <c:pt idx="3397">
                  <c:v>62898</c:v>
                </c:pt>
                <c:pt idx="3398">
                  <c:v>62905</c:v>
                </c:pt>
                <c:pt idx="3399">
                  <c:v>62912</c:v>
                </c:pt>
                <c:pt idx="3400">
                  <c:v>62919</c:v>
                </c:pt>
                <c:pt idx="3401">
                  <c:v>62926</c:v>
                </c:pt>
                <c:pt idx="3402">
                  <c:v>62933</c:v>
                </c:pt>
                <c:pt idx="3403">
                  <c:v>62940</c:v>
                </c:pt>
                <c:pt idx="3404">
                  <c:v>62947</c:v>
                </c:pt>
                <c:pt idx="3405">
                  <c:v>62954</c:v>
                </c:pt>
                <c:pt idx="3406">
                  <c:v>62961</c:v>
                </c:pt>
                <c:pt idx="3407">
                  <c:v>62968</c:v>
                </c:pt>
                <c:pt idx="3408">
                  <c:v>62975</c:v>
                </c:pt>
                <c:pt idx="3409">
                  <c:v>62982</c:v>
                </c:pt>
                <c:pt idx="3410">
                  <c:v>62989</c:v>
                </c:pt>
                <c:pt idx="3411">
                  <c:v>62996</c:v>
                </c:pt>
                <c:pt idx="3412">
                  <c:v>63003</c:v>
                </c:pt>
                <c:pt idx="3413">
                  <c:v>63010</c:v>
                </c:pt>
                <c:pt idx="3414">
                  <c:v>63017</c:v>
                </c:pt>
                <c:pt idx="3415">
                  <c:v>63024</c:v>
                </c:pt>
                <c:pt idx="3416">
                  <c:v>63031</c:v>
                </c:pt>
                <c:pt idx="3417">
                  <c:v>63038</c:v>
                </c:pt>
                <c:pt idx="3418">
                  <c:v>63045</c:v>
                </c:pt>
                <c:pt idx="3419">
                  <c:v>63052</c:v>
                </c:pt>
                <c:pt idx="3420">
                  <c:v>63059</c:v>
                </c:pt>
                <c:pt idx="3421">
                  <c:v>63066</c:v>
                </c:pt>
                <c:pt idx="3422">
                  <c:v>63073</c:v>
                </c:pt>
                <c:pt idx="3423">
                  <c:v>63080</c:v>
                </c:pt>
                <c:pt idx="3424">
                  <c:v>63087</c:v>
                </c:pt>
                <c:pt idx="3425">
                  <c:v>63094</c:v>
                </c:pt>
                <c:pt idx="3426">
                  <c:v>63101</c:v>
                </c:pt>
                <c:pt idx="3427">
                  <c:v>63108</c:v>
                </c:pt>
                <c:pt idx="3428">
                  <c:v>63115</c:v>
                </c:pt>
                <c:pt idx="3429">
                  <c:v>63122</c:v>
                </c:pt>
                <c:pt idx="3430">
                  <c:v>63129</c:v>
                </c:pt>
                <c:pt idx="3431">
                  <c:v>63136</c:v>
                </c:pt>
                <c:pt idx="3432">
                  <c:v>63143</c:v>
                </c:pt>
                <c:pt idx="3433">
                  <c:v>63150</c:v>
                </c:pt>
                <c:pt idx="3434">
                  <c:v>63157</c:v>
                </c:pt>
                <c:pt idx="3435">
                  <c:v>63164</c:v>
                </c:pt>
                <c:pt idx="3436">
                  <c:v>63171</c:v>
                </c:pt>
                <c:pt idx="3437">
                  <c:v>63178</c:v>
                </c:pt>
                <c:pt idx="3438">
                  <c:v>63185</c:v>
                </c:pt>
                <c:pt idx="3439">
                  <c:v>63192</c:v>
                </c:pt>
                <c:pt idx="3440">
                  <c:v>63199</c:v>
                </c:pt>
                <c:pt idx="3441">
                  <c:v>63206</c:v>
                </c:pt>
                <c:pt idx="3442">
                  <c:v>63213</c:v>
                </c:pt>
                <c:pt idx="3443">
                  <c:v>63220</c:v>
                </c:pt>
                <c:pt idx="3444">
                  <c:v>63227</c:v>
                </c:pt>
                <c:pt idx="3445">
                  <c:v>63234</c:v>
                </c:pt>
                <c:pt idx="3446">
                  <c:v>63241</c:v>
                </c:pt>
                <c:pt idx="3447">
                  <c:v>63248</c:v>
                </c:pt>
                <c:pt idx="3448">
                  <c:v>63255</c:v>
                </c:pt>
                <c:pt idx="3449">
                  <c:v>63262</c:v>
                </c:pt>
                <c:pt idx="3450">
                  <c:v>63269</c:v>
                </c:pt>
                <c:pt idx="3451">
                  <c:v>63276</c:v>
                </c:pt>
                <c:pt idx="3452">
                  <c:v>63283</c:v>
                </c:pt>
                <c:pt idx="3453">
                  <c:v>63290</c:v>
                </c:pt>
                <c:pt idx="3454">
                  <c:v>63297</c:v>
                </c:pt>
                <c:pt idx="3455">
                  <c:v>63304</c:v>
                </c:pt>
                <c:pt idx="3456">
                  <c:v>63311</c:v>
                </c:pt>
                <c:pt idx="3457">
                  <c:v>63318</c:v>
                </c:pt>
                <c:pt idx="3458">
                  <c:v>63325</c:v>
                </c:pt>
                <c:pt idx="3459">
                  <c:v>63332</c:v>
                </c:pt>
                <c:pt idx="3460">
                  <c:v>63339</c:v>
                </c:pt>
                <c:pt idx="3461">
                  <c:v>63346</c:v>
                </c:pt>
                <c:pt idx="3462">
                  <c:v>63353</c:v>
                </c:pt>
                <c:pt idx="3463">
                  <c:v>63360</c:v>
                </c:pt>
                <c:pt idx="3464">
                  <c:v>63367</c:v>
                </c:pt>
                <c:pt idx="3465">
                  <c:v>63374</c:v>
                </c:pt>
                <c:pt idx="3466">
                  <c:v>63381</c:v>
                </c:pt>
                <c:pt idx="3467">
                  <c:v>63388</c:v>
                </c:pt>
                <c:pt idx="3468">
                  <c:v>63395</c:v>
                </c:pt>
                <c:pt idx="3469">
                  <c:v>63402</c:v>
                </c:pt>
                <c:pt idx="3470">
                  <c:v>63409</c:v>
                </c:pt>
                <c:pt idx="3471">
                  <c:v>63416</c:v>
                </c:pt>
                <c:pt idx="3472">
                  <c:v>63423</c:v>
                </c:pt>
                <c:pt idx="3473">
                  <c:v>63430</c:v>
                </c:pt>
                <c:pt idx="3474">
                  <c:v>63437</c:v>
                </c:pt>
                <c:pt idx="3475">
                  <c:v>63444</c:v>
                </c:pt>
                <c:pt idx="3476">
                  <c:v>63451</c:v>
                </c:pt>
                <c:pt idx="3477">
                  <c:v>63458</c:v>
                </c:pt>
                <c:pt idx="3478">
                  <c:v>63465</c:v>
                </c:pt>
                <c:pt idx="3479">
                  <c:v>63472</c:v>
                </c:pt>
                <c:pt idx="3480">
                  <c:v>63479</c:v>
                </c:pt>
                <c:pt idx="3481">
                  <c:v>63486</c:v>
                </c:pt>
                <c:pt idx="3482">
                  <c:v>63493</c:v>
                </c:pt>
                <c:pt idx="3483">
                  <c:v>63500</c:v>
                </c:pt>
                <c:pt idx="3484">
                  <c:v>63507</c:v>
                </c:pt>
                <c:pt idx="3485">
                  <c:v>63514</c:v>
                </c:pt>
                <c:pt idx="3486">
                  <c:v>63521</c:v>
                </c:pt>
                <c:pt idx="3487">
                  <c:v>63528</c:v>
                </c:pt>
                <c:pt idx="3488">
                  <c:v>63535</c:v>
                </c:pt>
                <c:pt idx="3489">
                  <c:v>63542</c:v>
                </c:pt>
                <c:pt idx="3490">
                  <c:v>63550</c:v>
                </c:pt>
                <c:pt idx="3491">
                  <c:v>63557</c:v>
                </c:pt>
                <c:pt idx="3492">
                  <c:v>63564</c:v>
                </c:pt>
                <c:pt idx="3493">
                  <c:v>63571</c:v>
                </c:pt>
                <c:pt idx="3494">
                  <c:v>63578</c:v>
                </c:pt>
                <c:pt idx="3495">
                  <c:v>63585</c:v>
                </c:pt>
                <c:pt idx="3496">
                  <c:v>63592</c:v>
                </c:pt>
                <c:pt idx="3497">
                  <c:v>63599</c:v>
                </c:pt>
                <c:pt idx="3498">
                  <c:v>63606</c:v>
                </c:pt>
                <c:pt idx="3499">
                  <c:v>63613</c:v>
                </c:pt>
                <c:pt idx="3500">
                  <c:v>63620</c:v>
                </c:pt>
                <c:pt idx="3501">
                  <c:v>63627</c:v>
                </c:pt>
                <c:pt idx="3502">
                  <c:v>63634</c:v>
                </c:pt>
                <c:pt idx="3503">
                  <c:v>63641</c:v>
                </c:pt>
                <c:pt idx="3504">
                  <c:v>63648</c:v>
                </c:pt>
                <c:pt idx="3505">
                  <c:v>63655</c:v>
                </c:pt>
                <c:pt idx="3506">
                  <c:v>63662</c:v>
                </c:pt>
                <c:pt idx="3507">
                  <c:v>63669</c:v>
                </c:pt>
                <c:pt idx="3508">
                  <c:v>63676</c:v>
                </c:pt>
                <c:pt idx="3509">
                  <c:v>63683</c:v>
                </c:pt>
                <c:pt idx="3510">
                  <c:v>63690</c:v>
                </c:pt>
                <c:pt idx="3511">
                  <c:v>63697</c:v>
                </c:pt>
                <c:pt idx="3512">
                  <c:v>63704</c:v>
                </c:pt>
                <c:pt idx="3513">
                  <c:v>63711</c:v>
                </c:pt>
                <c:pt idx="3514">
                  <c:v>63718</c:v>
                </c:pt>
                <c:pt idx="3515">
                  <c:v>63725</c:v>
                </c:pt>
                <c:pt idx="3516">
                  <c:v>63732</c:v>
                </c:pt>
                <c:pt idx="3517">
                  <c:v>63739</c:v>
                </c:pt>
                <c:pt idx="3518">
                  <c:v>63746</c:v>
                </c:pt>
                <c:pt idx="3519">
                  <c:v>63753</c:v>
                </c:pt>
                <c:pt idx="3520">
                  <c:v>63760</c:v>
                </c:pt>
                <c:pt idx="3521">
                  <c:v>63767</c:v>
                </c:pt>
                <c:pt idx="3522">
                  <c:v>63774</c:v>
                </c:pt>
                <c:pt idx="3523">
                  <c:v>63781</c:v>
                </c:pt>
                <c:pt idx="3524">
                  <c:v>63788</c:v>
                </c:pt>
                <c:pt idx="3525">
                  <c:v>63795</c:v>
                </c:pt>
                <c:pt idx="3526">
                  <c:v>63802</c:v>
                </c:pt>
                <c:pt idx="3527">
                  <c:v>63809</c:v>
                </c:pt>
                <c:pt idx="3528">
                  <c:v>63816</c:v>
                </c:pt>
                <c:pt idx="3529">
                  <c:v>63823</c:v>
                </c:pt>
                <c:pt idx="3530">
                  <c:v>63830</c:v>
                </c:pt>
                <c:pt idx="3531">
                  <c:v>63837</c:v>
                </c:pt>
                <c:pt idx="3532">
                  <c:v>63844</c:v>
                </c:pt>
                <c:pt idx="3533">
                  <c:v>63851</c:v>
                </c:pt>
              </c:numCache>
            </c:numRef>
          </c:cat>
          <c:val>
            <c:numRef>
              <c:f>Monitor!$Y$19:$Y$3552</c:f>
              <c:numCache>
                <c:formatCode>0.0000%</c:formatCode>
                <c:ptCount val="3534"/>
                <c:pt idx="0">
                  <c:v>2.1029000000000017E-3</c:v>
                </c:pt>
                <c:pt idx="1">
                  <c:v>2.1030589915845346E-3</c:v>
                </c:pt>
                <c:pt idx="2">
                  <c:v>2.1035681637976422E-3</c:v>
                </c:pt>
                <c:pt idx="3">
                  <c:v>2.1052381650818117E-3</c:v>
                </c:pt>
                <c:pt idx="4">
                  <c:v>2.1054639927548867E-3</c:v>
                </c:pt>
                <c:pt idx="5">
                  <c:v>2.1056994524023915E-3</c:v>
                </c:pt>
                <c:pt idx="6">
                  <c:v>2.1070541195231801E-3</c:v>
                </c:pt>
                <c:pt idx="7">
                  <c:v>2.1073187849906007E-3</c:v>
                </c:pt>
                <c:pt idx="8">
                  <c:v>2.1088858457121162E-3</c:v>
                </c:pt>
                <c:pt idx="9">
                  <c:v>2.110171508210283E-3</c:v>
                </c:pt>
                <c:pt idx="10">
                  <c:v>2.1113694643235675E-3</c:v>
                </c:pt>
                <c:pt idx="11">
                  <c:v>2.1116943863961775E-3</c:v>
                </c:pt>
                <c:pt idx="12">
                  <c:v>2.1131724562587495E-3</c:v>
                </c:pt>
                <c:pt idx="13">
                  <c:v>2.1137085563179836E-3</c:v>
                </c:pt>
                <c:pt idx="14">
                  <c:v>2.1142152608155293E-3</c:v>
                </c:pt>
                <c:pt idx="15">
                  <c:v>2.1148980521277019E-3</c:v>
                </c:pt>
                <c:pt idx="16">
                  <c:v>2.1152118180522267E-3</c:v>
                </c:pt>
                <c:pt idx="17">
                  <c:v>2.1161873641319571E-3</c:v>
                </c:pt>
                <c:pt idx="18">
                  <c:v>2.1164454038166509E-3</c:v>
                </c:pt>
                <c:pt idx="19">
                  <c:v>2.116649950794784E-3</c:v>
                </c:pt>
                <c:pt idx="20">
                  <c:v>2.1165329078188383E-3</c:v>
                </c:pt>
                <c:pt idx="21">
                  <c:v>2.1167284025633911E-3</c:v>
                </c:pt>
                <c:pt idx="22">
                  <c:v>2.1167498093842925E-3</c:v>
                </c:pt>
                <c:pt idx="23">
                  <c:v>2.1162574904063799E-3</c:v>
                </c:pt>
                <c:pt idx="24">
                  <c:v>2.1151369978173085E-3</c:v>
                </c:pt>
                <c:pt idx="25">
                  <c:v>2.1133491751351885E-3</c:v>
                </c:pt>
                <c:pt idx="26">
                  <c:v>2.11260493871517E-3</c:v>
                </c:pt>
                <c:pt idx="27">
                  <c:v>2.1105107704531539E-3</c:v>
                </c:pt>
                <c:pt idx="28">
                  <c:v>2.1102314131324351E-3</c:v>
                </c:pt>
                <c:pt idx="29">
                  <c:v>2.1099273430732588E-3</c:v>
                </c:pt>
                <c:pt idx="30">
                  <c:v>2.1065824182245787E-3</c:v>
                </c:pt>
                <c:pt idx="31">
                  <c:v>2.1053191479895646E-3</c:v>
                </c:pt>
                <c:pt idx="32">
                  <c:v>2.1021868167407851E-3</c:v>
                </c:pt>
                <c:pt idx="33">
                  <c:v>2.1016479891198397E-3</c:v>
                </c:pt>
                <c:pt idx="34">
                  <c:v>2.1010844517732608E-3</c:v>
                </c:pt>
                <c:pt idx="35">
                  <c:v>2.0961824278508518E-3</c:v>
                </c:pt>
                <c:pt idx="36">
                  <c:v>2.0944001249747061E-3</c:v>
                </c:pt>
                <c:pt idx="37">
                  <c:v>2.090229592137604E-3</c:v>
                </c:pt>
                <c:pt idx="38">
                  <c:v>2.089431315486015E-3</c:v>
                </c:pt>
                <c:pt idx="39">
                  <c:v>2.088608332100375E-3</c:v>
                </c:pt>
                <c:pt idx="40">
                  <c:v>2.0821492136428284E-3</c:v>
                </c:pt>
                <c:pt idx="41">
                  <c:v>2.0798478797726208E-3</c:v>
                </c:pt>
                <c:pt idx="42">
                  <c:v>2.0788519463855737E-3</c:v>
                </c:pt>
                <c:pt idx="43">
                  <c:v>2.0778313088027373E-3</c:v>
                </c:pt>
                <c:pt idx="44">
                  <c:v>2.0767859674417077E-3</c:v>
                </c:pt>
                <c:pt idx="45">
                  <c:v>2.0662097364286076E-3</c:v>
                </c:pt>
                <c:pt idx="46">
                  <c:v>2.063544369847718E-3</c:v>
                </c:pt>
                <c:pt idx="47">
                  <c:v>2.0608515013514905E-3</c:v>
                </c:pt>
                <c:pt idx="48">
                  <c:v>2.0553129844140886E-3</c:v>
                </c:pt>
                <c:pt idx="49">
                  <c:v>2.0540103492427248E-3</c:v>
                </c:pt>
                <c:pt idx="50">
                  <c:v>2.0472467237039327E-3</c:v>
                </c:pt>
                <c:pt idx="51">
                  <c:v>2.0445520997560696E-3</c:v>
                </c:pt>
                <c:pt idx="52">
                  <c:v>2.04188439250456E-3</c:v>
                </c:pt>
                <c:pt idx="53">
                  <c:v>2.0369498143781722E-3</c:v>
                </c:pt>
                <c:pt idx="54">
                  <c:v>2.0355410958384384E-3</c:v>
                </c:pt>
                <c:pt idx="55">
                  <c:v>2.0292216986269227E-3</c:v>
                </c:pt>
                <c:pt idx="56">
                  <c:v>2.0268787466186655E-3</c:v>
                </c:pt>
                <c:pt idx="57">
                  <c:v>2.0246171296077753E-3</c:v>
                </c:pt>
                <c:pt idx="58">
                  <c:v>2.0210245670567242E-3</c:v>
                </c:pt>
                <c:pt idx="59">
                  <c:v>2.0197055924564555E-3</c:v>
                </c:pt>
                <c:pt idx="60">
                  <c:v>2.0148011601246836E-3</c:v>
                </c:pt>
                <c:pt idx="61">
                  <c:v>2.0120745457253711E-3</c:v>
                </c:pt>
                <c:pt idx="62">
                  <c:v>2.0110359251426031E-3</c:v>
                </c:pt>
                <c:pt idx="63">
                  <c:v>2.0100371054326827E-3</c:v>
                </c:pt>
                <c:pt idx="64">
                  <c:v>2.0090013305638288E-3</c:v>
                </c:pt>
                <c:pt idx="65">
                  <c:v>2.0069047681497976E-3</c:v>
                </c:pt>
                <c:pt idx="66">
                  <c:v>2.0062689455474336E-3</c:v>
                </c:pt>
                <c:pt idx="67">
                  <c:v>2.0066751456080927E-3</c:v>
                </c:pt>
                <c:pt idx="68">
                  <c:v>2.0062249103545288E-3</c:v>
                </c:pt>
                <c:pt idx="69">
                  <c:v>2.0058277053096453E-3</c:v>
                </c:pt>
                <c:pt idx="70">
                  <c:v>2.0068181478495998E-3</c:v>
                </c:pt>
                <c:pt idx="71">
                  <c:v>2.0074664471412692E-3</c:v>
                </c:pt>
                <c:pt idx="72">
                  <c:v>2.0100997475459804E-3</c:v>
                </c:pt>
                <c:pt idx="73">
                  <c:v>2.0102062620792893E-3</c:v>
                </c:pt>
                <c:pt idx="74">
                  <c:v>2.0103658007068893E-3</c:v>
                </c:pt>
                <c:pt idx="75">
                  <c:v>2.0146968387103935E-3</c:v>
                </c:pt>
                <c:pt idx="76">
                  <c:v>2.0164586703966705E-3</c:v>
                </c:pt>
                <c:pt idx="77">
                  <c:v>2.0213191614523811E-3</c:v>
                </c:pt>
                <c:pt idx="78">
                  <c:v>2.0219823834813702E-3</c:v>
                </c:pt>
                <c:pt idx="79">
                  <c:v>2.022698623525214E-3</c:v>
                </c:pt>
                <c:pt idx="80">
                  <c:v>2.0303702655884025E-3</c:v>
                </c:pt>
                <c:pt idx="81">
                  <c:v>2.0332456331725777E-3</c:v>
                </c:pt>
                <c:pt idx="82">
                  <c:v>2.040333411041928E-3</c:v>
                </c:pt>
                <c:pt idx="83">
                  <c:v>2.053838459610627E-3</c:v>
                </c:pt>
                <c:pt idx="84">
                  <c:v>2.0578273687999276E-3</c:v>
                </c:pt>
                <c:pt idx="85">
                  <c:v>2.0594713481183842E-3</c:v>
                </c:pt>
                <c:pt idx="86">
                  <c:v>2.0707485648585244E-3</c:v>
                </c:pt>
                <c:pt idx="87">
                  <c:v>2.0851014673760639E-3</c:v>
                </c:pt>
                <c:pt idx="88">
                  <c:v>2.0902039260947245E-3</c:v>
                </c:pt>
                <c:pt idx="89">
                  <c:v>2.1017465945309551E-3</c:v>
                </c:pt>
                <c:pt idx="90">
                  <c:v>2.1040796870215248E-3</c:v>
                </c:pt>
                <c:pt idx="91">
                  <c:v>2.1064657787885121E-3</c:v>
                </c:pt>
                <c:pt idx="92">
                  <c:v>2.1241593509661646E-3</c:v>
                </c:pt>
                <c:pt idx="93">
                  <c:v>2.1303753693449703E-3</c:v>
                </c:pt>
                <c:pt idx="94">
                  <c:v>2.1441456582420178E-3</c:v>
                </c:pt>
                <c:pt idx="95">
                  <c:v>2.1470352882891827E-3</c:v>
                </c:pt>
                <c:pt idx="96">
                  <c:v>2.149977910964356E-3</c:v>
                </c:pt>
                <c:pt idx="97">
                  <c:v>2.1710121879396057E-3</c:v>
                </c:pt>
                <c:pt idx="98">
                  <c:v>2.1783417783211201E-3</c:v>
                </c:pt>
                <c:pt idx="99">
                  <c:v>2.1943398172765828E-3</c:v>
                </c:pt>
                <c:pt idx="100">
                  <c:v>2.1977859397024138E-3</c:v>
                </c:pt>
                <c:pt idx="101">
                  <c:v>2.2012850477918485E-3</c:v>
                </c:pt>
                <c:pt idx="102">
                  <c:v>2.2256600713322881E-3</c:v>
                </c:pt>
                <c:pt idx="103">
                  <c:v>2.2341032482708556E-3</c:v>
                </c:pt>
                <c:pt idx="104">
                  <c:v>2.2379733072646442E-3</c:v>
                </c:pt>
                <c:pt idx="105">
                  <c:v>2.241896345678859E-3</c:v>
                </c:pt>
                <c:pt idx="106">
                  <c:v>2.24587236246933E-3</c:v>
                </c:pt>
                <c:pt idx="107">
                  <c:v>2.2728620138788369E-3</c:v>
                </c:pt>
                <c:pt idx="108">
                  <c:v>2.2821665939493879E-3</c:v>
                </c:pt>
                <c:pt idx="109">
                  <c:v>2.2916215693541803E-3</c:v>
                </c:pt>
                <c:pt idx="110">
                  <c:v>2.3012247684118087E-3</c:v>
                </c:pt>
                <c:pt idx="111">
                  <c:v>2.3109740194379724E-3</c:v>
                </c:pt>
                <c:pt idx="112">
                  <c:v>2.3410763674673002E-3</c:v>
                </c:pt>
                <c:pt idx="113">
                  <c:v>2.3513881095014416E-3</c:v>
                </c:pt>
                <c:pt idx="114">
                  <c:v>2.3618350450623532E-3</c:v>
                </c:pt>
                <c:pt idx="115">
                  <c:v>2.372415002451262E-3</c:v>
                </c:pt>
                <c:pt idx="116">
                  <c:v>2.3831258099693948E-3</c:v>
                </c:pt>
                <c:pt idx="117">
                  <c:v>2.4160216162766707E-3</c:v>
                </c:pt>
                <c:pt idx="118">
                  <c:v>2.4272341072631826E-3</c:v>
                </c:pt>
                <c:pt idx="119">
                  <c:v>2.438566589835846E-3</c:v>
                </c:pt>
                <c:pt idx="120">
                  <c:v>2.4500168922698367E-3</c:v>
                </c:pt>
                <c:pt idx="121">
                  <c:v>2.4615828428461201E-3</c:v>
                </c:pt>
                <c:pt idx="122">
                  <c:v>2.4969528660791812E-3</c:v>
                </c:pt>
                <c:pt idx="123">
                  <c:v>2.5089596918606172E-3</c:v>
                </c:pt>
                <c:pt idx="124">
                  <c:v>2.5210713070820756E-3</c:v>
                </c:pt>
                <c:pt idx="125">
                  <c:v>2.5332855399868926E-3</c:v>
                </c:pt>
                <c:pt idx="126">
                  <c:v>2.5715439811286808E-3</c:v>
                </c:pt>
                <c:pt idx="127">
                  <c:v>2.6029865803564858E-3</c:v>
                </c:pt>
                <c:pt idx="128">
                  <c:v>2.6429680942691002E-3</c:v>
                </c:pt>
                <c:pt idx="129">
                  <c:v>2.6492391991226587E-3</c:v>
                </c:pt>
                <c:pt idx="130">
                  <c:v>2.6555429721451512E-3</c:v>
                </c:pt>
                <c:pt idx="131">
                  <c:v>2.6618794123545522E-3</c:v>
                </c:pt>
                <c:pt idx="132">
                  <c:v>2.6950412555002126E-3</c:v>
                </c:pt>
                <c:pt idx="133">
                  <c:v>2.7085850454957165E-3</c:v>
                </c:pt>
                <c:pt idx="134">
                  <c:v>2.736512070818493E-3</c:v>
                </c:pt>
                <c:pt idx="135">
                  <c:v>2.7431427586867632E-3</c:v>
                </c:pt>
                <c:pt idx="136">
                  <c:v>2.7498061060644351E-3</c:v>
                </c:pt>
                <c:pt idx="137">
                  <c:v>2.7919117097548766E-3</c:v>
                </c:pt>
                <c:pt idx="138">
                  <c:v>2.8061434777586348E-3</c:v>
                </c:pt>
                <c:pt idx="139">
                  <c:v>2.8354479809589161E-3</c:v>
                </c:pt>
                <c:pt idx="140">
                  <c:v>2.8424219083982363E-3</c:v>
                </c:pt>
                <c:pt idx="141">
                  <c:v>2.8494284870685519E-3</c:v>
                </c:pt>
                <c:pt idx="142">
                  <c:v>2.893598061947398E-3</c:v>
                </c:pt>
                <c:pt idx="143">
                  <c:v>2.9085178254131192E-3</c:v>
                </c:pt>
                <c:pt idx="144">
                  <c:v>2.9391999730932206E-3</c:v>
                </c:pt>
                <c:pt idx="145">
                  <c:v>2.9465170836156379E-3</c:v>
                </c:pt>
                <c:pt idx="146">
                  <c:v>2.9538668365626207E-3</c:v>
                </c:pt>
                <c:pt idx="147">
                  <c:v>3.000100436808002E-3</c:v>
                </c:pt>
                <c:pt idx="148">
                  <c:v>3.0076298833522737E-3</c:v>
                </c:pt>
                <c:pt idx="149">
                  <c:v>3.0477681827013165E-3</c:v>
                </c:pt>
                <c:pt idx="150">
                  <c:v>3.0554284161480802E-3</c:v>
                </c:pt>
                <c:pt idx="151">
                  <c:v>3.1192914881927511E-3</c:v>
                </c:pt>
                <c:pt idx="152">
                  <c:v>3.1356363039203305E-3</c:v>
                </c:pt>
                <c:pt idx="153">
                  <c:v>3.1691560438983427E-3</c:v>
                </c:pt>
                <c:pt idx="154">
                  <c:v>3.1771919593560232E-3</c:v>
                </c:pt>
                <c:pt idx="155">
                  <c:v>3.2188347503097443E-3</c:v>
                </c:pt>
                <c:pt idx="156">
                  <c:v>3.2357693159572598E-3</c:v>
                </c:pt>
                <c:pt idx="157">
                  <c:v>3.2528021746854137E-3</c:v>
                </c:pt>
                <c:pt idx="158">
                  <c:v>3.2877001108730028E-3</c:v>
                </c:pt>
                <c:pt idx="159">
                  <c:v>3.2960790065970154E-3</c:v>
                </c:pt>
                <c:pt idx="160">
                  <c:v>3.3394408789835981E-3</c:v>
                </c:pt>
                <c:pt idx="161">
                  <c:v>3.3570635049161579E-3</c:v>
                </c:pt>
                <c:pt idx="162">
                  <c:v>3.374784426863231E-3</c:v>
                </c:pt>
                <c:pt idx="163">
                  <c:v>3.4110607671773707E-3</c:v>
                </c:pt>
                <c:pt idx="164">
                  <c:v>3.4197825702086604E-3</c:v>
                </c:pt>
                <c:pt idx="165">
                  <c:v>3.4648634919233201E-3</c:v>
                </c:pt>
                <c:pt idx="166">
                  <c:v>3.4831741990562679E-3</c:v>
                </c:pt>
                <c:pt idx="167">
                  <c:v>3.5015814615997716E-3</c:v>
                </c:pt>
                <c:pt idx="168">
                  <c:v>3.5105643017689309E-3</c:v>
                </c:pt>
                <c:pt idx="169">
                  <c:v>3.6042786385661538E-3</c:v>
                </c:pt>
                <c:pt idx="170">
                  <c:v>3.6230416100058171E-3</c:v>
                </c:pt>
                <c:pt idx="171">
                  <c:v>3.6607477602438017E-3</c:v>
                </c:pt>
                <c:pt idx="172">
                  <c:v>3.6700566493371584E-3</c:v>
                </c:pt>
                <c:pt idx="173">
                  <c:v>3.6793938628429303E-3</c:v>
                </c:pt>
                <c:pt idx="174">
                  <c:v>3.7356285047709667E-3</c:v>
                </c:pt>
                <c:pt idx="175">
                  <c:v>3.7543000004525867E-3</c:v>
                </c:pt>
                <c:pt idx="176">
                  <c:v>3.7910813296986581E-3</c:v>
                </c:pt>
                <c:pt idx="177">
                  <c:v>3.8005099908799272E-3</c:v>
                </c:pt>
                <c:pt idx="178">
                  <c:v>3.8099525827789593E-3</c:v>
                </c:pt>
                <c:pt idx="179">
                  <c:v>3.86484967995566E-3</c:v>
                </c:pt>
                <c:pt idx="180">
                  <c:v>3.8829335755000945E-3</c:v>
                </c:pt>
                <c:pt idx="181">
                  <c:v>3.9178429324504887E-3</c:v>
                </c:pt>
                <c:pt idx="182">
                  <c:v>3.9271291997372559E-3</c:v>
                </c:pt>
                <c:pt idx="183">
                  <c:v>3.9363980957468087E-3</c:v>
                </c:pt>
                <c:pt idx="184">
                  <c:v>3.9884692296148433E-3</c:v>
                </c:pt>
                <c:pt idx="185">
                  <c:v>4.005469379693794E-3</c:v>
                </c:pt>
                <c:pt idx="186">
                  <c:v>4.0377699721063105E-3</c:v>
                </c:pt>
                <c:pt idx="187">
                  <c:v>4.0465497569624337E-3</c:v>
                </c:pt>
                <c:pt idx="188">
                  <c:v>4.0628276383004175E-3</c:v>
                </c:pt>
                <c:pt idx="189">
                  <c:v>4.1031220798610915E-3</c:v>
                </c:pt>
                <c:pt idx="190">
                  <c:v>4.1114354459989011E-3</c:v>
                </c:pt>
                <c:pt idx="191">
                  <c:v>4.1268506622932355E-3</c:v>
                </c:pt>
                <c:pt idx="192">
                  <c:v>4.1559677502863573E-3</c:v>
                </c:pt>
                <c:pt idx="193">
                  <c:v>4.1639213154378149E-3</c:v>
                </c:pt>
                <c:pt idx="194">
                  <c:v>4.2006930530776128E-3</c:v>
                </c:pt>
                <c:pt idx="195">
                  <c:v>4.2148147875988497E-3</c:v>
                </c:pt>
                <c:pt idx="196">
                  <c:v>4.2287209391374354E-3</c:v>
                </c:pt>
                <c:pt idx="197">
                  <c:v>4.2548221498862546E-3</c:v>
                </c:pt>
                <c:pt idx="198">
                  <c:v>4.2620200345433812E-3</c:v>
                </c:pt>
                <c:pt idx="199">
                  <c:v>4.2950179265286072E-3</c:v>
                </c:pt>
                <c:pt idx="200">
                  <c:v>4.3076305650156339E-3</c:v>
                </c:pt>
                <c:pt idx="201">
                  <c:v>4.3200276155842916E-3</c:v>
                </c:pt>
                <c:pt idx="202">
                  <c:v>4.3431126811925222E-3</c:v>
                </c:pt>
                <c:pt idx="203">
                  <c:v>4.3495549659992279E-3</c:v>
                </c:pt>
                <c:pt idx="204">
                  <c:v>4.3787790269482763E-3</c:v>
                </c:pt>
                <c:pt idx="205">
                  <c:v>4.3898825365557377E-3</c:v>
                </c:pt>
                <c:pt idx="206">
                  <c:v>4.4007704538737338E-3</c:v>
                </c:pt>
                <c:pt idx="207">
                  <c:v>4.4208390989692453E-3</c:v>
                </c:pt>
                <c:pt idx="208">
                  <c:v>4.426525874269175E-3</c:v>
                </c:pt>
                <c:pt idx="209">
                  <c:v>4.4519761362275725E-3</c:v>
                </c:pt>
                <c:pt idx="210">
                  <c:v>4.4657661387311146E-3</c:v>
                </c:pt>
                <c:pt idx="211">
                  <c:v>4.4880011873344589E-3</c:v>
                </c:pt>
                <c:pt idx="212">
                  <c:v>4.4929325522459892E-3</c:v>
                </c:pt>
                <c:pt idx="213">
                  <c:v>4.5181585637557318E-3</c:v>
                </c:pt>
                <c:pt idx="214">
                  <c:v>4.5261360316326982E-3</c:v>
                </c:pt>
                <c:pt idx="215">
                  <c:v>4.5403507243549947E-3</c:v>
                </c:pt>
                <c:pt idx="216">
                  <c:v>4.5445987597322879E-3</c:v>
                </c:pt>
                <c:pt idx="217">
                  <c:v>4.5487748212409201E-3</c:v>
                </c:pt>
                <c:pt idx="218">
                  <c:v>4.5694731812464459E-3</c:v>
                </c:pt>
                <c:pt idx="219">
                  <c:v>4.5759414262080255E-3</c:v>
                </c:pt>
                <c:pt idx="220">
                  <c:v>4.5871388301774929E-3</c:v>
                </c:pt>
                <c:pt idx="221">
                  <c:v>4.5906316589658727E-3</c:v>
                </c:pt>
                <c:pt idx="222">
                  <c:v>4.5940525309967799E-3</c:v>
                </c:pt>
                <c:pt idx="223">
                  <c:v>4.6102231838036061E-3</c:v>
                </c:pt>
                <c:pt idx="224">
                  <c:v>4.6151821884431489E-3</c:v>
                </c:pt>
                <c:pt idx="225">
                  <c:v>4.6233620157229514E-3</c:v>
                </c:pt>
                <c:pt idx="226">
                  <c:v>4.6260997571695092E-3</c:v>
                </c:pt>
                <c:pt idx="227">
                  <c:v>4.6287655596774771E-3</c:v>
                </c:pt>
                <c:pt idx="228">
                  <c:v>4.6404084617715953E-3</c:v>
                </c:pt>
                <c:pt idx="229">
                  <c:v>4.6438582127504525E-3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186880"/>
        <c:axId val="496188800"/>
      </c:lineChart>
      <c:scatterChart>
        <c:scatterStyle val="lineMarker"/>
        <c:varyColors val="0"/>
        <c:ser>
          <c:idx val="1"/>
          <c:order val="1"/>
          <c:tx>
            <c:v>MktDeposits</c:v>
          </c:tx>
          <c:spPr>
            <a:ln w="28575">
              <a:noFill/>
            </a:ln>
          </c:spPr>
          <c:marker>
            <c:symbol val="square"/>
            <c:size val="17"/>
            <c:spPr>
              <a:solidFill>
                <a:srgbClr val="FF3399"/>
              </a:solidFill>
              <a:ln>
                <a:noFill/>
              </a:ln>
            </c:spPr>
          </c:marker>
          <c:dPt>
            <c:idx val="0"/>
            <c:marker>
              <c:symbol val="square"/>
              <c:size val="5"/>
            </c:marker>
            <c:bubble3D val="0"/>
          </c:dPt>
          <c:xVal>
            <c:numRef>
              <c:f>[0]!DepositsDates</c:f>
              <c:numCache>
                <c:formatCode>ddd\,\ dd\-mmm\-yyyy</c:formatCode>
                <c:ptCount val="1"/>
                <c:pt idx="0">
                  <c:v>41878</c:v>
                </c:pt>
              </c:numCache>
            </c:numRef>
          </c:xVal>
          <c:yVal>
            <c:numRef>
              <c:f>[0]!DepositsSeries</c:f>
              <c:numCache>
                <c:formatCode>0.0000%</c:formatCode>
                <c:ptCount val="1"/>
                <c:pt idx="0">
                  <c:v>2.1029E-3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186880"/>
        <c:axId val="496188800"/>
      </c:scatterChart>
      <c:dateAx>
        <c:axId val="496186880"/>
        <c:scaling>
          <c:orientation val="minMax"/>
          <c:max val="42185"/>
          <c:min val="4179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496188800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496188800"/>
        <c:scaling>
          <c:orientation val="minMax"/>
          <c:max val="4.0000000000000001E-3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96186880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1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Monitor!$X$19:$X$3552</c:f>
              <c:numCache>
                <c:formatCode>ddd\,\ dd\-mmm\-yyyy</c:formatCode>
                <c:ptCount val="3534"/>
                <c:pt idx="0">
                  <c:v>41878</c:v>
                </c:pt>
                <c:pt idx="1">
                  <c:v>41879</c:v>
                </c:pt>
                <c:pt idx="2">
                  <c:v>41880</c:v>
                </c:pt>
                <c:pt idx="3">
                  <c:v>41883</c:v>
                </c:pt>
                <c:pt idx="4">
                  <c:v>41884</c:v>
                </c:pt>
                <c:pt idx="5">
                  <c:v>41885</c:v>
                </c:pt>
                <c:pt idx="6">
                  <c:v>41886</c:v>
                </c:pt>
                <c:pt idx="7">
                  <c:v>41887</c:v>
                </c:pt>
                <c:pt idx="8">
                  <c:v>41890</c:v>
                </c:pt>
                <c:pt idx="9">
                  <c:v>41892</c:v>
                </c:pt>
                <c:pt idx="10">
                  <c:v>41893</c:v>
                </c:pt>
                <c:pt idx="11">
                  <c:v>41894</c:v>
                </c:pt>
                <c:pt idx="12">
                  <c:v>41897</c:v>
                </c:pt>
                <c:pt idx="13">
                  <c:v>41898</c:v>
                </c:pt>
                <c:pt idx="14">
                  <c:v>41899</c:v>
                </c:pt>
                <c:pt idx="15">
                  <c:v>41900</c:v>
                </c:pt>
                <c:pt idx="16">
                  <c:v>41901</c:v>
                </c:pt>
                <c:pt idx="17">
                  <c:v>41904</c:v>
                </c:pt>
                <c:pt idx="18">
                  <c:v>41905</c:v>
                </c:pt>
                <c:pt idx="19">
                  <c:v>41906</c:v>
                </c:pt>
                <c:pt idx="20">
                  <c:v>41907</c:v>
                </c:pt>
                <c:pt idx="21">
                  <c:v>41908</c:v>
                </c:pt>
                <c:pt idx="22">
                  <c:v>41911</c:v>
                </c:pt>
                <c:pt idx="23">
                  <c:v>41912</c:v>
                </c:pt>
                <c:pt idx="24">
                  <c:v>41915</c:v>
                </c:pt>
                <c:pt idx="25">
                  <c:v>41918</c:v>
                </c:pt>
                <c:pt idx="26">
                  <c:v>41919</c:v>
                </c:pt>
                <c:pt idx="27">
                  <c:v>41920</c:v>
                </c:pt>
                <c:pt idx="28">
                  <c:v>41921</c:v>
                </c:pt>
                <c:pt idx="29">
                  <c:v>41922</c:v>
                </c:pt>
                <c:pt idx="30">
                  <c:v>41925</c:v>
                </c:pt>
                <c:pt idx="31">
                  <c:v>41926</c:v>
                </c:pt>
                <c:pt idx="32">
                  <c:v>41927</c:v>
                </c:pt>
                <c:pt idx="33">
                  <c:v>41928</c:v>
                </c:pt>
                <c:pt idx="34">
                  <c:v>41929</c:v>
                </c:pt>
                <c:pt idx="35">
                  <c:v>41932</c:v>
                </c:pt>
                <c:pt idx="36">
                  <c:v>41933</c:v>
                </c:pt>
                <c:pt idx="37">
                  <c:v>41934</c:v>
                </c:pt>
                <c:pt idx="38">
                  <c:v>41935</c:v>
                </c:pt>
                <c:pt idx="39">
                  <c:v>41936</c:v>
                </c:pt>
                <c:pt idx="40">
                  <c:v>41939</c:v>
                </c:pt>
                <c:pt idx="41">
                  <c:v>41940</c:v>
                </c:pt>
                <c:pt idx="42">
                  <c:v>41941</c:v>
                </c:pt>
                <c:pt idx="43">
                  <c:v>41942</c:v>
                </c:pt>
                <c:pt idx="44">
                  <c:v>41943</c:v>
                </c:pt>
                <c:pt idx="45">
                  <c:v>41946</c:v>
                </c:pt>
                <c:pt idx="46">
                  <c:v>41947</c:v>
                </c:pt>
                <c:pt idx="47">
                  <c:v>41948</c:v>
                </c:pt>
                <c:pt idx="48">
                  <c:v>41949</c:v>
                </c:pt>
                <c:pt idx="49">
                  <c:v>41950</c:v>
                </c:pt>
                <c:pt idx="50">
                  <c:v>41953</c:v>
                </c:pt>
                <c:pt idx="51">
                  <c:v>41954</c:v>
                </c:pt>
                <c:pt idx="52">
                  <c:v>41955</c:v>
                </c:pt>
                <c:pt idx="53">
                  <c:v>41956</c:v>
                </c:pt>
                <c:pt idx="54">
                  <c:v>41957</c:v>
                </c:pt>
                <c:pt idx="55">
                  <c:v>41960</c:v>
                </c:pt>
                <c:pt idx="56">
                  <c:v>41961</c:v>
                </c:pt>
                <c:pt idx="57">
                  <c:v>41962</c:v>
                </c:pt>
                <c:pt idx="58">
                  <c:v>41963</c:v>
                </c:pt>
                <c:pt idx="59">
                  <c:v>41964</c:v>
                </c:pt>
                <c:pt idx="60">
                  <c:v>41967</c:v>
                </c:pt>
                <c:pt idx="61">
                  <c:v>41968</c:v>
                </c:pt>
                <c:pt idx="62">
                  <c:v>41969</c:v>
                </c:pt>
                <c:pt idx="63">
                  <c:v>41970</c:v>
                </c:pt>
                <c:pt idx="64">
                  <c:v>41971</c:v>
                </c:pt>
                <c:pt idx="65">
                  <c:v>41974</c:v>
                </c:pt>
                <c:pt idx="66">
                  <c:v>41975</c:v>
                </c:pt>
                <c:pt idx="67">
                  <c:v>41976</c:v>
                </c:pt>
                <c:pt idx="68">
                  <c:v>41977</c:v>
                </c:pt>
                <c:pt idx="69">
                  <c:v>41978</c:v>
                </c:pt>
                <c:pt idx="70">
                  <c:v>41981</c:v>
                </c:pt>
                <c:pt idx="71">
                  <c:v>41982</c:v>
                </c:pt>
                <c:pt idx="72">
                  <c:v>41983</c:v>
                </c:pt>
                <c:pt idx="73">
                  <c:v>41984</c:v>
                </c:pt>
                <c:pt idx="74">
                  <c:v>41985</c:v>
                </c:pt>
                <c:pt idx="75">
                  <c:v>41988</c:v>
                </c:pt>
                <c:pt idx="76">
                  <c:v>41989</c:v>
                </c:pt>
                <c:pt idx="77">
                  <c:v>41990</c:v>
                </c:pt>
                <c:pt idx="78">
                  <c:v>41991</c:v>
                </c:pt>
                <c:pt idx="79">
                  <c:v>41992</c:v>
                </c:pt>
                <c:pt idx="80">
                  <c:v>41995</c:v>
                </c:pt>
                <c:pt idx="81">
                  <c:v>41996</c:v>
                </c:pt>
                <c:pt idx="82">
                  <c:v>41997</c:v>
                </c:pt>
                <c:pt idx="83">
                  <c:v>42002</c:v>
                </c:pt>
                <c:pt idx="84">
                  <c:v>42003</c:v>
                </c:pt>
                <c:pt idx="85">
                  <c:v>42004</c:v>
                </c:pt>
                <c:pt idx="86">
                  <c:v>42006</c:v>
                </c:pt>
                <c:pt idx="87">
                  <c:v>42009</c:v>
                </c:pt>
                <c:pt idx="88">
                  <c:v>42010</c:v>
                </c:pt>
                <c:pt idx="89">
                  <c:v>42011</c:v>
                </c:pt>
                <c:pt idx="90">
                  <c:v>42012</c:v>
                </c:pt>
                <c:pt idx="91">
                  <c:v>42013</c:v>
                </c:pt>
                <c:pt idx="92">
                  <c:v>42016</c:v>
                </c:pt>
                <c:pt idx="93">
                  <c:v>42017</c:v>
                </c:pt>
                <c:pt idx="94">
                  <c:v>42018</c:v>
                </c:pt>
                <c:pt idx="95">
                  <c:v>42019</c:v>
                </c:pt>
                <c:pt idx="96">
                  <c:v>42020</c:v>
                </c:pt>
                <c:pt idx="97">
                  <c:v>42023</c:v>
                </c:pt>
                <c:pt idx="98">
                  <c:v>42024</c:v>
                </c:pt>
                <c:pt idx="99">
                  <c:v>42025</c:v>
                </c:pt>
                <c:pt idx="100">
                  <c:v>42026</c:v>
                </c:pt>
                <c:pt idx="101">
                  <c:v>42027</c:v>
                </c:pt>
                <c:pt idx="102">
                  <c:v>42030</c:v>
                </c:pt>
                <c:pt idx="103">
                  <c:v>42031</c:v>
                </c:pt>
                <c:pt idx="104">
                  <c:v>42032</c:v>
                </c:pt>
                <c:pt idx="105">
                  <c:v>42033</c:v>
                </c:pt>
                <c:pt idx="106">
                  <c:v>42034</c:v>
                </c:pt>
                <c:pt idx="107">
                  <c:v>42037</c:v>
                </c:pt>
                <c:pt idx="108">
                  <c:v>42038</c:v>
                </c:pt>
                <c:pt idx="109">
                  <c:v>42039</c:v>
                </c:pt>
                <c:pt idx="110">
                  <c:v>42040</c:v>
                </c:pt>
                <c:pt idx="111">
                  <c:v>42041</c:v>
                </c:pt>
                <c:pt idx="112">
                  <c:v>42044</c:v>
                </c:pt>
                <c:pt idx="113">
                  <c:v>42045</c:v>
                </c:pt>
                <c:pt idx="114">
                  <c:v>42046</c:v>
                </c:pt>
                <c:pt idx="115">
                  <c:v>42047</c:v>
                </c:pt>
                <c:pt idx="116">
                  <c:v>42048</c:v>
                </c:pt>
                <c:pt idx="117">
                  <c:v>42051</c:v>
                </c:pt>
                <c:pt idx="118">
                  <c:v>42052</c:v>
                </c:pt>
                <c:pt idx="119">
                  <c:v>42053</c:v>
                </c:pt>
                <c:pt idx="120">
                  <c:v>42054</c:v>
                </c:pt>
                <c:pt idx="121">
                  <c:v>42055</c:v>
                </c:pt>
                <c:pt idx="122">
                  <c:v>42058</c:v>
                </c:pt>
                <c:pt idx="123">
                  <c:v>42059</c:v>
                </c:pt>
                <c:pt idx="124">
                  <c:v>42060</c:v>
                </c:pt>
                <c:pt idx="125">
                  <c:v>42061</c:v>
                </c:pt>
                <c:pt idx="126">
                  <c:v>42062</c:v>
                </c:pt>
                <c:pt idx="127">
                  <c:v>42065</c:v>
                </c:pt>
                <c:pt idx="128">
                  <c:v>42066</c:v>
                </c:pt>
                <c:pt idx="129">
                  <c:v>42067</c:v>
                </c:pt>
                <c:pt idx="130">
                  <c:v>42068</c:v>
                </c:pt>
                <c:pt idx="131">
                  <c:v>42069</c:v>
                </c:pt>
                <c:pt idx="132">
                  <c:v>42072</c:v>
                </c:pt>
                <c:pt idx="133">
                  <c:v>42073</c:v>
                </c:pt>
                <c:pt idx="134">
                  <c:v>42074</c:v>
                </c:pt>
                <c:pt idx="135">
                  <c:v>42075</c:v>
                </c:pt>
                <c:pt idx="136">
                  <c:v>42076</c:v>
                </c:pt>
                <c:pt idx="137">
                  <c:v>42079</c:v>
                </c:pt>
                <c:pt idx="138">
                  <c:v>42080</c:v>
                </c:pt>
                <c:pt idx="139">
                  <c:v>42081</c:v>
                </c:pt>
                <c:pt idx="140">
                  <c:v>42082</c:v>
                </c:pt>
                <c:pt idx="141">
                  <c:v>42083</c:v>
                </c:pt>
                <c:pt idx="142">
                  <c:v>42086</c:v>
                </c:pt>
                <c:pt idx="143">
                  <c:v>42087</c:v>
                </c:pt>
                <c:pt idx="144">
                  <c:v>42088</c:v>
                </c:pt>
                <c:pt idx="145">
                  <c:v>42089</c:v>
                </c:pt>
                <c:pt idx="146">
                  <c:v>42090</c:v>
                </c:pt>
                <c:pt idx="147">
                  <c:v>42093</c:v>
                </c:pt>
                <c:pt idx="148">
                  <c:v>42094</c:v>
                </c:pt>
                <c:pt idx="149">
                  <c:v>42095</c:v>
                </c:pt>
                <c:pt idx="150">
                  <c:v>42096</c:v>
                </c:pt>
                <c:pt idx="151">
                  <c:v>42101</c:v>
                </c:pt>
                <c:pt idx="152">
                  <c:v>42102</c:v>
                </c:pt>
                <c:pt idx="153">
                  <c:v>42103</c:v>
                </c:pt>
                <c:pt idx="154">
                  <c:v>42104</c:v>
                </c:pt>
                <c:pt idx="155">
                  <c:v>42107</c:v>
                </c:pt>
                <c:pt idx="156">
                  <c:v>42108</c:v>
                </c:pt>
                <c:pt idx="157">
                  <c:v>42109</c:v>
                </c:pt>
                <c:pt idx="158">
                  <c:v>42110</c:v>
                </c:pt>
                <c:pt idx="159">
                  <c:v>42111</c:v>
                </c:pt>
                <c:pt idx="160">
                  <c:v>42114</c:v>
                </c:pt>
                <c:pt idx="161">
                  <c:v>42115</c:v>
                </c:pt>
                <c:pt idx="162">
                  <c:v>42116</c:v>
                </c:pt>
                <c:pt idx="163">
                  <c:v>42117</c:v>
                </c:pt>
                <c:pt idx="164">
                  <c:v>42118</c:v>
                </c:pt>
                <c:pt idx="165">
                  <c:v>42121</c:v>
                </c:pt>
                <c:pt idx="166">
                  <c:v>42122</c:v>
                </c:pt>
                <c:pt idx="167">
                  <c:v>42123</c:v>
                </c:pt>
                <c:pt idx="168">
                  <c:v>42124</c:v>
                </c:pt>
                <c:pt idx="169">
                  <c:v>42128</c:v>
                </c:pt>
                <c:pt idx="170">
                  <c:v>42129</c:v>
                </c:pt>
                <c:pt idx="171">
                  <c:v>42130</c:v>
                </c:pt>
                <c:pt idx="172">
                  <c:v>42131</c:v>
                </c:pt>
                <c:pt idx="173">
                  <c:v>42132</c:v>
                </c:pt>
                <c:pt idx="174">
                  <c:v>42135</c:v>
                </c:pt>
                <c:pt idx="175">
                  <c:v>42136</c:v>
                </c:pt>
                <c:pt idx="176">
                  <c:v>42137</c:v>
                </c:pt>
                <c:pt idx="177">
                  <c:v>42138</c:v>
                </c:pt>
                <c:pt idx="178">
                  <c:v>42139</c:v>
                </c:pt>
                <c:pt idx="179">
                  <c:v>42142</c:v>
                </c:pt>
                <c:pt idx="180">
                  <c:v>42143</c:v>
                </c:pt>
                <c:pt idx="181">
                  <c:v>42144</c:v>
                </c:pt>
                <c:pt idx="182">
                  <c:v>42145</c:v>
                </c:pt>
                <c:pt idx="183">
                  <c:v>42146</c:v>
                </c:pt>
                <c:pt idx="184">
                  <c:v>42149</c:v>
                </c:pt>
                <c:pt idx="185">
                  <c:v>42150</c:v>
                </c:pt>
                <c:pt idx="186">
                  <c:v>42151</c:v>
                </c:pt>
                <c:pt idx="187">
                  <c:v>42152</c:v>
                </c:pt>
                <c:pt idx="188">
                  <c:v>42153</c:v>
                </c:pt>
                <c:pt idx="189">
                  <c:v>42156</c:v>
                </c:pt>
                <c:pt idx="190">
                  <c:v>42157</c:v>
                </c:pt>
                <c:pt idx="191">
                  <c:v>42158</c:v>
                </c:pt>
                <c:pt idx="192">
                  <c:v>42159</c:v>
                </c:pt>
                <c:pt idx="193">
                  <c:v>42160</c:v>
                </c:pt>
                <c:pt idx="194">
                  <c:v>42163</c:v>
                </c:pt>
                <c:pt idx="195">
                  <c:v>42164</c:v>
                </c:pt>
                <c:pt idx="196">
                  <c:v>42165</c:v>
                </c:pt>
                <c:pt idx="197">
                  <c:v>42166</c:v>
                </c:pt>
                <c:pt idx="198">
                  <c:v>42167</c:v>
                </c:pt>
                <c:pt idx="199">
                  <c:v>42170</c:v>
                </c:pt>
                <c:pt idx="200">
                  <c:v>42171</c:v>
                </c:pt>
                <c:pt idx="201">
                  <c:v>42172</c:v>
                </c:pt>
                <c:pt idx="202">
                  <c:v>42173</c:v>
                </c:pt>
                <c:pt idx="203">
                  <c:v>42174</c:v>
                </c:pt>
                <c:pt idx="204">
                  <c:v>42177</c:v>
                </c:pt>
                <c:pt idx="205">
                  <c:v>42178</c:v>
                </c:pt>
                <c:pt idx="206">
                  <c:v>42179</c:v>
                </c:pt>
                <c:pt idx="207">
                  <c:v>42180</c:v>
                </c:pt>
                <c:pt idx="208">
                  <c:v>42181</c:v>
                </c:pt>
                <c:pt idx="209">
                  <c:v>42184</c:v>
                </c:pt>
                <c:pt idx="210">
                  <c:v>42185</c:v>
                </c:pt>
                <c:pt idx="211">
                  <c:v>42187</c:v>
                </c:pt>
                <c:pt idx="212">
                  <c:v>42188</c:v>
                </c:pt>
                <c:pt idx="213">
                  <c:v>42191</c:v>
                </c:pt>
                <c:pt idx="214">
                  <c:v>42192</c:v>
                </c:pt>
                <c:pt idx="215">
                  <c:v>42193</c:v>
                </c:pt>
                <c:pt idx="216">
                  <c:v>42194</c:v>
                </c:pt>
                <c:pt idx="217">
                  <c:v>42195</c:v>
                </c:pt>
                <c:pt idx="218">
                  <c:v>42198</c:v>
                </c:pt>
                <c:pt idx="219">
                  <c:v>42199</c:v>
                </c:pt>
                <c:pt idx="220">
                  <c:v>42200</c:v>
                </c:pt>
                <c:pt idx="221">
                  <c:v>42201</c:v>
                </c:pt>
                <c:pt idx="222">
                  <c:v>42202</c:v>
                </c:pt>
                <c:pt idx="223">
                  <c:v>42205</c:v>
                </c:pt>
                <c:pt idx="224">
                  <c:v>42206</c:v>
                </c:pt>
                <c:pt idx="225">
                  <c:v>42207</c:v>
                </c:pt>
                <c:pt idx="226">
                  <c:v>42208</c:v>
                </c:pt>
                <c:pt idx="227">
                  <c:v>42209</c:v>
                </c:pt>
                <c:pt idx="228">
                  <c:v>42212</c:v>
                </c:pt>
                <c:pt idx="229">
                  <c:v>42213</c:v>
                </c:pt>
                <c:pt idx="230">
                  <c:v>42214</c:v>
                </c:pt>
                <c:pt idx="231">
                  <c:v>42215</c:v>
                </c:pt>
                <c:pt idx="232">
                  <c:v>42216</c:v>
                </c:pt>
                <c:pt idx="233">
                  <c:v>42219</c:v>
                </c:pt>
                <c:pt idx="234">
                  <c:v>42220</c:v>
                </c:pt>
                <c:pt idx="235">
                  <c:v>42221</c:v>
                </c:pt>
                <c:pt idx="236">
                  <c:v>42222</c:v>
                </c:pt>
                <c:pt idx="237">
                  <c:v>42223</c:v>
                </c:pt>
                <c:pt idx="238">
                  <c:v>42226</c:v>
                </c:pt>
                <c:pt idx="239">
                  <c:v>42227</c:v>
                </c:pt>
                <c:pt idx="240">
                  <c:v>42228</c:v>
                </c:pt>
                <c:pt idx="241">
                  <c:v>42229</c:v>
                </c:pt>
                <c:pt idx="242">
                  <c:v>42230</c:v>
                </c:pt>
                <c:pt idx="243">
                  <c:v>42233</c:v>
                </c:pt>
                <c:pt idx="244">
                  <c:v>42234</c:v>
                </c:pt>
                <c:pt idx="245">
                  <c:v>42235</c:v>
                </c:pt>
                <c:pt idx="246">
                  <c:v>42236</c:v>
                </c:pt>
                <c:pt idx="247">
                  <c:v>42237</c:v>
                </c:pt>
                <c:pt idx="248">
                  <c:v>42240</c:v>
                </c:pt>
                <c:pt idx="249">
                  <c:v>42241</c:v>
                </c:pt>
                <c:pt idx="250">
                  <c:v>42242</c:v>
                </c:pt>
                <c:pt idx="251">
                  <c:v>42243</c:v>
                </c:pt>
                <c:pt idx="252">
                  <c:v>42244</c:v>
                </c:pt>
                <c:pt idx="253">
                  <c:v>42247</c:v>
                </c:pt>
                <c:pt idx="254">
                  <c:v>42248</c:v>
                </c:pt>
                <c:pt idx="255">
                  <c:v>42249</c:v>
                </c:pt>
                <c:pt idx="256">
                  <c:v>42250</c:v>
                </c:pt>
                <c:pt idx="257">
                  <c:v>42251</c:v>
                </c:pt>
                <c:pt idx="258">
                  <c:v>42254</c:v>
                </c:pt>
                <c:pt idx="259">
                  <c:v>42255</c:v>
                </c:pt>
                <c:pt idx="260">
                  <c:v>42256</c:v>
                </c:pt>
                <c:pt idx="261">
                  <c:v>42257</c:v>
                </c:pt>
                <c:pt idx="262">
                  <c:v>42258</c:v>
                </c:pt>
                <c:pt idx="263">
                  <c:v>42261</c:v>
                </c:pt>
                <c:pt idx="264">
                  <c:v>42262</c:v>
                </c:pt>
                <c:pt idx="265">
                  <c:v>42263</c:v>
                </c:pt>
                <c:pt idx="266">
                  <c:v>42264</c:v>
                </c:pt>
                <c:pt idx="267">
                  <c:v>42265</c:v>
                </c:pt>
                <c:pt idx="268">
                  <c:v>42268</c:v>
                </c:pt>
                <c:pt idx="269">
                  <c:v>42269</c:v>
                </c:pt>
                <c:pt idx="270">
                  <c:v>42270</c:v>
                </c:pt>
                <c:pt idx="271">
                  <c:v>42271</c:v>
                </c:pt>
                <c:pt idx="272">
                  <c:v>42272</c:v>
                </c:pt>
                <c:pt idx="273">
                  <c:v>42275</c:v>
                </c:pt>
                <c:pt idx="274">
                  <c:v>42276</c:v>
                </c:pt>
                <c:pt idx="275">
                  <c:v>42277</c:v>
                </c:pt>
                <c:pt idx="276">
                  <c:v>42279</c:v>
                </c:pt>
                <c:pt idx="277">
                  <c:v>42282</c:v>
                </c:pt>
                <c:pt idx="278">
                  <c:v>42283</c:v>
                </c:pt>
                <c:pt idx="279">
                  <c:v>42284</c:v>
                </c:pt>
                <c:pt idx="280">
                  <c:v>42285</c:v>
                </c:pt>
                <c:pt idx="281">
                  <c:v>42286</c:v>
                </c:pt>
                <c:pt idx="282">
                  <c:v>42289</c:v>
                </c:pt>
                <c:pt idx="283">
                  <c:v>42290</c:v>
                </c:pt>
                <c:pt idx="284">
                  <c:v>42291</c:v>
                </c:pt>
                <c:pt idx="285">
                  <c:v>42292</c:v>
                </c:pt>
                <c:pt idx="286">
                  <c:v>42293</c:v>
                </c:pt>
                <c:pt idx="287">
                  <c:v>42296</c:v>
                </c:pt>
                <c:pt idx="288">
                  <c:v>42297</c:v>
                </c:pt>
                <c:pt idx="289">
                  <c:v>42298</c:v>
                </c:pt>
                <c:pt idx="290">
                  <c:v>42299</c:v>
                </c:pt>
                <c:pt idx="291">
                  <c:v>42300</c:v>
                </c:pt>
                <c:pt idx="292">
                  <c:v>42303</c:v>
                </c:pt>
                <c:pt idx="293">
                  <c:v>42304</c:v>
                </c:pt>
                <c:pt idx="294">
                  <c:v>42305</c:v>
                </c:pt>
                <c:pt idx="295">
                  <c:v>42306</c:v>
                </c:pt>
                <c:pt idx="296">
                  <c:v>42307</c:v>
                </c:pt>
                <c:pt idx="297">
                  <c:v>42310</c:v>
                </c:pt>
                <c:pt idx="298">
                  <c:v>42311</c:v>
                </c:pt>
                <c:pt idx="299">
                  <c:v>42312</c:v>
                </c:pt>
                <c:pt idx="300">
                  <c:v>42313</c:v>
                </c:pt>
                <c:pt idx="301">
                  <c:v>42314</c:v>
                </c:pt>
                <c:pt idx="302">
                  <c:v>42317</c:v>
                </c:pt>
                <c:pt idx="303">
                  <c:v>42318</c:v>
                </c:pt>
                <c:pt idx="304">
                  <c:v>42319</c:v>
                </c:pt>
                <c:pt idx="305">
                  <c:v>42320</c:v>
                </c:pt>
                <c:pt idx="306">
                  <c:v>42321</c:v>
                </c:pt>
                <c:pt idx="307">
                  <c:v>42324</c:v>
                </c:pt>
                <c:pt idx="308">
                  <c:v>42325</c:v>
                </c:pt>
                <c:pt idx="309">
                  <c:v>42326</c:v>
                </c:pt>
                <c:pt idx="310">
                  <c:v>42327</c:v>
                </c:pt>
                <c:pt idx="311">
                  <c:v>42328</c:v>
                </c:pt>
                <c:pt idx="312">
                  <c:v>42331</c:v>
                </c:pt>
                <c:pt idx="313">
                  <c:v>42332</c:v>
                </c:pt>
                <c:pt idx="314">
                  <c:v>42333</c:v>
                </c:pt>
                <c:pt idx="315">
                  <c:v>42334</c:v>
                </c:pt>
                <c:pt idx="316">
                  <c:v>42335</c:v>
                </c:pt>
                <c:pt idx="317">
                  <c:v>42338</c:v>
                </c:pt>
                <c:pt idx="318">
                  <c:v>42339</c:v>
                </c:pt>
                <c:pt idx="319">
                  <c:v>42340</c:v>
                </c:pt>
                <c:pt idx="320">
                  <c:v>42341</c:v>
                </c:pt>
                <c:pt idx="321">
                  <c:v>42342</c:v>
                </c:pt>
                <c:pt idx="322">
                  <c:v>42345</c:v>
                </c:pt>
                <c:pt idx="323">
                  <c:v>42346</c:v>
                </c:pt>
                <c:pt idx="324">
                  <c:v>42347</c:v>
                </c:pt>
                <c:pt idx="325">
                  <c:v>42348</c:v>
                </c:pt>
                <c:pt idx="326">
                  <c:v>42349</c:v>
                </c:pt>
                <c:pt idx="327">
                  <c:v>42352</c:v>
                </c:pt>
                <c:pt idx="328">
                  <c:v>42353</c:v>
                </c:pt>
                <c:pt idx="329">
                  <c:v>42354</c:v>
                </c:pt>
                <c:pt idx="330">
                  <c:v>42355</c:v>
                </c:pt>
                <c:pt idx="331">
                  <c:v>42356</c:v>
                </c:pt>
                <c:pt idx="332">
                  <c:v>42359</c:v>
                </c:pt>
                <c:pt idx="333">
                  <c:v>42360</c:v>
                </c:pt>
                <c:pt idx="334">
                  <c:v>42361</c:v>
                </c:pt>
                <c:pt idx="335">
                  <c:v>42362</c:v>
                </c:pt>
                <c:pt idx="336">
                  <c:v>42366</c:v>
                </c:pt>
                <c:pt idx="337">
                  <c:v>42367</c:v>
                </c:pt>
                <c:pt idx="338">
                  <c:v>42368</c:v>
                </c:pt>
                <c:pt idx="339">
                  <c:v>42369</c:v>
                </c:pt>
                <c:pt idx="340">
                  <c:v>42373</c:v>
                </c:pt>
                <c:pt idx="341">
                  <c:v>42374</c:v>
                </c:pt>
                <c:pt idx="342">
                  <c:v>42375</c:v>
                </c:pt>
                <c:pt idx="343">
                  <c:v>42376</c:v>
                </c:pt>
                <c:pt idx="344">
                  <c:v>42377</c:v>
                </c:pt>
                <c:pt idx="345">
                  <c:v>42380</c:v>
                </c:pt>
                <c:pt idx="346">
                  <c:v>42381</c:v>
                </c:pt>
                <c:pt idx="347">
                  <c:v>42382</c:v>
                </c:pt>
                <c:pt idx="348">
                  <c:v>42383</c:v>
                </c:pt>
                <c:pt idx="349">
                  <c:v>42384</c:v>
                </c:pt>
                <c:pt idx="350">
                  <c:v>42387</c:v>
                </c:pt>
                <c:pt idx="351">
                  <c:v>42388</c:v>
                </c:pt>
                <c:pt idx="352">
                  <c:v>42389</c:v>
                </c:pt>
                <c:pt idx="353">
                  <c:v>42390</c:v>
                </c:pt>
                <c:pt idx="354">
                  <c:v>42391</c:v>
                </c:pt>
                <c:pt idx="355">
                  <c:v>42394</c:v>
                </c:pt>
                <c:pt idx="356">
                  <c:v>42395</c:v>
                </c:pt>
                <c:pt idx="357">
                  <c:v>42396</c:v>
                </c:pt>
                <c:pt idx="358">
                  <c:v>42397</c:v>
                </c:pt>
                <c:pt idx="359">
                  <c:v>42398</c:v>
                </c:pt>
                <c:pt idx="360">
                  <c:v>42401</c:v>
                </c:pt>
                <c:pt idx="361">
                  <c:v>42402</c:v>
                </c:pt>
                <c:pt idx="362">
                  <c:v>42403</c:v>
                </c:pt>
                <c:pt idx="363">
                  <c:v>42404</c:v>
                </c:pt>
                <c:pt idx="364">
                  <c:v>42405</c:v>
                </c:pt>
                <c:pt idx="365">
                  <c:v>42408</c:v>
                </c:pt>
                <c:pt idx="366">
                  <c:v>42409</c:v>
                </c:pt>
                <c:pt idx="367">
                  <c:v>42410</c:v>
                </c:pt>
                <c:pt idx="368">
                  <c:v>42411</c:v>
                </c:pt>
                <c:pt idx="369">
                  <c:v>42412</c:v>
                </c:pt>
                <c:pt idx="370">
                  <c:v>42415</c:v>
                </c:pt>
                <c:pt idx="371">
                  <c:v>42416</c:v>
                </c:pt>
                <c:pt idx="372">
                  <c:v>42417</c:v>
                </c:pt>
                <c:pt idx="373">
                  <c:v>42418</c:v>
                </c:pt>
                <c:pt idx="374">
                  <c:v>42419</c:v>
                </c:pt>
                <c:pt idx="375">
                  <c:v>42422</c:v>
                </c:pt>
                <c:pt idx="376">
                  <c:v>42423</c:v>
                </c:pt>
                <c:pt idx="377">
                  <c:v>42424</c:v>
                </c:pt>
                <c:pt idx="378">
                  <c:v>42425</c:v>
                </c:pt>
                <c:pt idx="379">
                  <c:v>42426</c:v>
                </c:pt>
                <c:pt idx="380">
                  <c:v>42429</c:v>
                </c:pt>
                <c:pt idx="381">
                  <c:v>42430</c:v>
                </c:pt>
                <c:pt idx="382">
                  <c:v>42431</c:v>
                </c:pt>
                <c:pt idx="383">
                  <c:v>42432</c:v>
                </c:pt>
                <c:pt idx="384">
                  <c:v>42433</c:v>
                </c:pt>
                <c:pt idx="385">
                  <c:v>42436</c:v>
                </c:pt>
                <c:pt idx="386">
                  <c:v>42437</c:v>
                </c:pt>
                <c:pt idx="387">
                  <c:v>42438</c:v>
                </c:pt>
                <c:pt idx="388">
                  <c:v>42439</c:v>
                </c:pt>
                <c:pt idx="389">
                  <c:v>42440</c:v>
                </c:pt>
                <c:pt idx="390">
                  <c:v>42443</c:v>
                </c:pt>
                <c:pt idx="391">
                  <c:v>42444</c:v>
                </c:pt>
                <c:pt idx="392">
                  <c:v>42445</c:v>
                </c:pt>
                <c:pt idx="393">
                  <c:v>42446</c:v>
                </c:pt>
                <c:pt idx="394">
                  <c:v>42447</c:v>
                </c:pt>
                <c:pt idx="395">
                  <c:v>42450</c:v>
                </c:pt>
                <c:pt idx="396">
                  <c:v>42451</c:v>
                </c:pt>
                <c:pt idx="397">
                  <c:v>42452</c:v>
                </c:pt>
                <c:pt idx="398">
                  <c:v>42453</c:v>
                </c:pt>
                <c:pt idx="399">
                  <c:v>42458</c:v>
                </c:pt>
                <c:pt idx="400">
                  <c:v>42459</c:v>
                </c:pt>
                <c:pt idx="401">
                  <c:v>42460</c:v>
                </c:pt>
                <c:pt idx="402">
                  <c:v>42461</c:v>
                </c:pt>
                <c:pt idx="403">
                  <c:v>42464</c:v>
                </c:pt>
                <c:pt idx="404">
                  <c:v>42465</c:v>
                </c:pt>
                <c:pt idx="405">
                  <c:v>42466</c:v>
                </c:pt>
                <c:pt idx="406">
                  <c:v>42467</c:v>
                </c:pt>
                <c:pt idx="407">
                  <c:v>42468</c:v>
                </c:pt>
                <c:pt idx="408">
                  <c:v>42471</c:v>
                </c:pt>
                <c:pt idx="409">
                  <c:v>42472</c:v>
                </c:pt>
                <c:pt idx="410">
                  <c:v>42473</c:v>
                </c:pt>
                <c:pt idx="411">
                  <c:v>42474</c:v>
                </c:pt>
                <c:pt idx="412">
                  <c:v>42475</c:v>
                </c:pt>
                <c:pt idx="413">
                  <c:v>42478</c:v>
                </c:pt>
                <c:pt idx="414">
                  <c:v>42479</c:v>
                </c:pt>
                <c:pt idx="415">
                  <c:v>42480</c:v>
                </c:pt>
                <c:pt idx="416">
                  <c:v>42481</c:v>
                </c:pt>
                <c:pt idx="417">
                  <c:v>42482</c:v>
                </c:pt>
                <c:pt idx="418">
                  <c:v>42485</c:v>
                </c:pt>
                <c:pt idx="419">
                  <c:v>42486</c:v>
                </c:pt>
                <c:pt idx="420">
                  <c:v>42487</c:v>
                </c:pt>
                <c:pt idx="421">
                  <c:v>42488</c:v>
                </c:pt>
                <c:pt idx="422">
                  <c:v>42489</c:v>
                </c:pt>
                <c:pt idx="423">
                  <c:v>42493</c:v>
                </c:pt>
                <c:pt idx="424">
                  <c:v>42494</c:v>
                </c:pt>
                <c:pt idx="425">
                  <c:v>42495</c:v>
                </c:pt>
                <c:pt idx="426">
                  <c:v>42496</c:v>
                </c:pt>
                <c:pt idx="427">
                  <c:v>42499</c:v>
                </c:pt>
                <c:pt idx="428">
                  <c:v>42500</c:v>
                </c:pt>
                <c:pt idx="429">
                  <c:v>42501</c:v>
                </c:pt>
                <c:pt idx="430">
                  <c:v>42502</c:v>
                </c:pt>
                <c:pt idx="431">
                  <c:v>42503</c:v>
                </c:pt>
                <c:pt idx="432">
                  <c:v>42506</c:v>
                </c:pt>
                <c:pt idx="433">
                  <c:v>42507</c:v>
                </c:pt>
                <c:pt idx="434">
                  <c:v>42508</c:v>
                </c:pt>
                <c:pt idx="435">
                  <c:v>42509</c:v>
                </c:pt>
                <c:pt idx="436">
                  <c:v>42510</c:v>
                </c:pt>
                <c:pt idx="437">
                  <c:v>42513</c:v>
                </c:pt>
                <c:pt idx="438">
                  <c:v>42514</c:v>
                </c:pt>
                <c:pt idx="439">
                  <c:v>42515</c:v>
                </c:pt>
                <c:pt idx="440">
                  <c:v>42516</c:v>
                </c:pt>
                <c:pt idx="441">
                  <c:v>42517</c:v>
                </c:pt>
                <c:pt idx="442">
                  <c:v>42520</c:v>
                </c:pt>
                <c:pt idx="443">
                  <c:v>42521</c:v>
                </c:pt>
                <c:pt idx="444">
                  <c:v>42522</c:v>
                </c:pt>
                <c:pt idx="445">
                  <c:v>42523</c:v>
                </c:pt>
                <c:pt idx="446">
                  <c:v>42524</c:v>
                </c:pt>
                <c:pt idx="447">
                  <c:v>42527</c:v>
                </c:pt>
                <c:pt idx="448">
                  <c:v>42528</c:v>
                </c:pt>
                <c:pt idx="449">
                  <c:v>42529</c:v>
                </c:pt>
                <c:pt idx="450">
                  <c:v>42530</c:v>
                </c:pt>
                <c:pt idx="451">
                  <c:v>42531</c:v>
                </c:pt>
                <c:pt idx="452">
                  <c:v>42534</c:v>
                </c:pt>
                <c:pt idx="453">
                  <c:v>42535</c:v>
                </c:pt>
                <c:pt idx="454">
                  <c:v>42536</c:v>
                </c:pt>
                <c:pt idx="455">
                  <c:v>42537</c:v>
                </c:pt>
                <c:pt idx="456">
                  <c:v>42538</c:v>
                </c:pt>
                <c:pt idx="457">
                  <c:v>42541</c:v>
                </c:pt>
                <c:pt idx="458">
                  <c:v>42542</c:v>
                </c:pt>
                <c:pt idx="459">
                  <c:v>42543</c:v>
                </c:pt>
                <c:pt idx="460">
                  <c:v>42544</c:v>
                </c:pt>
                <c:pt idx="461">
                  <c:v>42545</c:v>
                </c:pt>
                <c:pt idx="462">
                  <c:v>42548</c:v>
                </c:pt>
                <c:pt idx="463">
                  <c:v>42549</c:v>
                </c:pt>
                <c:pt idx="464">
                  <c:v>42550</c:v>
                </c:pt>
                <c:pt idx="465">
                  <c:v>42551</c:v>
                </c:pt>
                <c:pt idx="466">
                  <c:v>42555</c:v>
                </c:pt>
                <c:pt idx="467">
                  <c:v>42556</c:v>
                </c:pt>
                <c:pt idx="468">
                  <c:v>42557</c:v>
                </c:pt>
                <c:pt idx="469">
                  <c:v>42558</c:v>
                </c:pt>
                <c:pt idx="470">
                  <c:v>42559</c:v>
                </c:pt>
                <c:pt idx="471">
                  <c:v>42562</c:v>
                </c:pt>
                <c:pt idx="472">
                  <c:v>42563</c:v>
                </c:pt>
                <c:pt idx="473">
                  <c:v>42564</c:v>
                </c:pt>
                <c:pt idx="474">
                  <c:v>42565</c:v>
                </c:pt>
                <c:pt idx="475">
                  <c:v>42566</c:v>
                </c:pt>
                <c:pt idx="476">
                  <c:v>42569</c:v>
                </c:pt>
                <c:pt idx="477">
                  <c:v>42570</c:v>
                </c:pt>
                <c:pt idx="478">
                  <c:v>42571</c:v>
                </c:pt>
                <c:pt idx="479">
                  <c:v>42572</c:v>
                </c:pt>
                <c:pt idx="480">
                  <c:v>42573</c:v>
                </c:pt>
                <c:pt idx="481">
                  <c:v>42576</c:v>
                </c:pt>
                <c:pt idx="482">
                  <c:v>42577</c:v>
                </c:pt>
                <c:pt idx="483">
                  <c:v>42578</c:v>
                </c:pt>
                <c:pt idx="484">
                  <c:v>42579</c:v>
                </c:pt>
                <c:pt idx="485">
                  <c:v>42580</c:v>
                </c:pt>
                <c:pt idx="486">
                  <c:v>42583</c:v>
                </c:pt>
                <c:pt idx="487">
                  <c:v>42584</c:v>
                </c:pt>
                <c:pt idx="488">
                  <c:v>42585</c:v>
                </c:pt>
                <c:pt idx="489">
                  <c:v>42586</c:v>
                </c:pt>
                <c:pt idx="490">
                  <c:v>42587</c:v>
                </c:pt>
                <c:pt idx="491">
                  <c:v>42590</c:v>
                </c:pt>
                <c:pt idx="492">
                  <c:v>42591</c:v>
                </c:pt>
                <c:pt idx="493">
                  <c:v>42592</c:v>
                </c:pt>
                <c:pt idx="494">
                  <c:v>42593</c:v>
                </c:pt>
                <c:pt idx="495">
                  <c:v>42594</c:v>
                </c:pt>
                <c:pt idx="496">
                  <c:v>42597</c:v>
                </c:pt>
                <c:pt idx="497">
                  <c:v>42598</c:v>
                </c:pt>
                <c:pt idx="498">
                  <c:v>42599</c:v>
                </c:pt>
                <c:pt idx="499">
                  <c:v>42600</c:v>
                </c:pt>
                <c:pt idx="500">
                  <c:v>42601</c:v>
                </c:pt>
                <c:pt idx="501">
                  <c:v>42604</c:v>
                </c:pt>
                <c:pt idx="502">
                  <c:v>42605</c:v>
                </c:pt>
                <c:pt idx="503">
                  <c:v>42606</c:v>
                </c:pt>
                <c:pt idx="504">
                  <c:v>42607</c:v>
                </c:pt>
                <c:pt idx="505">
                  <c:v>42608</c:v>
                </c:pt>
                <c:pt idx="506">
                  <c:v>42611</c:v>
                </c:pt>
                <c:pt idx="507">
                  <c:v>42612</c:v>
                </c:pt>
                <c:pt idx="508">
                  <c:v>42613</c:v>
                </c:pt>
                <c:pt idx="509">
                  <c:v>42614</c:v>
                </c:pt>
                <c:pt idx="510">
                  <c:v>42615</c:v>
                </c:pt>
                <c:pt idx="511">
                  <c:v>42618</c:v>
                </c:pt>
                <c:pt idx="512">
                  <c:v>42619</c:v>
                </c:pt>
                <c:pt idx="513">
                  <c:v>42620</c:v>
                </c:pt>
                <c:pt idx="514">
                  <c:v>42621</c:v>
                </c:pt>
                <c:pt idx="515">
                  <c:v>42622</c:v>
                </c:pt>
                <c:pt idx="516">
                  <c:v>42625</c:v>
                </c:pt>
                <c:pt idx="517">
                  <c:v>42626</c:v>
                </c:pt>
                <c:pt idx="518">
                  <c:v>42633</c:v>
                </c:pt>
                <c:pt idx="519">
                  <c:v>42640</c:v>
                </c:pt>
                <c:pt idx="520">
                  <c:v>42647</c:v>
                </c:pt>
                <c:pt idx="521">
                  <c:v>42654</c:v>
                </c:pt>
                <c:pt idx="522">
                  <c:v>42661</c:v>
                </c:pt>
                <c:pt idx="523">
                  <c:v>42668</c:v>
                </c:pt>
                <c:pt idx="524">
                  <c:v>42675</c:v>
                </c:pt>
                <c:pt idx="525">
                  <c:v>42682</c:v>
                </c:pt>
                <c:pt idx="526">
                  <c:v>42689</c:v>
                </c:pt>
                <c:pt idx="527">
                  <c:v>42696</c:v>
                </c:pt>
                <c:pt idx="528">
                  <c:v>42703</c:v>
                </c:pt>
                <c:pt idx="529">
                  <c:v>42710</c:v>
                </c:pt>
                <c:pt idx="530">
                  <c:v>42717</c:v>
                </c:pt>
                <c:pt idx="531">
                  <c:v>42724</c:v>
                </c:pt>
                <c:pt idx="532">
                  <c:v>42731</c:v>
                </c:pt>
                <c:pt idx="533">
                  <c:v>42738</c:v>
                </c:pt>
                <c:pt idx="534">
                  <c:v>42745</c:v>
                </c:pt>
                <c:pt idx="535">
                  <c:v>42752</c:v>
                </c:pt>
                <c:pt idx="536">
                  <c:v>42759</c:v>
                </c:pt>
                <c:pt idx="537">
                  <c:v>42766</c:v>
                </c:pt>
                <c:pt idx="538">
                  <c:v>42773</c:v>
                </c:pt>
                <c:pt idx="539">
                  <c:v>42780</c:v>
                </c:pt>
                <c:pt idx="540">
                  <c:v>42787</c:v>
                </c:pt>
                <c:pt idx="541">
                  <c:v>42794</c:v>
                </c:pt>
                <c:pt idx="542">
                  <c:v>42801</c:v>
                </c:pt>
                <c:pt idx="543">
                  <c:v>42808</c:v>
                </c:pt>
                <c:pt idx="544">
                  <c:v>42815</c:v>
                </c:pt>
                <c:pt idx="545">
                  <c:v>42822</c:v>
                </c:pt>
                <c:pt idx="546">
                  <c:v>42829</c:v>
                </c:pt>
                <c:pt idx="547">
                  <c:v>42836</c:v>
                </c:pt>
                <c:pt idx="548">
                  <c:v>42843</c:v>
                </c:pt>
                <c:pt idx="549">
                  <c:v>42850</c:v>
                </c:pt>
                <c:pt idx="550">
                  <c:v>42857</c:v>
                </c:pt>
                <c:pt idx="551">
                  <c:v>42864</c:v>
                </c:pt>
                <c:pt idx="552">
                  <c:v>42871</c:v>
                </c:pt>
                <c:pt idx="553">
                  <c:v>42878</c:v>
                </c:pt>
                <c:pt idx="554">
                  <c:v>42885</c:v>
                </c:pt>
                <c:pt idx="555">
                  <c:v>42892</c:v>
                </c:pt>
                <c:pt idx="556">
                  <c:v>42899</c:v>
                </c:pt>
                <c:pt idx="557">
                  <c:v>42906</c:v>
                </c:pt>
                <c:pt idx="558">
                  <c:v>42913</c:v>
                </c:pt>
                <c:pt idx="559">
                  <c:v>42920</c:v>
                </c:pt>
                <c:pt idx="560">
                  <c:v>42927</c:v>
                </c:pt>
                <c:pt idx="561">
                  <c:v>42934</c:v>
                </c:pt>
                <c:pt idx="562">
                  <c:v>42941</c:v>
                </c:pt>
                <c:pt idx="563">
                  <c:v>42948</c:v>
                </c:pt>
                <c:pt idx="564">
                  <c:v>42955</c:v>
                </c:pt>
                <c:pt idx="565">
                  <c:v>42962</c:v>
                </c:pt>
                <c:pt idx="566">
                  <c:v>42969</c:v>
                </c:pt>
                <c:pt idx="567">
                  <c:v>42976</c:v>
                </c:pt>
                <c:pt idx="568">
                  <c:v>42983</c:v>
                </c:pt>
                <c:pt idx="569">
                  <c:v>42990</c:v>
                </c:pt>
                <c:pt idx="570">
                  <c:v>42997</c:v>
                </c:pt>
                <c:pt idx="571">
                  <c:v>43004</c:v>
                </c:pt>
                <c:pt idx="572">
                  <c:v>43011</c:v>
                </c:pt>
                <c:pt idx="573">
                  <c:v>43018</c:v>
                </c:pt>
                <c:pt idx="574">
                  <c:v>43025</c:v>
                </c:pt>
                <c:pt idx="575">
                  <c:v>43032</c:v>
                </c:pt>
                <c:pt idx="576">
                  <c:v>43039</c:v>
                </c:pt>
                <c:pt idx="577">
                  <c:v>43046</c:v>
                </c:pt>
                <c:pt idx="578">
                  <c:v>43053</c:v>
                </c:pt>
                <c:pt idx="579">
                  <c:v>43060</c:v>
                </c:pt>
                <c:pt idx="580">
                  <c:v>43067</c:v>
                </c:pt>
                <c:pt idx="581">
                  <c:v>43074</c:v>
                </c:pt>
                <c:pt idx="582">
                  <c:v>43081</c:v>
                </c:pt>
                <c:pt idx="583">
                  <c:v>43088</c:v>
                </c:pt>
                <c:pt idx="584">
                  <c:v>43096</c:v>
                </c:pt>
                <c:pt idx="585">
                  <c:v>43103</c:v>
                </c:pt>
                <c:pt idx="586">
                  <c:v>43110</c:v>
                </c:pt>
                <c:pt idx="587">
                  <c:v>43117</c:v>
                </c:pt>
                <c:pt idx="588">
                  <c:v>43124</c:v>
                </c:pt>
                <c:pt idx="589">
                  <c:v>43131</c:v>
                </c:pt>
                <c:pt idx="590">
                  <c:v>43138</c:v>
                </c:pt>
                <c:pt idx="591">
                  <c:v>43145</c:v>
                </c:pt>
                <c:pt idx="592">
                  <c:v>43152</c:v>
                </c:pt>
                <c:pt idx="593">
                  <c:v>43159</c:v>
                </c:pt>
                <c:pt idx="594">
                  <c:v>43166</c:v>
                </c:pt>
                <c:pt idx="595">
                  <c:v>43173</c:v>
                </c:pt>
                <c:pt idx="596">
                  <c:v>43180</c:v>
                </c:pt>
                <c:pt idx="597">
                  <c:v>43187</c:v>
                </c:pt>
                <c:pt idx="598">
                  <c:v>43194</c:v>
                </c:pt>
                <c:pt idx="599">
                  <c:v>43201</c:v>
                </c:pt>
                <c:pt idx="600">
                  <c:v>43208</c:v>
                </c:pt>
                <c:pt idx="601">
                  <c:v>43215</c:v>
                </c:pt>
                <c:pt idx="602">
                  <c:v>43222</c:v>
                </c:pt>
                <c:pt idx="603">
                  <c:v>43229</c:v>
                </c:pt>
                <c:pt idx="604">
                  <c:v>43236</c:v>
                </c:pt>
                <c:pt idx="605">
                  <c:v>43243</c:v>
                </c:pt>
                <c:pt idx="606">
                  <c:v>43250</c:v>
                </c:pt>
                <c:pt idx="607">
                  <c:v>43257</c:v>
                </c:pt>
                <c:pt idx="608">
                  <c:v>43264</c:v>
                </c:pt>
                <c:pt idx="609">
                  <c:v>43271</c:v>
                </c:pt>
                <c:pt idx="610">
                  <c:v>43278</c:v>
                </c:pt>
                <c:pt idx="611">
                  <c:v>43285</c:v>
                </c:pt>
                <c:pt idx="612">
                  <c:v>43292</c:v>
                </c:pt>
                <c:pt idx="613">
                  <c:v>43299</c:v>
                </c:pt>
                <c:pt idx="614">
                  <c:v>43306</c:v>
                </c:pt>
                <c:pt idx="615">
                  <c:v>43313</c:v>
                </c:pt>
                <c:pt idx="616">
                  <c:v>43320</c:v>
                </c:pt>
                <c:pt idx="617">
                  <c:v>43327</c:v>
                </c:pt>
                <c:pt idx="618">
                  <c:v>43334</c:v>
                </c:pt>
                <c:pt idx="619">
                  <c:v>43341</c:v>
                </c:pt>
                <c:pt idx="620">
                  <c:v>43348</c:v>
                </c:pt>
                <c:pt idx="621">
                  <c:v>43355</c:v>
                </c:pt>
                <c:pt idx="622">
                  <c:v>43362</c:v>
                </c:pt>
                <c:pt idx="623">
                  <c:v>43369</c:v>
                </c:pt>
                <c:pt idx="624">
                  <c:v>43376</c:v>
                </c:pt>
                <c:pt idx="625">
                  <c:v>43383</c:v>
                </c:pt>
                <c:pt idx="626">
                  <c:v>43390</c:v>
                </c:pt>
                <c:pt idx="627">
                  <c:v>43397</c:v>
                </c:pt>
                <c:pt idx="628">
                  <c:v>43404</c:v>
                </c:pt>
                <c:pt idx="629">
                  <c:v>43411</c:v>
                </c:pt>
                <c:pt idx="630">
                  <c:v>43418</c:v>
                </c:pt>
                <c:pt idx="631">
                  <c:v>43425</c:v>
                </c:pt>
                <c:pt idx="632">
                  <c:v>43432</c:v>
                </c:pt>
                <c:pt idx="633">
                  <c:v>43439</c:v>
                </c:pt>
                <c:pt idx="634">
                  <c:v>43446</c:v>
                </c:pt>
                <c:pt idx="635">
                  <c:v>43453</c:v>
                </c:pt>
                <c:pt idx="636">
                  <c:v>43461</c:v>
                </c:pt>
                <c:pt idx="637">
                  <c:v>43468</c:v>
                </c:pt>
                <c:pt idx="638">
                  <c:v>43475</c:v>
                </c:pt>
                <c:pt idx="639">
                  <c:v>43482</c:v>
                </c:pt>
                <c:pt idx="640">
                  <c:v>43489</c:v>
                </c:pt>
                <c:pt idx="641">
                  <c:v>43496</c:v>
                </c:pt>
                <c:pt idx="642">
                  <c:v>43503</c:v>
                </c:pt>
                <c:pt idx="643">
                  <c:v>43510</c:v>
                </c:pt>
                <c:pt idx="644">
                  <c:v>43517</c:v>
                </c:pt>
                <c:pt idx="645">
                  <c:v>43524</c:v>
                </c:pt>
                <c:pt idx="646">
                  <c:v>43531</c:v>
                </c:pt>
                <c:pt idx="647">
                  <c:v>43538</c:v>
                </c:pt>
                <c:pt idx="648">
                  <c:v>43545</c:v>
                </c:pt>
                <c:pt idx="649">
                  <c:v>43552</c:v>
                </c:pt>
                <c:pt idx="650">
                  <c:v>43559</c:v>
                </c:pt>
                <c:pt idx="651">
                  <c:v>43566</c:v>
                </c:pt>
                <c:pt idx="652">
                  <c:v>43573</c:v>
                </c:pt>
                <c:pt idx="653">
                  <c:v>43580</c:v>
                </c:pt>
                <c:pt idx="654">
                  <c:v>43587</c:v>
                </c:pt>
                <c:pt idx="655">
                  <c:v>43594</c:v>
                </c:pt>
                <c:pt idx="656">
                  <c:v>43601</c:v>
                </c:pt>
                <c:pt idx="657">
                  <c:v>43608</c:v>
                </c:pt>
                <c:pt idx="658">
                  <c:v>43615</c:v>
                </c:pt>
                <c:pt idx="659">
                  <c:v>43622</c:v>
                </c:pt>
                <c:pt idx="660">
                  <c:v>43629</c:v>
                </c:pt>
                <c:pt idx="661">
                  <c:v>43636</c:v>
                </c:pt>
                <c:pt idx="662">
                  <c:v>43643</c:v>
                </c:pt>
                <c:pt idx="663">
                  <c:v>43650</c:v>
                </c:pt>
                <c:pt idx="664">
                  <c:v>43657</c:v>
                </c:pt>
                <c:pt idx="665">
                  <c:v>43664</c:v>
                </c:pt>
                <c:pt idx="666">
                  <c:v>43671</c:v>
                </c:pt>
                <c:pt idx="667">
                  <c:v>43678</c:v>
                </c:pt>
                <c:pt idx="668">
                  <c:v>43685</c:v>
                </c:pt>
                <c:pt idx="669">
                  <c:v>43692</c:v>
                </c:pt>
                <c:pt idx="670">
                  <c:v>43699</c:v>
                </c:pt>
                <c:pt idx="671">
                  <c:v>43706</c:v>
                </c:pt>
                <c:pt idx="672">
                  <c:v>43713</c:v>
                </c:pt>
                <c:pt idx="673">
                  <c:v>43720</c:v>
                </c:pt>
                <c:pt idx="674">
                  <c:v>43727</c:v>
                </c:pt>
                <c:pt idx="675">
                  <c:v>43734</c:v>
                </c:pt>
                <c:pt idx="676">
                  <c:v>43741</c:v>
                </c:pt>
                <c:pt idx="677">
                  <c:v>43748</c:v>
                </c:pt>
                <c:pt idx="678">
                  <c:v>43755</c:v>
                </c:pt>
                <c:pt idx="679">
                  <c:v>43762</c:v>
                </c:pt>
                <c:pt idx="680">
                  <c:v>43769</c:v>
                </c:pt>
                <c:pt idx="681">
                  <c:v>43776</c:v>
                </c:pt>
                <c:pt idx="682">
                  <c:v>43783</c:v>
                </c:pt>
                <c:pt idx="683">
                  <c:v>43790</c:v>
                </c:pt>
                <c:pt idx="684">
                  <c:v>43797</c:v>
                </c:pt>
                <c:pt idx="685">
                  <c:v>43804</c:v>
                </c:pt>
                <c:pt idx="686">
                  <c:v>43811</c:v>
                </c:pt>
                <c:pt idx="687">
                  <c:v>43818</c:v>
                </c:pt>
                <c:pt idx="688">
                  <c:v>43826</c:v>
                </c:pt>
                <c:pt idx="689">
                  <c:v>43833</c:v>
                </c:pt>
                <c:pt idx="690">
                  <c:v>43840</c:v>
                </c:pt>
                <c:pt idx="691">
                  <c:v>43847</c:v>
                </c:pt>
                <c:pt idx="692">
                  <c:v>43854</c:v>
                </c:pt>
                <c:pt idx="693">
                  <c:v>43861</c:v>
                </c:pt>
                <c:pt idx="694">
                  <c:v>43868</c:v>
                </c:pt>
                <c:pt idx="695">
                  <c:v>43875</c:v>
                </c:pt>
                <c:pt idx="696">
                  <c:v>43882</c:v>
                </c:pt>
                <c:pt idx="697">
                  <c:v>43889</c:v>
                </c:pt>
                <c:pt idx="698">
                  <c:v>43896</c:v>
                </c:pt>
                <c:pt idx="699">
                  <c:v>43903</c:v>
                </c:pt>
                <c:pt idx="700">
                  <c:v>43910</c:v>
                </c:pt>
                <c:pt idx="701">
                  <c:v>43917</c:v>
                </c:pt>
                <c:pt idx="702">
                  <c:v>43924</c:v>
                </c:pt>
                <c:pt idx="703">
                  <c:v>43935</c:v>
                </c:pt>
                <c:pt idx="704">
                  <c:v>43942</c:v>
                </c:pt>
                <c:pt idx="705">
                  <c:v>43949</c:v>
                </c:pt>
                <c:pt idx="706">
                  <c:v>43956</c:v>
                </c:pt>
                <c:pt idx="707">
                  <c:v>43963</c:v>
                </c:pt>
                <c:pt idx="708">
                  <c:v>43970</c:v>
                </c:pt>
                <c:pt idx="709">
                  <c:v>43977</c:v>
                </c:pt>
                <c:pt idx="710">
                  <c:v>43984</c:v>
                </c:pt>
                <c:pt idx="711">
                  <c:v>43991</c:v>
                </c:pt>
                <c:pt idx="712">
                  <c:v>43998</c:v>
                </c:pt>
                <c:pt idx="713">
                  <c:v>44005</c:v>
                </c:pt>
                <c:pt idx="714">
                  <c:v>44012</c:v>
                </c:pt>
                <c:pt idx="715">
                  <c:v>44019</c:v>
                </c:pt>
                <c:pt idx="716">
                  <c:v>44026</c:v>
                </c:pt>
                <c:pt idx="717">
                  <c:v>44033</c:v>
                </c:pt>
                <c:pt idx="718">
                  <c:v>44040</c:v>
                </c:pt>
                <c:pt idx="719">
                  <c:v>44047</c:v>
                </c:pt>
                <c:pt idx="720">
                  <c:v>44054</c:v>
                </c:pt>
                <c:pt idx="721">
                  <c:v>44061</c:v>
                </c:pt>
                <c:pt idx="722">
                  <c:v>44068</c:v>
                </c:pt>
                <c:pt idx="723">
                  <c:v>44075</c:v>
                </c:pt>
                <c:pt idx="724">
                  <c:v>44082</c:v>
                </c:pt>
                <c:pt idx="725">
                  <c:v>44089</c:v>
                </c:pt>
                <c:pt idx="726">
                  <c:v>44096</c:v>
                </c:pt>
                <c:pt idx="727">
                  <c:v>44103</c:v>
                </c:pt>
                <c:pt idx="728">
                  <c:v>44110</c:v>
                </c:pt>
                <c:pt idx="729">
                  <c:v>44117</c:v>
                </c:pt>
                <c:pt idx="730">
                  <c:v>44124</c:v>
                </c:pt>
                <c:pt idx="731">
                  <c:v>44131</c:v>
                </c:pt>
                <c:pt idx="732">
                  <c:v>44138</c:v>
                </c:pt>
                <c:pt idx="733">
                  <c:v>44145</c:v>
                </c:pt>
                <c:pt idx="734">
                  <c:v>44152</c:v>
                </c:pt>
                <c:pt idx="735">
                  <c:v>44159</c:v>
                </c:pt>
                <c:pt idx="736">
                  <c:v>44166</c:v>
                </c:pt>
                <c:pt idx="737">
                  <c:v>44173</c:v>
                </c:pt>
                <c:pt idx="738">
                  <c:v>44180</c:v>
                </c:pt>
                <c:pt idx="739">
                  <c:v>44187</c:v>
                </c:pt>
                <c:pt idx="740">
                  <c:v>44194</c:v>
                </c:pt>
                <c:pt idx="741">
                  <c:v>44201</c:v>
                </c:pt>
                <c:pt idx="742">
                  <c:v>44208</c:v>
                </c:pt>
                <c:pt idx="743">
                  <c:v>44215</c:v>
                </c:pt>
                <c:pt idx="744">
                  <c:v>44222</c:v>
                </c:pt>
                <c:pt idx="745">
                  <c:v>44229</c:v>
                </c:pt>
                <c:pt idx="746">
                  <c:v>44236</c:v>
                </c:pt>
                <c:pt idx="747">
                  <c:v>44243</c:v>
                </c:pt>
                <c:pt idx="748">
                  <c:v>44250</c:v>
                </c:pt>
                <c:pt idx="749">
                  <c:v>44257</c:v>
                </c:pt>
                <c:pt idx="750">
                  <c:v>44264</c:v>
                </c:pt>
                <c:pt idx="751">
                  <c:v>44271</c:v>
                </c:pt>
                <c:pt idx="752">
                  <c:v>44278</c:v>
                </c:pt>
                <c:pt idx="753">
                  <c:v>44285</c:v>
                </c:pt>
                <c:pt idx="754">
                  <c:v>44292</c:v>
                </c:pt>
                <c:pt idx="755">
                  <c:v>44299</c:v>
                </c:pt>
                <c:pt idx="756">
                  <c:v>44306</c:v>
                </c:pt>
                <c:pt idx="757">
                  <c:v>44313</c:v>
                </c:pt>
                <c:pt idx="758">
                  <c:v>44320</c:v>
                </c:pt>
                <c:pt idx="759">
                  <c:v>44327</c:v>
                </c:pt>
                <c:pt idx="760">
                  <c:v>44334</c:v>
                </c:pt>
                <c:pt idx="761">
                  <c:v>44341</c:v>
                </c:pt>
                <c:pt idx="762">
                  <c:v>44348</c:v>
                </c:pt>
                <c:pt idx="763">
                  <c:v>44355</c:v>
                </c:pt>
                <c:pt idx="764">
                  <c:v>44362</c:v>
                </c:pt>
                <c:pt idx="765">
                  <c:v>44369</c:v>
                </c:pt>
                <c:pt idx="766">
                  <c:v>44376</c:v>
                </c:pt>
                <c:pt idx="767">
                  <c:v>44383</c:v>
                </c:pt>
                <c:pt idx="768">
                  <c:v>44390</c:v>
                </c:pt>
                <c:pt idx="769">
                  <c:v>44397</c:v>
                </c:pt>
                <c:pt idx="770">
                  <c:v>44404</c:v>
                </c:pt>
                <c:pt idx="771">
                  <c:v>44411</c:v>
                </c:pt>
                <c:pt idx="772">
                  <c:v>44418</c:v>
                </c:pt>
                <c:pt idx="773">
                  <c:v>44425</c:v>
                </c:pt>
                <c:pt idx="774">
                  <c:v>44432</c:v>
                </c:pt>
                <c:pt idx="775">
                  <c:v>44439</c:v>
                </c:pt>
                <c:pt idx="776">
                  <c:v>44446</c:v>
                </c:pt>
                <c:pt idx="777">
                  <c:v>44453</c:v>
                </c:pt>
                <c:pt idx="778">
                  <c:v>44460</c:v>
                </c:pt>
                <c:pt idx="779">
                  <c:v>44467</c:v>
                </c:pt>
                <c:pt idx="780">
                  <c:v>44474</c:v>
                </c:pt>
                <c:pt idx="781">
                  <c:v>44481</c:v>
                </c:pt>
                <c:pt idx="782">
                  <c:v>44488</c:v>
                </c:pt>
                <c:pt idx="783">
                  <c:v>44495</c:v>
                </c:pt>
                <c:pt idx="784">
                  <c:v>44502</c:v>
                </c:pt>
                <c:pt idx="785">
                  <c:v>44509</c:v>
                </c:pt>
                <c:pt idx="786">
                  <c:v>44516</c:v>
                </c:pt>
                <c:pt idx="787">
                  <c:v>44523</c:v>
                </c:pt>
                <c:pt idx="788">
                  <c:v>44530</c:v>
                </c:pt>
                <c:pt idx="789">
                  <c:v>44537</c:v>
                </c:pt>
                <c:pt idx="790">
                  <c:v>44544</c:v>
                </c:pt>
                <c:pt idx="791">
                  <c:v>44551</c:v>
                </c:pt>
                <c:pt idx="792">
                  <c:v>44558</c:v>
                </c:pt>
                <c:pt idx="793">
                  <c:v>44565</c:v>
                </c:pt>
                <c:pt idx="794">
                  <c:v>44572</c:v>
                </c:pt>
                <c:pt idx="795">
                  <c:v>44579</c:v>
                </c:pt>
                <c:pt idx="796">
                  <c:v>44586</c:v>
                </c:pt>
                <c:pt idx="797">
                  <c:v>44593</c:v>
                </c:pt>
                <c:pt idx="798">
                  <c:v>44600</c:v>
                </c:pt>
                <c:pt idx="799">
                  <c:v>44607</c:v>
                </c:pt>
                <c:pt idx="800">
                  <c:v>44614</c:v>
                </c:pt>
                <c:pt idx="801">
                  <c:v>44621</c:v>
                </c:pt>
                <c:pt idx="802">
                  <c:v>44628</c:v>
                </c:pt>
                <c:pt idx="803">
                  <c:v>44635</c:v>
                </c:pt>
                <c:pt idx="804">
                  <c:v>44642</c:v>
                </c:pt>
                <c:pt idx="805">
                  <c:v>44649</c:v>
                </c:pt>
                <c:pt idx="806">
                  <c:v>44656</c:v>
                </c:pt>
                <c:pt idx="807">
                  <c:v>44663</c:v>
                </c:pt>
                <c:pt idx="808">
                  <c:v>44670</c:v>
                </c:pt>
                <c:pt idx="809">
                  <c:v>44677</c:v>
                </c:pt>
                <c:pt idx="810">
                  <c:v>44684</c:v>
                </c:pt>
                <c:pt idx="811">
                  <c:v>44691</c:v>
                </c:pt>
                <c:pt idx="812">
                  <c:v>44698</c:v>
                </c:pt>
                <c:pt idx="813">
                  <c:v>44705</c:v>
                </c:pt>
                <c:pt idx="814">
                  <c:v>44712</c:v>
                </c:pt>
                <c:pt idx="815">
                  <c:v>44719</c:v>
                </c:pt>
                <c:pt idx="816">
                  <c:v>44726</c:v>
                </c:pt>
                <c:pt idx="817">
                  <c:v>44733</c:v>
                </c:pt>
                <c:pt idx="818">
                  <c:v>44740</c:v>
                </c:pt>
                <c:pt idx="819">
                  <c:v>44747</c:v>
                </c:pt>
                <c:pt idx="820">
                  <c:v>44754</c:v>
                </c:pt>
                <c:pt idx="821">
                  <c:v>44761</c:v>
                </c:pt>
                <c:pt idx="822">
                  <c:v>44768</c:v>
                </c:pt>
                <c:pt idx="823">
                  <c:v>44775</c:v>
                </c:pt>
                <c:pt idx="824">
                  <c:v>44782</c:v>
                </c:pt>
                <c:pt idx="825">
                  <c:v>44789</c:v>
                </c:pt>
                <c:pt idx="826">
                  <c:v>44796</c:v>
                </c:pt>
                <c:pt idx="827">
                  <c:v>44803</c:v>
                </c:pt>
                <c:pt idx="828">
                  <c:v>44810</c:v>
                </c:pt>
                <c:pt idx="829">
                  <c:v>44817</c:v>
                </c:pt>
                <c:pt idx="830">
                  <c:v>44824</c:v>
                </c:pt>
                <c:pt idx="831">
                  <c:v>44831</c:v>
                </c:pt>
                <c:pt idx="832">
                  <c:v>44838</c:v>
                </c:pt>
                <c:pt idx="833">
                  <c:v>44845</c:v>
                </c:pt>
                <c:pt idx="834">
                  <c:v>44852</c:v>
                </c:pt>
                <c:pt idx="835">
                  <c:v>44859</c:v>
                </c:pt>
                <c:pt idx="836">
                  <c:v>44866</c:v>
                </c:pt>
                <c:pt idx="837">
                  <c:v>44873</c:v>
                </c:pt>
                <c:pt idx="838">
                  <c:v>44880</c:v>
                </c:pt>
                <c:pt idx="839">
                  <c:v>44887</c:v>
                </c:pt>
                <c:pt idx="840">
                  <c:v>44894</c:v>
                </c:pt>
                <c:pt idx="841">
                  <c:v>44901</c:v>
                </c:pt>
                <c:pt idx="842">
                  <c:v>44908</c:v>
                </c:pt>
                <c:pt idx="843">
                  <c:v>44915</c:v>
                </c:pt>
                <c:pt idx="844">
                  <c:v>44922</c:v>
                </c:pt>
                <c:pt idx="845">
                  <c:v>44929</c:v>
                </c:pt>
                <c:pt idx="846">
                  <c:v>44936</c:v>
                </c:pt>
                <c:pt idx="847">
                  <c:v>44943</c:v>
                </c:pt>
                <c:pt idx="848">
                  <c:v>44950</c:v>
                </c:pt>
                <c:pt idx="849">
                  <c:v>44957</c:v>
                </c:pt>
                <c:pt idx="850">
                  <c:v>44964</c:v>
                </c:pt>
                <c:pt idx="851">
                  <c:v>44971</c:v>
                </c:pt>
                <c:pt idx="852">
                  <c:v>44978</c:v>
                </c:pt>
                <c:pt idx="853">
                  <c:v>44985</c:v>
                </c:pt>
                <c:pt idx="854">
                  <c:v>44992</c:v>
                </c:pt>
                <c:pt idx="855">
                  <c:v>44999</c:v>
                </c:pt>
                <c:pt idx="856">
                  <c:v>45006</c:v>
                </c:pt>
                <c:pt idx="857">
                  <c:v>45013</c:v>
                </c:pt>
                <c:pt idx="858">
                  <c:v>45020</c:v>
                </c:pt>
                <c:pt idx="859">
                  <c:v>45027</c:v>
                </c:pt>
                <c:pt idx="860">
                  <c:v>45034</c:v>
                </c:pt>
                <c:pt idx="861">
                  <c:v>45041</c:v>
                </c:pt>
                <c:pt idx="862">
                  <c:v>45048</c:v>
                </c:pt>
                <c:pt idx="863">
                  <c:v>45055</c:v>
                </c:pt>
                <c:pt idx="864">
                  <c:v>45062</c:v>
                </c:pt>
                <c:pt idx="865">
                  <c:v>45069</c:v>
                </c:pt>
                <c:pt idx="866">
                  <c:v>45076</c:v>
                </c:pt>
                <c:pt idx="867">
                  <c:v>45083</c:v>
                </c:pt>
                <c:pt idx="868">
                  <c:v>45090</c:v>
                </c:pt>
                <c:pt idx="869">
                  <c:v>45097</c:v>
                </c:pt>
                <c:pt idx="870">
                  <c:v>45104</c:v>
                </c:pt>
                <c:pt idx="871">
                  <c:v>45111</c:v>
                </c:pt>
                <c:pt idx="872">
                  <c:v>45118</c:v>
                </c:pt>
                <c:pt idx="873">
                  <c:v>45125</c:v>
                </c:pt>
                <c:pt idx="874">
                  <c:v>45132</c:v>
                </c:pt>
                <c:pt idx="875">
                  <c:v>45139</c:v>
                </c:pt>
                <c:pt idx="876">
                  <c:v>45146</c:v>
                </c:pt>
                <c:pt idx="877">
                  <c:v>45153</c:v>
                </c:pt>
                <c:pt idx="878">
                  <c:v>45160</c:v>
                </c:pt>
                <c:pt idx="879">
                  <c:v>45167</c:v>
                </c:pt>
                <c:pt idx="880">
                  <c:v>45174</c:v>
                </c:pt>
                <c:pt idx="881">
                  <c:v>45181</c:v>
                </c:pt>
                <c:pt idx="882">
                  <c:v>45188</c:v>
                </c:pt>
                <c:pt idx="883">
                  <c:v>45195</c:v>
                </c:pt>
                <c:pt idx="884">
                  <c:v>45202</c:v>
                </c:pt>
                <c:pt idx="885">
                  <c:v>45209</c:v>
                </c:pt>
                <c:pt idx="886">
                  <c:v>45216</c:v>
                </c:pt>
                <c:pt idx="887">
                  <c:v>45223</c:v>
                </c:pt>
                <c:pt idx="888">
                  <c:v>45230</c:v>
                </c:pt>
                <c:pt idx="889">
                  <c:v>45237</c:v>
                </c:pt>
                <c:pt idx="890">
                  <c:v>45244</c:v>
                </c:pt>
                <c:pt idx="891">
                  <c:v>45251</c:v>
                </c:pt>
                <c:pt idx="892">
                  <c:v>45258</c:v>
                </c:pt>
                <c:pt idx="893">
                  <c:v>45265</c:v>
                </c:pt>
                <c:pt idx="894">
                  <c:v>45272</c:v>
                </c:pt>
                <c:pt idx="895">
                  <c:v>45279</c:v>
                </c:pt>
                <c:pt idx="896">
                  <c:v>45287</c:v>
                </c:pt>
                <c:pt idx="897">
                  <c:v>45294</c:v>
                </c:pt>
                <c:pt idx="898">
                  <c:v>45301</c:v>
                </c:pt>
                <c:pt idx="899">
                  <c:v>45308</c:v>
                </c:pt>
                <c:pt idx="900">
                  <c:v>45315</c:v>
                </c:pt>
                <c:pt idx="901">
                  <c:v>45322</c:v>
                </c:pt>
                <c:pt idx="902">
                  <c:v>45329</c:v>
                </c:pt>
                <c:pt idx="903">
                  <c:v>45336</c:v>
                </c:pt>
                <c:pt idx="904">
                  <c:v>45343</c:v>
                </c:pt>
                <c:pt idx="905">
                  <c:v>45350</c:v>
                </c:pt>
                <c:pt idx="906">
                  <c:v>45357</c:v>
                </c:pt>
                <c:pt idx="907">
                  <c:v>45364</c:v>
                </c:pt>
                <c:pt idx="908">
                  <c:v>45371</c:v>
                </c:pt>
                <c:pt idx="909">
                  <c:v>45378</c:v>
                </c:pt>
                <c:pt idx="910">
                  <c:v>45385</c:v>
                </c:pt>
                <c:pt idx="911">
                  <c:v>45392</c:v>
                </c:pt>
                <c:pt idx="912">
                  <c:v>45399</c:v>
                </c:pt>
                <c:pt idx="913">
                  <c:v>45406</c:v>
                </c:pt>
                <c:pt idx="914">
                  <c:v>45414</c:v>
                </c:pt>
                <c:pt idx="915">
                  <c:v>45421</c:v>
                </c:pt>
                <c:pt idx="916">
                  <c:v>45428</c:v>
                </c:pt>
                <c:pt idx="917">
                  <c:v>45435</c:v>
                </c:pt>
                <c:pt idx="918">
                  <c:v>45442</c:v>
                </c:pt>
                <c:pt idx="919">
                  <c:v>45449</c:v>
                </c:pt>
                <c:pt idx="920">
                  <c:v>45456</c:v>
                </c:pt>
                <c:pt idx="921">
                  <c:v>45463</c:v>
                </c:pt>
                <c:pt idx="922">
                  <c:v>45470</c:v>
                </c:pt>
                <c:pt idx="923">
                  <c:v>45477</c:v>
                </c:pt>
                <c:pt idx="924">
                  <c:v>45484</c:v>
                </c:pt>
                <c:pt idx="925">
                  <c:v>45491</c:v>
                </c:pt>
                <c:pt idx="926">
                  <c:v>45498</c:v>
                </c:pt>
                <c:pt idx="927">
                  <c:v>45505</c:v>
                </c:pt>
                <c:pt idx="928">
                  <c:v>45512</c:v>
                </c:pt>
                <c:pt idx="929">
                  <c:v>45519</c:v>
                </c:pt>
                <c:pt idx="930">
                  <c:v>45526</c:v>
                </c:pt>
                <c:pt idx="931">
                  <c:v>45533</c:v>
                </c:pt>
                <c:pt idx="932">
                  <c:v>45540</c:v>
                </c:pt>
                <c:pt idx="933">
                  <c:v>45547</c:v>
                </c:pt>
                <c:pt idx="934">
                  <c:v>45554</c:v>
                </c:pt>
                <c:pt idx="935">
                  <c:v>45561</c:v>
                </c:pt>
                <c:pt idx="936">
                  <c:v>45568</c:v>
                </c:pt>
                <c:pt idx="937">
                  <c:v>45575</c:v>
                </c:pt>
                <c:pt idx="938">
                  <c:v>45582</c:v>
                </c:pt>
                <c:pt idx="939">
                  <c:v>45589</c:v>
                </c:pt>
                <c:pt idx="940">
                  <c:v>45596</c:v>
                </c:pt>
                <c:pt idx="941">
                  <c:v>45603</c:v>
                </c:pt>
                <c:pt idx="942">
                  <c:v>45610</c:v>
                </c:pt>
                <c:pt idx="943">
                  <c:v>45617</c:v>
                </c:pt>
                <c:pt idx="944">
                  <c:v>45624</c:v>
                </c:pt>
                <c:pt idx="945">
                  <c:v>45631</c:v>
                </c:pt>
                <c:pt idx="946">
                  <c:v>45638</c:v>
                </c:pt>
                <c:pt idx="947">
                  <c:v>45645</c:v>
                </c:pt>
                <c:pt idx="948">
                  <c:v>45653</c:v>
                </c:pt>
                <c:pt idx="949">
                  <c:v>45660</c:v>
                </c:pt>
                <c:pt idx="950">
                  <c:v>45667</c:v>
                </c:pt>
                <c:pt idx="951">
                  <c:v>45674</c:v>
                </c:pt>
                <c:pt idx="952">
                  <c:v>45681</c:v>
                </c:pt>
                <c:pt idx="953">
                  <c:v>45688</c:v>
                </c:pt>
                <c:pt idx="954">
                  <c:v>45695</c:v>
                </c:pt>
                <c:pt idx="955">
                  <c:v>45702</c:v>
                </c:pt>
                <c:pt idx="956">
                  <c:v>45709</c:v>
                </c:pt>
                <c:pt idx="957">
                  <c:v>45716</c:v>
                </c:pt>
                <c:pt idx="958">
                  <c:v>45723</c:v>
                </c:pt>
                <c:pt idx="959">
                  <c:v>45730</c:v>
                </c:pt>
                <c:pt idx="960">
                  <c:v>45737</c:v>
                </c:pt>
                <c:pt idx="961">
                  <c:v>45744</c:v>
                </c:pt>
                <c:pt idx="962">
                  <c:v>45751</c:v>
                </c:pt>
                <c:pt idx="963">
                  <c:v>45758</c:v>
                </c:pt>
                <c:pt idx="964">
                  <c:v>45769</c:v>
                </c:pt>
                <c:pt idx="965">
                  <c:v>45776</c:v>
                </c:pt>
                <c:pt idx="966">
                  <c:v>45783</c:v>
                </c:pt>
                <c:pt idx="967">
                  <c:v>45790</c:v>
                </c:pt>
                <c:pt idx="968">
                  <c:v>45797</c:v>
                </c:pt>
                <c:pt idx="969">
                  <c:v>45804</c:v>
                </c:pt>
                <c:pt idx="970">
                  <c:v>45811</c:v>
                </c:pt>
                <c:pt idx="971">
                  <c:v>45818</c:v>
                </c:pt>
                <c:pt idx="972">
                  <c:v>45825</c:v>
                </c:pt>
                <c:pt idx="973">
                  <c:v>45832</c:v>
                </c:pt>
                <c:pt idx="974">
                  <c:v>45840</c:v>
                </c:pt>
                <c:pt idx="975">
                  <c:v>45847</c:v>
                </c:pt>
                <c:pt idx="976">
                  <c:v>45854</c:v>
                </c:pt>
                <c:pt idx="977">
                  <c:v>45861</c:v>
                </c:pt>
                <c:pt idx="978">
                  <c:v>45868</c:v>
                </c:pt>
                <c:pt idx="979">
                  <c:v>45875</c:v>
                </c:pt>
                <c:pt idx="980">
                  <c:v>45882</c:v>
                </c:pt>
                <c:pt idx="981">
                  <c:v>45889</c:v>
                </c:pt>
                <c:pt idx="982">
                  <c:v>45896</c:v>
                </c:pt>
                <c:pt idx="983">
                  <c:v>45903</c:v>
                </c:pt>
                <c:pt idx="984">
                  <c:v>45910</c:v>
                </c:pt>
                <c:pt idx="985">
                  <c:v>45917</c:v>
                </c:pt>
                <c:pt idx="986">
                  <c:v>45924</c:v>
                </c:pt>
                <c:pt idx="987">
                  <c:v>45932</c:v>
                </c:pt>
                <c:pt idx="988">
                  <c:v>45939</c:v>
                </c:pt>
                <c:pt idx="989">
                  <c:v>45946</c:v>
                </c:pt>
                <c:pt idx="990">
                  <c:v>45953</c:v>
                </c:pt>
                <c:pt idx="991">
                  <c:v>45960</c:v>
                </c:pt>
                <c:pt idx="992">
                  <c:v>45967</c:v>
                </c:pt>
                <c:pt idx="993">
                  <c:v>45974</c:v>
                </c:pt>
                <c:pt idx="994">
                  <c:v>45981</c:v>
                </c:pt>
                <c:pt idx="995">
                  <c:v>45988</c:v>
                </c:pt>
                <c:pt idx="996">
                  <c:v>45995</c:v>
                </c:pt>
                <c:pt idx="997">
                  <c:v>46002</c:v>
                </c:pt>
                <c:pt idx="998">
                  <c:v>46009</c:v>
                </c:pt>
                <c:pt idx="999">
                  <c:v>46020</c:v>
                </c:pt>
                <c:pt idx="1000">
                  <c:v>46027</c:v>
                </c:pt>
                <c:pt idx="1001">
                  <c:v>46034</c:v>
                </c:pt>
                <c:pt idx="1002">
                  <c:v>46041</c:v>
                </c:pt>
                <c:pt idx="1003">
                  <c:v>46048</c:v>
                </c:pt>
                <c:pt idx="1004">
                  <c:v>46055</c:v>
                </c:pt>
                <c:pt idx="1005">
                  <c:v>46062</c:v>
                </c:pt>
                <c:pt idx="1006">
                  <c:v>46069</c:v>
                </c:pt>
                <c:pt idx="1007">
                  <c:v>46076</c:v>
                </c:pt>
                <c:pt idx="1008">
                  <c:v>46083</c:v>
                </c:pt>
                <c:pt idx="1009">
                  <c:v>46090</c:v>
                </c:pt>
                <c:pt idx="1010">
                  <c:v>46097</c:v>
                </c:pt>
                <c:pt idx="1011">
                  <c:v>46104</c:v>
                </c:pt>
                <c:pt idx="1012">
                  <c:v>46111</c:v>
                </c:pt>
                <c:pt idx="1013">
                  <c:v>46119</c:v>
                </c:pt>
                <c:pt idx="1014">
                  <c:v>46126</c:v>
                </c:pt>
                <c:pt idx="1015">
                  <c:v>46133</c:v>
                </c:pt>
                <c:pt idx="1016">
                  <c:v>46140</c:v>
                </c:pt>
                <c:pt idx="1017">
                  <c:v>46147</c:v>
                </c:pt>
                <c:pt idx="1018">
                  <c:v>46154</c:v>
                </c:pt>
                <c:pt idx="1019">
                  <c:v>46161</c:v>
                </c:pt>
                <c:pt idx="1020">
                  <c:v>46168</c:v>
                </c:pt>
                <c:pt idx="1021">
                  <c:v>46175</c:v>
                </c:pt>
                <c:pt idx="1022">
                  <c:v>46182</c:v>
                </c:pt>
                <c:pt idx="1023">
                  <c:v>46189</c:v>
                </c:pt>
                <c:pt idx="1024">
                  <c:v>46196</c:v>
                </c:pt>
                <c:pt idx="1025">
                  <c:v>46203</c:v>
                </c:pt>
                <c:pt idx="1026">
                  <c:v>46210</c:v>
                </c:pt>
                <c:pt idx="1027">
                  <c:v>46217</c:v>
                </c:pt>
                <c:pt idx="1028">
                  <c:v>46224</c:v>
                </c:pt>
                <c:pt idx="1029">
                  <c:v>46231</c:v>
                </c:pt>
                <c:pt idx="1030">
                  <c:v>46238</c:v>
                </c:pt>
                <c:pt idx="1031">
                  <c:v>46245</c:v>
                </c:pt>
                <c:pt idx="1032">
                  <c:v>46252</c:v>
                </c:pt>
                <c:pt idx="1033">
                  <c:v>46259</c:v>
                </c:pt>
                <c:pt idx="1034">
                  <c:v>46266</c:v>
                </c:pt>
                <c:pt idx="1035">
                  <c:v>46273</c:v>
                </c:pt>
                <c:pt idx="1036">
                  <c:v>46280</c:v>
                </c:pt>
                <c:pt idx="1037">
                  <c:v>46287</c:v>
                </c:pt>
                <c:pt idx="1038">
                  <c:v>46294</c:v>
                </c:pt>
                <c:pt idx="1039">
                  <c:v>46301</c:v>
                </c:pt>
                <c:pt idx="1040">
                  <c:v>46308</c:v>
                </c:pt>
                <c:pt idx="1041">
                  <c:v>46315</c:v>
                </c:pt>
                <c:pt idx="1042">
                  <c:v>46322</c:v>
                </c:pt>
                <c:pt idx="1043">
                  <c:v>46329</c:v>
                </c:pt>
                <c:pt idx="1044">
                  <c:v>46336</c:v>
                </c:pt>
                <c:pt idx="1045">
                  <c:v>46343</c:v>
                </c:pt>
                <c:pt idx="1046">
                  <c:v>46350</c:v>
                </c:pt>
                <c:pt idx="1047">
                  <c:v>46357</c:v>
                </c:pt>
                <c:pt idx="1048">
                  <c:v>46364</c:v>
                </c:pt>
                <c:pt idx="1049">
                  <c:v>46371</c:v>
                </c:pt>
                <c:pt idx="1050">
                  <c:v>46378</c:v>
                </c:pt>
                <c:pt idx="1051">
                  <c:v>46385</c:v>
                </c:pt>
                <c:pt idx="1052">
                  <c:v>46392</c:v>
                </c:pt>
                <c:pt idx="1053">
                  <c:v>46399</c:v>
                </c:pt>
                <c:pt idx="1054">
                  <c:v>46406</c:v>
                </c:pt>
                <c:pt idx="1055">
                  <c:v>46413</c:v>
                </c:pt>
                <c:pt idx="1056">
                  <c:v>46420</c:v>
                </c:pt>
                <c:pt idx="1057">
                  <c:v>46427</c:v>
                </c:pt>
                <c:pt idx="1058">
                  <c:v>46434</c:v>
                </c:pt>
                <c:pt idx="1059">
                  <c:v>46441</c:v>
                </c:pt>
                <c:pt idx="1060">
                  <c:v>46448</c:v>
                </c:pt>
                <c:pt idx="1061">
                  <c:v>46455</c:v>
                </c:pt>
                <c:pt idx="1062">
                  <c:v>46462</c:v>
                </c:pt>
                <c:pt idx="1063">
                  <c:v>46469</c:v>
                </c:pt>
                <c:pt idx="1064">
                  <c:v>46476</c:v>
                </c:pt>
                <c:pt idx="1065">
                  <c:v>46483</c:v>
                </c:pt>
                <c:pt idx="1066">
                  <c:v>46490</c:v>
                </c:pt>
                <c:pt idx="1067">
                  <c:v>46497</c:v>
                </c:pt>
                <c:pt idx="1068">
                  <c:v>46504</c:v>
                </c:pt>
                <c:pt idx="1069">
                  <c:v>46511</c:v>
                </c:pt>
                <c:pt idx="1070">
                  <c:v>46518</c:v>
                </c:pt>
                <c:pt idx="1071">
                  <c:v>46525</c:v>
                </c:pt>
                <c:pt idx="1072">
                  <c:v>46532</c:v>
                </c:pt>
                <c:pt idx="1073">
                  <c:v>46539</c:v>
                </c:pt>
                <c:pt idx="1074">
                  <c:v>46546</c:v>
                </c:pt>
                <c:pt idx="1075">
                  <c:v>46553</c:v>
                </c:pt>
                <c:pt idx="1076">
                  <c:v>46560</c:v>
                </c:pt>
                <c:pt idx="1077">
                  <c:v>46567</c:v>
                </c:pt>
                <c:pt idx="1078">
                  <c:v>46574</c:v>
                </c:pt>
                <c:pt idx="1079">
                  <c:v>46581</c:v>
                </c:pt>
                <c:pt idx="1080">
                  <c:v>46588</c:v>
                </c:pt>
                <c:pt idx="1081">
                  <c:v>46595</c:v>
                </c:pt>
                <c:pt idx="1082">
                  <c:v>46602</c:v>
                </c:pt>
                <c:pt idx="1083">
                  <c:v>46609</c:v>
                </c:pt>
                <c:pt idx="1084">
                  <c:v>46616</c:v>
                </c:pt>
                <c:pt idx="1085">
                  <c:v>46623</c:v>
                </c:pt>
                <c:pt idx="1086">
                  <c:v>46630</c:v>
                </c:pt>
                <c:pt idx="1087">
                  <c:v>46637</c:v>
                </c:pt>
                <c:pt idx="1088">
                  <c:v>46644</c:v>
                </c:pt>
                <c:pt idx="1089">
                  <c:v>46651</c:v>
                </c:pt>
                <c:pt idx="1090">
                  <c:v>46658</c:v>
                </c:pt>
                <c:pt idx="1091">
                  <c:v>46665</c:v>
                </c:pt>
                <c:pt idx="1092">
                  <c:v>46672</c:v>
                </c:pt>
                <c:pt idx="1093">
                  <c:v>46679</c:v>
                </c:pt>
                <c:pt idx="1094">
                  <c:v>46686</c:v>
                </c:pt>
                <c:pt idx="1095">
                  <c:v>46693</c:v>
                </c:pt>
                <c:pt idx="1096">
                  <c:v>46700</c:v>
                </c:pt>
                <c:pt idx="1097">
                  <c:v>46707</c:v>
                </c:pt>
                <c:pt idx="1098">
                  <c:v>46714</c:v>
                </c:pt>
                <c:pt idx="1099">
                  <c:v>46721</c:v>
                </c:pt>
                <c:pt idx="1100">
                  <c:v>46728</c:v>
                </c:pt>
                <c:pt idx="1101">
                  <c:v>46735</c:v>
                </c:pt>
                <c:pt idx="1102">
                  <c:v>46742</c:v>
                </c:pt>
                <c:pt idx="1103">
                  <c:v>46749</c:v>
                </c:pt>
                <c:pt idx="1104">
                  <c:v>46756</c:v>
                </c:pt>
                <c:pt idx="1105">
                  <c:v>46763</c:v>
                </c:pt>
                <c:pt idx="1106">
                  <c:v>46770</c:v>
                </c:pt>
                <c:pt idx="1107">
                  <c:v>46777</c:v>
                </c:pt>
                <c:pt idx="1108">
                  <c:v>46784</c:v>
                </c:pt>
                <c:pt idx="1109">
                  <c:v>46791</c:v>
                </c:pt>
                <c:pt idx="1110">
                  <c:v>46798</c:v>
                </c:pt>
                <c:pt idx="1111">
                  <c:v>46805</c:v>
                </c:pt>
                <c:pt idx="1112">
                  <c:v>46812</c:v>
                </c:pt>
                <c:pt idx="1113">
                  <c:v>46819</c:v>
                </c:pt>
                <c:pt idx="1114">
                  <c:v>46826</c:v>
                </c:pt>
                <c:pt idx="1115">
                  <c:v>46833</c:v>
                </c:pt>
                <c:pt idx="1116">
                  <c:v>46840</c:v>
                </c:pt>
                <c:pt idx="1117">
                  <c:v>46847</c:v>
                </c:pt>
                <c:pt idx="1118">
                  <c:v>46854</c:v>
                </c:pt>
                <c:pt idx="1119">
                  <c:v>46861</c:v>
                </c:pt>
                <c:pt idx="1120">
                  <c:v>46868</c:v>
                </c:pt>
                <c:pt idx="1121">
                  <c:v>46875</c:v>
                </c:pt>
                <c:pt idx="1122">
                  <c:v>46882</c:v>
                </c:pt>
                <c:pt idx="1123">
                  <c:v>46889</c:v>
                </c:pt>
                <c:pt idx="1124">
                  <c:v>46896</c:v>
                </c:pt>
                <c:pt idx="1125">
                  <c:v>46903</c:v>
                </c:pt>
                <c:pt idx="1126">
                  <c:v>46910</c:v>
                </c:pt>
                <c:pt idx="1127">
                  <c:v>46917</c:v>
                </c:pt>
                <c:pt idx="1128">
                  <c:v>46924</c:v>
                </c:pt>
                <c:pt idx="1129">
                  <c:v>46931</c:v>
                </c:pt>
                <c:pt idx="1130">
                  <c:v>46938</c:v>
                </c:pt>
                <c:pt idx="1131">
                  <c:v>46945</c:v>
                </c:pt>
                <c:pt idx="1132">
                  <c:v>46952</c:v>
                </c:pt>
                <c:pt idx="1133">
                  <c:v>46959</c:v>
                </c:pt>
                <c:pt idx="1134">
                  <c:v>46966</c:v>
                </c:pt>
                <c:pt idx="1135">
                  <c:v>46973</c:v>
                </c:pt>
                <c:pt idx="1136">
                  <c:v>46980</c:v>
                </c:pt>
                <c:pt idx="1137">
                  <c:v>46987</c:v>
                </c:pt>
                <c:pt idx="1138">
                  <c:v>46994</c:v>
                </c:pt>
                <c:pt idx="1139">
                  <c:v>47001</c:v>
                </c:pt>
                <c:pt idx="1140">
                  <c:v>47008</c:v>
                </c:pt>
                <c:pt idx="1141">
                  <c:v>47015</c:v>
                </c:pt>
                <c:pt idx="1142">
                  <c:v>47022</c:v>
                </c:pt>
                <c:pt idx="1143">
                  <c:v>47029</c:v>
                </c:pt>
                <c:pt idx="1144">
                  <c:v>47036</c:v>
                </c:pt>
                <c:pt idx="1145">
                  <c:v>47043</c:v>
                </c:pt>
                <c:pt idx="1146">
                  <c:v>47050</c:v>
                </c:pt>
                <c:pt idx="1147">
                  <c:v>47057</c:v>
                </c:pt>
                <c:pt idx="1148">
                  <c:v>47064</c:v>
                </c:pt>
                <c:pt idx="1149">
                  <c:v>47071</c:v>
                </c:pt>
                <c:pt idx="1150">
                  <c:v>47078</c:v>
                </c:pt>
                <c:pt idx="1151">
                  <c:v>47085</c:v>
                </c:pt>
                <c:pt idx="1152">
                  <c:v>47092</c:v>
                </c:pt>
                <c:pt idx="1153">
                  <c:v>47099</c:v>
                </c:pt>
                <c:pt idx="1154">
                  <c:v>47106</c:v>
                </c:pt>
                <c:pt idx="1155">
                  <c:v>47114</c:v>
                </c:pt>
                <c:pt idx="1156">
                  <c:v>47121</c:v>
                </c:pt>
                <c:pt idx="1157">
                  <c:v>47128</c:v>
                </c:pt>
                <c:pt idx="1158">
                  <c:v>47135</c:v>
                </c:pt>
                <c:pt idx="1159">
                  <c:v>47142</c:v>
                </c:pt>
                <c:pt idx="1160">
                  <c:v>47149</c:v>
                </c:pt>
                <c:pt idx="1161">
                  <c:v>47156</c:v>
                </c:pt>
                <c:pt idx="1162">
                  <c:v>47163</c:v>
                </c:pt>
                <c:pt idx="1163">
                  <c:v>47170</c:v>
                </c:pt>
                <c:pt idx="1164">
                  <c:v>47177</c:v>
                </c:pt>
                <c:pt idx="1165">
                  <c:v>47184</c:v>
                </c:pt>
                <c:pt idx="1166">
                  <c:v>47191</c:v>
                </c:pt>
                <c:pt idx="1167">
                  <c:v>47198</c:v>
                </c:pt>
                <c:pt idx="1168">
                  <c:v>47205</c:v>
                </c:pt>
                <c:pt idx="1169">
                  <c:v>47212</c:v>
                </c:pt>
                <c:pt idx="1170">
                  <c:v>47219</c:v>
                </c:pt>
                <c:pt idx="1171">
                  <c:v>47226</c:v>
                </c:pt>
                <c:pt idx="1172">
                  <c:v>47233</c:v>
                </c:pt>
                <c:pt idx="1173">
                  <c:v>47240</c:v>
                </c:pt>
                <c:pt idx="1174">
                  <c:v>47247</c:v>
                </c:pt>
                <c:pt idx="1175">
                  <c:v>47254</c:v>
                </c:pt>
                <c:pt idx="1176">
                  <c:v>47261</c:v>
                </c:pt>
                <c:pt idx="1177">
                  <c:v>47268</c:v>
                </c:pt>
                <c:pt idx="1178">
                  <c:v>47275</c:v>
                </c:pt>
                <c:pt idx="1179">
                  <c:v>47282</c:v>
                </c:pt>
                <c:pt idx="1180">
                  <c:v>47289</c:v>
                </c:pt>
                <c:pt idx="1181">
                  <c:v>47296</c:v>
                </c:pt>
                <c:pt idx="1182">
                  <c:v>47303</c:v>
                </c:pt>
                <c:pt idx="1183">
                  <c:v>47310</c:v>
                </c:pt>
                <c:pt idx="1184">
                  <c:v>47317</c:v>
                </c:pt>
                <c:pt idx="1185">
                  <c:v>47324</c:v>
                </c:pt>
                <c:pt idx="1186">
                  <c:v>47331</c:v>
                </c:pt>
                <c:pt idx="1187">
                  <c:v>47338</c:v>
                </c:pt>
                <c:pt idx="1188">
                  <c:v>47345</c:v>
                </c:pt>
                <c:pt idx="1189">
                  <c:v>47352</c:v>
                </c:pt>
                <c:pt idx="1190">
                  <c:v>47359</c:v>
                </c:pt>
                <c:pt idx="1191">
                  <c:v>47366</c:v>
                </c:pt>
                <c:pt idx="1192">
                  <c:v>47373</c:v>
                </c:pt>
                <c:pt idx="1193">
                  <c:v>47380</c:v>
                </c:pt>
                <c:pt idx="1194">
                  <c:v>47387</c:v>
                </c:pt>
                <c:pt idx="1195">
                  <c:v>47394</c:v>
                </c:pt>
                <c:pt idx="1196">
                  <c:v>47401</c:v>
                </c:pt>
                <c:pt idx="1197">
                  <c:v>47408</c:v>
                </c:pt>
                <c:pt idx="1198">
                  <c:v>47415</c:v>
                </c:pt>
                <c:pt idx="1199">
                  <c:v>47422</c:v>
                </c:pt>
                <c:pt idx="1200">
                  <c:v>47429</c:v>
                </c:pt>
                <c:pt idx="1201">
                  <c:v>47436</c:v>
                </c:pt>
                <c:pt idx="1202">
                  <c:v>47443</c:v>
                </c:pt>
                <c:pt idx="1203">
                  <c:v>47450</c:v>
                </c:pt>
                <c:pt idx="1204">
                  <c:v>47457</c:v>
                </c:pt>
                <c:pt idx="1205">
                  <c:v>47464</c:v>
                </c:pt>
                <c:pt idx="1206">
                  <c:v>47471</c:v>
                </c:pt>
                <c:pt idx="1207">
                  <c:v>47479</c:v>
                </c:pt>
                <c:pt idx="1208">
                  <c:v>47486</c:v>
                </c:pt>
                <c:pt idx="1209">
                  <c:v>47493</c:v>
                </c:pt>
                <c:pt idx="1210">
                  <c:v>47500</c:v>
                </c:pt>
                <c:pt idx="1211">
                  <c:v>47507</c:v>
                </c:pt>
                <c:pt idx="1212">
                  <c:v>47514</c:v>
                </c:pt>
                <c:pt idx="1213">
                  <c:v>47521</c:v>
                </c:pt>
                <c:pt idx="1214">
                  <c:v>47528</c:v>
                </c:pt>
                <c:pt idx="1215">
                  <c:v>47535</c:v>
                </c:pt>
                <c:pt idx="1216">
                  <c:v>47542</c:v>
                </c:pt>
                <c:pt idx="1217">
                  <c:v>47549</c:v>
                </c:pt>
                <c:pt idx="1218">
                  <c:v>47556</c:v>
                </c:pt>
                <c:pt idx="1219">
                  <c:v>47563</c:v>
                </c:pt>
                <c:pt idx="1220">
                  <c:v>47570</c:v>
                </c:pt>
                <c:pt idx="1221">
                  <c:v>47577</c:v>
                </c:pt>
                <c:pt idx="1222">
                  <c:v>47584</c:v>
                </c:pt>
                <c:pt idx="1223">
                  <c:v>47591</c:v>
                </c:pt>
                <c:pt idx="1224">
                  <c:v>47598</c:v>
                </c:pt>
                <c:pt idx="1225">
                  <c:v>47605</c:v>
                </c:pt>
                <c:pt idx="1226">
                  <c:v>47612</c:v>
                </c:pt>
                <c:pt idx="1227">
                  <c:v>47619</c:v>
                </c:pt>
                <c:pt idx="1228">
                  <c:v>47626</c:v>
                </c:pt>
                <c:pt idx="1229">
                  <c:v>47633</c:v>
                </c:pt>
                <c:pt idx="1230">
                  <c:v>47640</c:v>
                </c:pt>
                <c:pt idx="1231">
                  <c:v>47647</c:v>
                </c:pt>
                <c:pt idx="1232">
                  <c:v>47654</c:v>
                </c:pt>
                <c:pt idx="1233">
                  <c:v>47661</c:v>
                </c:pt>
                <c:pt idx="1234">
                  <c:v>47668</c:v>
                </c:pt>
                <c:pt idx="1235">
                  <c:v>47675</c:v>
                </c:pt>
                <c:pt idx="1236">
                  <c:v>47682</c:v>
                </c:pt>
                <c:pt idx="1237">
                  <c:v>47689</c:v>
                </c:pt>
                <c:pt idx="1238">
                  <c:v>47696</c:v>
                </c:pt>
                <c:pt idx="1239">
                  <c:v>47703</c:v>
                </c:pt>
                <c:pt idx="1240">
                  <c:v>47710</c:v>
                </c:pt>
                <c:pt idx="1241">
                  <c:v>47717</c:v>
                </c:pt>
                <c:pt idx="1242">
                  <c:v>47724</c:v>
                </c:pt>
                <c:pt idx="1243">
                  <c:v>47731</c:v>
                </c:pt>
                <c:pt idx="1244">
                  <c:v>47738</c:v>
                </c:pt>
                <c:pt idx="1245">
                  <c:v>47745</c:v>
                </c:pt>
                <c:pt idx="1246">
                  <c:v>47752</c:v>
                </c:pt>
                <c:pt idx="1247">
                  <c:v>47759</c:v>
                </c:pt>
                <c:pt idx="1248">
                  <c:v>47766</c:v>
                </c:pt>
                <c:pt idx="1249">
                  <c:v>47773</c:v>
                </c:pt>
                <c:pt idx="1250">
                  <c:v>47780</c:v>
                </c:pt>
                <c:pt idx="1251">
                  <c:v>47787</c:v>
                </c:pt>
                <c:pt idx="1252">
                  <c:v>47794</c:v>
                </c:pt>
                <c:pt idx="1253">
                  <c:v>47801</c:v>
                </c:pt>
                <c:pt idx="1254">
                  <c:v>47808</c:v>
                </c:pt>
                <c:pt idx="1255">
                  <c:v>47815</c:v>
                </c:pt>
                <c:pt idx="1256">
                  <c:v>47822</c:v>
                </c:pt>
                <c:pt idx="1257">
                  <c:v>47829</c:v>
                </c:pt>
                <c:pt idx="1258">
                  <c:v>47836</c:v>
                </c:pt>
                <c:pt idx="1259">
                  <c:v>47844</c:v>
                </c:pt>
                <c:pt idx="1260">
                  <c:v>47851</c:v>
                </c:pt>
                <c:pt idx="1261">
                  <c:v>47858</c:v>
                </c:pt>
                <c:pt idx="1262">
                  <c:v>47865</c:v>
                </c:pt>
                <c:pt idx="1263">
                  <c:v>47872</c:v>
                </c:pt>
                <c:pt idx="1264">
                  <c:v>47879</c:v>
                </c:pt>
                <c:pt idx="1265">
                  <c:v>47886</c:v>
                </c:pt>
                <c:pt idx="1266">
                  <c:v>47893</c:v>
                </c:pt>
                <c:pt idx="1267">
                  <c:v>47900</c:v>
                </c:pt>
                <c:pt idx="1268">
                  <c:v>47907</c:v>
                </c:pt>
                <c:pt idx="1269">
                  <c:v>47914</c:v>
                </c:pt>
                <c:pt idx="1270">
                  <c:v>47921</c:v>
                </c:pt>
                <c:pt idx="1271">
                  <c:v>47928</c:v>
                </c:pt>
                <c:pt idx="1272">
                  <c:v>47935</c:v>
                </c:pt>
                <c:pt idx="1273">
                  <c:v>47942</c:v>
                </c:pt>
                <c:pt idx="1274">
                  <c:v>47953</c:v>
                </c:pt>
                <c:pt idx="1275">
                  <c:v>47960</c:v>
                </c:pt>
                <c:pt idx="1276">
                  <c:v>47967</c:v>
                </c:pt>
                <c:pt idx="1277">
                  <c:v>47974</c:v>
                </c:pt>
                <c:pt idx="1278">
                  <c:v>47981</c:v>
                </c:pt>
                <c:pt idx="1279">
                  <c:v>47988</c:v>
                </c:pt>
                <c:pt idx="1280">
                  <c:v>47995</c:v>
                </c:pt>
                <c:pt idx="1281">
                  <c:v>48002</c:v>
                </c:pt>
                <c:pt idx="1282">
                  <c:v>48009</c:v>
                </c:pt>
                <c:pt idx="1283">
                  <c:v>48016</c:v>
                </c:pt>
                <c:pt idx="1284">
                  <c:v>48023</c:v>
                </c:pt>
                <c:pt idx="1285">
                  <c:v>48031</c:v>
                </c:pt>
                <c:pt idx="1286">
                  <c:v>48038</c:v>
                </c:pt>
                <c:pt idx="1287">
                  <c:v>48045</c:v>
                </c:pt>
                <c:pt idx="1288">
                  <c:v>48052</c:v>
                </c:pt>
                <c:pt idx="1289">
                  <c:v>48059</c:v>
                </c:pt>
                <c:pt idx="1290">
                  <c:v>48066</c:v>
                </c:pt>
                <c:pt idx="1291">
                  <c:v>48073</c:v>
                </c:pt>
                <c:pt idx="1292">
                  <c:v>48080</c:v>
                </c:pt>
                <c:pt idx="1293">
                  <c:v>48087</c:v>
                </c:pt>
                <c:pt idx="1294">
                  <c:v>48094</c:v>
                </c:pt>
                <c:pt idx="1295">
                  <c:v>48101</c:v>
                </c:pt>
                <c:pt idx="1296">
                  <c:v>48108</c:v>
                </c:pt>
                <c:pt idx="1297">
                  <c:v>48115</c:v>
                </c:pt>
                <c:pt idx="1298">
                  <c:v>48123</c:v>
                </c:pt>
                <c:pt idx="1299">
                  <c:v>48130</c:v>
                </c:pt>
                <c:pt idx="1300">
                  <c:v>48137</c:v>
                </c:pt>
                <c:pt idx="1301">
                  <c:v>48144</c:v>
                </c:pt>
                <c:pt idx="1302">
                  <c:v>48151</c:v>
                </c:pt>
                <c:pt idx="1303">
                  <c:v>48158</c:v>
                </c:pt>
                <c:pt idx="1304">
                  <c:v>48165</c:v>
                </c:pt>
                <c:pt idx="1305">
                  <c:v>48172</c:v>
                </c:pt>
                <c:pt idx="1306">
                  <c:v>48179</c:v>
                </c:pt>
                <c:pt idx="1307">
                  <c:v>48186</c:v>
                </c:pt>
                <c:pt idx="1308">
                  <c:v>48193</c:v>
                </c:pt>
                <c:pt idx="1309">
                  <c:v>48200</c:v>
                </c:pt>
                <c:pt idx="1310">
                  <c:v>48211</c:v>
                </c:pt>
                <c:pt idx="1311">
                  <c:v>48218</c:v>
                </c:pt>
                <c:pt idx="1312">
                  <c:v>48225</c:v>
                </c:pt>
                <c:pt idx="1313">
                  <c:v>48232</c:v>
                </c:pt>
                <c:pt idx="1314">
                  <c:v>48239</c:v>
                </c:pt>
                <c:pt idx="1315">
                  <c:v>48246</c:v>
                </c:pt>
                <c:pt idx="1316">
                  <c:v>48253</c:v>
                </c:pt>
                <c:pt idx="1317">
                  <c:v>48260</c:v>
                </c:pt>
                <c:pt idx="1318">
                  <c:v>48267</c:v>
                </c:pt>
                <c:pt idx="1319">
                  <c:v>48274</c:v>
                </c:pt>
                <c:pt idx="1320">
                  <c:v>48281</c:v>
                </c:pt>
                <c:pt idx="1321">
                  <c:v>48288</c:v>
                </c:pt>
                <c:pt idx="1322">
                  <c:v>48295</c:v>
                </c:pt>
                <c:pt idx="1323">
                  <c:v>48303</c:v>
                </c:pt>
                <c:pt idx="1324">
                  <c:v>48310</c:v>
                </c:pt>
                <c:pt idx="1325">
                  <c:v>48317</c:v>
                </c:pt>
                <c:pt idx="1326">
                  <c:v>48324</c:v>
                </c:pt>
                <c:pt idx="1327">
                  <c:v>48331</c:v>
                </c:pt>
                <c:pt idx="1328">
                  <c:v>48338</c:v>
                </c:pt>
                <c:pt idx="1329">
                  <c:v>48345</c:v>
                </c:pt>
                <c:pt idx="1330">
                  <c:v>48352</c:v>
                </c:pt>
                <c:pt idx="1331">
                  <c:v>48359</c:v>
                </c:pt>
                <c:pt idx="1332">
                  <c:v>48366</c:v>
                </c:pt>
                <c:pt idx="1333">
                  <c:v>48373</c:v>
                </c:pt>
                <c:pt idx="1334">
                  <c:v>48380</c:v>
                </c:pt>
                <c:pt idx="1335">
                  <c:v>48387</c:v>
                </c:pt>
                <c:pt idx="1336">
                  <c:v>48394</c:v>
                </c:pt>
                <c:pt idx="1337">
                  <c:v>48401</c:v>
                </c:pt>
                <c:pt idx="1338">
                  <c:v>48408</c:v>
                </c:pt>
                <c:pt idx="1339">
                  <c:v>48415</c:v>
                </c:pt>
                <c:pt idx="1340">
                  <c:v>48422</c:v>
                </c:pt>
                <c:pt idx="1341">
                  <c:v>48429</c:v>
                </c:pt>
                <c:pt idx="1342">
                  <c:v>48436</c:v>
                </c:pt>
                <c:pt idx="1343">
                  <c:v>48443</c:v>
                </c:pt>
                <c:pt idx="1344">
                  <c:v>48450</c:v>
                </c:pt>
                <c:pt idx="1345">
                  <c:v>48457</c:v>
                </c:pt>
                <c:pt idx="1346">
                  <c:v>48464</c:v>
                </c:pt>
                <c:pt idx="1347">
                  <c:v>48471</c:v>
                </c:pt>
                <c:pt idx="1348">
                  <c:v>48478</c:v>
                </c:pt>
                <c:pt idx="1349">
                  <c:v>48485</c:v>
                </c:pt>
                <c:pt idx="1350">
                  <c:v>48492</c:v>
                </c:pt>
                <c:pt idx="1351">
                  <c:v>48499</c:v>
                </c:pt>
                <c:pt idx="1352">
                  <c:v>48506</c:v>
                </c:pt>
                <c:pt idx="1353">
                  <c:v>48513</c:v>
                </c:pt>
                <c:pt idx="1354">
                  <c:v>48520</c:v>
                </c:pt>
                <c:pt idx="1355">
                  <c:v>48527</c:v>
                </c:pt>
                <c:pt idx="1356">
                  <c:v>48534</c:v>
                </c:pt>
                <c:pt idx="1357">
                  <c:v>48541</c:v>
                </c:pt>
                <c:pt idx="1358">
                  <c:v>48548</c:v>
                </c:pt>
                <c:pt idx="1359">
                  <c:v>48555</c:v>
                </c:pt>
                <c:pt idx="1360">
                  <c:v>48562</c:v>
                </c:pt>
                <c:pt idx="1361">
                  <c:v>48569</c:v>
                </c:pt>
                <c:pt idx="1362">
                  <c:v>48576</c:v>
                </c:pt>
                <c:pt idx="1363">
                  <c:v>48583</c:v>
                </c:pt>
                <c:pt idx="1364">
                  <c:v>48590</c:v>
                </c:pt>
                <c:pt idx="1365">
                  <c:v>48597</c:v>
                </c:pt>
                <c:pt idx="1366">
                  <c:v>48604</c:v>
                </c:pt>
                <c:pt idx="1367">
                  <c:v>48611</c:v>
                </c:pt>
                <c:pt idx="1368">
                  <c:v>48618</c:v>
                </c:pt>
                <c:pt idx="1369">
                  <c:v>48625</c:v>
                </c:pt>
                <c:pt idx="1370">
                  <c:v>48632</c:v>
                </c:pt>
                <c:pt idx="1371">
                  <c:v>48639</c:v>
                </c:pt>
                <c:pt idx="1372">
                  <c:v>48646</c:v>
                </c:pt>
                <c:pt idx="1373">
                  <c:v>48653</c:v>
                </c:pt>
                <c:pt idx="1374">
                  <c:v>48660</c:v>
                </c:pt>
                <c:pt idx="1375">
                  <c:v>48667</c:v>
                </c:pt>
                <c:pt idx="1376">
                  <c:v>48674</c:v>
                </c:pt>
                <c:pt idx="1377">
                  <c:v>48681</c:v>
                </c:pt>
                <c:pt idx="1378">
                  <c:v>48688</c:v>
                </c:pt>
                <c:pt idx="1379">
                  <c:v>48695</c:v>
                </c:pt>
                <c:pt idx="1380">
                  <c:v>48702</c:v>
                </c:pt>
                <c:pt idx="1381">
                  <c:v>48709</c:v>
                </c:pt>
                <c:pt idx="1382">
                  <c:v>48716</c:v>
                </c:pt>
                <c:pt idx="1383">
                  <c:v>48723</c:v>
                </c:pt>
                <c:pt idx="1384">
                  <c:v>48730</c:v>
                </c:pt>
                <c:pt idx="1385">
                  <c:v>48737</c:v>
                </c:pt>
                <c:pt idx="1386">
                  <c:v>48744</c:v>
                </c:pt>
                <c:pt idx="1387">
                  <c:v>48751</c:v>
                </c:pt>
                <c:pt idx="1388">
                  <c:v>48758</c:v>
                </c:pt>
                <c:pt idx="1389">
                  <c:v>48765</c:v>
                </c:pt>
                <c:pt idx="1390">
                  <c:v>48772</c:v>
                </c:pt>
                <c:pt idx="1391">
                  <c:v>48779</c:v>
                </c:pt>
                <c:pt idx="1392">
                  <c:v>48786</c:v>
                </c:pt>
                <c:pt idx="1393">
                  <c:v>48793</c:v>
                </c:pt>
                <c:pt idx="1394">
                  <c:v>48800</c:v>
                </c:pt>
                <c:pt idx="1395">
                  <c:v>48807</c:v>
                </c:pt>
                <c:pt idx="1396">
                  <c:v>48814</c:v>
                </c:pt>
                <c:pt idx="1397">
                  <c:v>48821</c:v>
                </c:pt>
                <c:pt idx="1398">
                  <c:v>48828</c:v>
                </c:pt>
                <c:pt idx="1399">
                  <c:v>48835</c:v>
                </c:pt>
                <c:pt idx="1400">
                  <c:v>48842</c:v>
                </c:pt>
                <c:pt idx="1401">
                  <c:v>48849</c:v>
                </c:pt>
                <c:pt idx="1402">
                  <c:v>48856</c:v>
                </c:pt>
                <c:pt idx="1403">
                  <c:v>48863</c:v>
                </c:pt>
                <c:pt idx="1404">
                  <c:v>48870</c:v>
                </c:pt>
                <c:pt idx="1405">
                  <c:v>48877</c:v>
                </c:pt>
                <c:pt idx="1406">
                  <c:v>48884</c:v>
                </c:pt>
                <c:pt idx="1407">
                  <c:v>48891</c:v>
                </c:pt>
                <c:pt idx="1408">
                  <c:v>48898</c:v>
                </c:pt>
                <c:pt idx="1409">
                  <c:v>48905</c:v>
                </c:pt>
                <c:pt idx="1410">
                  <c:v>48912</c:v>
                </c:pt>
                <c:pt idx="1411">
                  <c:v>48919</c:v>
                </c:pt>
                <c:pt idx="1412">
                  <c:v>48926</c:v>
                </c:pt>
                <c:pt idx="1413">
                  <c:v>48933</c:v>
                </c:pt>
                <c:pt idx="1414">
                  <c:v>48940</c:v>
                </c:pt>
                <c:pt idx="1415">
                  <c:v>48947</c:v>
                </c:pt>
                <c:pt idx="1416">
                  <c:v>48954</c:v>
                </c:pt>
                <c:pt idx="1417">
                  <c:v>48961</c:v>
                </c:pt>
                <c:pt idx="1418">
                  <c:v>48968</c:v>
                </c:pt>
                <c:pt idx="1419">
                  <c:v>48975</c:v>
                </c:pt>
                <c:pt idx="1420">
                  <c:v>48982</c:v>
                </c:pt>
                <c:pt idx="1421">
                  <c:v>48989</c:v>
                </c:pt>
                <c:pt idx="1422">
                  <c:v>48996</c:v>
                </c:pt>
                <c:pt idx="1423">
                  <c:v>49003</c:v>
                </c:pt>
                <c:pt idx="1424">
                  <c:v>49010</c:v>
                </c:pt>
                <c:pt idx="1425">
                  <c:v>49017</c:v>
                </c:pt>
                <c:pt idx="1426">
                  <c:v>49024</c:v>
                </c:pt>
                <c:pt idx="1427">
                  <c:v>49031</c:v>
                </c:pt>
                <c:pt idx="1428">
                  <c:v>49038</c:v>
                </c:pt>
                <c:pt idx="1429">
                  <c:v>49045</c:v>
                </c:pt>
                <c:pt idx="1430">
                  <c:v>49052</c:v>
                </c:pt>
                <c:pt idx="1431">
                  <c:v>49059</c:v>
                </c:pt>
                <c:pt idx="1432">
                  <c:v>49066</c:v>
                </c:pt>
                <c:pt idx="1433">
                  <c:v>49073</c:v>
                </c:pt>
                <c:pt idx="1434">
                  <c:v>49080</c:v>
                </c:pt>
                <c:pt idx="1435">
                  <c:v>49087</c:v>
                </c:pt>
                <c:pt idx="1436">
                  <c:v>49094</c:v>
                </c:pt>
                <c:pt idx="1437">
                  <c:v>49101</c:v>
                </c:pt>
                <c:pt idx="1438">
                  <c:v>49108</c:v>
                </c:pt>
                <c:pt idx="1439">
                  <c:v>49115</c:v>
                </c:pt>
                <c:pt idx="1440">
                  <c:v>49122</c:v>
                </c:pt>
                <c:pt idx="1441">
                  <c:v>49129</c:v>
                </c:pt>
                <c:pt idx="1442">
                  <c:v>49136</c:v>
                </c:pt>
                <c:pt idx="1443">
                  <c:v>49143</c:v>
                </c:pt>
                <c:pt idx="1444">
                  <c:v>49150</c:v>
                </c:pt>
                <c:pt idx="1445">
                  <c:v>49157</c:v>
                </c:pt>
                <c:pt idx="1446">
                  <c:v>49164</c:v>
                </c:pt>
                <c:pt idx="1447">
                  <c:v>49171</c:v>
                </c:pt>
                <c:pt idx="1448">
                  <c:v>49178</c:v>
                </c:pt>
                <c:pt idx="1449">
                  <c:v>49185</c:v>
                </c:pt>
                <c:pt idx="1450">
                  <c:v>49192</c:v>
                </c:pt>
                <c:pt idx="1451">
                  <c:v>49199</c:v>
                </c:pt>
                <c:pt idx="1452">
                  <c:v>49206</c:v>
                </c:pt>
                <c:pt idx="1453">
                  <c:v>49213</c:v>
                </c:pt>
                <c:pt idx="1454">
                  <c:v>49220</c:v>
                </c:pt>
                <c:pt idx="1455">
                  <c:v>49227</c:v>
                </c:pt>
                <c:pt idx="1456">
                  <c:v>49234</c:v>
                </c:pt>
                <c:pt idx="1457">
                  <c:v>49241</c:v>
                </c:pt>
                <c:pt idx="1458">
                  <c:v>49248</c:v>
                </c:pt>
                <c:pt idx="1459">
                  <c:v>49255</c:v>
                </c:pt>
                <c:pt idx="1460">
                  <c:v>49262</c:v>
                </c:pt>
                <c:pt idx="1461">
                  <c:v>49269</c:v>
                </c:pt>
                <c:pt idx="1462">
                  <c:v>49276</c:v>
                </c:pt>
                <c:pt idx="1463">
                  <c:v>49283</c:v>
                </c:pt>
                <c:pt idx="1464">
                  <c:v>49290</c:v>
                </c:pt>
                <c:pt idx="1465">
                  <c:v>49297</c:v>
                </c:pt>
                <c:pt idx="1466">
                  <c:v>49305</c:v>
                </c:pt>
                <c:pt idx="1467">
                  <c:v>49312</c:v>
                </c:pt>
                <c:pt idx="1468">
                  <c:v>49319</c:v>
                </c:pt>
                <c:pt idx="1469">
                  <c:v>49326</c:v>
                </c:pt>
                <c:pt idx="1470">
                  <c:v>49333</c:v>
                </c:pt>
                <c:pt idx="1471">
                  <c:v>49340</c:v>
                </c:pt>
                <c:pt idx="1472">
                  <c:v>49347</c:v>
                </c:pt>
                <c:pt idx="1473">
                  <c:v>49354</c:v>
                </c:pt>
                <c:pt idx="1474">
                  <c:v>49361</c:v>
                </c:pt>
                <c:pt idx="1475">
                  <c:v>49368</c:v>
                </c:pt>
                <c:pt idx="1476">
                  <c:v>49375</c:v>
                </c:pt>
                <c:pt idx="1477">
                  <c:v>49382</c:v>
                </c:pt>
                <c:pt idx="1478">
                  <c:v>49389</c:v>
                </c:pt>
                <c:pt idx="1479">
                  <c:v>49396</c:v>
                </c:pt>
                <c:pt idx="1480">
                  <c:v>49403</c:v>
                </c:pt>
                <c:pt idx="1481">
                  <c:v>49410</c:v>
                </c:pt>
                <c:pt idx="1482">
                  <c:v>49417</c:v>
                </c:pt>
                <c:pt idx="1483">
                  <c:v>49424</c:v>
                </c:pt>
                <c:pt idx="1484">
                  <c:v>49431</c:v>
                </c:pt>
                <c:pt idx="1485">
                  <c:v>49438</c:v>
                </c:pt>
                <c:pt idx="1486">
                  <c:v>49445</c:v>
                </c:pt>
                <c:pt idx="1487">
                  <c:v>49452</c:v>
                </c:pt>
                <c:pt idx="1488">
                  <c:v>49459</c:v>
                </c:pt>
                <c:pt idx="1489">
                  <c:v>49466</c:v>
                </c:pt>
                <c:pt idx="1490">
                  <c:v>49473</c:v>
                </c:pt>
                <c:pt idx="1491">
                  <c:v>49480</c:v>
                </c:pt>
                <c:pt idx="1492">
                  <c:v>49487</c:v>
                </c:pt>
                <c:pt idx="1493">
                  <c:v>49494</c:v>
                </c:pt>
                <c:pt idx="1494">
                  <c:v>49501</c:v>
                </c:pt>
                <c:pt idx="1495">
                  <c:v>49508</c:v>
                </c:pt>
                <c:pt idx="1496">
                  <c:v>49515</c:v>
                </c:pt>
                <c:pt idx="1497">
                  <c:v>49522</c:v>
                </c:pt>
                <c:pt idx="1498">
                  <c:v>49529</c:v>
                </c:pt>
                <c:pt idx="1499">
                  <c:v>49536</c:v>
                </c:pt>
                <c:pt idx="1500">
                  <c:v>49543</c:v>
                </c:pt>
                <c:pt idx="1501">
                  <c:v>49550</c:v>
                </c:pt>
                <c:pt idx="1502">
                  <c:v>49557</c:v>
                </c:pt>
                <c:pt idx="1503">
                  <c:v>49564</c:v>
                </c:pt>
                <c:pt idx="1504">
                  <c:v>49571</c:v>
                </c:pt>
                <c:pt idx="1505">
                  <c:v>49578</c:v>
                </c:pt>
                <c:pt idx="1506">
                  <c:v>49585</c:v>
                </c:pt>
                <c:pt idx="1507">
                  <c:v>49592</c:v>
                </c:pt>
                <c:pt idx="1508">
                  <c:v>49599</c:v>
                </c:pt>
                <c:pt idx="1509">
                  <c:v>49606</c:v>
                </c:pt>
                <c:pt idx="1510">
                  <c:v>49613</c:v>
                </c:pt>
                <c:pt idx="1511">
                  <c:v>49620</c:v>
                </c:pt>
                <c:pt idx="1512">
                  <c:v>49627</c:v>
                </c:pt>
                <c:pt idx="1513">
                  <c:v>49634</c:v>
                </c:pt>
                <c:pt idx="1514">
                  <c:v>49641</c:v>
                </c:pt>
                <c:pt idx="1515">
                  <c:v>49648</c:v>
                </c:pt>
                <c:pt idx="1516">
                  <c:v>49655</c:v>
                </c:pt>
                <c:pt idx="1517">
                  <c:v>49662</c:v>
                </c:pt>
                <c:pt idx="1518">
                  <c:v>49670</c:v>
                </c:pt>
                <c:pt idx="1519">
                  <c:v>49677</c:v>
                </c:pt>
                <c:pt idx="1520">
                  <c:v>49684</c:v>
                </c:pt>
                <c:pt idx="1521">
                  <c:v>49691</c:v>
                </c:pt>
                <c:pt idx="1522">
                  <c:v>49698</c:v>
                </c:pt>
                <c:pt idx="1523">
                  <c:v>49705</c:v>
                </c:pt>
                <c:pt idx="1524">
                  <c:v>49712</c:v>
                </c:pt>
                <c:pt idx="1525">
                  <c:v>49719</c:v>
                </c:pt>
                <c:pt idx="1526">
                  <c:v>49726</c:v>
                </c:pt>
                <c:pt idx="1527">
                  <c:v>49733</c:v>
                </c:pt>
                <c:pt idx="1528">
                  <c:v>49740</c:v>
                </c:pt>
                <c:pt idx="1529">
                  <c:v>49747</c:v>
                </c:pt>
                <c:pt idx="1530">
                  <c:v>49754</c:v>
                </c:pt>
                <c:pt idx="1531">
                  <c:v>49761</c:v>
                </c:pt>
                <c:pt idx="1532">
                  <c:v>49768</c:v>
                </c:pt>
                <c:pt idx="1533">
                  <c:v>49775</c:v>
                </c:pt>
                <c:pt idx="1534">
                  <c:v>49782</c:v>
                </c:pt>
                <c:pt idx="1535">
                  <c:v>49789</c:v>
                </c:pt>
                <c:pt idx="1536">
                  <c:v>49797</c:v>
                </c:pt>
                <c:pt idx="1537">
                  <c:v>49804</c:v>
                </c:pt>
                <c:pt idx="1538">
                  <c:v>49811</c:v>
                </c:pt>
                <c:pt idx="1539">
                  <c:v>49818</c:v>
                </c:pt>
                <c:pt idx="1540">
                  <c:v>49825</c:v>
                </c:pt>
                <c:pt idx="1541">
                  <c:v>49832</c:v>
                </c:pt>
                <c:pt idx="1542">
                  <c:v>49839</c:v>
                </c:pt>
                <c:pt idx="1543">
                  <c:v>49846</c:v>
                </c:pt>
                <c:pt idx="1544">
                  <c:v>49853</c:v>
                </c:pt>
                <c:pt idx="1545">
                  <c:v>49860</c:v>
                </c:pt>
                <c:pt idx="1546">
                  <c:v>49867</c:v>
                </c:pt>
                <c:pt idx="1547">
                  <c:v>49874</c:v>
                </c:pt>
                <c:pt idx="1548">
                  <c:v>49881</c:v>
                </c:pt>
                <c:pt idx="1549">
                  <c:v>49888</c:v>
                </c:pt>
                <c:pt idx="1550">
                  <c:v>49895</c:v>
                </c:pt>
                <c:pt idx="1551">
                  <c:v>49902</c:v>
                </c:pt>
                <c:pt idx="1552">
                  <c:v>49909</c:v>
                </c:pt>
                <c:pt idx="1553">
                  <c:v>49916</c:v>
                </c:pt>
                <c:pt idx="1554">
                  <c:v>49923</c:v>
                </c:pt>
                <c:pt idx="1555">
                  <c:v>49930</c:v>
                </c:pt>
                <c:pt idx="1556">
                  <c:v>49937</c:v>
                </c:pt>
                <c:pt idx="1557">
                  <c:v>49944</c:v>
                </c:pt>
                <c:pt idx="1558">
                  <c:v>49951</c:v>
                </c:pt>
                <c:pt idx="1559">
                  <c:v>49958</c:v>
                </c:pt>
                <c:pt idx="1560">
                  <c:v>49965</c:v>
                </c:pt>
                <c:pt idx="1561">
                  <c:v>49972</c:v>
                </c:pt>
                <c:pt idx="1562">
                  <c:v>49979</c:v>
                </c:pt>
                <c:pt idx="1563">
                  <c:v>49986</c:v>
                </c:pt>
                <c:pt idx="1564">
                  <c:v>49993</c:v>
                </c:pt>
                <c:pt idx="1565">
                  <c:v>50000</c:v>
                </c:pt>
                <c:pt idx="1566">
                  <c:v>50007</c:v>
                </c:pt>
                <c:pt idx="1567">
                  <c:v>50014</c:v>
                </c:pt>
                <c:pt idx="1568">
                  <c:v>50021</c:v>
                </c:pt>
                <c:pt idx="1569">
                  <c:v>50028</c:v>
                </c:pt>
                <c:pt idx="1570">
                  <c:v>50038</c:v>
                </c:pt>
                <c:pt idx="1571">
                  <c:v>50045</c:v>
                </c:pt>
                <c:pt idx="1572">
                  <c:v>50052</c:v>
                </c:pt>
                <c:pt idx="1573">
                  <c:v>50059</c:v>
                </c:pt>
                <c:pt idx="1574">
                  <c:v>50066</c:v>
                </c:pt>
                <c:pt idx="1575">
                  <c:v>50073</c:v>
                </c:pt>
                <c:pt idx="1576">
                  <c:v>50080</c:v>
                </c:pt>
                <c:pt idx="1577">
                  <c:v>50087</c:v>
                </c:pt>
                <c:pt idx="1578">
                  <c:v>50094</c:v>
                </c:pt>
                <c:pt idx="1579">
                  <c:v>50101</c:v>
                </c:pt>
                <c:pt idx="1580">
                  <c:v>50108</c:v>
                </c:pt>
                <c:pt idx="1581">
                  <c:v>50115</c:v>
                </c:pt>
                <c:pt idx="1582">
                  <c:v>50122</c:v>
                </c:pt>
                <c:pt idx="1583">
                  <c:v>50129</c:v>
                </c:pt>
                <c:pt idx="1584">
                  <c:v>50137</c:v>
                </c:pt>
                <c:pt idx="1585">
                  <c:v>50144</c:v>
                </c:pt>
                <c:pt idx="1586">
                  <c:v>50151</c:v>
                </c:pt>
                <c:pt idx="1587">
                  <c:v>50158</c:v>
                </c:pt>
                <c:pt idx="1588">
                  <c:v>50165</c:v>
                </c:pt>
                <c:pt idx="1589">
                  <c:v>50172</c:v>
                </c:pt>
                <c:pt idx="1590">
                  <c:v>50179</c:v>
                </c:pt>
                <c:pt idx="1591">
                  <c:v>50186</c:v>
                </c:pt>
                <c:pt idx="1592">
                  <c:v>50193</c:v>
                </c:pt>
                <c:pt idx="1593">
                  <c:v>50200</c:v>
                </c:pt>
                <c:pt idx="1594">
                  <c:v>50207</c:v>
                </c:pt>
                <c:pt idx="1595">
                  <c:v>50214</c:v>
                </c:pt>
                <c:pt idx="1596">
                  <c:v>50221</c:v>
                </c:pt>
                <c:pt idx="1597">
                  <c:v>50228</c:v>
                </c:pt>
                <c:pt idx="1598">
                  <c:v>50235</c:v>
                </c:pt>
                <c:pt idx="1599">
                  <c:v>50242</c:v>
                </c:pt>
                <c:pt idx="1600">
                  <c:v>50249</c:v>
                </c:pt>
                <c:pt idx="1601">
                  <c:v>50256</c:v>
                </c:pt>
                <c:pt idx="1602">
                  <c:v>50263</c:v>
                </c:pt>
                <c:pt idx="1603">
                  <c:v>50270</c:v>
                </c:pt>
                <c:pt idx="1604">
                  <c:v>50277</c:v>
                </c:pt>
                <c:pt idx="1605">
                  <c:v>50284</c:v>
                </c:pt>
                <c:pt idx="1606">
                  <c:v>50291</c:v>
                </c:pt>
                <c:pt idx="1607">
                  <c:v>50298</c:v>
                </c:pt>
                <c:pt idx="1608">
                  <c:v>50305</c:v>
                </c:pt>
                <c:pt idx="1609">
                  <c:v>50312</c:v>
                </c:pt>
                <c:pt idx="1610">
                  <c:v>50319</c:v>
                </c:pt>
                <c:pt idx="1611">
                  <c:v>50326</c:v>
                </c:pt>
                <c:pt idx="1612">
                  <c:v>50333</c:v>
                </c:pt>
                <c:pt idx="1613">
                  <c:v>50340</c:v>
                </c:pt>
                <c:pt idx="1614">
                  <c:v>50347</c:v>
                </c:pt>
                <c:pt idx="1615">
                  <c:v>50354</c:v>
                </c:pt>
                <c:pt idx="1616">
                  <c:v>50361</c:v>
                </c:pt>
                <c:pt idx="1617">
                  <c:v>50368</c:v>
                </c:pt>
                <c:pt idx="1618">
                  <c:v>50375</c:v>
                </c:pt>
                <c:pt idx="1619">
                  <c:v>50382</c:v>
                </c:pt>
                <c:pt idx="1620">
                  <c:v>50389</c:v>
                </c:pt>
                <c:pt idx="1621">
                  <c:v>50396</c:v>
                </c:pt>
                <c:pt idx="1622">
                  <c:v>50403</c:v>
                </c:pt>
                <c:pt idx="1623">
                  <c:v>50410</c:v>
                </c:pt>
                <c:pt idx="1624">
                  <c:v>50417</c:v>
                </c:pt>
                <c:pt idx="1625">
                  <c:v>50424</c:v>
                </c:pt>
                <c:pt idx="1626">
                  <c:v>50431</c:v>
                </c:pt>
                <c:pt idx="1627">
                  <c:v>50438</c:v>
                </c:pt>
                <c:pt idx="1628">
                  <c:v>50445</c:v>
                </c:pt>
                <c:pt idx="1629">
                  <c:v>50452</c:v>
                </c:pt>
                <c:pt idx="1630">
                  <c:v>50459</c:v>
                </c:pt>
                <c:pt idx="1631">
                  <c:v>50466</c:v>
                </c:pt>
                <c:pt idx="1632">
                  <c:v>50473</c:v>
                </c:pt>
                <c:pt idx="1633">
                  <c:v>50480</c:v>
                </c:pt>
                <c:pt idx="1634">
                  <c:v>50487</c:v>
                </c:pt>
                <c:pt idx="1635">
                  <c:v>50494</c:v>
                </c:pt>
                <c:pt idx="1636">
                  <c:v>50501</c:v>
                </c:pt>
                <c:pt idx="1637">
                  <c:v>50508</c:v>
                </c:pt>
                <c:pt idx="1638">
                  <c:v>50515</c:v>
                </c:pt>
                <c:pt idx="1639">
                  <c:v>50522</c:v>
                </c:pt>
                <c:pt idx="1640">
                  <c:v>50529</c:v>
                </c:pt>
                <c:pt idx="1641">
                  <c:v>50536</c:v>
                </c:pt>
                <c:pt idx="1642">
                  <c:v>50543</c:v>
                </c:pt>
                <c:pt idx="1643">
                  <c:v>50550</c:v>
                </c:pt>
                <c:pt idx="1644">
                  <c:v>50557</c:v>
                </c:pt>
                <c:pt idx="1645">
                  <c:v>50564</c:v>
                </c:pt>
                <c:pt idx="1646">
                  <c:v>50571</c:v>
                </c:pt>
                <c:pt idx="1647">
                  <c:v>50578</c:v>
                </c:pt>
                <c:pt idx="1648">
                  <c:v>50585</c:v>
                </c:pt>
                <c:pt idx="1649">
                  <c:v>50592</c:v>
                </c:pt>
                <c:pt idx="1650">
                  <c:v>50599</c:v>
                </c:pt>
                <c:pt idx="1651">
                  <c:v>50606</c:v>
                </c:pt>
                <c:pt idx="1652">
                  <c:v>50613</c:v>
                </c:pt>
                <c:pt idx="1653">
                  <c:v>50620</c:v>
                </c:pt>
                <c:pt idx="1654">
                  <c:v>50627</c:v>
                </c:pt>
                <c:pt idx="1655">
                  <c:v>50634</c:v>
                </c:pt>
                <c:pt idx="1656">
                  <c:v>50641</c:v>
                </c:pt>
                <c:pt idx="1657">
                  <c:v>50648</c:v>
                </c:pt>
                <c:pt idx="1658">
                  <c:v>50655</c:v>
                </c:pt>
                <c:pt idx="1659">
                  <c:v>50662</c:v>
                </c:pt>
                <c:pt idx="1660">
                  <c:v>50669</c:v>
                </c:pt>
                <c:pt idx="1661">
                  <c:v>50676</c:v>
                </c:pt>
                <c:pt idx="1662">
                  <c:v>50683</c:v>
                </c:pt>
                <c:pt idx="1663">
                  <c:v>50690</c:v>
                </c:pt>
                <c:pt idx="1664">
                  <c:v>50697</c:v>
                </c:pt>
                <c:pt idx="1665">
                  <c:v>50704</c:v>
                </c:pt>
                <c:pt idx="1666">
                  <c:v>50711</c:v>
                </c:pt>
                <c:pt idx="1667">
                  <c:v>50718</c:v>
                </c:pt>
                <c:pt idx="1668">
                  <c:v>50725</c:v>
                </c:pt>
                <c:pt idx="1669">
                  <c:v>50732</c:v>
                </c:pt>
                <c:pt idx="1670">
                  <c:v>50739</c:v>
                </c:pt>
                <c:pt idx="1671">
                  <c:v>50746</c:v>
                </c:pt>
                <c:pt idx="1672">
                  <c:v>50753</c:v>
                </c:pt>
                <c:pt idx="1673">
                  <c:v>50760</c:v>
                </c:pt>
                <c:pt idx="1674">
                  <c:v>50767</c:v>
                </c:pt>
                <c:pt idx="1675">
                  <c:v>50774</c:v>
                </c:pt>
                <c:pt idx="1676">
                  <c:v>50781</c:v>
                </c:pt>
                <c:pt idx="1677">
                  <c:v>50788</c:v>
                </c:pt>
                <c:pt idx="1678">
                  <c:v>50795</c:v>
                </c:pt>
                <c:pt idx="1679">
                  <c:v>50802</c:v>
                </c:pt>
                <c:pt idx="1680">
                  <c:v>50809</c:v>
                </c:pt>
                <c:pt idx="1681">
                  <c:v>50816</c:v>
                </c:pt>
                <c:pt idx="1682">
                  <c:v>50823</c:v>
                </c:pt>
                <c:pt idx="1683">
                  <c:v>50830</c:v>
                </c:pt>
                <c:pt idx="1684">
                  <c:v>50837</c:v>
                </c:pt>
                <c:pt idx="1685">
                  <c:v>50844</c:v>
                </c:pt>
                <c:pt idx="1686">
                  <c:v>50851</c:v>
                </c:pt>
                <c:pt idx="1687">
                  <c:v>50858</c:v>
                </c:pt>
                <c:pt idx="1688">
                  <c:v>50865</c:v>
                </c:pt>
                <c:pt idx="1689">
                  <c:v>50872</c:v>
                </c:pt>
                <c:pt idx="1690">
                  <c:v>50879</c:v>
                </c:pt>
                <c:pt idx="1691">
                  <c:v>50886</c:v>
                </c:pt>
                <c:pt idx="1692">
                  <c:v>50893</c:v>
                </c:pt>
                <c:pt idx="1693">
                  <c:v>50900</c:v>
                </c:pt>
                <c:pt idx="1694">
                  <c:v>50907</c:v>
                </c:pt>
                <c:pt idx="1695">
                  <c:v>50914</c:v>
                </c:pt>
                <c:pt idx="1696">
                  <c:v>50921</c:v>
                </c:pt>
                <c:pt idx="1697">
                  <c:v>50928</c:v>
                </c:pt>
                <c:pt idx="1698">
                  <c:v>50935</c:v>
                </c:pt>
                <c:pt idx="1699">
                  <c:v>50942</c:v>
                </c:pt>
                <c:pt idx="1700">
                  <c:v>50949</c:v>
                </c:pt>
                <c:pt idx="1701">
                  <c:v>50956</c:v>
                </c:pt>
                <c:pt idx="1702">
                  <c:v>50963</c:v>
                </c:pt>
                <c:pt idx="1703">
                  <c:v>50970</c:v>
                </c:pt>
                <c:pt idx="1704">
                  <c:v>50977</c:v>
                </c:pt>
                <c:pt idx="1705">
                  <c:v>50984</c:v>
                </c:pt>
                <c:pt idx="1706">
                  <c:v>50991</c:v>
                </c:pt>
                <c:pt idx="1707">
                  <c:v>50998</c:v>
                </c:pt>
                <c:pt idx="1708">
                  <c:v>51005</c:v>
                </c:pt>
                <c:pt idx="1709">
                  <c:v>51012</c:v>
                </c:pt>
                <c:pt idx="1710">
                  <c:v>51019</c:v>
                </c:pt>
                <c:pt idx="1711">
                  <c:v>51026</c:v>
                </c:pt>
                <c:pt idx="1712">
                  <c:v>51033</c:v>
                </c:pt>
                <c:pt idx="1713">
                  <c:v>51040</c:v>
                </c:pt>
                <c:pt idx="1714">
                  <c:v>51047</c:v>
                </c:pt>
                <c:pt idx="1715">
                  <c:v>51054</c:v>
                </c:pt>
                <c:pt idx="1716">
                  <c:v>51061</c:v>
                </c:pt>
                <c:pt idx="1717">
                  <c:v>51068</c:v>
                </c:pt>
                <c:pt idx="1718">
                  <c:v>51075</c:v>
                </c:pt>
                <c:pt idx="1719">
                  <c:v>51082</c:v>
                </c:pt>
                <c:pt idx="1720">
                  <c:v>51089</c:v>
                </c:pt>
                <c:pt idx="1721">
                  <c:v>51096</c:v>
                </c:pt>
                <c:pt idx="1722">
                  <c:v>51103</c:v>
                </c:pt>
                <c:pt idx="1723">
                  <c:v>51110</c:v>
                </c:pt>
                <c:pt idx="1724">
                  <c:v>51117</c:v>
                </c:pt>
                <c:pt idx="1725">
                  <c:v>51124</c:v>
                </c:pt>
                <c:pt idx="1726">
                  <c:v>51131</c:v>
                </c:pt>
                <c:pt idx="1727">
                  <c:v>51138</c:v>
                </c:pt>
                <c:pt idx="1728">
                  <c:v>51145</c:v>
                </c:pt>
                <c:pt idx="1729">
                  <c:v>51152</c:v>
                </c:pt>
                <c:pt idx="1730">
                  <c:v>51159</c:v>
                </c:pt>
                <c:pt idx="1731">
                  <c:v>51166</c:v>
                </c:pt>
                <c:pt idx="1732">
                  <c:v>51173</c:v>
                </c:pt>
                <c:pt idx="1733">
                  <c:v>51180</c:v>
                </c:pt>
                <c:pt idx="1734">
                  <c:v>51187</c:v>
                </c:pt>
                <c:pt idx="1735">
                  <c:v>51194</c:v>
                </c:pt>
                <c:pt idx="1736">
                  <c:v>51201</c:v>
                </c:pt>
                <c:pt idx="1737">
                  <c:v>51208</c:v>
                </c:pt>
                <c:pt idx="1738">
                  <c:v>51215</c:v>
                </c:pt>
                <c:pt idx="1739">
                  <c:v>51222</c:v>
                </c:pt>
                <c:pt idx="1740">
                  <c:v>51229</c:v>
                </c:pt>
                <c:pt idx="1741">
                  <c:v>51236</c:v>
                </c:pt>
                <c:pt idx="1742">
                  <c:v>51243</c:v>
                </c:pt>
                <c:pt idx="1743">
                  <c:v>51250</c:v>
                </c:pt>
                <c:pt idx="1744">
                  <c:v>51258</c:v>
                </c:pt>
                <c:pt idx="1745">
                  <c:v>51265</c:v>
                </c:pt>
                <c:pt idx="1746">
                  <c:v>51272</c:v>
                </c:pt>
                <c:pt idx="1747">
                  <c:v>51279</c:v>
                </c:pt>
                <c:pt idx="1748">
                  <c:v>51286</c:v>
                </c:pt>
                <c:pt idx="1749">
                  <c:v>51293</c:v>
                </c:pt>
                <c:pt idx="1750">
                  <c:v>51300</c:v>
                </c:pt>
                <c:pt idx="1751">
                  <c:v>51307</c:v>
                </c:pt>
                <c:pt idx="1752">
                  <c:v>51314</c:v>
                </c:pt>
                <c:pt idx="1753">
                  <c:v>51321</c:v>
                </c:pt>
                <c:pt idx="1754">
                  <c:v>51328</c:v>
                </c:pt>
                <c:pt idx="1755">
                  <c:v>51335</c:v>
                </c:pt>
                <c:pt idx="1756">
                  <c:v>51342</c:v>
                </c:pt>
                <c:pt idx="1757">
                  <c:v>51349</c:v>
                </c:pt>
                <c:pt idx="1758">
                  <c:v>51356</c:v>
                </c:pt>
                <c:pt idx="1759">
                  <c:v>51363</c:v>
                </c:pt>
                <c:pt idx="1760">
                  <c:v>51370</c:v>
                </c:pt>
                <c:pt idx="1761">
                  <c:v>51377</c:v>
                </c:pt>
                <c:pt idx="1762">
                  <c:v>51384</c:v>
                </c:pt>
                <c:pt idx="1763">
                  <c:v>51391</c:v>
                </c:pt>
                <c:pt idx="1764">
                  <c:v>51398</c:v>
                </c:pt>
                <c:pt idx="1765">
                  <c:v>51405</c:v>
                </c:pt>
                <c:pt idx="1766">
                  <c:v>51412</c:v>
                </c:pt>
                <c:pt idx="1767">
                  <c:v>51419</c:v>
                </c:pt>
                <c:pt idx="1768">
                  <c:v>51426</c:v>
                </c:pt>
                <c:pt idx="1769">
                  <c:v>51433</c:v>
                </c:pt>
                <c:pt idx="1770">
                  <c:v>51440</c:v>
                </c:pt>
                <c:pt idx="1771">
                  <c:v>51447</c:v>
                </c:pt>
                <c:pt idx="1772">
                  <c:v>51454</c:v>
                </c:pt>
                <c:pt idx="1773">
                  <c:v>51461</c:v>
                </c:pt>
                <c:pt idx="1774">
                  <c:v>51468</c:v>
                </c:pt>
                <c:pt idx="1775">
                  <c:v>51475</c:v>
                </c:pt>
                <c:pt idx="1776">
                  <c:v>51482</c:v>
                </c:pt>
                <c:pt idx="1777">
                  <c:v>51489</c:v>
                </c:pt>
                <c:pt idx="1778">
                  <c:v>51497</c:v>
                </c:pt>
                <c:pt idx="1779">
                  <c:v>51504</c:v>
                </c:pt>
                <c:pt idx="1780">
                  <c:v>51511</c:v>
                </c:pt>
                <c:pt idx="1781">
                  <c:v>51518</c:v>
                </c:pt>
                <c:pt idx="1782">
                  <c:v>51525</c:v>
                </c:pt>
                <c:pt idx="1783">
                  <c:v>51532</c:v>
                </c:pt>
                <c:pt idx="1784">
                  <c:v>51539</c:v>
                </c:pt>
                <c:pt idx="1785">
                  <c:v>51546</c:v>
                </c:pt>
                <c:pt idx="1786">
                  <c:v>51553</c:v>
                </c:pt>
                <c:pt idx="1787">
                  <c:v>51560</c:v>
                </c:pt>
                <c:pt idx="1788">
                  <c:v>51567</c:v>
                </c:pt>
                <c:pt idx="1789">
                  <c:v>51574</c:v>
                </c:pt>
                <c:pt idx="1790">
                  <c:v>51581</c:v>
                </c:pt>
                <c:pt idx="1791">
                  <c:v>51588</c:v>
                </c:pt>
                <c:pt idx="1792">
                  <c:v>51595</c:v>
                </c:pt>
                <c:pt idx="1793">
                  <c:v>51602</c:v>
                </c:pt>
                <c:pt idx="1794">
                  <c:v>51609</c:v>
                </c:pt>
                <c:pt idx="1795">
                  <c:v>51616</c:v>
                </c:pt>
                <c:pt idx="1796">
                  <c:v>51623</c:v>
                </c:pt>
                <c:pt idx="1797">
                  <c:v>51630</c:v>
                </c:pt>
                <c:pt idx="1798">
                  <c:v>51637</c:v>
                </c:pt>
                <c:pt idx="1799">
                  <c:v>51644</c:v>
                </c:pt>
                <c:pt idx="1800">
                  <c:v>51651</c:v>
                </c:pt>
                <c:pt idx="1801">
                  <c:v>51658</c:v>
                </c:pt>
                <c:pt idx="1802">
                  <c:v>51665</c:v>
                </c:pt>
                <c:pt idx="1803">
                  <c:v>51672</c:v>
                </c:pt>
                <c:pt idx="1804">
                  <c:v>51679</c:v>
                </c:pt>
                <c:pt idx="1805">
                  <c:v>51686</c:v>
                </c:pt>
                <c:pt idx="1806">
                  <c:v>51693</c:v>
                </c:pt>
                <c:pt idx="1807">
                  <c:v>51700</c:v>
                </c:pt>
                <c:pt idx="1808">
                  <c:v>51707</c:v>
                </c:pt>
                <c:pt idx="1809">
                  <c:v>51714</c:v>
                </c:pt>
                <c:pt idx="1810">
                  <c:v>51721</c:v>
                </c:pt>
                <c:pt idx="1811">
                  <c:v>51728</c:v>
                </c:pt>
                <c:pt idx="1812">
                  <c:v>51735</c:v>
                </c:pt>
                <c:pt idx="1813">
                  <c:v>51742</c:v>
                </c:pt>
                <c:pt idx="1814">
                  <c:v>51749</c:v>
                </c:pt>
                <c:pt idx="1815">
                  <c:v>51756</c:v>
                </c:pt>
                <c:pt idx="1816">
                  <c:v>51763</c:v>
                </c:pt>
                <c:pt idx="1817">
                  <c:v>51770</c:v>
                </c:pt>
                <c:pt idx="1818">
                  <c:v>51777</c:v>
                </c:pt>
                <c:pt idx="1819">
                  <c:v>51784</c:v>
                </c:pt>
                <c:pt idx="1820">
                  <c:v>51791</c:v>
                </c:pt>
                <c:pt idx="1821">
                  <c:v>51798</c:v>
                </c:pt>
                <c:pt idx="1822">
                  <c:v>51805</c:v>
                </c:pt>
                <c:pt idx="1823">
                  <c:v>51812</c:v>
                </c:pt>
                <c:pt idx="1824">
                  <c:v>51819</c:v>
                </c:pt>
                <c:pt idx="1825">
                  <c:v>51826</c:v>
                </c:pt>
                <c:pt idx="1826">
                  <c:v>51833</c:v>
                </c:pt>
                <c:pt idx="1827">
                  <c:v>51840</c:v>
                </c:pt>
                <c:pt idx="1828">
                  <c:v>51847</c:v>
                </c:pt>
                <c:pt idx="1829">
                  <c:v>51854</c:v>
                </c:pt>
                <c:pt idx="1830">
                  <c:v>51862</c:v>
                </c:pt>
                <c:pt idx="1831">
                  <c:v>51869</c:v>
                </c:pt>
                <c:pt idx="1832">
                  <c:v>51876</c:v>
                </c:pt>
                <c:pt idx="1833">
                  <c:v>51883</c:v>
                </c:pt>
                <c:pt idx="1834">
                  <c:v>51890</c:v>
                </c:pt>
                <c:pt idx="1835">
                  <c:v>51897</c:v>
                </c:pt>
                <c:pt idx="1836">
                  <c:v>51904</c:v>
                </c:pt>
                <c:pt idx="1837">
                  <c:v>51911</c:v>
                </c:pt>
                <c:pt idx="1838">
                  <c:v>51918</c:v>
                </c:pt>
                <c:pt idx="1839">
                  <c:v>51925</c:v>
                </c:pt>
                <c:pt idx="1840">
                  <c:v>51932</c:v>
                </c:pt>
                <c:pt idx="1841">
                  <c:v>51939</c:v>
                </c:pt>
                <c:pt idx="1842">
                  <c:v>51946</c:v>
                </c:pt>
                <c:pt idx="1843">
                  <c:v>51953</c:v>
                </c:pt>
                <c:pt idx="1844">
                  <c:v>51964</c:v>
                </c:pt>
                <c:pt idx="1845">
                  <c:v>51971</c:v>
                </c:pt>
                <c:pt idx="1846">
                  <c:v>51978</c:v>
                </c:pt>
                <c:pt idx="1847">
                  <c:v>51985</c:v>
                </c:pt>
                <c:pt idx="1848">
                  <c:v>51992</c:v>
                </c:pt>
                <c:pt idx="1849">
                  <c:v>51999</c:v>
                </c:pt>
                <c:pt idx="1850">
                  <c:v>52006</c:v>
                </c:pt>
                <c:pt idx="1851">
                  <c:v>52013</c:v>
                </c:pt>
                <c:pt idx="1852">
                  <c:v>52020</c:v>
                </c:pt>
                <c:pt idx="1853">
                  <c:v>52027</c:v>
                </c:pt>
                <c:pt idx="1854">
                  <c:v>52034</c:v>
                </c:pt>
                <c:pt idx="1855">
                  <c:v>52041</c:v>
                </c:pt>
                <c:pt idx="1856">
                  <c:v>52049</c:v>
                </c:pt>
                <c:pt idx="1857">
                  <c:v>52056</c:v>
                </c:pt>
                <c:pt idx="1858">
                  <c:v>52063</c:v>
                </c:pt>
                <c:pt idx="1859">
                  <c:v>52070</c:v>
                </c:pt>
                <c:pt idx="1860">
                  <c:v>52077</c:v>
                </c:pt>
                <c:pt idx="1861">
                  <c:v>52084</c:v>
                </c:pt>
                <c:pt idx="1862">
                  <c:v>52091</c:v>
                </c:pt>
                <c:pt idx="1863">
                  <c:v>52098</c:v>
                </c:pt>
                <c:pt idx="1864">
                  <c:v>52105</c:v>
                </c:pt>
                <c:pt idx="1865">
                  <c:v>52112</c:v>
                </c:pt>
                <c:pt idx="1866">
                  <c:v>52119</c:v>
                </c:pt>
                <c:pt idx="1867">
                  <c:v>52126</c:v>
                </c:pt>
                <c:pt idx="1868">
                  <c:v>52133</c:v>
                </c:pt>
                <c:pt idx="1869">
                  <c:v>52141</c:v>
                </c:pt>
                <c:pt idx="1870">
                  <c:v>52148</c:v>
                </c:pt>
                <c:pt idx="1871">
                  <c:v>52155</c:v>
                </c:pt>
                <c:pt idx="1872">
                  <c:v>52162</c:v>
                </c:pt>
                <c:pt idx="1873">
                  <c:v>52169</c:v>
                </c:pt>
                <c:pt idx="1874">
                  <c:v>52176</c:v>
                </c:pt>
                <c:pt idx="1875">
                  <c:v>52183</c:v>
                </c:pt>
                <c:pt idx="1876">
                  <c:v>52190</c:v>
                </c:pt>
                <c:pt idx="1877">
                  <c:v>52197</c:v>
                </c:pt>
                <c:pt idx="1878">
                  <c:v>52204</c:v>
                </c:pt>
                <c:pt idx="1879">
                  <c:v>52211</c:v>
                </c:pt>
                <c:pt idx="1880">
                  <c:v>52218</c:v>
                </c:pt>
                <c:pt idx="1881">
                  <c:v>52229</c:v>
                </c:pt>
                <c:pt idx="1882">
                  <c:v>52236</c:v>
                </c:pt>
                <c:pt idx="1883">
                  <c:v>52243</c:v>
                </c:pt>
                <c:pt idx="1884">
                  <c:v>52250</c:v>
                </c:pt>
                <c:pt idx="1885">
                  <c:v>52257</c:v>
                </c:pt>
                <c:pt idx="1886">
                  <c:v>52264</c:v>
                </c:pt>
                <c:pt idx="1887">
                  <c:v>52271</c:v>
                </c:pt>
                <c:pt idx="1888">
                  <c:v>52278</c:v>
                </c:pt>
                <c:pt idx="1889">
                  <c:v>52285</c:v>
                </c:pt>
                <c:pt idx="1890">
                  <c:v>52292</c:v>
                </c:pt>
                <c:pt idx="1891">
                  <c:v>52299</c:v>
                </c:pt>
                <c:pt idx="1892">
                  <c:v>52306</c:v>
                </c:pt>
                <c:pt idx="1893">
                  <c:v>52313</c:v>
                </c:pt>
                <c:pt idx="1894">
                  <c:v>52321</c:v>
                </c:pt>
                <c:pt idx="1895">
                  <c:v>52328</c:v>
                </c:pt>
                <c:pt idx="1896">
                  <c:v>52335</c:v>
                </c:pt>
                <c:pt idx="1897">
                  <c:v>52342</c:v>
                </c:pt>
                <c:pt idx="1898">
                  <c:v>52349</c:v>
                </c:pt>
                <c:pt idx="1899">
                  <c:v>52356</c:v>
                </c:pt>
                <c:pt idx="1900">
                  <c:v>52363</c:v>
                </c:pt>
                <c:pt idx="1901">
                  <c:v>52370</c:v>
                </c:pt>
                <c:pt idx="1902">
                  <c:v>52377</c:v>
                </c:pt>
                <c:pt idx="1903">
                  <c:v>52384</c:v>
                </c:pt>
                <c:pt idx="1904">
                  <c:v>52391</c:v>
                </c:pt>
                <c:pt idx="1905">
                  <c:v>52398</c:v>
                </c:pt>
                <c:pt idx="1906">
                  <c:v>52405</c:v>
                </c:pt>
                <c:pt idx="1907">
                  <c:v>52412</c:v>
                </c:pt>
                <c:pt idx="1908">
                  <c:v>52419</c:v>
                </c:pt>
                <c:pt idx="1909">
                  <c:v>52426</c:v>
                </c:pt>
                <c:pt idx="1910">
                  <c:v>52433</c:v>
                </c:pt>
                <c:pt idx="1911">
                  <c:v>52440</c:v>
                </c:pt>
                <c:pt idx="1912">
                  <c:v>52447</c:v>
                </c:pt>
                <c:pt idx="1913">
                  <c:v>52454</c:v>
                </c:pt>
                <c:pt idx="1914">
                  <c:v>52461</c:v>
                </c:pt>
                <c:pt idx="1915">
                  <c:v>52468</c:v>
                </c:pt>
                <c:pt idx="1916">
                  <c:v>52475</c:v>
                </c:pt>
                <c:pt idx="1917">
                  <c:v>52482</c:v>
                </c:pt>
                <c:pt idx="1918">
                  <c:v>52489</c:v>
                </c:pt>
                <c:pt idx="1919">
                  <c:v>52496</c:v>
                </c:pt>
                <c:pt idx="1920">
                  <c:v>52503</c:v>
                </c:pt>
                <c:pt idx="1921">
                  <c:v>52510</c:v>
                </c:pt>
                <c:pt idx="1922">
                  <c:v>52517</c:v>
                </c:pt>
                <c:pt idx="1923">
                  <c:v>52524</c:v>
                </c:pt>
                <c:pt idx="1924">
                  <c:v>52531</c:v>
                </c:pt>
                <c:pt idx="1925">
                  <c:v>52538</c:v>
                </c:pt>
                <c:pt idx="1926">
                  <c:v>52545</c:v>
                </c:pt>
                <c:pt idx="1927">
                  <c:v>52552</c:v>
                </c:pt>
                <c:pt idx="1928">
                  <c:v>52559</c:v>
                </c:pt>
                <c:pt idx="1929">
                  <c:v>52566</c:v>
                </c:pt>
                <c:pt idx="1930">
                  <c:v>52573</c:v>
                </c:pt>
                <c:pt idx="1931">
                  <c:v>52580</c:v>
                </c:pt>
                <c:pt idx="1932">
                  <c:v>52587</c:v>
                </c:pt>
                <c:pt idx="1933">
                  <c:v>52594</c:v>
                </c:pt>
                <c:pt idx="1934">
                  <c:v>52601</c:v>
                </c:pt>
                <c:pt idx="1935">
                  <c:v>52608</c:v>
                </c:pt>
                <c:pt idx="1936">
                  <c:v>52615</c:v>
                </c:pt>
                <c:pt idx="1937">
                  <c:v>52622</c:v>
                </c:pt>
                <c:pt idx="1938">
                  <c:v>52629</c:v>
                </c:pt>
                <c:pt idx="1939">
                  <c:v>52636</c:v>
                </c:pt>
                <c:pt idx="1940">
                  <c:v>52643</c:v>
                </c:pt>
                <c:pt idx="1941">
                  <c:v>52650</c:v>
                </c:pt>
                <c:pt idx="1942">
                  <c:v>52657</c:v>
                </c:pt>
                <c:pt idx="1943">
                  <c:v>52664</c:v>
                </c:pt>
                <c:pt idx="1944">
                  <c:v>52671</c:v>
                </c:pt>
                <c:pt idx="1945">
                  <c:v>52678</c:v>
                </c:pt>
                <c:pt idx="1946">
                  <c:v>52685</c:v>
                </c:pt>
                <c:pt idx="1947">
                  <c:v>52692</c:v>
                </c:pt>
                <c:pt idx="1948">
                  <c:v>52699</c:v>
                </c:pt>
                <c:pt idx="1949">
                  <c:v>52706</c:v>
                </c:pt>
                <c:pt idx="1950">
                  <c:v>52713</c:v>
                </c:pt>
                <c:pt idx="1951">
                  <c:v>52720</c:v>
                </c:pt>
                <c:pt idx="1952">
                  <c:v>52727</c:v>
                </c:pt>
                <c:pt idx="1953">
                  <c:v>52734</c:v>
                </c:pt>
                <c:pt idx="1954">
                  <c:v>52741</c:v>
                </c:pt>
                <c:pt idx="1955">
                  <c:v>52748</c:v>
                </c:pt>
                <c:pt idx="1956">
                  <c:v>52755</c:v>
                </c:pt>
                <c:pt idx="1957">
                  <c:v>52762</c:v>
                </c:pt>
                <c:pt idx="1958">
                  <c:v>52769</c:v>
                </c:pt>
                <c:pt idx="1959">
                  <c:v>52776</c:v>
                </c:pt>
                <c:pt idx="1960">
                  <c:v>52783</c:v>
                </c:pt>
                <c:pt idx="1961">
                  <c:v>52790</c:v>
                </c:pt>
                <c:pt idx="1962">
                  <c:v>52797</c:v>
                </c:pt>
                <c:pt idx="1963">
                  <c:v>52804</c:v>
                </c:pt>
                <c:pt idx="1964">
                  <c:v>52811</c:v>
                </c:pt>
                <c:pt idx="1965">
                  <c:v>52818</c:v>
                </c:pt>
                <c:pt idx="1966">
                  <c:v>52825</c:v>
                </c:pt>
                <c:pt idx="1967">
                  <c:v>52832</c:v>
                </c:pt>
                <c:pt idx="1968">
                  <c:v>52839</c:v>
                </c:pt>
                <c:pt idx="1969">
                  <c:v>52846</c:v>
                </c:pt>
                <c:pt idx="1970">
                  <c:v>52853</c:v>
                </c:pt>
                <c:pt idx="1971">
                  <c:v>52860</c:v>
                </c:pt>
                <c:pt idx="1972">
                  <c:v>52867</c:v>
                </c:pt>
                <c:pt idx="1973">
                  <c:v>52874</c:v>
                </c:pt>
                <c:pt idx="1974">
                  <c:v>52881</c:v>
                </c:pt>
                <c:pt idx="1975">
                  <c:v>52888</c:v>
                </c:pt>
                <c:pt idx="1976">
                  <c:v>52895</c:v>
                </c:pt>
                <c:pt idx="1977">
                  <c:v>52902</c:v>
                </c:pt>
                <c:pt idx="1978">
                  <c:v>52909</c:v>
                </c:pt>
                <c:pt idx="1979">
                  <c:v>52916</c:v>
                </c:pt>
                <c:pt idx="1980">
                  <c:v>52923</c:v>
                </c:pt>
                <c:pt idx="1981">
                  <c:v>52930</c:v>
                </c:pt>
                <c:pt idx="1982">
                  <c:v>52937</c:v>
                </c:pt>
                <c:pt idx="1983">
                  <c:v>52944</c:v>
                </c:pt>
                <c:pt idx="1984">
                  <c:v>52951</c:v>
                </c:pt>
                <c:pt idx="1985">
                  <c:v>52958</c:v>
                </c:pt>
                <c:pt idx="1986">
                  <c:v>52965</c:v>
                </c:pt>
                <c:pt idx="1987">
                  <c:v>52972</c:v>
                </c:pt>
                <c:pt idx="1988">
                  <c:v>52979</c:v>
                </c:pt>
                <c:pt idx="1989">
                  <c:v>52986</c:v>
                </c:pt>
                <c:pt idx="1990">
                  <c:v>52993</c:v>
                </c:pt>
                <c:pt idx="1991">
                  <c:v>53000</c:v>
                </c:pt>
                <c:pt idx="1992">
                  <c:v>53007</c:v>
                </c:pt>
                <c:pt idx="1993">
                  <c:v>53014</c:v>
                </c:pt>
                <c:pt idx="1994">
                  <c:v>53021</c:v>
                </c:pt>
                <c:pt idx="1995">
                  <c:v>53028</c:v>
                </c:pt>
                <c:pt idx="1996">
                  <c:v>53035</c:v>
                </c:pt>
                <c:pt idx="1997">
                  <c:v>53042</c:v>
                </c:pt>
                <c:pt idx="1998">
                  <c:v>53049</c:v>
                </c:pt>
                <c:pt idx="1999">
                  <c:v>53056</c:v>
                </c:pt>
                <c:pt idx="2000">
                  <c:v>53063</c:v>
                </c:pt>
                <c:pt idx="2001">
                  <c:v>53070</c:v>
                </c:pt>
                <c:pt idx="2002">
                  <c:v>53077</c:v>
                </c:pt>
                <c:pt idx="2003">
                  <c:v>53084</c:v>
                </c:pt>
                <c:pt idx="2004">
                  <c:v>53091</c:v>
                </c:pt>
                <c:pt idx="2005">
                  <c:v>53098</c:v>
                </c:pt>
                <c:pt idx="2006">
                  <c:v>53105</c:v>
                </c:pt>
                <c:pt idx="2007">
                  <c:v>53112</c:v>
                </c:pt>
                <c:pt idx="2008">
                  <c:v>53119</c:v>
                </c:pt>
                <c:pt idx="2009">
                  <c:v>53126</c:v>
                </c:pt>
                <c:pt idx="2010">
                  <c:v>53133</c:v>
                </c:pt>
                <c:pt idx="2011">
                  <c:v>53140</c:v>
                </c:pt>
                <c:pt idx="2012">
                  <c:v>53147</c:v>
                </c:pt>
                <c:pt idx="2013">
                  <c:v>53154</c:v>
                </c:pt>
                <c:pt idx="2014">
                  <c:v>53161</c:v>
                </c:pt>
                <c:pt idx="2015">
                  <c:v>53168</c:v>
                </c:pt>
                <c:pt idx="2016">
                  <c:v>53175</c:v>
                </c:pt>
                <c:pt idx="2017">
                  <c:v>53182</c:v>
                </c:pt>
                <c:pt idx="2018">
                  <c:v>53189</c:v>
                </c:pt>
                <c:pt idx="2019">
                  <c:v>53196</c:v>
                </c:pt>
                <c:pt idx="2020">
                  <c:v>53203</c:v>
                </c:pt>
                <c:pt idx="2021">
                  <c:v>53210</c:v>
                </c:pt>
                <c:pt idx="2022">
                  <c:v>53217</c:v>
                </c:pt>
                <c:pt idx="2023">
                  <c:v>53224</c:v>
                </c:pt>
                <c:pt idx="2024">
                  <c:v>53231</c:v>
                </c:pt>
                <c:pt idx="2025">
                  <c:v>53238</c:v>
                </c:pt>
                <c:pt idx="2026">
                  <c:v>53245</c:v>
                </c:pt>
                <c:pt idx="2027">
                  <c:v>53252</c:v>
                </c:pt>
                <c:pt idx="2028">
                  <c:v>53259</c:v>
                </c:pt>
                <c:pt idx="2029">
                  <c:v>53266</c:v>
                </c:pt>
                <c:pt idx="2030">
                  <c:v>53273</c:v>
                </c:pt>
                <c:pt idx="2031">
                  <c:v>53280</c:v>
                </c:pt>
                <c:pt idx="2032">
                  <c:v>53287</c:v>
                </c:pt>
                <c:pt idx="2033">
                  <c:v>53294</c:v>
                </c:pt>
                <c:pt idx="2034">
                  <c:v>53301</c:v>
                </c:pt>
                <c:pt idx="2035">
                  <c:v>53308</c:v>
                </c:pt>
                <c:pt idx="2036">
                  <c:v>53315</c:v>
                </c:pt>
                <c:pt idx="2037">
                  <c:v>53323</c:v>
                </c:pt>
                <c:pt idx="2038">
                  <c:v>53330</c:v>
                </c:pt>
                <c:pt idx="2039">
                  <c:v>53337</c:v>
                </c:pt>
                <c:pt idx="2040">
                  <c:v>53344</c:v>
                </c:pt>
                <c:pt idx="2041">
                  <c:v>53351</c:v>
                </c:pt>
                <c:pt idx="2042">
                  <c:v>53358</c:v>
                </c:pt>
                <c:pt idx="2043">
                  <c:v>53365</c:v>
                </c:pt>
                <c:pt idx="2044">
                  <c:v>53372</c:v>
                </c:pt>
                <c:pt idx="2045">
                  <c:v>53379</c:v>
                </c:pt>
                <c:pt idx="2046">
                  <c:v>53386</c:v>
                </c:pt>
                <c:pt idx="2047">
                  <c:v>53393</c:v>
                </c:pt>
                <c:pt idx="2048">
                  <c:v>53400</c:v>
                </c:pt>
                <c:pt idx="2049">
                  <c:v>53407</c:v>
                </c:pt>
                <c:pt idx="2050">
                  <c:v>53414</c:v>
                </c:pt>
                <c:pt idx="2051">
                  <c:v>53421</c:v>
                </c:pt>
                <c:pt idx="2052">
                  <c:v>53428</c:v>
                </c:pt>
                <c:pt idx="2053">
                  <c:v>53435</c:v>
                </c:pt>
                <c:pt idx="2054">
                  <c:v>53442</c:v>
                </c:pt>
                <c:pt idx="2055">
                  <c:v>53449</c:v>
                </c:pt>
                <c:pt idx="2056">
                  <c:v>53456</c:v>
                </c:pt>
                <c:pt idx="2057">
                  <c:v>53463</c:v>
                </c:pt>
                <c:pt idx="2058">
                  <c:v>53470</c:v>
                </c:pt>
                <c:pt idx="2059">
                  <c:v>53477</c:v>
                </c:pt>
                <c:pt idx="2060">
                  <c:v>53484</c:v>
                </c:pt>
                <c:pt idx="2061">
                  <c:v>53491</c:v>
                </c:pt>
                <c:pt idx="2062">
                  <c:v>53498</c:v>
                </c:pt>
                <c:pt idx="2063">
                  <c:v>53505</c:v>
                </c:pt>
                <c:pt idx="2064">
                  <c:v>53512</c:v>
                </c:pt>
                <c:pt idx="2065">
                  <c:v>53519</c:v>
                </c:pt>
                <c:pt idx="2066">
                  <c:v>53526</c:v>
                </c:pt>
                <c:pt idx="2067">
                  <c:v>53533</c:v>
                </c:pt>
                <c:pt idx="2068">
                  <c:v>53540</c:v>
                </c:pt>
                <c:pt idx="2069">
                  <c:v>53547</c:v>
                </c:pt>
                <c:pt idx="2070">
                  <c:v>53554</c:v>
                </c:pt>
                <c:pt idx="2071">
                  <c:v>53561</c:v>
                </c:pt>
                <c:pt idx="2072">
                  <c:v>53568</c:v>
                </c:pt>
                <c:pt idx="2073">
                  <c:v>53575</c:v>
                </c:pt>
                <c:pt idx="2074">
                  <c:v>53582</c:v>
                </c:pt>
                <c:pt idx="2075">
                  <c:v>53589</c:v>
                </c:pt>
                <c:pt idx="2076">
                  <c:v>53596</c:v>
                </c:pt>
                <c:pt idx="2077">
                  <c:v>53603</c:v>
                </c:pt>
                <c:pt idx="2078">
                  <c:v>53610</c:v>
                </c:pt>
                <c:pt idx="2079">
                  <c:v>53617</c:v>
                </c:pt>
                <c:pt idx="2080">
                  <c:v>53624</c:v>
                </c:pt>
                <c:pt idx="2081">
                  <c:v>53631</c:v>
                </c:pt>
                <c:pt idx="2082">
                  <c:v>53638</c:v>
                </c:pt>
                <c:pt idx="2083">
                  <c:v>53645</c:v>
                </c:pt>
                <c:pt idx="2084">
                  <c:v>53652</c:v>
                </c:pt>
                <c:pt idx="2085">
                  <c:v>53659</c:v>
                </c:pt>
                <c:pt idx="2086">
                  <c:v>53666</c:v>
                </c:pt>
                <c:pt idx="2087">
                  <c:v>53673</c:v>
                </c:pt>
                <c:pt idx="2088">
                  <c:v>53680</c:v>
                </c:pt>
                <c:pt idx="2089">
                  <c:v>53688</c:v>
                </c:pt>
                <c:pt idx="2090">
                  <c:v>53695</c:v>
                </c:pt>
                <c:pt idx="2091">
                  <c:v>53702</c:v>
                </c:pt>
                <c:pt idx="2092">
                  <c:v>53709</c:v>
                </c:pt>
                <c:pt idx="2093">
                  <c:v>53716</c:v>
                </c:pt>
                <c:pt idx="2094">
                  <c:v>53723</c:v>
                </c:pt>
                <c:pt idx="2095">
                  <c:v>53730</c:v>
                </c:pt>
                <c:pt idx="2096">
                  <c:v>53737</c:v>
                </c:pt>
                <c:pt idx="2097">
                  <c:v>53744</c:v>
                </c:pt>
                <c:pt idx="2098">
                  <c:v>53751</c:v>
                </c:pt>
                <c:pt idx="2099">
                  <c:v>53758</c:v>
                </c:pt>
                <c:pt idx="2100">
                  <c:v>53765</c:v>
                </c:pt>
                <c:pt idx="2101">
                  <c:v>53772</c:v>
                </c:pt>
                <c:pt idx="2102">
                  <c:v>53779</c:v>
                </c:pt>
                <c:pt idx="2103">
                  <c:v>53786</c:v>
                </c:pt>
                <c:pt idx="2104">
                  <c:v>53793</c:v>
                </c:pt>
                <c:pt idx="2105">
                  <c:v>53800</c:v>
                </c:pt>
                <c:pt idx="2106">
                  <c:v>53807</c:v>
                </c:pt>
                <c:pt idx="2107">
                  <c:v>53814</c:v>
                </c:pt>
                <c:pt idx="2108">
                  <c:v>53821</c:v>
                </c:pt>
                <c:pt idx="2109">
                  <c:v>53828</c:v>
                </c:pt>
                <c:pt idx="2110">
                  <c:v>53835</c:v>
                </c:pt>
                <c:pt idx="2111">
                  <c:v>53842</c:v>
                </c:pt>
                <c:pt idx="2112">
                  <c:v>53849</c:v>
                </c:pt>
                <c:pt idx="2113">
                  <c:v>53856</c:v>
                </c:pt>
                <c:pt idx="2114">
                  <c:v>53863</c:v>
                </c:pt>
                <c:pt idx="2115">
                  <c:v>53870</c:v>
                </c:pt>
                <c:pt idx="2116">
                  <c:v>53877</c:v>
                </c:pt>
                <c:pt idx="2117">
                  <c:v>53884</c:v>
                </c:pt>
                <c:pt idx="2118">
                  <c:v>53891</c:v>
                </c:pt>
                <c:pt idx="2119">
                  <c:v>53898</c:v>
                </c:pt>
                <c:pt idx="2120">
                  <c:v>53905</c:v>
                </c:pt>
                <c:pt idx="2121">
                  <c:v>53912</c:v>
                </c:pt>
                <c:pt idx="2122">
                  <c:v>53919</c:v>
                </c:pt>
                <c:pt idx="2123">
                  <c:v>53926</c:v>
                </c:pt>
                <c:pt idx="2124">
                  <c:v>53933</c:v>
                </c:pt>
                <c:pt idx="2125">
                  <c:v>53940</c:v>
                </c:pt>
                <c:pt idx="2126">
                  <c:v>53947</c:v>
                </c:pt>
                <c:pt idx="2127">
                  <c:v>53954</c:v>
                </c:pt>
                <c:pt idx="2128">
                  <c:v>53961</c:v>
                </c:pt>
                <c:pt idx="2129">
                  <c:v>53968</c:v>
                </c:pt>
                <c:pt idx="2130">
                  <c:v>53975</c:v>
                </c:pt>
                <c:pt idx="2131">
                  <c:v>53982</c:v>
                </c:pt>
                <c:pt idx="2132">
                  <c:v>53989</c:v>
                </c:pt>
                <c:pt idx="2133">
                  <c:v>53996</c:v>
                </c:pt>
                <c:pt idx="2134">
                  <c:v>54003</c:v>
                </c:pt>
                <c:pt idx="2135">
                  <c:v>54010</c:v>
                </c:pt>
                <c:pt idx="2136">
                  <c:v>54017</c:v>
                </c:pt>
                <c:pt idx="2137">
                  <c:v>54024</c:v>
                </c:pt>
                <c:pt idx="2138">
                  <c:v>54031</c:v>
                </c:pt>
                <c:pt idx="2139">
                  <c:v>54038</c:v>
                </c:pt>
                <c:pt idx="2140">
                  <c:v>54045</c:v>
                </c:pt>
                <c:pt idx="2141">
                  <c:v>54053</c:v>
                </c:pt>
                <c:pt idx="2142">
                  <c:v>54060</c:v>
                </c:pt>
                <c:pt idx="2143">
                  <c:v>54067</c:v>
                </c:pt>
                <c:pt idx="2144">
                  <c:v>54074</c:v>
                </c:pt>
                <c:pt idx="2145">
                  <c:v>54081</c:v>
                </c:pt>
                <c:pt idx="2146">
                  <c:v>54088</c:v>
                </c:pt>
                <c:pt idx="2147">
                  <c:v>54095</c:v>
                </c:pt>
                <c:pt idx="2148">
                  <c:v>54102</c:v>
                </c:pt>
                <c:pt idx="2149">
                  <c:v>54109</c:v>
                </c:pt>
                <c:pt idx="2150">
                  <c:v>54116</c:v>
                </c:pt>
                <c:pt idx="2151">
                  <c:v>54123</c:v>
                </c:pt>
                <c:pt idx="2152">
                  <c:v>54130</c:v>
                </c:pt>
                <c:pt idx="2153">
                  <c:v>54137</c:v>
                </c:pt>
                <c:pt idx="2154">
                  <c:v>54144</c:v>
                </c:pt>
                <c:pt idx="2155">
                  <c:v>54155</c:v>
                </c:pt>
                <c:pt idx="2156">
                  <c:v>54162</c:v>
                </c:pt>
                <c:pt idx="2157">
                  <c:v>54169</c:v>
                </c:pt>
                <c:pt idx="2158">
                  <c:v>54176</c:v>
                </c:pt>
                <c:pt idx="2159">
                  <c:v>54183</c:v>
                </c:pt>
                <c:pt idx="2160">
                  <c:v>54190</c:v>
                </c:pt>
                <c:pt idx="2161">
                  <c:v>54197</c:v>
                </c:pt>
                <c:pt idx="2162">
                  <c:v>54204</c:v>
                </c:pt>
                <c:pt idx="2163">
                  <c:v>54211</c:v>
                </c:pt>
                <c:pt idx="2164">
                  <c:v>54218</c:v>
                </c:pt>
                <c:pt idx="2165">
                  <c:v>54225</c:v>
                </c:pt>
                <c:pt idx="2166">
                  <c:v>54232</c:v>
                </c:pt>
                <c:pt idx="2167">
                  <c:v>54239</c:v>
                </c:pt>
                <c:pt idx="2168">
                  <c:v>54246</c:v>
                </c:pt>
                <c:pt idx="2169">
                  <c:v>54253</c:v>
                </c:pt>
                <c:pt idx="2170">
                  <c:v>54260</c:v>
                </c:pt>
                <c:pt idx="2171">
                  <c:v>54267</c:v>
                </c:pt>
                <c:pt idx="2172">
                  <c:v>54274</c:v>
                </c:pt>
                <c:pt idx="2173">
                  <c:v>54281</c:v>
                </c:pt>
                <c:pt idx="2174">
                  <c:v>54288</c:v>
                </c:pt>
                <c:pt idx="2175">
                  <c:v>54295</c:v>
                </c:pt>
                <c:pt idx="2176">
                  <c:v>54302</c:v>
                </c:pt>
                <c:pt idx="2177">
                  <c:v>54309</c:v>
                </c:pt>
                <c:pt idx="2178">
                  <c:v>54316</c:v>
                </c:pt>
                <c:pt idx="2179">
                  <c:v>54323</c:v>
                </c:pt>
                <c:pt idx="2180">
                  <c:v>54330</c:v>
                </c:pt>
                <c:pt idx="2181">
                  <c:v>54337</c:v>
                </c:pt>
                <c:pt idx="2182">
                  <c:v>54344</c:v>
                </c:pt>
                <c:pt idx="2183">
                  <c:v>54351</c:v>
                </c:pt>
                <c:pt idx="2184">
                  <c:v>54358</c:v>
                </c:pt>
                <c:pt idx="2185">
                  <c:v>54365</c:v>
                </c:pt>
                <c:pt idx="2186">
                  <c:v>54372</c:v>
                </c:pt>
                <c:pt idx="2187">
                  <c:v>54379</c:v>
                </c:pt>
                <c:pt idx="2188">
                  <c:v>54386</c:v>
                </c:pt>
                <c:pt idx="2189">
                  <c:v>54393</c:v>
                </c:pt>
                <c:pt idx="2190">
                  <c:v>54400</c:v>
                </c:pt>
                <c:pt idx="2191">
                  <c:v>54407</c:v>
                </c:pt>
                <c:pt idx="2192">
                  <c:v>54414</c:v>
                </c:pt>
                <c:pt idx="2193">
                  <c:v>54421</c:v>
                </c:pt>
                <c:pt idx="2194">
                  <c:v>54428</c:v>
                </c:pt>
                <c:pt idx="2195">
                  <c:v>54435</c:v>
                </c:pt>
                <c:pt idx="2196">
                  <c:v>54442</c:v>
                </c:pt>
                <c:pt idx="2197">
                  <c:v>54449</c:v>
                </c:pt>
                <c:pt idx="2198">
                  <c:v>54456</c:v>
                </c:pt>
                <c:pt idx="2199">
                  <c:v>54463</c:v>
                </c:pt>
                <c:pt idx="2200">
                  <c:v>54470</c:v>
                </c:pt>
                <c:pt idx="2201">
                  <c:v>54477</c:v>
                </c:pt>
                <c:pt idx="2202">
                  <c:v>54484</c:v>
                </c:pt>
                <c:pt idx="2203">
                  <c:v>54491</c:v>
                </c:pt>
                <c:pt idx="2204">
                  <c:v>54498</c:v>
                </c:pt>
                <c:pt idx="2205">
                  <c:v>54505</c:v>
                </c:pt>
                <c:pt idx="2206">
                  <c:v>54512</c:v>
                </c:pt>
                <c:pt idx="2207">
                  <c:v>54519</c:v>
                </c:pt>
                <c:pt idx="2208">
                  <c:v>54526</c:v>
                </c:pt>
                <c:pt idx="2209">
                  <c:v>54533</c:v>
                </c:pt>
                <c:pt idx="2210">
                  <c:v>54540</c:v>
                </c:pt>
                <c:pt idx="2211">
                  <c:v>54547</c:v>
                </c:pt>
                <c:pt idx="2212">
                  <c:v>54554</c:v>
                </c:pt>
                <c:pt idx="2213">
                  <c:v>54561</c:v>
                </c:pt>
                <c:pt idx="2214">
                  <c:v>54568</c:v>
                </c:pt>
                <c:pt idx="2215">
                  <c:v>54575</c:v>
                </c:pt>
                <c:pt idx="2216">
                  <c:v>54582</c:v>
                </c:pt>
                <c:pt idx="2217">
                  <c:v>54589</c:v>
                </c:pt>
                <c:pt idx="2218">
                  <c:v>54596</c:v>
                </c:pt>
                <c:pt idx="2219">
                  <c:v>54603</c:v>
                </c:pt>
                <c:pt idx="2220">
                  <c:v>54610</c:v>
                </c:pt>
                <c:pt idx="2221">
                  <c:v>54617</c:v>
                </c:pt>
                <c:pt idx="2222">
                  <c:v>54624</c:v>
                </c:pt>
                <c:pt idx="2223">
                  <c:v>54631</c:v>
                </c:pt>
                <c:pt idx="2224">
                  <c:v>54638</c:v>
                </c:pt>
                <c:pt idx="2225">
                  <c:v>54645</c:v>
                </c:pt>
                <c:pt idx="2226">
                  <c:v>54652</c:v>
                </c:pt>
                <c:pt idx="2227">
                  <c:v>54659</c:v>
                </c:pt>
                <c:pt idx="2228">
                  <c:v>54666</c:v>
                </c:pt>
                <c:pt idx="2229">
                  <c:v>54673</c:v>
                </c:pt>
                <c:pt idx="2230">
                  <c:v>54680</c:v>
                </c:pt>
                <c:pt idx="2231">
                  <c:v>54687</c:v>
                </c:pt>
                <c:pt idx="2232">
                  <c:v>54694</c:v>
                </c:pt>
                <c:pt idx="2233">
                  <c:v>54701</c:v>
                </c:pt>
                <c:pt idx="2234">
                  <c:v>54708</c:v>
                </c:pt>
                <c:pt idx="2235">
                  <c:v>54715</c:v>
                </c:pt>
                <c:pt idx="2236">
                  <c:v>54722</c:v>
                </c:pt>
                <c:pt idx="2237">
                  <c:v>54729</c:v>
                </c:pt>
                <c:pt idx="2238">
                  <c:v>54736</c:v>
                </c:pt>
                <c:pt idx="2239">
                  <c:v>54743</c:v>
                </c:pt>
                <c:pt idx="2240">
                  <c:v>54750</c:v>
                </c:pt>
                <c:pt idx="2241">
                  <c:v>54757</c:v>
                </c:pt>
                <c:pt idx="2242">
                  <c:v>54764</c:v>
                </c:pt>
                <c:pt idx="2243">
                  <c:v>54771</c:v>
                </c:pt>
                <c:pt idx="2244">
                  <c:v>54778</c:v>
                </c:pt>
                <c:pt idx="2245">
                  <c:v>54785</c:v>
                </c:pt>
                <c:pt idx="2246">
                  <c:v>54792</c:v>
                </c:pt>
                <c:pt idx="2247">
                  <c:v>54799</c:v>
                </c:pt>
                <c:pt idx="2248">
                  <c:v>54806</c:v>
                </c:pt>
                <c:pt idx="2249">
                  <c:v>54813</c:v>
                </c:pt>
                <c:pt idx="2250">
                  <c:v>54820</c:v>
                </c:pt>
                <c:pt idx="2251">
                  <c:v>54827</c:v>
                </c:pt>
                <c:pt idx="2252">
                  <c:v>54834</c:v>
                </c:pt>
                <c:pt idx="2253">
                  <c:v>54841</c:v>
                </c:pt>
                <c:pt idx="2254">
                  <c:v>54848</c:v>
                </c:pt>
                <c:pt idx="2255">
                  <c:v>54855</c:v>
                </c:pt>
                <c:pt idx="2256">
                  <c:v>54862</c:v>
                </c:pt>
                <c:pt idx="2257">
                  <c:v>54869</c:v>
                </c:pt>
                <c:pt idx="2258">
                  <c:v>54876</c:v>
                </c:pt>
                <c:pt idx="2259">
                  <c:v>54883</c:v>
                </c:pt>
                <c:pt idx="2260">
                  <c:v>54890</c:v>
                </c:pt>
                <c:pt idx="2261">
                  <c:v>54897</c:v>
                </c:pt>
                <c:pt idx="2262">
                  <c:v>54904</c:v>
                </c:pt>
                <c:pt idx="2263">
                  <c:v>54911</c:v>
                </c:pt>
                <c:pt idx="2264">
                  <c:v>54918</c:v>
                </c:pt>
                <c:pt idx="2265">
                  <c:v>54925</c:v>
                </c:pt>
                <c:pt idx="2266">
                  <c:v>54932</c:v>
                </c:pt>
                <c:pt idx="2267">
                  <c:v>54939</c:v>
                </c:pt>
                <c:pt idx="2268">
                  <c:v>54946</c:v>
                </c:pt>
                <c:pt idx="2269">
                  <c:v>54953</c:v>
                </c:pt>
                <c:pt idx="2270">
                  <c:v>54960</c:v>
                </c:pt>
                <c:pt idx="2271">
                  <c:v>54967</c:v>
                </c:pt>
                <c:pt idx="2272">
                  <c:v>54974</c:v>
                </c:pt>
                <c:pt idx="2273">
                  <c:v>54981</c:v>
                </c:pt>
                <c:pt idx="2274">
                  <c:v>54988</c:v>
                </c:pt>
                <c:pt idx="2275">
                  <c:v>54995</c:v>
                </c:pt>
                <c:pt idx="2276">
                  <c:v>55002</c:v>
                </c:pt>
                <c:pt idx="2277">
                  <c:v>55009</c:v>
                </c:pt>
                <c:pt idx="2278">
                  <c:v>55016</c:v>
                </c:pt>
                <c:pt idx="2279">
                  <c:v>55023</c:v>
                </c:pt>
                <c:pt idx="2280">
                  <c:v>55030</c:v>
                </c:pt>
                <c:pt idx="2281">
                  <c:v>55037</c:v>
                </c:pt>
                <c:pt idx="2282">
                  <c:v>55044</c:v>
                </c:pt>
                <c:pt idx="2283">
                  <c:v>55051</c:v>
                </c:pt>
                <c:pt idx="2284">
                  <c:v>55058</c:v>
                </c:pt>
                <c:pt idx="2285">
                  <c:v>55065</c:v>
                </c:pt>
                <c:pt idx="2286">
                  <c:v>55072</c:v>
                </c:pt>
                <c:pt idx="2287">
                  <c:v>55079</c:v>
                </c:pt>
                <c:pt idx="2288">
                  <c:v>55086</c:v>
                </c:pt>
                <c:pt idx="2289">
                  <c:v>55093</c:v>
                </c:pt>
                <c:pt idx="2290">
                  <c:v>55100</c:v>
                </c:pt>
                <c:pt idx="2291">
                  <c:v>55107</c:v>
                </c:pt>
                <c:pt idx="2292">
                  <c:v>55114</c:v>
                </c:pt>
                <c:pt idx="2293">
                  <c:v>55121</c:v>
                </c:pt>
                <c:pt idx="2294">
                  <c:v>55128</c:v>
                </c:pt>
                <c:pt idx="2295">
                  <c:v>55135</c:v>
                </c:pt>
                <c:pt idx="2296">
                  <c:v>55142</c:v>
                </c:pt>
                <c:pt idx="2297">
                  <c:v>55149</c:v>
                </c:pt>
                <c:pt idx="2298">
                  <c:v>55156</c:v>
                </c:pt>
                <c:pt idx="2299">
                  <c:v>55163</c:v>
                </c:pt>
                <c:pt idx="2300">
                  <c:v>55170</c:v>
                </c:pt>
                <c:pt idx="2301">
                  <c:v>55177</c:v>
                </c:pt>
                <c:pt idx="2302">
                  <c:v>55184</c:v>
                </c:pt>
                <c:pt idx="2303">
                  <c:v>55191</c:v>
                </c:pt>
                <c:pt idx="2304">
                  <c:v>55198</c:v>
                </c:pt>
                <c:pt idx="2305">
                  <c:v>55205</c:v>
                </c:pt>
                <c:pt idx="2306">
                  <c:v>55212</c:v>
                </c:pt>
                <c:pt idx="2307">
                  <c:v>55219</c:v>
                </c:pt>
                <c:pt idx="2308">
                  <c:v>55226</c:v>
                </c:pt>
                <c:pt idx="2309">
                  <c:v>55233</c:v>
                </c:pt>
                <c:pt idx="2310">
                  <c:v>55240</c:v>
                </c:pt>
                <c:pt idx="2311">
                  <c:v>55247</c:v>
                </c:pt>
                <c:pt idx="2312">
                  <c:v>55254</c:v>
                </c:pt>
                <c:pt idx="2313">
                  <c:v>55261</c:v>
                </c:pt>
                <c:pt idx="2314">
                  <c:v>55268</c:v>
                </c:pt>
                <c:pt idx="2315">
                  <c:v>55275</c:v>
                </c:pt>
                <c:pt idx="2316">
                  <c:v>55282</c:v>
                </c:pt>
                <c:pt idx="2317">
                  <c:v>55289</c:v>
                </c:pt>
                <c:pt idx="2318">
                  <c:v>55296</c:v>
                </c:pt>
                <c:pt idx="2319">
                  <c:v>55303</c:v>
                </c:pt>
                <c:pt idx="2320">
                  <c:v>55310</c:v>
                </c:pt>
                <c:pt idx="2321">
                  <c:v>55317</c:v>
                </c:pt>
                <c:pt idx="2322">
                  <c:v>55324</c:v>
                </c:pt>
                <c:pt idx="2323">
                  <c:v>55331</c:v>
                </c:pt>
                <c:pt idx="2324">
                  <c:v>55338</c:v>
                </c:pt>
                <c:pt idx="2325">
                  <c:v>55345</c:v>
                </c:pt>
                <c:pt idx="2326">
                  <c:v>55352</c:v>
                </c:pt>
                <c:pt idx="2327">
                  <c:v>55359</c:v>
                </c:pt>
                <c:pt idx="2328">
                  <c:v>55366</c:v>
                </c:pt>
                <c:pt idx="2329">
                  <c:v>55373</c:v>
                </c:pt>
                <c:pt idx="2330">
                  <c:v>55380</c:v>
                </c:pt>
                <c:pt idx="2331">
                  <c:v>55387</c:v>
                </c:pt>
                <c:pt idx="2332">
                  <c:v>55394</c:v>
                </c:pt>
                <c:pt idx="2333">
                  <c:v>55401</c:v>
                </c:pt>
                <c:pt idx="2334">
                  <c:v>55408</c:v>
                </c:pt>
                <c:pt idx="2335">
                  <c:v>55415</c:v>
                </c:pt>
                <c:pt idx="2336">
                  <c:v>55422</c:v>
                </c:pt>
                <c:pt idx="2337">
                  <c:v>55429</c:v>
                </c:pt>
                <c:pt idx="2338">
                  <c:v>55436</c:v>
                </c:pt>
                <c:pt idx="2339">
                  <c:v>55443</c:v>
                </c:pt>
                <c:pt idx="2340">
                  <c:v>55450</c:v>
                </c:pt>
                <c:pt idx="2341">
                  <c:v>55457</c:v>
                </c:pt>
                <c:pt idx="2342">
                  <c:v>55464</c:v>
                </c:pt>
                <c:pt idx="2343">
                  <c:v>55471</c:v>
                </c:pt>
                <c:pt idx="2344">
                  <c:v>55478</c:v>
                </c:pt>
                <c:pt idx="2345">
                  <c:v>55485</c:v>
                </c:pt>
                <c:pt idx="2346">
                  <c:v>55492</c:v>
                </c:pt>
                <c:pt idx="2347">
                  <c:v>55499</c:v>
                </c:pt>
                <c:pt idx="2348">
                  <c:v>55506</c:v>
                </c:pt>
                <c:pt idx="2349">
                  <c:v>55514</c:v>
                </c:pt>
                <c:pt idx="2350">
                  <c:v>55521</c:v>
                </c:pt>
                <c:pt idx="2351">
                  <c:v>55528</c:v>
                </c:pt>
                <c:pt idx="2352">
                  <c:v>55535</c:v>
                </c:pt>
                <c:pt idx="2353">
                  <c:v>55542</c:v>
                </c:pt>
                <c:pt idx="2354">
                  <c:v>55549</c:v>
                </c:pt>
                <c:pt idx="2355">
                  <c:v>55556</c:v>
                </c:pt>
                <c:pt idx="2356">
                  <c:v>55563</c:v>
                </c:pt>
                <c:pt idx="2357">
                  <c:v>55570</c:v>
                </c:pt>
                <c:pt idx="2358">
                  <c:v>55577</c:v>
                </c:pt>
                <c:pt idx="2359">
                  <c:v>55584</c:v>
                </c:pt>
                <c:pt idx="2360">
                  <c:v>55591</c:v>
                </c:pt>
                <c:pt idx="2361">
                  <c:v>55598</c:v>
                </c:pt>
                <c:pt idx="2362">
                  <c:v>55605</c:v>
                </c:pt>
                <c:pt idx="2363">
                  <c:v>55612</c:v>
                </c:pt>
                <c:pt idx="2364">
                  <c:v>55619</c:v>
                </c:pt>
                <c:pt idx="2365">
                  <c:v>55626</c:v>
                </c:pt>
                <c:pt idx="2366">
                  <c:v>55633</c:v>
                </c:pt>
                <c:pt idx="2367">
                  <c:v>55641</c:v>
                </c:pt>
                <c:pt idx="2368">
                  <c:v>55648</c:v>
                </c:pt>
                <c:pt idx="2369">
                  <c:v>55655</c:v>
                </c:pt>
                <c:pt idx="2370">
                  <c:v>55662</c:v>
                </c:pt>
                <c:pt idx="2371">
                  <c:v>55669</c:v>
                </c:pt>
                <c:pt idx="2372">
                  <c:v>55676</c:v>
                </c:pt>
                <c:pt idx="2373">
                  <c:v>55683</c:v>
                </c:pt>
                <c:pt idx="2374">
                  <c:v>55690</c:v>
                </c:pt>
                <c:pt idx="2375">
                  <c:v>55697</c:v>
                </c:pt>
                <c:pt idx="2376">
                  <c:v>55704</c:v>
                </c:pt>
                <c:pt idx="2377">
                  <c:v>55711</c:v>
                </c:pt>
                <c:pt idx="2378">
                  <c:v>55718</c:v>
                </c:pt>
                <c:pt idx="2379">
                  <c:v>55725</c:v>
                </c:pt>
                <c:pt idx="2380">
                  <c:v>55732</c:v>
                </c:pt>
                <c:pt idx="2381">
                  <c:v>55739</c:v>
                </c:pt>
                <c:pt idx="2382">
                  <c:v>55746</c:v>
                </c:pt>
                <c:pt idx="2383">
                  <c:v>55753</c:v>
                </c:pt>
                <c:pt idx="2384">
                  <c:v>55760</c:v>
                </c:pt>
                <c:pt idx="2385">
                  <c:v>55767</c:v>
                </c:pt>
                <c:pt idx="2386">
                  <c:v>55774</c:v>
                </c:pt>
                <c:pt idx="2387">
                  <c:v>55781</c:v>
                </c:pt>
                <c:pt idx="2388">
                  <c:v>55788</c:v>
                </c:pt>
                <c:pt idx="2389">
                  <c:v>55795</c:v>
                </c:pt>
                <c:pt idx="2390">
                  <c:v>55802</c:v>
                </c:pt>
                <c:pt idx="2391">
                  <c:v>55809</c:v>
                </c:pt>
                <c:pt idx="2392">
                  <c:v>55816</c:v>
                </c:pt>
                <c:pt idx="2393">
                  <c:v>55823</c:v>
                </c:pt>
                <c:pt idx="2394">
                  <c:v>55830</c:v>
                </c:pt>
                <c:pt idx="2395">
                  <c:v>55837</c:v>
                </c:pt>
                <c:pt idx="2396">
                  <c:v>55844</c:v>
                </c:pt>
                <c:pt idx="2397">
                  <c:v>55851</c:v>
                </c:pt>
                <c:pt idx="2398">
                  <c:v>55858</c:v>
                </c:pt>
                <c:pt idx="2399">
                  <c:v>55865</c:v>
                </c:pt>
                <c:pt idx="2400">
                  <c:v>55872</c:v>
                </c:pt>
                <c:pt idx="2401">
                  <c:v>55880</c:v>
                </c:pt>
                <c:pt idx="2402">
                  <c:v>55887</c:v>
                </c:pt>
                <c:pt idx="2403">
                  <c:v>55894</c:v>
                </c:pt>
                <c:pt idx="2404">
                  <c:v>55901</c:v>
                </c:pt>
                <c:pt idx="2405">
                  <c:v>55908</c:v>
                </c:pt>
                <c:pt idx="2406">
                  <c:v>55915</c:v>
                </c:pt>
                <c:pt idx="2407">
                  <c:v>55922</c:v>
                </c:pt>
                <c:pt idx="2408">
                  <c:v>55929</c:v>
                </c:pt>
                <c:pt idx="2409">
                  <c:v>55936</c:v>
                </c:pt>
                <c:pt idx="2410">
                  <c:v>55943</c:v>
                </c:pt>
                <c:pt idx="2411">
                  <c:v>55950</c:v>
                </c:pt>
                <c:pt idx="2412">
                  <c:v>55957</c:v>
                </c:pt>
                <c:pt idx="2413">
                  <c:v>55964</c:v>
                </c:pt>
                <c:pt idx="2414">
                  <c:v>55971</c:v>
                </c:pt>
                <c:pt idx="2415">
                  <c:v>55982</c:v>
                </c:pt>
                <c:pt idx="2416">
                  <c:v>55989</c:v>
                </c:pt>
                <c:pt idx="2417">
                  <c:v>55996</c:v>
                </c:pt>
                <c:pt idx="2418">
                  <c:v>56003</c:v>
                </c:pt>
                <c:pt idx="2419">
                  <c:v>56010</c:v>
                </c:pt>
                <c:pt idx="2420">
                  <c:v>56017</c:v>
                </c:pt>
                <c:pt idx="2421">
                  <c:v>56024</c:v>
                </c:pt>
                <c:pt idx="2422">
                  <c:v>56031</c:v>
                </c:pt>
                <c:pt idx="2423">
                  <c:v>56038</c:v>
                </c:pt>
                <c:pt idx="2424">
                  <c:v>56045</c:v>
                </c:pt>
                <c:pt idx="2425">
                  <c:v>56052</c:v>
                </c:pt>
                <c:pt idx="2426">
                  <c:v>56059</c:v>
                </c:pt>
                <c:pt idx="2427">
                  <c:v>56067</c:v>
                </c:pt>
                <c:pt idx="2428">
                  <c:v>56074</c:v>
                </c:pt>
                <c:pt idx="2429">
                  <c:v>56081</c:v>
                </c:pt>
                <c:pt idx="2430">
                  <c:v>56088</c:v>
                </c:pt>
                <c:pt idx="2431">
                  <c:v>56095</c:v>
                </c:pt>
                <c:pt idx="2432">
                  <c:v>56102</c:v>
                </c:pt>
                <c:pt idx="2433">
                  <c:v>56109</c:v>
                </c:pt>
                <c:pt idx="2434">
                  <c:v>56116</c:v>
                </c:pt>
                <c:pt idx="2435">
                  <c:v>56123</c:v>
                </c:pt>
                <c:pt idx="2436">
                  <c:v>56130</c:v>
                </c:pt>
                <c:pt idx="2437">
                  <c:v>56137</c:v>
                </c:pt>
                <c:pt idx="2438">
                  <c:v>56144</c:v>
                </c:pt>
                <c:pt idx="2439">
                  <c:v>56151</c:v>
                </c:pt>
                <c:pt idx="2440">
                  <c:v>56159</c:v>
                </c:pt>
                <c:pt idx="2441">
                  <c:v>56166</c:v>
                </c:pt>
                <c:pt idx="2442">
                  <c:v>56173</c:v>
                </c:pt>
                <c:pt idx="2443">
                  <c:v>56180</c:v>
                </c:pt>
                <c:pt idx="2444">
                  <c:v>56187</c:v>
                </c:pt>
                <c:pt idx="2445">
                  <c:v>56194</c:v>
                </c:pt>
                <c:pt idx="2446">
                  <c:v>56201</c:v>
                </c:pt>
                <c:pt idx="2447">
                  <c:v>56208</c:v>
                </c:pt>
                <c:pt idx="2448">
                  <c:v>56215</c:v>
                </c:pt>
                <c:pt idx="2449">
                  <c:v>56222</c:v>
                </c:pt>
                <c:pt idx="2450">
                  <c:v>56229</c:v>
                </c:pt>
                <c:pt idx="2451">
                  <c:v>56236</c:v>
                </c:pt>
                <c:pt idx="2452">
                  <c:v>56247</c:v>
                </c:pt>
                <c:pt idx="2453">
                  <c:v>56254</c:v>
                </c:pt>
                <c:pt idx="2454">
                  <c:v>56261</c:v>
                </c:pt>
                <c:pt idx="2455">
                  <c:v>56268</c:v>
                </c:pt>
                <c:pt idx="2456">
                  <c:v>56275</c:v>
                </c:pt>
                <c:pt idx="2457">
                  <c:v>56282</c:v>
                </c:pt>
                <c:pt idx="2458">
                  <c:v>56289</c:v>
                </c:pt>
                <c:pt idx="2459">
                  <c:v>56296</c:v>
                </c:pt>
                <c:pt idx="2460">
                  <c:v>56303</c:v>
                </c:pt>
                <c:pt idx="2461">
                  <c:v>56310</c:v>
                </c:pt>
                <c:pt idx="2462">
                  <c:v>56317</c:v>
                </c:pt>
                <c:pt idx="2463">
                  <c:v>56324</c:v>
                </c:pt>
                <c:pt idx="2464">
                  <c:v>56331</c:v>
                </c:pt>
                <c:pt idx="2465">
                  <c:v>56339</c:v>
                </c:pt>
                <c:pt idx="2466">
                  <c:v>56346</c:v>
                </c:pt>
                <c:pt idx="2467">
                  <c:v>56353</c:v>
                </c:pt>
                <c:pt idx="2468">
                  <c:v>56360</c:v>
                </c:pt>
                <c:pt idx="2469">
                  <c:v>56367</c:v>
                </c:pt>
                <c:pt idx="2470">
                  <c:v>56374</c:v>
                </c:pt>
                <c:pt idx="2471">
                  <c:v>56381</c:v>
                </c:pt>
                <c:pt idx="2472">
                  <c:v>56388</c:v>
                </c:pt>
                <c:pt idx="2473">
                  <c:v>56395</c:v>
                </c:pt>
                <c:pt idx="2474">
                  <c:v>56402</c:v>
                </c:pt>
                <c:pt idx="2475">
                  <c:v>56409</c:v>
                </c:pt>
                <c:pt idx="2476">
                  <c:v>56416</c:v>
                </c:pt>
                <c:pt idx="2477">
                  <c:v>56423</c:v>
                </c:pt>
                <c:pt idx="2478">
                  <c:v>56430</c:v>
                </c:pt>
                <c:pt idx="2479">
                  <c:v>56437</c:v>
                </c:pt>
                <c:pt idx="2480">
                  <c:v>56444</c:v>
                </c:pt>
                <c:pt idx="2481">
                  <c:v>56451</c:v>
                </c:pt>
                <c:pt idx="2482">
                  <c:v>56458</c:v>
                </c:pt>
                <c:pt idx="2483">
                  <c:v>56465</c:v>
                </c:pt>
                <c:pt idx="2484">
                  <c:v>56472</c:v>
                </c:pt>
                <c:pt idx="2485">
                  <c:v>56479</c:v>
                </c:pt>
                <c:pt idx="2486">
                  <c:v>56486</c:v>
                </c:pt>
                <c:pt idx="2487">
                  <c:v>56493</c:v>
                </c:pt>
                <c:pt idx="2488">
                  <c:v>56500</c:v>
                </c:pt>
                <c:pt idx="2489">
                  <c:v>56507</c:v>
                </c:pt>
                <c:pt idx="2490">
                  <c:v>56514</c:v>
                </c:pt>
                <c:pt idx="2491">
                  <c:v>56521</c:v>
                </c:pt>
                <c:pt idx="2492">
                  <c:v>56528</c:v>
                </c:pt>
                <c:pt idx="2493">
                  <c:v>56535</c:v>
                </c:pt>
                <c:pt idx="2494">
                  <c:v>56542</c:v>
                </c:pt>
                <c:pt idx="2495">
                  <c:v>56549</c:v>
                </c:pt>
                <c:pt idx="2496">
                  <c:v>56556</c:v>
                </c:pt>
                <c:pt idx="2497">
                  <c:v>56563</c:v>
                </c:pt>
                <c:pt idx="2498">
                  <c:v>56570</c:v>
                </c:pt>
                <c:pt idx="2499">
                  <c:v>56577</c:v>
                </c:pt>
                <c:pt idx="2500">
                  <c:v>56584</c:v>
                </c:pt>
                <c:pt idx="2501">
                  <c:v>56591</c:v>
                </c:pt>
                <c:pt idx="2502">
                  <c:v>56598</c:v>
                </c:pt>
                <c:pt idx="2503">
                  <c:v>56605</c:v>
                </c:pt>
                <c:pt idx="2504">
                  <c:v>56612</c:v>
                </c:pt>
                <c:pt idx="2505">
                  <c:v>56619</c:v>
                </c:pt>
                <c:pt idx="2506">
                  <c:v>56626</c:v>
                </c:pt>
                <c:pt idx="2507">
                  <c:v>56633</c:v>
                </c:pt>
                <c:pt idx="2508">
                  <c:v>56640</c:v>
                </c:pt>
                <c:pt idx="2509">
                  <c:v>56647</c:v>
                </c:pt>
                <c:pt idx="2510">
                  <c:v>56654</c:v>
                </c:pt>
                <c:pt idx="2511">
                  <c:v>56661</c:v>
                </c:pt>
                <c:pt idx="2512">
                  <c:v>56668</c:v>
                </c:pt>
                <c:pt idx="2513">
                  <c:v>56675</c:v>
                </c:pt>
                <c:pt idx="2514">
                  <c:v>56682</c:v>
                </c:pt>
                <c:pt idx="2515">
                  <c:v>56689</c:v>
                </c:pt>
                <c:pt idx="2516">
                  <c:v>56696</c:v>
                </c:pt>
                <c:pt idx="2517">
                  <c:v>56703</c:v>
                </c:pt>
                <c:pt idx="2518">
                  <c:v>56710</c:v>
                </c:pt>
                <c:pt idx="2519">
                  <c:v>56717</c:v>
                </c:pt>
                <c:pt idx="2520">
                  <c:v>56724</c:v>
                </c:pt>
                <c:pt idx="2521">
                  <c:v>56731</c:v>
                </c:pt>
                <c:pt idx="2522">
                  <c:v>56738</c:v>
                </c:pt>
                <c:pt idx="2523">
                  <c:v>56745</c:v>
                </c:pt>
                <c:pt idx="2524">
                  <c:v>56752</c:v>
                </c:pt>
                <c:pt idx="2525">
                  <c:v>56759</c:v>
                </c:pt>
                <c:pt idx="2526">
                  <c:v>56766</c:v>
                </c:pt>
                <c:pt idx="2527">
                  <c:v>56773</c:v>
                </c:pt>
                <c:pt idx="2528">
                  <c:v>56780</c:v>
                </c:pt>
                <c:pt idx="2529">
                  <c:v>56787</c:v>
                </c:pt>
                <c:pt idx="2530">
                  <c:v>56794</c:v>
                </c:pt>
                <c:pt idx="2531">
                  <c:v>56801</c:v>
                </c:pt>
                <c:pt idx="2532">
                  <c:v>56808</c:v>
                </c:pt>
                <c:pt idx="2533">
                  <c:v>56815</c:v>
                </c:pt>
                <c:pt idx="2534">
                  <c:v>56822</c:v>
                </c:pt>
                <c:pt idx="2535">
                  <c:v>56829</c:v>
                </c:pt>
                <c:pt idx="2536">
                  <c:v>56836</c:v>
                </c:pt>
                <c:pt idx="2537">
                  <c:v>56843</c:v>
                </c:pt>
                <c:pt idx="2538">
                  <c:v>56850</c:v>
                </c:pt>
                <c:pt idx="2539">
                  <c:v>56857</c:v>
                </c:pt>
                <c:pt idx="2540">
                  <c:v>56864</c:v>
                </c:pt>
                <c:pt idx="2541">
                  <c:v>56871</c:v>
                </c:pt>
                <c:pt idx="2542">
                  <c:v>56878</c:v>
                </c:pt>
                <c:pt idx="2543">
                  <c:v>56885</c:v>
                </c:pt>
                <c:pt idx="2544">
                  <c:v>56892</c:v>
                </c:pt>
                <c:pt idx="2545">
                  <c:v>56899</c:v>
                </c:pt>
                <c:pt idx="2546">
                  <c:v>56906</c:v>
                </c:pt>
                <c:pt idx="2547">
                  <c:v>56913</c:v>
                </c:pt>
                <c:pt idx="2548">
                  <c:v>56920</c:v>
                </c:pt>
                <c:pt idx="2549">
                  <c:v>56927</c:v>
                </c:pt>
                <c:pt idx="2550">
                  <c:v>56934</c:v>
                </c:pt>
                <c:pt idx="2551">
                  <c:v>56941</c:v>
                </c:pt>
                <c:pt idx="2552">
                  <c:v>56948</c:v>
                </c:pt>
                <c:pt idx="2553">
                  <c:v>56955</c:v>
                </c:pt>
                <c:pt idx="2554">
                  <c:v>56962</c:v>
                </c:pt>
                <c:pt idx="2555">
                  <c:v>56969</c:v>
                </c:pt>
                <c:pt idx="2556">
                  <c:v>56976</c:v>
                </c:pt>
                <c:pt idx="2557">
                  <c:v>56983</c:v>
                </c:pt>
                <c:pt idx="2558">
                  <c:v>56990</c:v>
                </c:pt>
                <c:pt idx="2559">
                  <c:v>56997</c:v>
                </c:pt>
                <c:pt idx="2560">
                  <c:v>57004</c:v>
                </c:pt>
                <c:pt idx="2561">
                  <c:v>57011</c:v>
                </c:pt>
                <c:pt idx="2562">
                  <c:v>57018</c:v>
                </c:pt>
                <c:pt idx="2563">
                  <c:v>57025</c:v>
                </c:pt>
                <c:pt idx="2564">
                  <c:v>57032</c:v>
                </c:pt>
                <c:pt idx="2565">
                  <c:v>57039</c:v>
                </c:pt>
                <c:pt idx="2566">
                  <c:v>57046</c:v>
                </c:pt>
                <c:pt idx="2567">
                  <c:v>57053</c:v>
                </c:pt>
                <c:pt idx="2568">
                  <c:v>57060</c:v>
                </c:pt>
                <c:pt idx="2569">
                  <c:v>57067</c:v>
                </c:pt>
                <c:pt idx="2570">
                  <c:v>57074</c:v>
                </c:pt>
                <c:pt idx="2571">
                  <c:v>57081</c:v>
                </c:pt>
                <c:pt idx="2572">
                  <c:v>57088</c:v>
                </c:pt>
                <c:pt idx="2573">
                  <c:v>57095</c:v>
                </c:pt>
                <c:pt idx="2574">
                  <c:v>57102</c:v>
                </c:pt>
                <c:pt idx="2575">
                  <c:v>57109</c:v>
                </c:pt>
                <c:pt idx="2576">
                  <c:v>57116</c:v>
                </c:pt>
                <c:pt idx="2577">
                  <c:v>57123</c:v>
                </c:pt>
                <c:pt idx="2578">
                  <c:v>57130</c:v>
                </c:pt>
                <c:pt idx="2579">
                  <c:v>57137</c:v>
                </c:pt>
                <c:pt idx="2580">
                  <c:v>57144</c:v>
                </c:pt>
                <c:pt idx="2581">
                  <c:v>57151</c:v>
                </c:pt>
                <c:pt idx="2582">
                  <c:v>57158</c:v>
                </c:pt>
                <c:pt idx="2583">
                  <c:v>57165</c:v>
                </c:pt>
                <c:pt idx="2584">
                  <c:v>57172</c:v>
                </c:pt>
                <c:pt idx="2585">
                  <c:v>57179</c:v>
                </c:pt>
                <c:pt idx="2586">
                  <c:v>57186</c:v>
                </c:pt>
                <c:pt idx="2587">
                  <c:v>57193</c:v>
                </c:pt>
                <c:pt idx="2588">
                  <c:v>57200</c:v>
                </c:pt>
                <c:pt idx="2589">
                  <c:v>57207</c:v>
                </c:pt>
                <c:pt idx="2590">
                  <c:v>57214</c:v>
                </c:pt>
                <c:pt idx="2591">
                  <c:v>57221</c:v>
                </c:pt>
                <c:pt idx="2592">
                  <c:v>57228</c:v>
                </c:pt>
                <c:pt idx="2593">
                  <c:v>57235</c:v>
                </c:pt>
                <c:pt idx="2594">
                  <c:v>57242</c:v>
                </c:pt>
                <c:pt idx="2595">
                  <c:v>57249</c:v>
                </c:pt>
                <c:pt idx="2596">
                  <c:v>57256</c:v>
                </c:pt>
                <c:pt idx="2597">
                  <c:v>57263</c:v>
                </c:pt>
                <c:pt idx="2598">
                  <c:v>57270</c:v>
                </c:pt>
                <c:pt idx="2599">
                  <c:v>57277</c:v>
                </c:pt>
                <c:pt idx="2600">
                  <c:v>57284</c:v>
                </c:pt>
                <c:pt idx="2601">
                  <c:v>57291</c:v>
                </c:pt>
                <c:pt idx="2602">
                  <c:v>57298</c:v>
                </c:pt>
                <c:pt idx="2603">
                  <c:v>57305</c:v>
                </c:pt>
                <c:pt idx="2604">
                  <c:v>57312</c:v>
                </c:pt>
                <c:pt idx="2605">
                  <c:v>57319</c:v>
                </c:pt>
                <c:pt idx="2606">
                  <c:v>57326</c:v>
                </c:pt>
                <c:pt idx="2607">
                  <c:v>57333</c:v>
                </c:pt>
                <c:pt idx="2608">
                  <c:v>57341</c:v>
                </c:pt>
                <c:pt idx="2609">
                  <c:v>57348</c:v>
                </c:pt>
                <c:pt idx="2610">
                  <c:v>57355</c:v>
                </c:pt>
                <c:pt idx="2611">
                  <c:v>57362</c:v>
                </c:pt>
                <c:pt idx="2612">
                  <c:v>57369</c:v>
                </c:pt>
                <c:pt idx="2613">
                  <c:v>57376</c:v>
                </c:pt>
                <c:pt idx="2614">
                  <c:v>57383</c:v>
                </c:pt>
                <c:pt idx="2615">
                  <c:v>57390</c:v>
                </c:pt>
                <c:pt idx="2616">
                  <c:v>57397</c:v>
                </c:pt>
                <c:pt idx="2617">
                  <c:v>57404</c:v>
                </c:pt>
                <c:pt idx="2618">
                  <c:v>57411</c:v>
                </c:pt>
                <c:pt idx="2619">
                  <c:v>57418</c:v>
                </c:pt>
                <c:pt idx="2620">
                  <c:v>57425</c:v>
                </c:pt>
                <c:pt idx="2621">
                  <c:v>57432</c:v>
                </c:pt>
                <c:pt idx="2622">
                  <c:v>57439</c:v>
                </c:pt>
                <c:pt idx="2623">
                  <c:v>57446</c:v>
                </c:pt>
                <c:pt idx="2624">
                  <c:v>57453</c:v>
                </c:pt>
                <c:pt idx="2625">
                  <c:v>57460</c:v>
                </c:pt>
                <c:pt idx="2626">
                  <c:v>57467</c:v>
                </c:pt>
                <c:pt idx="2627">
                  <c:v>57474</c:v>
                </c:pt>
                <c:pt idx="2628">
                  <c:v>57481</c:v>
                </c:pt>
                <c:pt idx="2629">
                  <c:v>57488</c:v>
                </c:pt>
                <c:pt idx="2630">
                  <c:v>57495</c:v>
                </c:pt>
                <c:pt idx="2631">
                  <c:v>57502</c:v>
                </c:pt>
                <c:pt idx="2632">
                  <c:v>57509</c:v>
                </c:pt>
                <c:pt idx="2633">
                  <c:v>57516</c:v>
                </c:pt>
                <c:pt idx="2634">
                  <c:v>57523</c:v>
                </c:pt>
                <c:pt idx="2635">
                  <c:v>57530</c:v>
                </c:pt>
                <c:pt idx="2636">
                  <c:v>57537</c:v>
                </c:pt>
                <c:pt idx="2637">
                  <c:v>57544</c:v>
                </c:pt>
                <c:pt idx="2638">
                  <c:v>57551</c:v>
                </c:pt>
                <c:pt idx="2639">
                  <c:v>57558</c:v>
                </c:pt>
                <c:pt idx="2640">
                  <c:v>57565</c:v>
                </c:pt>
                <c:pt idx="2641">
                  <c:v>57572</c:v>
                </c:pt>
                <c:pt idx="2642">
                  <c:v>57579</c:v>
                </c:pt>
                <c:pt idx="2643">
                  <c:v>57586</c:v>
                </c:pt>
                <c:pt idx="2644">
                  <c:v>57593</c:v>
                </c:pt>
                <c:pt idx="2645">
                  <c:v>57600</c:v>
                </c:pt>
                <c:pt idx="2646">
                  <c:v>57607</c:v>
                </c:pt>
                <c:pt idx="2647">
                  <c:v>57614</c:v>
                </c:pt>
                <c:pt idx="2648">
                  <c:v>57621</c:v>
                </c:pt>
                <c:pt idx="2649">
                  <c:v>57628</c:v>
                </c:pt>
                <c:pt idx="2650">
                  <c:v>57635</c:v>
                </c:pt>
                <c:pt idx="2651">
                  <c:v>57642</c:v>
                </c:pt>
                <c:pt idx="2652">
                  <c:v>57649</c:v>
                </c:pt>
                <c:pt idx="2653">
                  <c:v>57656</c:v>
                </c:pt>
                <c:pt idx="2654">
                  <c:v>57663</c:v>
                </c:pt>
                <c:pt idx="2655">
                  <c:v>57670</c:v>
                </c:pt>
                <c:pt idx="2656">
                  <c:v>57677</c:v>
                </c:pt>
                <c:pt idx="2657">
                  <c:v>57684</c:v>
                </c:pt>
                <c:pt idx="2658">
                  <c:v>57691</c:v>
                </c:pt>
                <c:pt idx="2659">
                  <c:v>57698</c:v>
                </c:pt>
                <c:pt idx="2660">
                  <c:v>57706</c:v>
                </c:pt>
                <c:pt idx="2661">
                  <c:v>57713</c:v>
                </c:pt>
                <c:pt idx="2662">
                  <c:v>57720</c:v>
                </c:pt>
                <c:pt idx="2663">
                  <c:v>57727</c:v>
                </c:pt>
                <c:pt idx="2664">
                  <c:v>57734</c:v>
                </c:pt>
                <c:pt idx="2665">
                  <c:v>57741</c:v>
                </c:pt>
                <c:pt idx="2666">
                  <c:v>57748</c:v>
                </c:pt>
                <c:pt idx="2667">
                  <c:v>57755</c:v>
                </c:pt>
                <c:pt idx="2668">
                  <c:v>57762</c:v>
                </c:pt>
                <c:pt idx="2669">
                  <c:v>57769</c:v>
                </c:pt>
                <c:pt idx="2670">
                  <c:v>57776</c:v>
                </c:pt>
                <c:pt idx="2671">
                  <c:v>57783</c:v>
                </c:pt>
                <c:pt idx="2672">
                  <c:v>57790</c:v>
                </c:pt>
                <c:pt idx="2673">
                  <c:v>57797</c:v>
                </c:pt>
                <c:pt idx="2674">
                  <c:v>57804</c:v>
                </c:pt>
                <c:pt idx="2675">
                  <c:v>57811</c:v>
                </c:pt>
                <c:pt idx="2676">
                  <c:v>57818</c:v>
                </c:pt>
                <c:pt idx="2677">
                  <c:v>57825</c:v>
                </c:pt>
                <c:pt idx="2678">
                  <c:v>57832</c:v>
                </c:pt>
                <c:pt idx="2679">
                  <c:v>57839</c:v>
                </c:pt>
                <c:pt idx="2680">
                  <c:v>57846</c:v>
                </c:pt>
                <c:pt idx="2681">
                  <c:v>57853</c:v>
                </c:pt>
                <c:pt idx="2682">
                  <c:v>57860</c:v>
                </c:pt>
                <c:pt idx="2683">
                  <c:v>57867</c:v>
                </c:pt>
                <c:pt idx="2684">
                  <c:v>57874</c:v>
                </c:pt>
                <c:pt idx="2685">
                  <c:v>57881</c:v>
                </c:pt>
                <c:pt idx="2686">
                  <c:v>57888</c:v>
                </c:pt>
                <c:pt idx="2687">
                  <c:v>57895</c:v>
                </c:pt>
                <c:pt idx="2688">
                  <c:v>57902</c:v>
                </c:pt>
                <c:pt idx="2689">
                  <c:v>57909</c:v>
                </c:pt>
                <c:pt idx="2690">
                  <c:v>57916</c:v>
                </c:pt>
                <c:pt idx="2691">
                  <c:v>57923</c:v>
                </c:pt>
                <c:pt idx="2692">
                  <c:v>57930</c:v>
                </c:pt>
                <c:pt idx="2693">
                  <c:v>57937</c:v>
                </c:pt>
                <c:pt idx="2694">
                  <c:v>57944</c:v>
                </c:pt>
                <c:pt idx="2695">
                  <c:v>57951</c:v>
                </c:pt>
                <c:pt idx="2696">
                  <c:v>57958</c:v>
                </c:pt>
                <c:pt idx="2697">
                  <c:v>57965</c:v>
                </c:pt>
                <c:pt idx="2698">
                  <c:v>57972</c:v>
                </c:pt>
                <c:pt idx="2699">
                  <c:v>57979</c:v>
                </c:pt>
                <c:pt idx="2700">
                  <c:v>57986</c:v>
                </c:pt>
                <c:pt idx="2701">
                  <c:v>57993</c:v>
                </c:pt>
                <c:pt idx="2702">
                  <c:v>58000</c:v>
                </c:pt>
                <c:pt idx="2703">
                  <c:v>58007</c:v>
                </c:pt>
                <c:pt idx="2704">
                  <c:v>58014</c:v>
                </c:pt>
                <c:pt idx="2705">
                  <c:v>58021</c:v>
                </c:pt>
                <c:pt idx="2706">
                  <c:v>58028</c:v>
                </c:pt>
                <c:pt idx="2707">
                  <c:v>58035</c:v>
                </c:pt>
                <c:pt idx="2708">
                  <c:v>58042</c:v>
                </c:pt>
                <c:pt idx="2709">
                  <c:v>58049</c:v>
                </c:pt>
                <c:pt idx="2710">
                  <c:v>58056</c:v>
                </c:pt>
                <c:pt idx="2711">
                  <c:v>58063</c:v>
                </c:pt>
                <c:pt idx="2712">
                  <c:v>58071</c:v>
                </c:pt>
                <c:pt idx="2713">
                  <c:v>58078</c:v>
                </c:pt>
                <c:pt idx="2714">
                  <c:v>58085</c:v>
                </c:pt>
                <c:pt idx="2715">
                  <c:v>58092</c:v>
                </c:pt>
                <c:pt idx="2716">
                  <c:v>58099</c:v>
                </c:pt>
                <c:pt idx="2717">
                  <c:v>58106</c:v>
                </c:pt>
                <c:pt idx="2718">
                  <c:v>58113</c:v>
                </c:pt>
                <c:pt idx="2719">
                  <c:v>58120</c:v>
                </c:pt>
                <c:pt idx="2720">
                  <c:v>58127</c:v>
                </c:pt>
                <c:pt idx="2721">
                  <c:v>58134</c:v>
                </c:pt>
                <c:pt idx="2722">
                  <c:v>58141</c:v>
                </c:pt>
                <c:pt idx="2723">
                  <c:v>58148</c:v>
                </c:pt>
                <c:pt idx="2724">
                  <c:v>58155</c:v>
                </c:pt>
                <c:pt idx="2725">
                  <c:v>58166</c:v>
                </c:pt>
                <c:pt idx="2726">
                  <c:v>58173</c:v>
                </c:pt>
                <c:pt idx="2727">
                  <c:v>58180</c:v>
                </c:pt>
                <c:pt idx="2728">
                  <c:v>58187</c:v>
                </c:pt>
                <c:pt idx="2729">
                  <c:v>58194</c:v>
                </c:pt>
                <c:pt idx="2730">
                  <c:v>58201</c:v>
                </c:pt>
                <c:pt idx="2731">
                  <c:v>58208</c:v>
                </c:pt>
                <c:pt idx="2732">
                  <c:v>58215</c:v>
                </c:pt>
                <c:pt idx="2733">
                  <c:v>58222</c:v>
                </c:pt>
                <c:pt idx="2734">
                  <c:v>58229</c:v>
                </c:pt>
                <c:pt idx="2735">
                  <c:v>58236</c:v>
                </c:pt>
                <c:pt idx="2736">
                  <c:v>58243</c:v>
                </c:pt>
                <c:pt idx="2737">
                  <c:v>58250</c:v>
                </c:pt>
                <c:pt idx="2738">
                  <c:v>58258</c:v>
                </c:pt>
                <c:pt idx="2739">
                  <c:v>58265</c:v>
                </c:pt>
                <c:pt idx="2740">
                  <c:v>58272</c:v>
                </c:pt>
                <c:pt idx="2741">
                  <c:v>58279</c:v>
                </c:pt>
                <c:pt idx="2742">
                  <c:v>58286</c:v>
                </c:pt>
                <c:pt idx="2743">
                  <c:v>58293</c:v>
                </c:pt>
                <c:pt idx="2744">
                  <c:v>58300</c:v>
                </c:pt>
                <c:pt idx="2745">
                  <c:v>58307</c:v>
                </c:pt>
                <c:pt idx="2746">
                  <c:v>58314</c:v>
                </c:pt>
                <c:pt idx="2747">
                  <c:v>58321</c:v>
                </c:pt>
                <c:pt idx="2748">
                  <c:v>58328</c:v>
                </c:pt>
                <c:pt idx="2749">
                  <c:v>58335</c:v>
                </c:pt>
                <c:pt idx="2750">
                  <c:v>58342</c:v>
                </c:pt>
                <c:pt idx="2751">
                  <c:v>58350</c:v>
                </c:pt>
                <c:pt idx="2752">
                  <c:v>58357</c:v>
                </c:pt>
                <c:pt idx="2753">
                  <c:v>58364</c:v>
                </c:pt>
                <c:pt idx="2754">
                  <c:v>58371</c:v>
                </c:pt>
                <c:pt idx="2755">
                  <c:v>58378</c:v>
                </c:pt>
                <c:pt idx="2756">
                  <c:v>58385</c:v>
                </c:pt>
                <c:pt idx="2757">
                  <c:v>58392</c:v>
                </c:pt>
                <c:pt idx="2758">
                  <c:v>58399</c:v>
                </c:pt>
                <c:pt idx="2759">
                  <c:v>58406</c:v>
                </c:pt>
                <c:pt idx="2760">
                  <c:v>58413</c:v>
                </c:pt>
                <c:pt idx="2761">
                  <c:v>58420</c:v>
                </c:pt>
                <c:pt idx="2762">
                  <c:v>58427</c:v>
                </c:pt>
                <c:pt idx="2763">
                  <c:v>58438</c:v>
                </c:pt>
                <c:pt idx="2764">
                  <c:v>58445</c:v>
                </c:pt>
                <c:pt idx="2765">
                  <c:v>58452</c:v>
                </c:pt>
                <c:pt idx="2766">
                  <c:v>58459</c:v>
                </c:pt>
                <c:pt idx="2767">
                  <c:v>58466</c:v>
                </c:pt>
                <c:pt idx="2768">
                  <c:v>58473</c:v>
                </c:pt>
                <c:pt idx="2769">
                  <c:v>58480</c:v>
                </c:pt>
                <c:pt idx="2770">
                  <c:v>58487</c:v>
                </c:pt>
                <c:pt idx="2771">
                  <c:v>58494</c:v>
                </c:pt>
                <c:pt idx="2772">
                  <c:v>58501</c:v>
                </c:pt>
                <c:pt idx="2773">
                  <c:v>58508</c:v>
                </c:pt>
                <c:pt idx="2774">
                  <c:v>58515</c:v>
                </c:pt>
                <c:pt idx="2775">
                  <c:v>58522</c:v>
                </c:pt>
                <c:pt idx="2776">
                  <c:v>58529</c:v>
                </c:pt>
                <c:pt idx="2777">
                  <c:v>58536</c:v>
                </c:pt>
                <c:pt idx="2778">
                  <c:v>58543</c:v>
                </c:pt>
                <c:pt idx="2779">
                  <c:v>58551</c:v>
                </c:pt>
                <c:pt idx="2780">
                  <c:v>58558</c:v>
                </c:pt>
                <c:pt idx="2781">
                  <c:v>58565</c:v>
                </c:pt>
                <c:pt idx="2782">
                  <c:v>58572</c:v>
                </c:pt>
                <c:pt idx="2783">
                  <c:v>58579</c:v>
                </c:pt>
                <c:pt idx="2784">
                  <c:v>58586</c:v>
                </c:pt>
                <c:pt idx="2785">
                  <c:v>58593</c:v>
                </c:pt>
                <c:pt idx="2786">
                  <c:v>58600</c:v>
                </c:pt>
                <c:pt idx="2787">
                  <c:v>58607</c:v>
                </c:pt>
                <c:pt idx="2788">
                  <c:v>58614</c:v>
                </c:pt>
                <c:pt idx="2789">
                  <c:v>58621</c:v>
                </c:pt>
                <c:pt idx="2790">
                  <c:v>58628</c:v>
                </c:pt>
                <c:pt idx="2791">
                  <c:v>58635</c:v>
                </c:pt>
                <c:pt idx="2792">
                  <c:v>58642</c:v>
                </c:pt>
                <c:pt idx="2793">
                  <c:v>58649</c:v>
                </c:pt>
                <c:pt idx="2794">
                  <c:v>58656</c:v>
                </c:pt>
                <c:pt idx="2795">
                  <c:v>58663</c:v>
                </c:pt>
                <c:pt idx="2796">
                  <c:v>58670</c:v>
                </c:pt>
                <c:pt idx="2797">
                  <c:v>58677</c:v>
                </c:pt>
                <c:pt idx="2798">
                  <c:v>58684</c:v>
                </c:pt>
                <c:pt idx="2799">
                  <c:v>58691</c:v>
                </c:pt>
                <c:pt idx="2800">
                  <c:v>58698</c:v>
                </c:pt>
                <c:pt idx="2801">
                  <c:v>58705</c:v>
                </c:pt>
                <c:pt idx="2802">
                  <c:v>58712</c:v>
                </c:pt>
                <c:pt idx="2803">
                  <c:v>58719</c:v>
                </c:pt>
                <c:pt idx="2804">
                  <c:v>58726</c:v>
                </c:pt>
                <c:pt idx="2805">
                  <c:v>58733</c:v>
                </c:pt>
                <c:pt idx="2806">
                  <c:v>58740</c:v>
                </c:pt>
                <c:pt idx="2807">
                  <c:v>58747</c:v>
                </c:pt>
                <c:pt idx="2808">
                  <c:v>58754</c:v>
                </c:pt>
                <c:pt idx="2809">
                  <c:v>58761</c:v>
                </c:pt>
                <c:pt idx="2810">
                  <c:v>58768</c:v>
                </c:pt>
                <c:pt idx="2811">
                  <c:v>58775</c:v>
                </c:pt>
                <c:pt idx="2812">
                  <c:v>58782</c:v>
                </c:pt>
                <c:pt idx="2813">
                  <c:v>58789</c:v>
                </c:pt>
                <c:pt idx="2814">
                  <c:v>58796</c:v>
                </c:pt>
                <c:pt idx="2815">
                  <c:v>58803</c:v>
                </c:pt>
                <c:pt idx="2816">
                  <c:v>58810</c:v>
                </c:pt>
                <c:pt idx="2817">
                  <c:v>58817</c:v>
                </c:pt>
                <c:pt idx="2818">
                  <c:v>58824</c:v>
                </c:pt>
                <c:pt idx="2819">
                  <c:v>58831</c:v>
                </c:pt>
                <c:pt idx="2820">
                  <c:v>58838</c:v>
                </c:pt>
                <c:pt idx="2821">
                  <c:v>58845</c:v>
                </c:pt>
                <c:pt idx="2822">
                  <c:v>58852</c:v>
                </c:pt>
                <c:pt idx="2823">
                  <c:v>58859</c:v>
                </c:pt>
                <c:pt idx="2824">
                  <c:v>58866</c:v>
                </c:pt>
                <c:pt idx="2825">
                  <c:v>58873</c:v>
                </c:pt>
                <c:pt idx="2826">
                  <c:v>58880</c:v>
                </c:pt>
                <c:pt idx="2827">
                  <c:v>58887</c:v>
                </c:pt>
                <c:pt idx="2828">
                  <c:v>58894</c:v>
                </c:pt>
                <c:pt idx="2829">
                  <c:v>58901</c:v>
                </c:pt>
                <c:pt idx="2830">
                  <c:v>58908</c:v>
                </c:pt>
                <c:pt idx="2831">
                  <c:v>58915</c:v>
                </c:pt>
                <c:pt idx="2832">
                  <c:v>58922</c:v>
                </c:pt>
                <c:pt idx="2833">
                  <c:v>58929</c:v>
                </c:pt>
                <c:pt idx="2834">
                  <c:v>58936</c:v>
                </c:pt>
                <c:pt idx="2835">
                  <c:v>58943</c:v>
                </c:pt>
                <c:pt idx="2836">
                  <c:v>58950</c:v>
                </c:pt>
                <c:pt idx="2837">
                  <c:v>58957</c:v>
                </c:pt>
                <c:pt idx="2838">
                  <c:v>58964</c:v>
                </c:pt>
                <c:pt idx="2839">
                  <c:v>58971</c:v>
                </c:pt>
                <c:pt idx="2840">
                  <c:v>58978</c:v>
                </c:pt>
                <c:pt idx="2841">
                  <c:v>58985</c:v>
                </c:pt>
                <c:pt idx="2842">
                  <c:v>58992</c:v>
                </c:pt>
                <c:pt idx="2843">
                  <c:v>58999</c:v>
                </c:pt>
                <c:pt idx="2844">
                  <c:v>59006</c:v>
                </c:pt>
                <c:pt idx="2845">
                  <c:v>59013</c:v>
                </c:pt>
                <c:pt idx="2846">
                  <c:v>59020</c:v>
                </c:pt>
                <c:pt idx="2847">
                  <c:v>59027</c:v>
                </c:pt>
                <c:pt idx="2848">
                  <c:v>59034</c:v>
                </c:pt>
                <c:pt idx="2849">
                  <c:v>59041</c:v>
                </c:pt>
                <c:pt idx="2850">
                  <c:v>59048</c:v>
                </c:pt>
                <c:pt idx="2851">
                  <c:v>59055</c:v>
                </c:pt>
                <c:pt idx="2852">
                  <c:v>59062</c:v>
                </c:pt>
                <c:pt idx="2853">
                  <c:v>59069</c:v>
                </c:pt>
                <c:pt idx="2854">
                  <c:v>59076</c:v>
                </c:pt>
                <c:pt idx="2855">
                  <c:v>59083</c:v>
                </c:pt>
                <c:pt idx="2856">
                  <c:v>59090</c:v>
                </c:pt>
                <c:pt idx="2857">
                  <c:v>59097</c:v>
                </c:pt>
                <c:pt idx="2858">
                  <c:v>59104</c:v>
                </c:pt>
                <c:pt idx="2859">
                  <c:v>59111</c:v>
                </c:pt>
                <c:pt idx="2860">
                  <c:v>59118</c:v>
                </c:pt>
                <c:pt idx="2861">
                  <c:v>59125</c:v>
                </c:pt>
                <c:pt idx="2862">
                  <c:v>59132</c:v>
                </c:pt>
                <c:pt idx="2863">
                  <c:v>59139</c:v>
                </c:pt>
                <c:pt idx="2864">
                  <c:v>59146</c:v>
                </c:pt>
                <c:pt idx="2865">
                  <c:v>59153</c:v>
                </c:pt>
                <c:pt idx="2866">
                  <c:v>59160</c:v>
                </c:pt>
                <c:pt idx="2867">
                  <c:v>59167</c:v>
                </c:pt>
                <c:pt idx="2868">
                  <c:v>59174</c:v>
                </c:pt>
                <c:pt idx="2869">
                  <c:v>59181</c:v>
                </c:pt>
                <c:pt idx="2870">
                  <c:v>59188</c:v>
                </c:pt>
                <c:pt idx="2871">
                  <c:v>59195</c:v>
                </c:pt>
                <c:pt idx="2872">
                  <c:v>59202</c:v>
                </c:pt>
                <c:pt idx="2873">
                  <c:v>59209</c:v>
                </c:pt>
                <c:pt idx="2874">
                  <c:v>59216</c:v>
                </c:pt>
                <c:pt idx="2875">
                  <c:v>59223</c:v>
                </c:pt>
                <c:pt idx="2876">
                  <c:v>59230</c:v>
                </c:pt>
                <c:pt idx="2877">
                  <c:v>59237</c:v>
                </c:pt>
                <c:pt idx="2878">
                  <c:v>59244</c:v>
                </c:pt>
                <c:pt idx="2879">
                  <c:v>59251</c:v>
                </c:pt>
                <c:pt idx="2880">
                  <c:v>59258</c:v>
                </c:pt>
                <c:pt idx="2881">
                  <c:v>59265</c:v>
                </c:pt>
                <c:pt idx="2882">
                  <c:v>59272</c:v>
                </c:pt>
                <c:pt idx="2883">
                  <c:v>59279</c:v>
                </c:pt>
                <c:pt idx="2884">
                  <c:v>59286</c:v>
                </c:pt>
                <c:pt idx="2885">
                  <c:v>59293</c:v>
                </c:pt>
                <c:pt idx="2886">
                  <c:v>59300</c:v>
                </c:pt>
                <c:pt idx="2887">
                  <c:v>59307</c:v>
                </c:pt>
                <c:pt idx="2888">
                  <c:v>59314</c:v>
                </c:pt>
                <c:pt idx="2889">
                  <c:v>59321</c:v>
                </c:pt>
                <c:pt idx="2890">
                  <c:v>59328</c:v>
                </c:pt>
                <c:pt idx="2891">
                  <c:v>59335</c:v>
                </c:pt>
                <c:pt idx="2892">
                  <c:v>59342</c:v>
                </c:pt>
                <c:pt idx="2893">
                  <c:v>59349</c:v>
                </c:pt>
                <c:pt idx="2894">
                  <c:v>59356</c:v>
                </c:pt>
                <c:pt idx="2895">
                  <c:v>59363</c:v>
                </c:pt>
                <c:pt idx="2896">
                  <c:v>59370</c:v>
                </c:pt>
                <c:pt idx="2897">
                  <c:v>59377</c:v>
                </c:pt>
                <c:pt idx="2898">
                  <c:v>59384</c:v>
                </c:pt>
                <c:pt idx="2899">
                  <c:v>59391</c:v>
                </c:pt>
                <c:pt idx="2900">
                  <c:v>59398</c:v>
                </c:pt>
                <c:pt idx="2901">
                  <c:v>59405</c:v>
                </c:pt>
                <c:pt idx="2902">
                  <c:v>59412</c:v>
                </c:pt>
                <c:pt idx="2903">
                  <c:v>59419</c:v>
                </c:pt>
                <c:pt idx="2904">
                  <c:v>59426</c:v>
                </c:pt>
                <c:pt idx="2905">
                  <c:v>59433</c:v>
                </c:pt>
                <c:pt idx="2906">
                  <c:v>59440</c:v>
                </c:pt>
                <c:pt idx="2907">
                  <c:v>59447</c:v>
                </c:pt>
                <c:pt idx="2908">
                  <c:v>59454</c:v>
                </c:pt>
                <c:pt idx="2909">
                  <c:v>59461</c:v>
                </c:pt>
                <c:pt idx="2910">
                  <c:v>59468</c:v>
                </c:pt>
                <c:pt idx="2911">
                  <c:v>59475</c:v>
                </c:pt>
                <c:pt idx="2912">
                  <c:v>59482</c:v>
                </c:pt>
                <c:pt idx="2913">
                  <c:v>59489</c:v>
                </c:pt>
                <c:pt idx="2914">
                  <c:v>59496</c:v>
                </c:pt>
                <c:pt idx="2915">
                  <c:v>59503</c:v>
                </c:pt>
                <c:pt idx="2916">
                  <c:v>59510</c:v>
                </c:pt>
                <c:pt idx="2917">
                  <c:v>59517</c:v>
                </c:pt>
                <c:pt idx="2918">
                  <c:v>59524</c:v>
                </c:pt>
                <c:pt idx="2919">
                  <c:v>59532</c:v>
                </c:pt>
                <c:pt idx="2920">
                  <c:v>59539</c:v>
                </c:pt>
                <c:pt idx="2921">
                  <c:v>59546</c:v>
                </c:pt>
                <c:pt idx="2922">
                  <c:v>59553</c:v>
                </c:pt>
                <c:pt idx="2923">
                  <c:v>59560</c:v>
                </c:pt>
                <c:pt idx="2924">
                  <c:v>59567</c:v>
                </c:pt>
                <c:pt idx="2925">
                  <c:v>59574</c:v>
                </c:pt>
                <c:pt idx="2926">
                  <c:v>59581</c:v>
                </c:pt>
                <c:pt idx="2927">
                  <c:v>59588</c:v>
                </c:pt>
                <c:pt idx="2928">
                  <c:v>59595</c:v>
                </c:pt>
                <c:pt idx="2929">
                  <c:v>59602</c:v>
                </c:pt>
                <c:pt idx="2930">
                  <c:v>59609</c:v>
                </c:pt>
                <c:pt idx="2931">
                  <c:v>59616</c:v>
                </c:pt>
                <c:pt idx="2932">
                  <c:v>59623</c:v>
                </c:pt>
                <c:pt idx="2933">
                  <c:v>59630</c:v>
                </c:pt>
                <c:pt idx="2934">
                  <c:v>59637</c:v>
                </c:pt>
                <c:pt idx="2935">
                  <c:v>59644</c:v>
                </c:pt>
                <c:pt idx="2936">
                  <c:v>59651</c:v>
                </c:pt>
                <c:pt idx="2937">
                  <c:v>59658</c:v>
                </c:pt>
                <c:pt idx="2938">
                  <c:v>59665</c:v>
                </c:pt>
                <c:pt idx="2939">
                  <c:v>59672</c:v>
                </c:pt>
                <c:pt idx="2940">
                  <c:v>59679</c:v>
                </c:pt>
                <c:pt idx="2941">
                  <c:v>59686</c:v>
                </c:pt>
                <c:pt idx="2942">
                  <c:v>59693</c:v>
                </c:pt>
                <c:pt idx="2943">
                  <c:v>59700</c:v>
                </c:pt>
                <c:pt idx="2944">
                  <c:v>59707</c:v>
                </c:pt>
                <c:pt idx="2945">
                  <c:v>59714</c:v>
                </c:pt>
                <c:pt idx="2946">
                  <c:v>59721</c:v>
                </c:pt>
                <c:pt idx="2947">
                  <c:v>59728</c:v>
                </c:pt>
                <c:pt idx="2948">
                  <c:v>59735</c:v>
                </c:pt>
                <c:pt idx="2949">
                  <c:v>59742</c:v>
                </c:pt>
                <c:pt idx="2950">
                  <c:v>59749</c:v>
                </c:pt>
                <c:pt idx="2951">
                  <c:v>59756</c:v>
                </c:pt>
                <c:pt idx="2952">
                  <c:v>59763</c:v>
                </c:pt>
                <c:pt idx="2953">
                  <c:v>59770</c:v>
                </c:pt>
                <c:pt idx="2954">
                  <c:v>59777</c:v>
                </c:pt>
                <c:pt idx="2955">
                  <c:v>59784</c:v>
                </c:pt>
                <c:pt idx="2956">
                  <c:v>59791</c:v>
                </c:pt>
                <c:pt idx="2957">
                  <c:v>59798</c:v>
                </c:pt>
                <c:pt idx="2958">
                  <c:v>59805</c:v>
                </c:pt>
                <c:pt idx="2959">
                  <c:v>59812</c:v>
                </c:pt>
                <c:pt idx="2960">
                  <c:v>59819</c:v>
                </c:pt>
                <c:pt idx="2961">
                  <c:v>59826</c:v>
                </c:pt>
                <c:pt idx="2962">
                  <c:v>59833</c:v>
                </c:pt>
                <c:pt idx="2963">
                  <c:v>59840</c:v>
                </c:pt>
                <c:pt idx="2964">
                  <c:v>59847</c:v>
                </c:pt>
                <c:pt idx="2965">
                  <c:v>59854</c:v>
                </c:pt>
                <c:pt idx="2966">
                  <c:v>59861</c:v>
                </c:pt>
                <c:pt idx="2967">
                  <c:v>59868</c:v>
                </c:pt>
                <c:pt idx="2968">
                  <c:v>59875</c:v>
                </c:pt>
                <c:pt idx="2969">
                  <c:v>59882</c:v>
                </c:pt>
                <c:pt idx="2970">
                  <c:v>59889</c:v>
                </c:pt>
                <c:pt idx="2971">
                  <c:v>59897</c:v>
                </c:pt>
                <c:pt idx="2972">
                  <c:v>59904</c:v>
                </c:pt>
                <c:pt idx="2973">
                  <c:v>59911</c:v>
                </c:pt>
                <c:pt idx="2974">
                  <c:v>59918</c:v>
                </c:pt>
                <c:pt idx="2975">
                  <c:v>59925</c:v>
                </c:pt>
                <c:pt idx="2976">
                  <c:v>59932</c:v>
                </c:pt>
                <c:pt idx="2977">
                  <c:v>59939</c:v>
                </c:pt>
                <c:pt idx="2978">
                  <c:v>59946</c:v>
                </c:pt>
                <c:pt idx="2979">
                  <c:v>59953</c:v>
                </c:pt>
                <c:pt idx="2980">
                  <c:v>59960</c:v>
                </c:pt>
                <c:pt idx="2981">
                  <c:v>59967</c:v>
                </c:pt>
                <c:pt idx="2982">
                  <c:v>59974</c:v>
                </c:pt>
                <c:pt idx="2983">
                  <c:v>59981</c:v>
                </c:pt>
                <c:pt idx="2984">
                  <c:v>59988</c:v>
                </c:pt>
                <c:pt idx="2985">
                  <c:v>59995</c:v>
                </c:pt>
                <c:pt idx="2986">
                  <c:v>60002</c:v>
                </c:pt>
                <c:pt idx="2987">
                  <c:v>60009</c:v>
                </c:pt>
                <c:pt idx="2988">
                  <c:v>60016</c:v>
                </c:pt>
                <c:pt idx="2989">
                  <c:v>60024</c:v>
                </c:pt>
                <c:pt idx="2990">
                  <c:v>60031</c:v>
                </c:pt>
                <c:pt idx="2991">
                  <c:v>60038</c:v>
                </c:pt>
                <c:pt idx="2992">
                  <c:v>60045</c:v>
                </c:pt>
                <c:pt idx="2993">
                  <c:v>60052</c:v>
                </c:pt>
                <c:pt idx="2994">
                  <c:v>60059</c:v>
                </c:pt>
                <c:pt idx="2995">
                  <c:v>60066</c:v>
                </c:pt>
                <c:pt idx="2996">
                  <c:v>60073</c:v>
                </c:pt>
                <c:pt idx="2997">
                  <c:v>60080</c:v>
                </c:pt>
                <c:pt idx="2998">
                  <c:v>60087</c:v>
                </c:pt>
                <c:pt idx="2999">
                  <c:v>60094</c:v>
                </c:pt>
                <c:pt idx="3000">
                  <c:v>60101</c:v>
                </c:pt>
                <c:pt idx="3001">
                  <c:v>60108</c:v>
                </c:pt>
                <c:pt idx="3002">
                  <c:v>60115</c:v>
                </c:pt>
                <c:pt idx="3003">
                  <c:v>60122</c:v>
                </c:pt>
                <c:pt idx="3004">
                  <c:v>60129</c:v>
                </c:pt>
                <c:pt idx="3005">
                  <c:v>60136</c:v>
                </c:pt>
                <c:pt idx="3006">
                  <c:v>60143</c:v>
                </c:pt>
                <c:pt idx="3007">
                  <c:v>60150</c:v>
                </c:pt>
                <c:pt idx="3008">
                  <c:v>60157</c:v>
                </c:pt>
                <c:pt idx="3009">
                  <c:v>60164</c:v>
                </c:pt>
                <c:pt idx="3010">
                  <c:v>60171</c:v>
                </c:pt>
                <c:pt idx="3011">
                  <c:v>60178</c:v>
                </c:pt>
                <c:pt idx="3012">
                  <c:v>60185</c:v>
                </c:pt>
                <c:pt idx="3013">
                  <c:v>60192</c:v>
                </c:pt>
                <c:pt idx="3014">
                  <c:v>60199</c:v>
                </c:pt>
                <c:pt idx="3015">
                  <c:v>60206</c:v>
                </c:pt>
                <c:pt idx="3016">
                  <c:v>60213</c:v>
                </c:pt>
                <c:pt idx="3017">
                  <c:v>60220</c:v>
                </c:pt>
                <c:pt idx="3018">
                  <c:v>60227</c:v>
                </c:pt>
                <c:pt idx="3019">
                  <c:v>60234</c:v>
                </c:pt>
                <c:pt idx="3020">
                  <c:v>60241</c:v>
                </c:pt>
                <c:pt idx="3021">
                  <c:v>60248</c:v>
                </c:pt>
                <c:pt idx="3022">
                  <c:v>60255</c:v>
                </c:pt>
                <c:pt idx="3023">
                  <c:v>60265</c:v>
                </c:pt>
                <c:pt idx="3024">
                  <c:v>60272</c:v>
                </c:pt>
                <c:pt idx="3025">
                  <c:v>60279</c:v>
                </c:pt>
                <c:pt idx="3026">
                  <c:v>60286</c:v>
                </c:pt>
                <c:pt idx="3027">
                  <c:v>60293</c:v>
                </c:pt>
                <c:pt idx="3028">
                  <c:v>60300</c:v>
                </c:pt>
                <c:pt idx="3029">
                  <c:v>60307</c:v>
                </c:pt>
                <c:pt idx="3030">
                  <c:v>60314</c:v>
                </c:pt>
                <c:pt idx="3031">
                  <c:v>60321</c:v>
                </c:pt>
                <c:pt idx="3032">
                  <c:v>60328</c:v>
                </c:pt>
                <c:pt idx="3033">
                  <c:v>60335</c:v>
                </c:pt>
                <c:pt idx="3034">
                  <c:v>60342</c:v>
                </c:pt>
                <c:pt idx="3035">
                  <c:v>60349</c:v>
                </c:pt>
                <c:pt idx="3036">
                  <c:v>60357</c:v>
                </c:pt>
                <c:pt idx="3037">
                  <c:v>60364</c:v>
                </c:pt>
                <c:pt idx="3038">
                  <c:v>60371</c:v>
                </c:pt>
                <c:pt idx="3039">
                  <c:v>60378</c:v>
                </c:pt>
                <c:pt idx="3040">
                  <c:v>60385</c:v>
                </c:pt>
                <c:pt idx="3041">
                  <c:v>60392</c:v>
                </c:pt>
                <c:pt idx="3042">
                  <c:v>60399</c:v>
                </c:pt>
                <c:pt idx="3043">
                  <c:v>60406</c:v>
                </c:pt>
                <c:pt idx="3044">
                  <c:v>60413</c:v>
                </c:pt>
                <c:pt idx="3045">
                  <c:v>60420</c:v>
                </c:pt>
                <c:pt idx="3046">
                  <c:v>60427</c:v>
                </c:pt>
                <c:pt idx="3047">
                  <c:v>60434</c:v>
                </c:pt>
                <c:pt idx="3048">
                  <c:v>60441</c:v>
                </c:pt>
                <c:pt idx="3049">
                  <c:v>60448</c:v>
                </c:pt>
                <c:pt idx="3050">
                  <c:v>60455</c:v>
                </c:pt>
                <c:pt idx="3051">
                  <c:v>60462</c:v>
                </c:pt>
                <c:pt idx="3052">
                  <c:v>60469</c:v>
                </c:pt>
                <c:pt idx="3053">
                  <c:v>60476</c:v>
                </c:pt>
                <c:pt idx="3054">
                  <c:v>60483</c:v>
                </c:pt>
                <c:pt idx="3055">
                  <c:v>60490</c:v>
                </c:pt>
                <c:pt idx="3056">
                  <c:v>60497</c:v>
                </c:pt>
                <c:pt idx="3057">
                  <c:v>60504</c:v>
                </c:pt>
                <c:pt idx="3058">
                  <c:v>60511</c:v>
                </c:pt>
                <c:pt idx="3059">
                  <c:v>60518</c:v>
                </c:pt>
                <c:pt idx="3060">
                  <c:v>60525</c:v>
                </c:pt>
                <c:pt idx="3061">
                  <c:v>60532</c:v>
                </c:pt>
                <c:pt idx="3062">
                  <c:v>60539</c:v>
                </c:pt>
                <c:pt idx="3063">
                  <c:v>60546</c:v>
                </c:pt>
                <c:pt idx="3064">
                  <c:v>60553</c:v>
                </c:pt>
                <c:pt idx="3065">
                  <c:v>60560</c:v>
                </c:pt>
                <c:pt idx="3066">
                  <c:v>60567</c:v>
                </c:pt>
                <c:pt idx="3067">
                  <c:v>60574</c:v>
                </c:pt>
                <c:pt idx="3068">
                  <c:v>60581</c:v>
                </c:pt>
                <c:pt idx="3069">
                  <c:v>60588</c:v>
                </c:pt>
                <c:pt idx="3070">
                  <c:v>60595</c:v>
                </c:pt>
                <c:pt idx="3071">
                  <c:v>60602</c:v>
                </c:pt>
                <c:pt idx="3072">
                  <c:v>60609</c:v>
                </c:pt>
                <c:pt idx="3073">
                  <c:v>60616</c:v>
                </c:pt>
                <c:pt idx="3074">
                  <c:v>60623</c:v>
                </c:pt>
                <c:pt idx="3075">
                  <c:v>60630</c:v>
                </c:pt>
                <c:pt idx="3076">
                  <c:v>60637</c:v>
                </c:pt>
                <c:pt idx="3077">
                  <c:v>60644</c:v>
                </c:pt>
                <c:pt idx="3078">
                  <c:v>60651</c:v>
                </c:pt>
                <c:pt idx="3079">
                  <c:v>60658</c:v>
                </c:pt>
                <c:pt idx="3080">
                  <c:v>60665</c:v>
                </c:pt>
                <c:pt idx="3081">
                  <c:v>60672</c:v>
                </c:pt>
                <c:pt idx="3082">
                  <c:v>60679</c:v>
                </c:pt>
                <c:pt idx="3083">
                  <c:v>60686</c:v>
                </c:pt>
                <c:pt idx="3084">
                  <c:v>60693</c:v>
                </c:pt>
                <c:pt idx="3085">
                  <c:v>60700</c:v>
                </c:pt>
                <c:pt idx="3086">
                  <c:v>60707</c:v>
                </c:pt>
                <c:pt idx="3087">
                  <c:v>60714</c:v>
                </c:pt>
                <c:pt idx="3088">
                  <c:v>60721</c:v>
                </c:pt>
                <c:pt idx="3089">
                  <c:v>60728</c:v>
                </c:pt>
                <c:pt idx="3090">
                  <c:v>60735</c:v>
                </c:pt>
                <c:pt idx="3091">
                  <c:v>60742</c:v>
                </c:pt>
                <c:pt idx="3092">
                  <c:v>60749</c:v>
                </c:pt>
                <c:pt idx="3093">
                  <c:v>60756</c:v>
                </c:pt>
                <c:pt idx="3094">
                  <c:v>60763</c:v>
                </c:pt>
                <c:pt idx="3095">
                  <c:v>60770</c:v>
                </c:pt>
                <c:pt idx="3096">
                  <c:v>60777</c:v>
                </c:pt>
                <c:pt idx="3097">
                  <c:v>60784</c:v>
                </c:pt>
                <c:pt idx="3098">
                  <c:v>60791</c:v>
                </c:pt>
                <c:pt idx="3099">
                  <c:v>60798</c:v>
                </c:pt>
                <c:pt idx="3100">
                  <c:v>60805</c:v>
                </c:pt>
                <c:pt idx="3101">
                  <c:v>60812</c:v>
                </c:pt>
                <c:pt idx="3102">
                  <c:v>60819</c:v>
                </c:pt>
                <c:pt idx="3103">
                  <c:v>60826</c:v>
                </c:pt>
                <c:pt idx="3104">
                  <c:v>60833</c:v>
                </c:pt>
                <c:pt idx="3105">
                  <c:v>60840</c:v>
                </c:pt>
                <c:pt idx="3106">
                  <c:v>60847</c:v>
                </c:pt>
                <c:pt idx="3107">
                  <c:v>60854</c:v>
                </c:pt>
                <c:pt idx="3108">
                  <c:v>60861</c:v>
                </c:pt>
                <c:pt idx="3109">
                  <c:v>60868</c:v>
                </c:pt>
                <c:pt idx="3110">
                  <c:v>60875</c:v>
                </c:pt>
                <c:pt idx="3111">
                  <c:v>60882</c:v>
                </c:pt>
                <c:pt idx="3112">
                  <c:v>60889</c:v>
                </c:pt>
                <c:pt idx="3113">
                  <c:v>60896</c:v>
                </c:pt>
                <c:pt idx="3114">
                  <c:v>60903</c:v>
                </c:pt>
                <c:pt idx="3115">
                  <c:v>60910</c:v>
                </c:pt>
                <c:pt idx="3116">
                  <c:v>60917</c:v>
                </c:pt>
                <c:pt idx="3117">
                  <c:v>60924</c:v>
                </c:pt>
                <c:pt idx="3118">
                  <c:v>60931</c:v>
                </c:pt>
                <c:pt idx="3119">
                  <c:v>60938</c:v>
                </c:pt>
                <c:pt idx="3120">
                  <c:v>60945</c:v>
                </c:pt>
                <c:pt idx="3121">
                  <c:v>60952</c:v>
                </c:pt>
                <c:pt idx="3122">
                  <c:v>60959</c:v>
                </c:pt>
                <c:pt idx="3123">
                  <c:v>60966</c:v>
                </c:pt>
                <c:pt idx="3124">
                  <c:v>60973</c:v>
                </c:pt>
                <c:pt idx="3125">
                  <c:v>60980</c:v>
                </c:pt>
                <c:pt idx="3126">
                  <c:v>60987</c:v>
                </c:pt>
                <c:pt idx="3127">
                  <c:v>60994</c:v>
                </c:pt>
                <c:pt idx="3128">
                  <c:v>61001</c:v>
                </c:pt>
                <c:pt idx="3129">
                  <c:v>61008</c:v>
                </c:pt>
                <c:pt idx="3130">
                  <c:v>61015</c:v>
                </c:pt>
                <c:pt idx="3131">
                  <c:v>61022</c:v>
                </c:pt>
                <c:pt idx="3132">
                  <c:v>61029</c:v>
                </c:pt>
                <c:pt idx="3133">
                  <c:v>61036</c:v>
                </c:pt>
                <c:pt idx="3134">
                  <c:v>61043</c:v>
                </c:pt>
                <c:pt idx="3135">
                  <c:v>61050</c:v>
                </c:pt>
                <c:pt idx="3136">
                  <c:v>61057</c:v>
                </c:pt>
                <c:pt idx="3137">
                  <c:v>61064</c:v>
                </c:pt>
                <c:pt idx="3138">
                  <c:v>61071</c:v>
                </c:pt>
                <c:pt idx="3139">
                  <c:v>61078</c:v>
                </c:pt>
                <c:pt idx="3140">
                  <c:v>61085</c:v>
                </c:pt>
                <c:pt idx="3141">
                  <c:v>61092</c:v>
                </c:pt>
                <c:pt idx="3142">
                  <c:v>61099</c:v>
                </c:pt>
                <c:pt idx="3143">
                  <c:v>61106</c:v>
                </c:pt>
                <c:pt idx="3144">
                  <c:v>61113</c:v>
                </c:pt>
                <c:pt idx="3145">
                  <c:v>61120</c:v>
                </c:pt>
                <c:pt idx="3146">
                  <c:v>61127</c:v>
                </c:pt>
                <c:pt idx="3147">
                  <c:v>61134</c:v>
                </c:pt>
                <c:pt idx="3148">
                  <c:v>61141</c:v>
                </c:pt>
                <c:pt idx="3149">
                  <c:v>61148</c:v>
                </c:pt>
                <c:pt idx="3150">
                  <c:v>61155</c:v>
                </c:pt>
                <c:pt idx="3151">
                  <c:v>61162</c:v>
                </c:pt>
                <c:pt idx="3152">
                  <c:v>61169</c:v>
                </c:pt>
                <c:pt idx="3153">
                  <c:v>61176</c:v>
                </c:pt>
                <c:pt idx="3154">
                  <c:v>61183</c:v>
                </c:pt>
                <c:pt idx="3155">
                  <c:v>61190</c:v>
                </c:pt>
                <c:pt idx="3156">
                  <c:v>61197</c:v>
                </c:pt>
                <c:pt idx="3157">
                  <c:v>61204</c:v>
                </c:pt>
                <c:pt idx="3158">
                  <c:v>61211</c:v>
                </c:pt>
                <c:pt idx="3159">
                  <c:v>61218</c:v>
                </c:pt>
                <c:pt idx="3160">
                  <c:v>61225</c:v>
                </c:pt>
                <c:pt idx="3161">
                  <c:v>61232</c:v>
                </c:pt>
                <c:pt idx="3162">
                  <c:v>61239</c:v>
                </c:pt>
                <c:pt idx="3163">
                  <c:v>61246</c:v>
                </c:pt>
                <c:pt idx="3164">
                  <c:v>61253</c:v>
                </c:pt>
                <c:pt idx="3165">
                  <c:v>61260</c:v>
                </c:pt>
                <c:pt idx="3166">
                  <c:v>61267</c:v>
                </c:pt>
                <c:pt idx="3167">
                  <c:v>61274</c:v>
                </c:pt>
                <c:pt idx="3168">
                  <c:v>61281</c:v>
                </c:pt>
                <c:pt idx="3169">
                  <c:v>61288</c:v>
                </c:pt>
                <c:pt idx="3170">
                  <c:v>61295</c:v>
                </c:pt>
                <c:pt idx="3171">
                  <c:v>61302</c:v>
                </c:pt>
                <c:pt idx="3172">
                  <c:v>61309</c:v>
                </c:pt>
                <c:pt idx="3173">
                  <c:v>61316</c:v>
                </c:pt>
                <c:pt idx="3174">
                  <c:v>61323</c:v>
                </c:pt>
                <c:pt idx="3175">
                  <c:v>61330</c:v>
                </c:pt>
                <c:pt idx="3176">
                  <c:v>61337</c:v>
                </c:pt>
                <c:pt idx="3177">
                  <c:v>61344</c:v>
                </c:pt>
                <c:pt idx="3178">
                  <c:v>61351</c:v>
                </c:pt>
                <c:pt idx="3179">
                  <c:v>61358</c:v>
                </c:pt>
                <c:pt idx="3180">
                  <c:v>61365</c:v>
                </c:pt>
                <c:pt idx="3181">
                  <c:v>61372</c:v>
                </c:pt>
                <c:pt idx="3182">
                  <c:v>61379</c:v>
                </c:pt>
                <c:pt idx="3183">
                  <c:v>61386</c:v>
                </c:pt>
                <c:pt idx="3184">
                  <c:v>61393</c:v>
                </c:pt>
                <c:pt idx="3185">
                  <c:v>61400</c:v>
                </c:pt>
                <c:pt idx="3186">
                  <c:v>61407</c:v>
                </c:pt>
                <c:pt idx="3187">
                  <c:v>61414</c:v>
                </c:pt>
                <c:pt idx="3188">
                  <c:v>61421</c:v>
                </c:pt>
                <c:pt idx="3189">
                  <c:v>61428</c:v>
                </c:pt>
                <c:pt idx="3190">
                  <c:v>61435</c:v>
                </c:pt>
                <c:pt idx="3191">
                  <c:v>61442</c:v>
                </c:pt>
                <c:pt idx="3192">
                  <c:v>61449</c:v>
                </c:pt>
                <c:pt idx="3193">
                  <c:v>61456</c:v>
                </c:pt>
                <c:pt idx="3194">
                  <c:v>61463</c:v>
                </c:pt>
                <c:pt idx="3195">
                  <c:v>61470</c:v>
                </c:pt>
                <c:pt idx="3196">
                  <c:v>61477</c:v>
                </c:pt>
                <c:pt idx="3197">
                  <c:v>61485</c:v>
                </c:pt>
                <c:pt idx="3198">
                  <c:v>61492</c:v>
                </c:pt>
                <c:pt idx="3199">
                  <c:v>61499</c:v>
                </c:pt>
                <c:pt idx="3200">
                  <c:v>61506</c:v>
                </c:pt>
                <c:pt idx="3201">
                  <c:v>61513</c:v>
                </c:pt>
                <c:pt idx="3202">
                  <c:v>61520</c:v>
                </c:pt>
                <c:pt idx="3203">
                  <c:v>61527</c:v>
                </c:pt>
                <c:pt idx="3204">
                  <c:v>61534</c:v>
                </c:pt>
                <c:pt idx="3205">
                  <c:v>61541</c:v>
                </c:pt>
                <c:pt idx="3206">
                  <c:v>61548</c:v>
                </c:pt>
                <c:pt idx="3207">
                  <c:v>61555</c:v>
                </c:pt>
                <c:pt idx="3208">
                  <c:v>61562</c:v>
                </c:pt>
                <c:pt idx="3209">
                  <c:v>61569</c:v>
                </c:pt>
                <c:pt idx="3210">
                  <c:v>61576</c:v>
                </c:pt>
                <c:pt idx="3211">
                  <c:v>61583</c:v>
                </c:pt>
                <c:pt idx="3212">
                  <c:v>61590</c:v>
                </c:pt>
                <c:pt idx="3213">
                  <c:v>61597</c:v>
                </c:pt>
                <c:pt idx="3214">
                  <c:v>61604</c:v>
                </c:pt>
                <c:pt idx="3215">
                  <c:v>61611</c:v>
                </c:pt>
                <c:pt idx="3216">
                  <c:v>61618</c:v>
                </c:pt>
                <c:pt idx="3217">
                  <c:v>61625</c:v>
                </c:pt>
                <c:pt idx="3218">
                  <c:v>61632</c:v>
                </c:pt>
                <c:pt idx="3219">
                  <c:v>61639</c:v>
                </c:pt>
                <c:pt idx="3220">
                  <c:v>61646</c:v>
                </c:pt>
                <c:pt idx="3221">
                  <c:v>61653</c:v>
                </c:pt>
                <c:pt idx="3222">
                  <c:v>61660</c:v>
                </c:pt>
                <c:pt idx="3223">
                  <c:v>61667</c:v>
                </c:pt>
                <c:pt idx="3224">
                  <c:v>61674</c:v>
                </c:pt>
                <c:pt idx="3225">
                  <c:v>61681</c:v>
                </c:pt>
                <c:pt idx="3226">
                  <c:v>61688</c:v>
                </c:pt>
                <c:pt idx="3227">
                  <c:v>61695</c:v>
                </c:pt>
                <c:pt idx="3228">
                  <c:v>61702</c:v>
                </c:pt>
                <c:pt idx="3229">
                  <c:v>61709</c:v>
                </c:pt>
                <c:pt idx="3230">
                  <c:v>61716</c:v>
                </c:pt>
                <c:pt idx="3231">
                  <c:v>61724</c:v>
                </c:pt>
                <c:pt idx="3232">
                  <c:v>61731</c:v>
                </c:pt>
                <c:pt idx="3233">
                  <c:v>61738</c:v>
                </c:pt>
                <c:pt idx="3234">
                  <c:v>61745</c:v>
                </c:pt>
                <c:pt idx="3235">
                  <c:v>61752</c:v>
                </c:pt>
                <c:pt idx="3236">
                  <c:v>61759</c:v>
                </c:pt>
                <c:pt idx="3237">
                  <c:v>61766</c:v>
                </c:pt>
                <c:pt idx="3238">
                  <c:v>61773</c:v>
                </c:pt>
                <c:pt idx="3239">
                  <c:v>61780</c:v>
                </c:pt>
                <c:pt idx="3240">
                  <c:v>61787</c:v>
                </c:pt>
                <c:pt idx="3241">
                  <c:v>61794</c:v>
                </c:pt>
                <c:pt idx="3242">
                  <c:v>61801</c:v>
                </c:pt>
                <c:pt idx="3243">
                  <c:v>61808</c:v>
                </c:pt>
                <c:pt idx="3244">
                  <c:v>61815</c:v>
                </c:pt>
                <c:pt idx="3245">
                  <c:v>61822</c:v>
                </c:pt>
                <c:pt idx="3246">
                  <c:v>61829</c:v>
                </c:pt>
                <c:pt idx="3247">
                  <c:v>61836</c:v>
                </c:pt>
                <c:pt idx="3248">
                  <c:v>61843</c:v>
                </c:pt>
                <c:pt idx="3249">
                  <c:v>61850</c:v>
                </c:pt>
                <c:pt idx="3250">
                  <c:v>61857</c:v>
                </c:pt>
                <c:pt idx="3251">
                  <c:v>61864</c:v>
                </c:pt>
                <c:pt idx="3252">
                  <c:v>61871</c:v>
                </c:pt>
                <c:pt idx="3253">
                  <c:v>61878</c:v>
                </c:pt>
                <c:pt idx="3254">
                  <c:v>61885</c:v>
                </c:pt>
                <c:pt idx="3255">
                  <c:v>61892</c:v>
                </c:pt>
                <c:pt idx="3256">
                  <c:v>61899</c:v>
                </c:pt>
                <c:pt idx="3257">
                  <c:v>61906</c:v>
                </c:pt>
                <c:pt idx="3258">
                  <c:v>61913</c:v>
                </c:pt>
                <c:pt idx="3259">
                  <c:v>61920</c:v>
                </c:pt>
                <c:pt idx="3260">
                  <c:v>61927</c:v>
                </c:pt>
                <c:pt idx="3261">
                  <c:v>61934</c:v>
                </c:pt>
                <c:pt idx="3262">
                  <c:v>61941</c:v>
                </c:pt>
                <c:pt idx="3263">
                  <c:v>61948</c:v>
                </c:pt>
                <c:pt idx="3264">
                  <c:v>61955</c:v>
                </c:pt>
                <c:pt idx="3265">
                  <c:v>61962</c:v>
                </c:pt>
                <c:pt idx="3266">
                  <c:v>61969</c:v>
                </c:pt>
                <c:pt idx="3267">
                  <c:v>61976</c:v>
                </c:pt>
                <c:pt idx="3268">
                  <c:v>61983</c:v>
                </c:pt>
                <c:pt idx="3269">
                  <c:v>61990</c:v>
                </c:pt>
                <c:pt idx="3270">
                  <c:v>61997</c:v>
                </c:pt>
                <c:pt idx="3271">
                  <c:v>62004</c:v>
                </c:pt>
                <c:pt idx="3272">
                  <c:v>62011</c:v>
                </c:pt>
                <c:pt idx="3273">
                  <c:v>62018</c:v>
                </c:pt>
                <c:pt idx="3274">
                  <c:v>62025</c:v>
                </c:pt>
                <c:pt idx="3275">
                  <c:v>62032</c:v>
                </c:pt>
                <c:pt idx="3276">
                  <c:v>62039</c:v>
                </c:pt>
                <c:pt idx="3277">
                  <c:v>62046</c:v>
                </c:pt>
                <c:pt idx="3278">
                  <c:v>62053</c:v>
                </c:pt>
                <c:pt idx="3279">
                  <c:v>62060</c:v>
                </c:pt>
                <c:pt idx="3280">
                  <c:v>62067</c:v>
                </c:pt>
                <c:pt idx="3281">
                  <c:v>62074</c:v>
                </c:pt>
                <c:pt idx="3282">
                  <c:v>62081</c:v>
                </c:pt>
                <c:pt idx="3283">
                  <c:v>62089</c:v>
                </c:pt>
                <c:pt idx="3284">
                  <c:v>62096</c:v>
                </c:pt>
                <c:pt idx="3285">
                  <c:v>62103</c:v>
                </c:pt>
                <c:pt idx="3286">
                  <c:v>62110</c:v>
                </c:pt>
                <c:pt idx="3287">
                  <c:v>62117</c:v>
                </c:pt>
                <c:pt idx="3288">
                  <c:v>62124</c:v>
                </c:pt>
                <c:pt idx="3289">
                  <c:v>62131</c:v>
                </c:pt>
                <c:pt idx="3290">
                  <c:v>62138</c:v>
                </c:pt>
                <c:pt idx="3291">
                  <c:v>62145</c:v>
                </c:pt>
                <c:pt idx="3292">
                  <c:v>62152</c:v>
                </c:pt>
                <c:pt idx="3293">
                  <c:v>62159</c:v>
                </c:pt>
                <c:pt idx="3294">
                  <c:v>62166</c:v>
                </c:pt>
                <c:pt idx="3295">
                  <c:v>62173</c:v>
                </c:pt>
                <c:pt idx="3296">
                  <c:v>62184</c:v>
                </c:pt>
                <c:pt idx="3297">
                  <c:v>62191</c:v>
                </c:pt>
                <c:pt idx="3298">
                  <c:v>62198</c:v>
                </c:pt>
                <c:pt idx="3299">
                  <c:v>62205</c:v>
                </c:pt>
                <c:pt idx="3300">
                  <c:v>62212</c:v>
                </c:pt>
                <c:pt idx="3301">
                  <c:v>62219</c:v>
                </c:pt>
                <c:pt idx="3302">
                  <c:v>62226</c:v>
                </c:pt>
                <c:pt idx="3303">
                  <c:v>62233</c:v>
                </c:pt>
                <c:pt idx="3304">
                  <c:v>62240</c:v>
                </c:pt>
                <c:pt idx="3305">
                  <c:v>62247</c:v>
                </c:pt>
                <c:pt idx="3306">
                  <c:v>62254</c:v>
                </c:pt>
                <c:pt idx="3307">
                  <c:v>62261</c:v>
                </c:pt>
                <c:pt idx="3308">
                  <c:v>62268</c:v>
                </c:pt>
                <c:pt idx="3309">
                  <c:v>62276</c:v>
                </c:pt>
                <c:pt idx="3310">
                  <c:v>62283</c:v>
                </c:pt>
                <c:pt idx="3311">
                  <c:v>62290</c:v>
                </c:pt>
                <c:pt idx="3312">
                  <c:v>62297</c:v>
                </c:pt>
                <c:pt idx="3313">
                  <c:v>62304</c:v>
                </c:pt>
                <c:pt idx="3314">
                  <c:v>62311</c:v>
                </c:pt>
                <c:pt idx="3315">
                  <c:v>62318</c:v>
                </c:pt>
                <c:pt idx="3316">
                  <c:v>62325</c:v>
                </c:pt>
                <c:pt idx="3317">
                  <c:v>62332</c:v>
                </c:pt>
                <c:pt idx="3318">
                  <c:v>62339</c:v>
                </c:pt>
                <c:pt idx="3319">
                  <c:v>62346</c:v>
                </c:pt>
                <c:pt idx="3320">
                  <c:v>62353</c:v>
                </c:pt>
                <c:pt idx="3321">
                  <c:v>62360</c:v>
                </c:pt>
                <c:pt idx="3322">
                  <c:v>62368</c:v>
                </c:pt>
                <c:pt idx="3323">
                  <c:v>62375</c:v>
                </c:pt>
                <c:pt idx="3324">
                  <c:v>62382</c:v>
                </c:pt>
                <c:pt idx="3325">
                  <c:v>62389</c:v>
                </c:pt>
                <c:pt idx="3326">
                  <c:v>62396</c:v>
                </c:pt>
                <c:pt idx="3327">
                  <c:v>62403</c:v>
                </c:pt>
                <c:pt idx="3328">
                  <c:v>62410</c:v>
                </c:pt>
                <c:pt idx="3329">
                  <c:v>62417</c:v>
                </c:pt>
                <c:pt idx="3330">
                  <c:v>62424</c:v>
                </c:pt>
                <c:pt idx="3331">
                  <c:v>62431</c:v>
                </c:pt>
                <c:pt idx="3332">
                  <c:v>62438</c:v>
                </c:pt>
                <c:pt idx="3333">
                  <c:v>62445</c:v>
                </c:pt>
                <c:pt idx="3334">
                  <c:v>62456</c:v>
                </c:pt>
                <c:pt idx="3335">
                  <c:v>62463</c:v>
                </c:pt>
                <c:pt idx="3336">
                  <c:v>62470</c:v>
                </c:pt>
                <c:pt idx="3337">
                  <c:v>62477</c:v>
                </c:pt>
                <c:pt idx="3338">
                  <c:v>62484</c:v>
                </c:pt>
                <c:pt idx="3339">
                  <c:v>62491</c:v>
                </c:pt>
                <c:pt idx="3340">
                  <c:v>62498</c:v>
                </c:pt>
                <c:pt idx="3341">
                  <c:v>62505</c:v>
                </c:pt>
                <c:pt idx="3342">
                  <c:v>62512</c:v>
                </c:pt>
                <c:pt idx="3343">
                  <c:v>62519</c:v>
                </c:pt>
                <c:pt idx="3344">
                  <c:v>62526</c:v>
                </c:pt>
                <c:pt idx="3345">
                  <c:v>62533</c:v>
                </c:pt>
                <c:pt idx="3346">
                  <c:v>62540</c:v>
                </c:pt>
                <c:pt idx="3347">
                  <c:v>62547</c:v>
                </c:pt>
                <c:pt idx="3348">
                  <c:v>62554</c:v>
                </c:pt>
                <c:pt idx="3349">
                  <c:v>62561</c:v>
                </c:pt>
                <c:pt idx="3350">
                  <c:v>62569</c:v>
                </c:pt>
                <c:pt idx="3351">
                  <c:v>62576</c:v>
                </c:pt>
                <c:pt idx="3352">
                  <c:v>62583</c:v>
                </c:pt>
                <c:pt idx="3353">
                  <c:v>62590</c:v>
                </c:pt>
                <c:pt idx="3354">
                  <c:v>62597</c:v>
                </c:pt>
                <c:pt idx="3355">
                  <c:v>62604</c:v>
                </c:pt>
                <c:pt idx="3356">
                  <c:v>62611</c:v>
                </c:pt>
                <c:pt idx="3357">
                  <c:v>62618</c:v>
                </c:pt>
                <c:pt idx="3358">
                  <c:v>62625</c:v>
                </c:pt>
                <c:pt idx="3359">
                  <c:v>62632</c:v>
                </c:pt>
                <c:pt idx="3360">
                  <c:v>62639</c:v>
                </c:pt>
                <c:pt idx="3361">
                  <c:v>62646</c:v>
                </c:pt>
                <c:pt idx="3362">
                  <c:v>62653</c:v>
                </c:pt>
                <c:pt idx="3363">
                  <c:v>62660</c:v>
                </c:pt>
                <c:pt idx="3364">
                  <c:v>62667</c:v>
                </c:pt>
                <c:pt idx="3365">
                  <c:v>62674</c:v>
                </c:pt>
                <c:pt idx="3366">
                  <c:v>62681</c:v>
                </c:pt>
                <c:pt idx="3367">
                  <c:v>62688</c:v>
                </c:pt>
                <c:pt idx="3368">
                  <c:v>62695</c:v>
                </c:pt>
                <c:pt idx="3369">
                  <c:v>62702</c:v>
                </c:pt>
                <c:pt idx="3370">
                  <c:v>62709</c:v>
                </c:pt>
                <c:pt idx="3371">
                  <c:v>62716</c:v>
                </c:pt>
                <c:pt idx="3372">
                  <c:v>62723</c:v>
                </c:pt>
                <c:pt idx="3373">
                  <c:v>62730</c:v>
                </c:pt>
                <c:pt idx="3374">
                  <c:v>62737</c:v>
                </c:pt>
                <c:pt idx="3375">
                  <c:v>62744</c:v>
                </c:pt>
                <c:pt idx="3376">
                  <c:v>62751</c:v>
                </c:pt>
                <c:pt idx="3377">
                  <c:v>62758</c:v>
                </c:pt>
                <c:pt idx="3378">
                  <c:v>62765</c:v>
                </c:pt>
                <c:pt idx="3379">
                  <c:v>62772</c:v>
                </c:pt>
                <c:pt idx="3380">
                  <c:v>62779</c:v>
                </c:pt>
                <c:pt idx="3381">
                  <c:v>62786</c:v>
                </c:pt>
                <c:pt idx="3382">
                  <c:v>62793</c:v>
                </c:pt>
                <c:pt idx="3383">
                  <c:v>62800</c:v>
                </c:pt>
                <c:pt idx="3384">
                  <c:v>62807</c:v>
                </c:pt>
                <c:pt idx="3385">
                  <c:v>62814</c:v>
                </c:pt>
                <c:pt idx="3386">
                  <c:v>62821</c:v>
                </c:pt>
                <c:pt idx="3387">
                  <c:v>62828</c:v>
                </c:pt>
                <c:pt idx="3388">
                  <c:v>62835</c:v>
                </c:pt>
                <c:pt idx="3389">
                  <c:v>62842</c:v>
                </c:pt>
                <c:pt idx="3390">
                  <c:v>62849</c:v>
                </c:pt>
                <c:pt idx="3391">
                  <c:v>62856</c:v>
                </c:pt>
                <c:pt idx="3392">
                  <c:v>62863</c:v>
                </c:pt>
                <c:pt idx="3393">
                  <c:v>62870</c:v>
                </c:pt>
                <c:pt idx="3394">
                  <c:v>62877</c:v>
                </c:pt>
                <c:pt idx="3395">
                  <c:v>62884</c:v>
                </c:pt>
                <c:pt idx="3396">
                  <c:v>62891</c:v>
                </c:pt>
                <c:pt idx="3397">
                  <c:v>62898</c:v>
                </c:pt>
                <c:pt idx="3398">
                  <c:v>62905</c:v>
                </c:pt>
                <c:pt idx="3399">
                  <c:v>62912</c:v>
                </c:pt>
                <c:pt idx="3400">
                  <c:v>62919</c:v>
                </c:pt>
                <c:pt idx="3401">
                  <c:v>62926</c:v>
                </c:pt>
                <c:pt idx="3402">
                  <c:v>62933</c:v>
                </c:pt>
                <c:pt idx="3403">
                  <c:v>62940</c:v>
                </c:pt>
                <c:pt idx="3404">
                  <c:v>62947</c:v>
                </c:pt>
                <c:pt idx="3405">
                  <c:v>62954</c:v>
                </c:pt>
                <c:pt idx="3406">
                  <c:v>62961</c:v>
                </c:pt>
                <c:pt idx="3407">
                  <c:v>62968</c:v>
                </c:pt>
                <c:pt idx="3408">
                  <c:v>62975</c:v>
                </c:pt>
                <c:pt idx="3409">
                  <c:v>62982</c:v>
                </c:pt>
                <c:pt idx="3410">
                  <c:v>62989</c:v>
                </c:pt>
                <c:pt idx="3411">
                  <c:v>62996</c:v>
                </c:pt>
                <c:pt idx="3412">
                  <c:v>63003</c:v>
                </c:pt>
                <c:pt idx="3413">
                  <c:v>63010</c:v>
                </c:pt>
                <c:pt idx="3414">
                  <c:v>63017</c:v>
                </c:pt>
                <c:pt idx="3415">
                  <c:v>63024</c:v>
                </c:pt>
                <c:pt idx="3416">
                  <c:v>63031</c:v>
                </c:pt>
                <c:pt idx="3417">
                  <c:v>63038</c:v>
                </c:pt>
                <c:pt idx="3418">
                  <c:v>63045</c:v>
                </c:pt>
                <c:pt idx="3419">
                  <c:v>63052</c:v>
                </c:pt>
                <c:pt idx="3420">
                  <c:v>63059</c:v>
                </c:pt>
                <c:pt idx="3421">
                  <c:v>63066</c:v>
                </c:pt>
                <c:pt idx="3422">
                  <c:v>63073</c:v>
                </c:pt>
                <c:pt idx="3423">
                  <c:v>63080</c:v>
                </c:pt>
                <c:pt idx="3424">
                  <c:v>63087</c:v>
                </c:pt>
                <c:pt idx="3425">
                  <c:v>63094</c:v>
                </c:pt>
                <c:pt idx="3426">
                  <c:v>63101</c:v>
                </c:pt>
                <c:pt idx="3427">
                  <c:v>63108</c:v>
                </c:pt>
                <c:pt idx="3428">
                  <c:v>63115</c:v>
                </c:pt>
                <c:pt idx="3429">
                  <c:v>63122</c:v>
                </c:pt>
                <c:pt idx="3430">
                  <c:v>63129</c:v>
                </c:pt>
                <c:pt idx="3431">
                  <c:v>63136</c:v>
                </c:pt>
                <c:pt idx="3432">
                  <c:v>63143</c:v>
                </c:pt>
                <c:pt idx="3433">
                  <c:v>63150</c:v>
                </c:pt>
                <c:pt idx="3434">
                  <c:v>63157</c:v>
                </c:pt>
                <c:pt idx="3435">
                  <c:v>63164</c:v>
                </c:pt>
                <c:pt idx="3436">
                  <c:v>63171</c:v>
                </c:pt>
                <c:pt idx="3437">
                  <c:v>63178</c:v>
                </c:pt>
                <c:pt idx="3438">
                  <c:v>63185</c:v>
                </c:pt>
                <c:pt idx="3439">
                  <c:v>63192</c:v>
                </c:pt>
                <c:pt idx="3440">
                  <c:v>63199</c:v>
                </c:pt>
                <c:pt idx="3441">
                  <c:v>63206</c:v>
                </c:pt>
                <c:pt idx="3442">
                  <c:v>63213</c:v>
                </c:pt>
                <c:pt idx="3443">
                  <c:v>63220</c:v>
                </c:pt>
                <c:pt idx="3444">
                  <c:v>63227</c:v>
                </c:pt>
                <c:pt idx="3445">
                  <c:v>63234</c:v>
                </c:pt>
                <c:pt idx="3446">
                  <c:v>63241</c:v>
                </c:pt>
                <c:pt idx="3447">
                  <c:v>63248</c:v>
                </c:pt>
                <c:pt idx="3448">
                  <c:v>63255</c:v>
                </c:pt>
                <c:pt idx="3449">
                  <c:v>63262</c:v>
                </c:pt>
                <c:pt idx="3450">
                  <c:v>63269</c:v>
                </c:pt>
                <c:pt idx="3451">
                  <c:v>63276</c:v>
                </c:pt>
                <c:pt idx="3452">
                  <c:v>63283</c:v>
                </c:pt>
                <c:pt idx="3453">
                  <c:v>63290</c:v>
                </c:pt>
                <c:pt idx="3454">
                  <c:v>63297</c:v>
                </c:pt>
                <c:pt idx="3455">
                  <c:v>63304</c:v>
                </c:pt>
                <c:pt idx="3456">
                  <c:v>63311</c:v>
                </c:pt>
                <c:pt idx="3457">
                  <c:v>63318</c:v>
                </c:pt>
                <c:pt idx="3458">
                  <c:v>63325</c:v>
                </c:pt>
                <c:pt idx="3459">
                  <c:v>63332</c:v>
                </c:pt>
                <c:pt idx="3460">
                  <c:v>63339</c:v>
                </c:pt>
                <c:pt idx="3461">
                  <c:v>63346</c:v>
                </c:pt>
                <c:pt idx="3462">
                  <c:v>63353</c:v>
                </c:pt>
                <c:pt idx="3463">
                  <c:v>63360</c:v>
                </c:pt>
                <c:pt idx="3464">
                  <c:v>63367</c:v>
                </c:pt>
                <c:pt idx="3465">
                  <c:v>63374</c:v>
                </c:pt>
                <c:pt idx="3466">
                  <c:v>63381</c:v>
                </c:pt>
                <c:pt idx="3467">
                  <c:v>63388</c:v>
                </c:pt>
                <c:pt idx="3468">
                  <c:v>63395</c:v>
                </c:pt>
                <c:pt idx="3469">
                  <c:v>63402</c:v>
                </c:pt>
                <c:pt idx="3470">
                  <c:v>63409</c:v>
                </c:pt>
                <c:pt idx="3471">
                  <c:v>63416</c:v>
                </c:pt>
                <c:pt idx="3472">
                  <c:v>63423</c:v>
                </c:pt>
                <c:pt idx="3473">
                  <c:v>63430</c:v>
                </c:pt>
                <c:pt idx="3474">
                  <c:v>63437</c:v>
                </c:pt>
                <c:pt idx="3475">
                  <c:v>63444</c:v>
                </c:pt>
                <c:pt idx="3476">
                  <c:v>63451</c:v>
                </c:pt>
                <c:pt idx="3477">
                  <c:v>63458</c:v>
                </c:pt>
                <c:pt idx="3478">
                  <c:v>63465</c:v>
                </c:pt>
                <c:pt idx="3479">
                  <c:v>63472</c:v>
                </c:pt>
                <c:pt idx="3480">
                  <c:v>63479</c:v>
                </c:pt>
                <c:pt idx="3481">
                  <c:v>63486</c:v>
                </c:pt>
                <c:pt idx="3482">
                  <c:v>63493</c:v>
                </c:pt>
                <c:pt idx="3483">
                  <c:v>63500</c:v>
                </c:pt>
                <c:pt idx="3484">
                  <c:v>63507</c:v>
                </c:pt>
                <c:pt idx="3485">
                  <c:v>63514</c:v>
                </c:pt>
                <c:pt idx="3486">
                  <c:v>63521</c:v>
                </c:pt>
                <c:pt idx="3487">
                  <c:v>63528</c:v>
                </c:pt>
                <c:pt idx="3488">
                  <c:v>63535</c:v>
                </c:pt>
                <c:pt idx="3489">
                  <c:v>63542</c:v>
                </c:pt>
                <c:pt idx="3490">
                  <c:v>63550</c:v>
                </c:pt>
                <c:pt idx="3491">
                  <c:v>63557</c:v>
                </c:pt>
                <c:pt idx="3492">
                  <c:v>63564</c:v>
                </c:pt>
                <c:pt idx="3493">
                  <c:v>63571</c:v>
                </c:pt>
                <c:pt idx="3494">
                  <c:v>63578</c:v>
                </c:pt>
                <c:pt idx="3495">
                  <c:v>63585</c:v>
                </c:pt>
                <c:pt idx="3496">
                  <c:v>63592</c:v>
                </c:pt>
                <c:pt idx="3497">
                  <c:v>63599</c:v>
                </c:pt>
                <c:pt idx="3498">
                  <c:v>63606</c:v>
                </c:pt>
                <c:pt idx="3499">
                  <c:v>63613</c:v>
                </c:pt>
                <c:pt idx="3500">
                  <c:v>63620</c:v>
                </c:pt>
                <c:pt idx="3501">
                  <c:v>63627</c:v>
                </c:pt>
                <c:pt idx="3502">
                  <c:v>63634</c:v>
                </c:pt>
                <c:pt idx="3503">
                  <c:v>63641</c:v>
                </c:pt>
                <c:pt idx="3504">
                  <c:v>63648</c:v>
                </c:pt>
                <c:pt idx="3505">
                  <c:v>63655</c:v>
                </c:pt>
                <c:pt idx="3506">
                  <c:v>63662</c:v>
                </c:pt>
                <c:pt idx="3507">
                  <c:v>63669</c:v>
                </c:pt>
                <c:pt idx="3508">
                  <c:v>63676</c:v>
                </c:pt>
                <c:pt idx="3509">
                  <c:v>63683</c:v>
                </c:pt>
                <c:pt idx="3510">
                  <c:v>63690</c:v>
                </c:pt>
                <c:pt idx="3511">
                  <c:v>63697</c:v>
                </c:pt>
                <c:pt idx="3512">
                  <c:v>63704</c:v>
                </c:pt>
                <c:pt idx="3513">
                  <c:v>63711</c:v>
                </c:pt>
                <c:pt idx="3514">
                  <c:v>63718</c:v>
                </c:pt>
                <c:pt idx="3515">
                  <c:v>63725</c:v>
                </c:pt>
                <c:pt idx="3516">
                  <c:v>63732</c:v>
                </c:pt>
                <c:pt idx="3517">
                  <c:v>63739</c:v>
                </c:pt>
                <c:pt idx="3518">
                  <c:v>63746</c:v>
                </c:pt>
                <c:pt idx="3519">
                  <c:v>63753</c:v>
                </c:pt>
                <c:pt idx="3520">
                  <c:v>63760</c:v>
                </c:pt>
                <c:pt idx="3521">
                  <c:v>63767</c:v>
                </c:pt>
                <c:pt idx="3522">
                  <c:v>63774</c:v>
                </c:pt>
                <c:pt idx="3523">
                  <c:v>63781</c:v>
                </c:pt>
                <c:pt idx="3524">
                  <c:v>63788</c:v>
                </c:pt>
                <c:pt idx="3525">
                  <c:v>63795</c:v>
                </c:pt>
                <c:pt idx="3526">
                  <c:v>63802</c:v>
                </c:pt>
                <c:pt idx="3527">
                  <c:v>63809</c:v>
                </c:pt>
                <c:pt idx="3528">
                  <c:v>63816</c:v>
                </c:pt>
                <c:pt idx="3529">
                  <c:v>63823</c:v>
                </c:pt>
                <c:pt idx="3530">
                  <c:v>63830</c:v>
                </c:pt>
                <c:pt idx="3531">
                  <c:v>63837</c:v>
                </c:pt>
                <c:pt idx="3532">
                  <c:v>63844</c:v>
                </c:pt>
                <c:pt idx="3533">
                  <c:v>63851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2.0974255506445161E-3</c:v>
                </c:pt>
                <c:pt idx="1">
                  <c:v>2.0974546717889009E-3</c:v>
                </c:pt>
                <c:pt idx="2">
                  <c:v>2.0976220389505125E-3</c:v>
                </c:pt>
                <c:pt idx="3">
                  <c:v>2.0978623669998253E-3</c:v>
                </c:pt>
                <c:pt idx="4">
                  <c:v>2.098037093541949E-3</c:v>
                </c:pt>
                <c:pt idx="5">
                  <c:v>2.0982409411474112E-3</c:v>
                </c:pt>
                <c:pt idx="6">
                  <c:v>2.0984739098972582E-3</c:v>
                </c:pt>
                <c:pt idx="7">
                  <c:v>2.0990489887221893E-3</c:v>
                </c:pt>
                <c:pt idx="8">
                  <c:v>2.0998923231452249E-3</c:v>
                </c:pt>
                <c:pt idx="9">
                  <c:v>2.1004832649695881E-3</c:v>
                </c:pt>
                <c:pt idx="10">
                  <c:v>2.1009200813248974E-3</c:v>
                </c:pt>
                <c:pt idx="11">
                  <c:v>2.1019028883195734E-3</c:v>
                </c:pt>
                <c:pt idx="12">
                  <c:v>2.1029585576226584E-3</c:v>
                </c:pt>
                <c:pt idx="13">
                  <c:v>2.1035409793757065E-3</c:v>
                </c:pt>
                <c:pt idx="14">
                  <c:v>2.1041525222731394E-3</c:v>
                </c:pt>
                <c:pt idx="15">
                  <c:v>2.1047931862339109E-3</c:v>
                </c:pt>
                <c:pt idx="16">
                  <c:v>2.1061837378507273E-3</c:v>
                </c:pt>
                <c:pt idx="17">
                  <c:v>2.107647053034567E-3</c:v>
                </c:pt>
                <c:pt idx="18">
                  <c:v>2.1084333223930773E-3</c:v>
                </c:pt>
                <c:pt idx="19">
                  <c:v>2.1092487129770188E-3</c:v>
                </c:pt>
                <c:pt idx="20">
                  <c:v>2.1100932246242987E-3</c:v>
                </c:pt>
                <c:pt idx="21">
                  <c:v>2.1118915373966969E-3</c:v>
                </c:pt>
                <c:pt idx="22">
                  <c:v>2.1137452725605854E-3</c:v>
                </c:pt>
                <c:pt idx="23">
                  <c:v>2.1154324084763738E-3</c:v>
                </c:pt>
                <c:pt idx="24">
                  <c:v>2.1174258005111453E-3</c:v>
                </c:pt>
                <c:pt idx="25">
                  <c:v>2.1183964667459421E-3</c:v>
                </c:pt>
                <c:pt idx="26">
                  <c:v>2.1187643833076031E-3</c:v>
                </c:pt>
                <c:pt idx="27">
                  <c:v>2.1190581650532003E-3</c:v>
                </c:pt>
                <c:pt idx="28">
                  <c:v>2.1192778118206412E-3</c:v>
                </c:pt>
                <c:pt idx="29">
                  <c:v>2.1194822962607627E-3</c:v>
                </c:pt>
                <c:pt idx="30">
                  <c:v>2.1194150496761655E-3</c:v>
                </c:pt>
                <c:pt idx="31">
                  <c:v>2.1192640218770098E-3</c:v>
                </c:pt>
                <c:pt idx="32">
                  <c:v>2.1190388590996978E-3</c:v>
                </c:pt>
                <c:pt idx="33">
                  <c:v>2.1187395614252758E-3</c:v>
                </c:pt>
                <c:pt idx="34">
                  <c:v>2.1179061386922271E-3</c:v>
                </c:pt>
                <c:pt idx="35">
                  <c:v>2.1168010215133481E-3</c:v>
                </c:pt>
                <c:pt idx="36">
                  <c:v>2.1161310492723295E-3</c:v>
                </c:pt>
                <c:pt idx="37">
                  <c:v>2.1153869420531546E-3</c:v>
                </c:pt>
                <c:pt idx="38">
                  <c:v>2.1145686999368696E-3</c:v>
                </c:pt>
                <c:pt idx="39">
                  <c:v>2.1126973279406158E-3</c:v>
                </c:pt>
                <c:pt idx="40">
                  <c:v>2.1105543822574901E-3</c:v>
                </c:pt>
                <c:pt idx="41">
                  <c:v>2.1093654655746086E-3</c:v>
                </c:pt>
                <c:pt idx="42">
                  <c:v>2.108102413994617E-3</c:v>
                </c:pt>
                <c:pt idx="43">
                  <c:v>2.106765227436469E-3</c:v>
                </c:pt>
                <c:pt idx="44">
                  <c:v>2.1038558644651912E-3</c:v>
                </c:pt>
                <c:pt idx="45">
                  <c:v>2.1006751321517303E-3</c:v>
                </c:pt>
                <c:pt idx="46">
                  <c:v>2.0989672711080321E-3</c:v>
                </c:pt>
                <c:pt idx="47">
                  <c:v>2.0971852750861775E-3</c:v>
                </c:pt>
                <c:pt idx="48">
                  <c:v>2.0953291441672128E-3</c:v>
                </c:pt>
                <c:pt idx="49">
                  <c:v>2.0913817490764153E-3</c:v>
                </c:pt>
                <c:pt idx="50">
                  <c:v>2.0871632714392074E-3</c:v>
                </c:pt>
                <c:pt idx="51">
                  <c:v>2.0849364660346925E-3</c:v>
                </c:pt>
                <c:pt idx="52">
                  <c:v>2.0826355256520213E-3</c:v>
                </c:pt>
                <c:pt idx="53">
                  <c:v>2.0802604504532862E-3</c:v>
                </c:pt>
                <c:pt idx="54">
                  <c:v>2.0752749828819215E-3</c:v>
                </c:pt>
                <c:pt idx="55">
                  <c:v>2.070018800525153E-3</c:v>
                </c:pt>
                <c:pt idx="56">
                  <c:v>2.0672730507598214E-3</c:v>
                </c:pt>
                <c:pt idx="57">
                  <c:v>2.0644531662594723E-3</c:v>
                </c:pt>
                <c:pt idx="58">
                  <c:v>2.0615591466999206E-3</c:v>
                </c:pt>
                <c:pt idx="59">
                  <c:v>2.0555355673135267E-3</c:v>
                </c:pt>
                <c:pt idx="60">
                  <c:v>2.0492417198958446E-3</c:v>
                </c:pt>
                <c:pt idx="61">
                  <c:v>2.0459770260128352E-3</c:v>
                </c:pt>
                <c:pt idx="62">
                  <c:v>2.0426381972327157E-3</c:v>
                </c:pt>
                <c:pt idx="63">
                  <c:v>2.0392252336365324E-3</c:v>
                </c:pt>
                <c:pt idx="64">
                  <c:v>2.032513284881595E-3</c:v>
                </c:pt>
                <c:pt idx="65">
                  <c:v>2.0262700016981938E-3</c:v>
                </c:pt>
                <c:pt idx="66">
                  <c:v>2.0234191017587388E-3</c:v>
                </c:pt>
                <c:pt idx="67">
                  <c:v>2.0207272516603592E-3</c:v>
                </c:pt>
                <c:pt idx="68">
                  <c:v>2.0181944512409622E-3</c:v>
                </c:pt>
                <c:pt idx="69">
                  <c:v>2.0136701248503939E-3</c:v>
                </c:pt>
                <c:pt idx="70">
                  <c:v>2.0096537457858776E-3</c:v>
                </c:pt>
                <c:pt idx="71">
                  <c:v>2.0079161935993017E-3</c:v>
                </c:pt>
                <c:pt idx="72">
                  <c:v>2.0063376910106623E-3</c:v>
                </c:pt>
                <c:pt idx="73">
                  <c:v>2.0049182381010056E-3</c:v>
                </c:pt>
                <c:pt idx="74">
                  <c:v>2.0026204851875118E-3</c:v>
                </c:pt>
                <c:pt idx="75">
                  <c:v>2.0008309227659282E-3</c:v>
                </c:pt>
                <c:pt idx="76">
                  <c:v>2.000206717927E-3</c:v>
                </c:pt>
                <c:pt idx="77">
                  <c:v>1.9997415628481008E-3</c:v>
                </c:pt>
                <c:pt idx="78">
                  <c:v>1.9994354574481843E-3</c:v>
                </c:pt>
                <c:pt idx="79">
                  <c:v>1.9993643637857459E-3</c:v>
                </c:pt>
                <c:pt idx="80">
                  <c:v>1.9998015319089291E-3</c:v>
                </c:pt>
                <c:pt idx="81">
                  <c:v>2.0002906745797411E-3</c:v>
                </c:pt>
                <c:pt idx="82">
                  <c:v>2.0028934311175917E-3</c:v>
                </c:pt>
                <c:pt idx="83">
                  <c:v>2.0065655732959264E-3</c:v>
                </c:pt>
                <c:pt idx="84">
                  <c:v>2.0081680634764787E-3</c:v>
                </c:pt>
                <c:pt idx="85">
                  <c:v>2.0108954373349031E-3</c:v>
                </c:pt>
                <c:pt idx="86">
                  <c:v>2.0162326746849444E-3</c:v>
                </c:pt>
                <c:pt idx="87">
                  <c:v>2.0211230472511055E-3</c:v>
                </c:pt>
                <c:pt idx="88">
                  <c:v>2.0238388850224442E-3</c:v>
                </c:pt>
                <c:pt idx="89">
                  <c:v>2.0267137724727657E-3</c:v>
                </c:pt>
                <c:pt idx="90">
                  <c:v>2.02974770960207E-3</c:v>
                </c:pt>
                <c:pt idx="91">
                  <c:v>2.03635711022776E-3</c:v>
                </c:pt>
                <c:pt idx="92">
                  <c:v>2.0434739547470215E-3</c:v>
                </c:pt>
                <c:pt idx="93">
                  <c:v>2.0473031403522857E-3</c:v>
                </c:pt>
                <c:pt idx="94">
                  <c:v>2.0512913755554862E-3</c:v>
                </c:pt>
                <c:pt idx="95">
                  <c:v>2.0554386604376695E-3</c:v>
                </c:pt>
                <c:pt idx="96">
                  <c:v>2.064275070488379E-3</c:v>
                </c:pt>
                <c:pt idx="97">
                  <c:v>2.073618297323554E-3</c:v>
                </c:pt>
                <c:pt idx="98">
                  <c:v>2.0785608307627434E-3</c:v>
                </c:pt>
                <c:pt idx="99">
                  <c:v>2.0836624141240545E-3</c:v>
                </c:pt>
                <c:pt idx="100">
                  <c:v>2.088923047083302E-3</c:v>
                </c:pt>
                <c:pt idx="101">
                  <c:v>2.099986560869886E-3</c:v>
                </c:pt>
                <c:pt idx="102">
                  <c:v>2.1115560766826746E-3</c:v>
                </c:pt>
                <c:pt idx="103">
                  <c:v>2.1176119586041597E-3</c:v>
                </c:pt>
                <c:pt idx="104">
                  <c:v>2.1238268902046276E-3</c:v>
                </c:pt>
                <c:pt idx="105">
                  <c:v>2.1302008716461707E-3</c:v>
                </c:pt>
                <c:pt idx="106">
                  <c:v>2.1434915881531533E-3</c:v>
                </c:pt>
                <c:pt idx="107">
                  <c:v>2.1572872954989109E-3</c:v>
                </c:pt>
                <c:pt idx="108">
                  <c:v>2.1644565259837378E-3</c:v>
                </c:pt>
                <c:pt idx="109">
                  <c:v>2.1717848063906864E-3</c:v>
                </c:pt>
                <c:pt idx="110">
                  <c:v>2.1792721366387102E-3</c:v>
                </c:pt>
                <c:pt idx="111">
                  <c:v>2.1947901608210252E-3</c:v>
                </c:pt>
                <c:pt idx="112">
                  <c:v>2.2108119565278361E-3</c:v>
                </c:pt>
                <c:pt idx="113">
                  <c:v>2.2190945362243752E-3</c:v>
                </c:pt>
                <c:pt idx="114">
                  <c:v>2.2275361658430359E-3</c:v>
                </c:pt>
                <c:pt idx="115">
                  <c:v>2.2361368454648645E-3</c:v>
                </c:pt>
                <c:pt idx="116">
                  <c:v>2.2538822885990557E-3</c:v>
                </c:pt>
                <c:pt idx="117">
                  <c:v>2.2721300632544406E-3</c:v>
                </c:pt>
                <c:pt idx="118">
                  <c:v>2.2815259926489695E-3</c:v>
                </c:pt>
                <c:pt idx="119">
                  <c:v>2.2910809720466663E-3</c:v>
                </c:pt>
                <c:pt idx="120">
                  <c:v>2.3007950015285772E-3</c:v>
                </c:pt>
                <c:pt idx="121">
                  <c:v>2.3207679829147696E-3</c:v>
                </c:pt>
                <c:pt idx="122">
                  <c:v>2.3412416196499919E-3</c:v>
                </c:pt>
                <c:pt idx="123">
                  <c:v>2.3517508992287883E-3</c:v>
                </c:pt>
                <c:pt idx="124">
                  <c:v>2.3624192291349377E-3</c:v>
                </c:pt>
                <c:pt idx="125">
                  <c:v>2.3732466089632087E-3</c:v>
                </c:pt>
                <c:pt idx="126">
                  <c:v>2.3953560465487618E-3</c:v>
                </c:pt>
                <c:pt idx="127">
                  <c:v>2.4177716601525567E-3</c:v>
                </c:pt>
                <c:pt idx="128">
                  <c:v>2.4291510671092809E-3</c:v>
                </c:pt>
                <c:pt idx="129">
                  <c:v>2.4406287183675879E-3</c:v>
                </c:pt>
                <c:pt idx="130">
                  <c:v>2.4522046138464315E-3</c:v>
                </c:pt>
                <c:pt idx="131">
                  <c:v>2.4757006774641286E-3</c:v>
                </c:pt>
                <c:pt idx="132">
                  <c:v>2.4994906386965887E-3</c:v>
                </c:pt>
                <c:pt idx="133">
                  <c:v>2.5115577556833468E-3</c:v>
                </c:pt>
                <c:pt idx="134">
                  <c:v>2.5237231168906415E-3</c:v>
                </c:pt>
                <c:pt idx="135">
                  <c:v>2.5359867225616117E-3</c:v>
                </c:pt>
                <c:pt idx="136">
                  <c:v>2.5608593817616492E-3</c:v>
                </c:pt>
                <c:pt idx="137">
                  <c:v>2.5860235885855065E-3</c:v>
                </c:pt>
                <c:pt idx="138">
                  <c:v>2.5987784160885763E-3</c:v>
                </c:pt>
                <c:pt idx="139">
                  <c:v>2.611631487893229E-3</c:v>
                </c:pt>
                <c:pt idx="140">
                  <c:v>2.6245828041615571E-3</c:v>
                </c:pt>
                <c:pt idx="141">
                  <c:v>2.6508321694910615E-3</c:v>
                </c:pt>
                <c:pt idx="142">
                  <c:v>2.6773705134663928E-3</c:v>
                </c:pt>
                <c:pt idx="143">
                  <c:v>2.6908130518910056E-3</c:v>
                </c:pt>
                <c:pt idx="144">
                  <c:v>2.7043538347792939E-3</c:v>
                </c:pt>
                <c:pt idx="145">
                  <c:v>2.7179928621312577E-3</c:v>
                </c:pt>
                <c:pt idx="146">
                  <c:v>2.745619051350475E-3</c:v>
                </c:pt>
                <c:pt idx="147">
                  <c:v>2.773531416662145E-3</c:v>
                </c:pt>
                <c:pt idx="148">
                  <c:v>2.7876616666566711E-3</c:v>
                </c:pt>
                <c:pt idx="149">
                  <c:v>2.8018901611148728E-3</c:v>
                </c:pt>
                <c:pt idx="150">
                  <c:v>2.8453077154120265E-3</c:v>
                </c:pt>
                <c:pt idx="151">
                  <c:v>2.8893242641947481E-3</c:v>
                </c:pt>
                <c:pt idx="152">
                  <c:v>2.9042404708712333E-3</c:v>
                </c:pt>
                <c:pt idx="153">
                  <c:v>2.9192549221734865E-3</c:v>
                </c:pt>
                <c:pt idx="154">
                  <c:v>2.949635143007316E-3</c:v>
                </c:pt>
                <c:pt idx="155">
                  <c:v>2.9802951740454109E-3</c:v>
                </c:pt>
                <c:pt idx="156">
                  <c:v>2.995800848719643E-3</c:v>
                </c:pt>
                <c:pt idx="157">
                  <c:v>3.0114047681006895E-3</c:v>
                </c:pt>
                <c:pt idx="158">
                  <c:v>3.0271069322695965E-3</c:v>
                </c:pt>
                <c:pt idx="159">
                  <c:v>3.0588643770645967E-3</c:v>
                </c:pt>
                <c:pt idx="160">
                  <c:v>3.0908980363375527E-3</c:v>
                </c:pt>
                <c:pt idx="161">
                  <c:v>3.1070914242026237E-3</c:v>
                </c:pt>
                <c:pt idx="162">
                  <c:v>3.123383057017648E-3</c:v>
                </c:pt>
                <c:pt idx="163">
                  <c:v>3.1397729346205328E-3</c:v>
                </c:pt>
                <c:pt idx="164">
                  <c:v>3.1729077536635235E-3</c:v>
                </c:pt>
                <c:pt idx="165">
                  <c:v>3.2063148933969554E-3</c:v>
                </c:pt>
                <c:pt idx="166">
                  <c:v>3.2231959952633282E-3</c:v>
                </c:pt>
                <c:pt idx="167">
                  <c:v>3.2401753419986079E-3</c:v>
                </c:pt>
                <c:pt idx="168">
                  <c:v>3.283159229937882E-3</c:v>
                </c:pt>
                <c:pt idx="169">
                  <c:v>3.3265457498432571E-3</c:v>
                </c:pt>
                <c:pt idx="170">
                  <c:v>3.3441145662782557E-3</c:v>
                </c:pt>
                <c:pt idx="171">
                  <c:v>3.3617816278252999E-3</c:v>
                </c:pt>
                <c:pt idx="172">
                  <c:v>3.379546934241251E-3</c:v>
                </c:pt>
                <c:pt idx="173">
                  <c:v>3.4154369893006171E-3</c:v>
                </c:pt>
                <c:pt idx="174">
                  <c:v>3.4515906105392347E-3</c:v>
                </c:pt>
                <c:pt idx="175">
                  <c:v>3.4698471422722754E-3</c:v>
                </c:pt>
                <c:pt idx="176">
                  <c:v>3.4882019190363156E-3</c:v>
                </c:pt>
                <c:pt idx="177">
                  <c:v>3.5066549409934478E-3</c:v>
                </c:pt>
                <c:pt idx="178">
                  <c:v>3.5439228771102136E-3</c:v>
                </c:pt>
                <c:pt idx="179">
                  <c:v>3.5814494802666186E-3</c:v>
                </c:pt>
                <c:pt idx="180">
                  <c:v>3.6003937279460718E-3</c:v>
                </c:pt>
                <c:pt idx="181">
                  <c:v>3.6194362208996633E-3</c:v>
                </c:pt>
                <c:pt idx="182">
                  <c:v>3.6385769590463468E-3</c:v>
                </c:pt>
                <c:pt idx="183">
                  <c:v>3.677222965058347E-3</c:v>
                </c:pt>
                <c:pt idx="184">
                  <c:v>3.7161223642123709E-3</c:v>
                </c:pt>
                <c:pt idx="185">
                  <c:v>3.7357543287297457E-3</c:v>
                </c:pt>
                <c:pt idx="186">
                  <c:v>3.7554845385212587E-3</c:v>
                </c:pt>
                <c:pt idx="187">
                  <c:v>3.7752606984742254E-3</c:v>
                </c:pt>
                <c:pt idx="188">
                  <c:v>3.8142390475389334E-3</c:v>
                </c:pt>
                <c:pt idx="189">
                  <c:v>3.8524192623667908E-3</c:v>
                </c:pt>
                <c:pt idx="190">
                  <c:v>3.8711700889637601E-3</c:v>
                </c:pt>
                <c:pt idx="191">
                  <c:v>3.8897053899156209E-3</c:v>
                </c:pt>
                <c:pt idx="192">
                  <c:v>3.9080251648981879E-3</c:v>
                </c:pt>
                <c:pt idx="193">
                  <c:v>3.9439889108291073E-3</c:v>
                </c:pt>
                <c:pt idx="194">
                  <c:v>3.9791490060270274E-3</c:v>
                </c:pt>
                <c:pt idx="195">
                  <c:v>3.9963911514062644E-3</c:v>
                </c:pt>
                <c:pt idx="196">
                  <c:v>4.0134177708162078E-3</c:v>
                </c:pt>
                <c:pt idx="197">
                  <c:v>4.0302288641758111E-3</c:v>
                </c:pt>
                <c:pt idx="198">
                  <c:v>4.0631778606844051E-3</c:v>
                </c:pt>
                <c:pt idx="199">
                  <c:v>4.0953179763814074E-3</c:v>
                </c:pt>
                <c:pt idx="200">
                  <c:v>4.1110514390030328E-3</c:v>
                </c:pt>
                <c:pt idx="201">
                  <c:v>4.126569375493272E-3</c:v>
                </c:pt>
                <c:pt idx="202">
                  <c:v>4.1418717856900322E-3</c:v>
                </c:pt>
                <c:pt idx="203">
                  <c:v>4.1718058660641013E-3</c:v>
                </c:pt>
                <c:pt idx="204">
                  <c:v>4.200926163380192E-3</c:v>
                </c:pt>
                <c:pt idx="205">
                  <c:v>4.215150941866419E-3</c:v>
                </c:pt>
                <c:pt idx="206">
                  <c:v>4.2291601940591672E-3</c:v>
                </c:pt>
                <c:pt idx="207">
                  <c:v>4.2429539197152977E-3</c:v>
                </c:pt>
                <c:pt idx="208">
                  <c:v>4.2698728986290124E-3</c:v>
                </c:pt>
                <c:pt idx="209">
                  <c:v>4.2959735577030589E-3</c:v>
                </c:pt>
                <c:pt idx="210">
                  <c:v>4.3149654392804493E-3</c:v>
                </c:pt>
                <c:pt idx="211">
                  <c:v>4.3334752575796553E-3</c:v>
                </c:pt>
                <c:pt idx="212">
                  <c:v>4.3573789329035923E-3</c:v>
                </c:pt>
                <c:pt idx="213">
                  <c:v>4.3804601513264263E-3</c:v>
                </c:pt>
                <c:pt idx="214">
                  <c:v>4.3916675580568665E-3</c:v>
                </c:pt>
                <c:pt idx="215">
                  <c:v>4.4026594380885964E-3</c:v>
                </c:pt>
                <c:pt idx="216">
                  <c:v>4.413435791421616E-3</c:v>
                </c:pt>
                <c:pt idx="217">
                  <c:v>4.4343239460598038E-3</c:v>
                </c:pt>
                <c:pt idx="218">
                  <c:v>4.4543859367129901E-3</c:v>
                </c:pt>
                <c:pt idx="219">
                  <c:v>4.4640846560661807E-3</c:v>
                </c:pt>
                <c:pt idx="220">
                  <c:v>4.4735678484775221E-3</c:v>
                </c:pt>
                <c:pt idx="221">
                  <c:v>4.4828355141901532E-3</c:v>
                </c:pt>
                <c:pt idx="222">
                  <c:v>4.5007079180792173E-3</c:v>
                </c:pt>
                <c:pt idx="223">
                  <c:v>4.5177509076221867E-3</c:v>
                </c:pt>
                <c:pt idx="224">
                  <c:v>4.5259409386255722E-3</c:v>
                </c:pt>
                <c:pt idx="225">
                  <c:v>4.5339154426871087E-3</c:v>
                </c:pt>
                <c:pt idx="226">
                  <c:v>4.5416744198878423E-3</c:v>
                </c:pt>
                <c:pt idx="227">
                  <c:v>4.5565308316719575E-3</c:v>
                </c:pt>
                <c:pt idx="228">
                  <c:v>4.5705550583807764E-3</c:v>
                </c:pt>
                <c:pt idx="229">
                  <c:v>4.577236400467033E-3</c:v>
                </c:pt>
                <c:pt idx="230">
                  <c:v>4.5837022155303941E-3</c:v>
                </c:pt>
                <c:pt idx="231">
                  <c:v>4.5899525034087674E-3</c:v>
                </c:pt>
                <c:pt idx="232">
                  <c:v>4.6017926723307409E-3</c:v>
                </c:pt>
                <c:pt idx="233">
                  <c:v>4.6127983844501674E-3</c:v>
                </c:pt>
                <c:pt idx="234">
                  <c:v>4.6179710370519711E-3</c:v>
                </c:pt>
                <c:pt idx="235">
                  <c:v>4.6229281623877405E-3</c:v>
                </c:pt>
                <c:pt idx="236">
                  <c:v>4.6276697606195683E-3</c:v>
                </c:pt>
                <c:pt idx="237">
                  <c:v>4.6364934282228107E-3</c:v>
                </c:pt>
                <c:pt idx="238">
                  <c:v>4.6444808822643235E-3</c:v>
                </c:pt>
                <c:pt idx="239">
                  <c:v>4.6481448448143503E-3</c:v>
                </c:pt>
                <c:pt idx="240">
                  <c:v>4.6515932801793891E-3</c:v>
                </c:pt>
                <c:pt idx="241">
                  <c:v>4.6548261882783937E-3</c:v>
                </c:pt>
                <c:pt idx="242">
                  <c:v>4.6606330903250139E-3</c:v>
                </c:pt>
                <c:pt idx="243">
                  <c:v>4.6656025489866249E-3</c:v>
                </c:pt>
                <c:pt idx="244">
                  <c:v>4.6677578211606896E-3</c:v>
                </c:pt>
                <c:pt idx="245">
                  <c:v>4.6696975662308127E-3</c:v>
                </c:pt>
                <c:pt idx="246">
                  <c:v>4.6714217839538552E-3</c:v>
                </c:pt>
                <c:pt idx="247">
                  <c:v>4.6742116523697721E-3</c:v>
                </c:pt>
                <c:pt idx="248">
                  <c:v>4.6761633828340532E-3</c:v>
                </c:pt>
                <c:pt idx="249">
                  <c:v>4.6768099644700634E-3</c:v>
                </c:pt>
                <c:pt idx="250">
                  <c:v>4.6772410190021318E-3</c:v>
                </c:pt>
                <c:pt idx="251">
                  <c:v>4.6774565461871198E-3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646784"/>
        <c:axId val="496653056"/>
      </c:lineChart>
      <c:dateAx>
        <c:axId val="496646784"/>
        <c:scaling>
          <c:orientation val="minMax"/>
          <c:max val="42185"/>
          <c:min val="4179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653056"/>
        <c:crosses val="autoZero"/>
        <c:auto val="1"/>
        <c:lblOffset val="100"/>
        <c:baseTimeUnit val="days"/>
        <c:majorUnit val="1"/>
        <c:majorTimeUnit val="months"/>
      </c:dateAx>
      <c:valAx>
        <c:axId val="496653056"/>
        <c:scaling>
          <c:orientation val="minMax"/>
          <c:max val="4.0000000000000001E-3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96646784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9524</xdr:colOff>
      <xdr:row>16</xdr:row>
      <xdr:rowOff>76200</xdr:rowOff>
    </xdr:from>
    <xdr:to>
      <xdr:col>7</xdr:col>
      <xdr:colOff>320039</xdr:colOff>
      <xdr:row>38</xdr:row>
      <xdr:rowOff>85725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628650</xdr:colOff>
          <xdr:row>34</xdr:row>
          <xdr:rowOff>38100</xdr:rowOff>
        </xdr:from>
        <xdr:to>
          <xdr:col>10</xdr:col>
          <xdr:colOff>333375</xdr:colOff>
          <xdr:row>36</xdr:row>
          <xdr:rowOff>28575</xdr:rowOff>
        </xdr:to>
        <xdr:sp macro="" textlink="">
          <xdr:nvSpPr>
            <xdr:cNvPr id="13313" name="Length4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26</xdr:row>
          <xdr:rowOff>28575</xdr:rowOff>
        </xdr:from>
        <xdr:to>
          <xdr:col>10</xdr:col>
          <xdr:colOff>361950</xdr:colOff>
          <xdr:row>28</xdr:row>
          <xdr:rowOff>19050</xdr:rowOff>
        </xdr:to>
        <xdr:sp macro="" textlink="">
          <xdr:nvSpPr>
            <xdr:cNvPr id="13314" name="Length1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42</xdr:row>
          <xdr:rowOff>66675</xdr:rowOff>
        </xdr:from>
        <xdr:to>
          <xdr:col>10</xdr:col>
          <xdr:colOff>361950</xdr:colOff>
          <xdr:row>44</xdr:row>
          <xdr:rowOff>57150</xdr:rowOff>
        </xdr:to>
        <xdr:sp macro="" textlink="">
          <xdr:nvSpPr>
            <xdr:cNvPr id="13315" name="Length7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39</xdr:row>
      <xdr:rowOff>19049</xdr:rowOff>
    </xdr:from>
    <xdr:to>
      <xdr:col>7</xdr:col>
      <xdr:colOff>310515</xdr:colOff>
      <xdr:row>61</xdr:row>
      <xdr:rowOff>76199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21</xdr:row>
          <xdr:rowOff>76200</xdr:rowOff>
        </xdr:from>
        <xdr:to>
          <xdr:col>10</xdr:col>
          <xdr:colOff>361950</xdr:colOff>
          <xdr:row>23</xdr:row>
          <xdr:rowOff>66675</xdr:rowOff>
        </xdr:to>
        <xdr:sp macro="" textlink="">
          <xdr:nvSpPr>
            <xdr:cNvPr id="13316" name="Length0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28</xdr:row>
          <xdr:rowOff>133350</xdr:rowOff>
        </xdr:from>
        <xdr:to>
          <xdr:col>10</xdr:col>
          <xdr:colOff>361950</xdr:colOff>
          <xdr:row>30</xdr:row>
          <xdr:rowOff>123825</xdr:rowOff>
        </xdr:to>
        <xdr:sp macro="" textlink="">
          <xdr:nvSpPr>
            <xdr:cNvPr id="13317" name="Length2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31</xdr:row>
          <xdr:rowOff>76200</xdr:rowOff>
        </xdr:from>
        <xdr:to>
          <xdr:col>10</xdr:col>
          <xdr:colOff>361950</xdr:colOff>
          <xdr:row>33</xdr:row>
          <xdr:rowOff>57150</xdr:rowOff>
        </xdr:to>
        <xdr:sp macro="" textlink="">
          <xdr:nvSpPr>
            <xdr:cNvPr id="13318" name="Length3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37</xdr:row>
          <xdr:rowOff>0</xdr:rowOff>
        </xdr:from>
        <xdr:to>
          <xdr:col>10</xdr:col>
          <xdr:colOff>361950</xdr:colOff>
          <xdr:row>38</xdr:row>
          <xdr:rowOff>133350</xdr:rowOff>
        </xdr:to>
        <xdr:sp macro="" textlink="">
          <xdr:nvSpPr>
            <xdr:cNvPr id="13319" name="Length5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39</xdr:row>
          <xdr:rowOff>104775</xdr:rowOff>
        </xdr:from>
        <xdr:to>
          <xdr:col>10</xdr:col>
          <xdr:colOff>361950</xdr:colOff>
          <xdr:row>41</xdr:row>
          <xdr:rowOff>95250</xdr:rowOff>
        </xdr:to>
        <xdr:sp macro="" textlink="">
          <xdr:nvSpPr>
            <xdr:cNvPr id="13320" name="Length6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46</xdr:row>
          <xdr:rowOff>85725</xdr:rowOff>
        </xdr:from>
        <xdr:to>
          <xdr:col>10</xdr:col>
          <xdr:colOff>352425</xdr:colOff>
          <xdr:row>48</xdr:row>
          <xdr:rowOff>104775</xdr:rowOff>
        </xdr:to>
        <xdr:sp macro="" textlink="">
          <xdr:nvSpPr>
            <xdr:cNvPr id="13321" name="Check Box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Unhide/Hide Mkt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K32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57" customWidth="1"/>
    <col min="3" max="3" width="20.28515625" style="157" bestFit="1" customWidth="1"/>
    <col min="4" max="4" width="31.7109375" style="157" bestFit="1" customWidth="1"/>
    <col min="5" max="5" width="22" style="157" bestFit="1" customWidth="1"/>
    <col min="6" max="8" width="2.7109375" style="157" customWidth="1"/>
    <col min="9" max="9" width="18.5703125" style="157" bestFit="1" customWidth="1"/>
    <col min="10" max="10" width="48.42578125" style="157" bestFit="1" customWidth="1"/>
    <col min="11" max="11" width="2.7109375" style="157" customWidth="1"/>
    <col min="12" max="16384" width="8" style="157"/>
  </cols>
  <sheetData>
    <row r="1" spans="2:11" ht="12" thickBot="1" x14ac:dyDescent="0.25">
      <c r="B1" s="157" t="str">
        <f>_xll.qlxlVersion(TRUE,Trigger)</f>
        <v>QuantLibXL 1.5.0 - MS VC++ 9.0 - Multithreaded Dynamic Runtime library - Release Configuration - Jun 25 2014 10:33:09</v>
      </c>
    </row>
    <row r="2" spans="2:11" ht="18.75" thickBot="1" x14ac:dyDescent="0.25">
      <c r="B2" s="211" t="s">
        <v>7</v>
      </c>
      <c r="C2" s="212"/>
      <c r="D2" s="212"/>
      <c r="E2" s="212"/>
      <c r="F2" s="212"/>
      <c r="G2" s="213"/>
      <c r="H2" s="211" t="s">
        <v>67</v>
      </c>
      <c r="I2" s="212"/>
      <c r="J2" s="212"/>
      <c r="K2" s="214"/>
    </row>
    <row r="3" spans="2:11" x14ac:dyDescent="0.2">
      <c r="B3" s="158"/>
      <c r="C3" s="159"/>
      <c r="D3" s="160"/>
      <c r="E3" s="160"/>
      <c r="F3" s="160"/>
      <c r="G3" s="213"/>
      <c r="H3" s="161"/>
      <c r="I3" s="162"/>
      <c r="J3" s="162"/>
      <c r="K3" s="163"/>
    </row>
    <row r="4" spans="2:11" x14ac:dyDescent="0.2">
      <c r="B4" s="158"/>
      <c r="C4" s="164" t="s">
        <v>5</v>
      </c>
      <c r="D4" s="165" t="s">
        <v>40</v>
      </c>
      <c r="E4" s="160"/>
      <c r="F4" s="160"/>
      <c r="G4" s="213"/>
      <c r="H4" s="161"/>
      <c r="I4" s="166" t="s">
        <v>66</v>
      </c>
      <c r="J4" s="167" t="b">
        <v>0</v>
      </c>
      <c r="K4" s="168"/>
    </row>
    <row r="5" spans="2:11" x14ac:dyDescent="0.2">
      <c r="B5" s="158"/>
      <c r="C5" s="169" t="s">
        <v>33</v>
      </c>
      <c r="D5" s="170">
        <v>1</v>
      </c>
      <c r="E5" s="160"/>
      <c r="F5" s="160"/>
      <c r="G5" s="213"/>
      <c r="H5" s="161"/>
      <c r="I5" s="166" t="s">
        <v>65</v>
      </c>
      <c r="J5" s="171"/>
      <c r="K5" s="168"/>
    </row>
    <row r="6" spans="2:11" x14ac:dyDescent="0.2">
      <c r="B6" s="158"/>
      <c r="C6" s="169" t="s">
        <v>29</v>
      </c>
      <c r="D6" s="170" t="str">
        <f>_xll.qlPeriodEquivalent(D5&amp;"M")</f>
        <v>1M</v>
      </c>
      <c r="E6" s="160"/>
      <c r="F6" s="160"/>
      <c r="G6" s="213"/>
      <c r="H6" s="161"/>
      <c r="I6" s="166" t="s">
        <v>64</v>
      </c>
      <c r="J6" s="172" t="b">
        <v>1</v>
      </c>
      <c r="K6" s="168"/>
    </row>
    <row r="7" spans="2:11" ht="12" thickBot="1" x14ac:dyDescent="0.25">
      <c r="B7" s="158"/>
      <c r="C7" s="169" t="s">
        <v>34</v>
      </c>
      <c r="D7" s="170" t="s">
        <v>41</v>
      </c>
      <c r="E7" s="160"/>
      <c r="F7" s="160"/>
      <c r="G7" s="213"/>
      <c r="H7" s="173"/>
      <c r="I7" s="174"/>
      <c r="J7" s="174"/>
      <c r="K7" s="175"/>
    </row>
    <row r="8" spans="2:11" ht="12" thickBot="1" x14ac:dyDescent="0.25">
      <c r="B8" s="158"/>
      <c r="C8" s="169" t="s">
        <v>35</v>
      </c>
      <c r="D8" s="170" t="s">
        <v>36</v>
      </c>
      <c r="E8" s="160"/>
      <c r="F8" s="160"/>
      <c r="G8" s="213"/>
    </row>
    <row r="9" spans="2:11" ht="18.75" thickBot="1" x14ac:dyDescent="0.25">
      <c r="B9" s="158"/>
      <c r="C9" s="169" t="s">
        <v>22</v>
      </c>
      <c r="D9" s="170" t="str">
        <f>Currency&amp;"_YC"&amp;IndexTenor&amp;"RH"</f>
        <v>HKD_YC1MRH</v>
      </c>
      <c r="E9" s="160"/>
      <c r="F9" s="160"/>
      <c r="G9" s="213"/>
      <c r="H9" s="211" t="s">
        <v>63</v>
      </c>
      <c r="I9" s="212"/>
      <c r="J9" s="212"/>
      <c r="K9" s="214"/>
    </row>
    <row r="10" spans="2:11" x14ac:dyDescent="0.2">
      <c r="B10" s="158"/>
      <c r="C10" s="169" t="s">
        <v>13</v>
      </c>
      <c r="D10" s="170" t="b">
        <v>1</v>
      </c>
      <c r="E10" s="160"/>
      <c r="F10" s="160"/>
      <c r="G10" s="213"/>
      <c r="H10" s="161"/>
      <c r="I10" s="162"/>
      <c r="J10" s="162"/>
      <c r="K10" s="163"/>
    </row>
    <row r="11" spans="2:11" x14ac:dyDescent="0.2">
      <c r="B11" s="158"/>
      <c r="C11" s="169" t="s">
        <v>6</v>
      </c>
      <c r="D11" s="176">
        <v>41878.43105324074</v>
      </c>
      <c r="E11" s="160"/>
      <c r="F11" s="160"/>
      <c r="G11" s="213"/>
      <c r="H11" s="161"/>
      <c r="I11" s="177" t="s">
        <v>62</v>
      </c>
      <c r="J11" s="167" t="s">
        <v>61</v>
      </c>
      <c r="K11" s="163"/>
    </row>
    <row r="12" spans="2:11" ht="12" customHeight="1" x14ac:dyDescent="0.2">
      <c r="B12" s="158"/>
      <c r="C12" s="178" t="s">
        <v>26</v>
      </c>
      <c r="D12" s="179" t="b">
        <v>1</v>
      </c>
      <c r="E12" s="160"/>
      <c r="F12" s="160"/>
      <c r="G12" s="213"/>
      <c r="H12" s="161"/>
      <c r="I12" s="177" t="s">
        <v>57</v>
      </c>
      <c r="J12" s="172" t="s">
        <v>56</v>
      </c>
      <c r="K12" s="163"/>
    </row>
    <row r="13" spans="2:11" x14ac:dyDescent="0.2">
      <c r="B13" s="158"/>
      <c r="C13" s="180"/>
      <c r="D13" s="180"/>
      <c r="E13" s="160"/>
      <c r="F13" s="160"/>
      <c r="G13" s="213"/>
      <c r="H13" s="161"/>
      <c r="I13" s="177" t="s">
        <v>55</v>
      </c>
      <c r="J13" s="167"/>
      <c r="K13" s="163"/>
    </row>
    <row r="14" spans="2:11" x14ac:dyDescent="0.2">
      <c r="B14" s="158"/>
      <c r="C14" s="181" t="s">
        <v>14</v>
      </c>
      <c r="D14" s="182" t="str">
        <f>_xll.qlPiecewiseYieldCurve(D16,NDays,Calendar,_xll.ohPack(Selected!D2:D126),DayCounter,,,Accuracy,TraitsID,InterpolatorID,Permanent,,ObjectOverwrite)</f>
        <v>HKDYC1M#0002</v>
      </c>
      <c r="E14" s="160"/>
      <c r="F14" s="160"/>
      <c r="G14" s="213"/>
      <c r="H14" s="161"/>
      <c r="I14" s="177" t="s">
        <v>54</v>
      </c>
      <c r="J14" s="167"/>
      <c r="K14" s="163"/>
    </row>
    <row r="15" spans="2:11" x14ac:dyDescent="0.2">
      <c r="B15" s="158"/>
      <c r="C15" s="183" t="s">
        <v>15</v>
      </c>
      <c r="D15" s="184" t="str">
        <f>_xll.ohRangeRetrieveError(YieldCurve)</f>
        <v/>
      </c>
      <c r="E15" s="160"/>
      <c r="F15" s="160"/>
      <c r="G15" s="213"/>
      <c r="H15" s="161"/>
      <c r="I15" s="177" t="s">
        <v>60</v>
      </c>
      <c r="J15" s="167" t="s">
        <v>58</v>
      </c>
      <c r="K15" s="163"/>
    </row>
    <row r="16" spans="2:11" x14ac:dyDescent="0.2">
      <c r="B16" s="158"/>
      <c r="C16" s="181" t="s">
        <v>9</v>
      </c>
      <c r="D16" s="185" t="str">
        <f>Currency&amp;"YC"&amp;IndexTenor</f>
        <v>HKDYC1M</v>
      </c>
      <c r="E16" s="160"/>
      <c r="F16" s="160"/>
      <c r="G16" s="213"/>
      <c r="H16" s="161"/>
      <c r="I16" s="177" t="s">
        <v>59</v>
      </c>
      <c r="J16" s="167" t="s">
        <v>58</v>
      </c>
      <c r="K16" s="163"/>
    </row>
    <row r="17" spans="2:11" ht="12" thickBot="1" x14ac:dyDescent="0.25">
      <c r="B17" s="158"/>
      <c r="C17" s="186" t="s">
        <v>10</v>
      </c>
      <c r="D17" s="187">
        <v>0</v>
      </c>
      <c r="E17" s="160"/>
      <c r="F17" s="160"/>
      <c r="G17" s="213"/>
      <c r="H17" s="173"/>
      <c r="I17" s="174"/>
      <c r="J17" s="174"/>
      <c r="K17" s="175"/>
    </row>
    <row r="18" spans="2:11" x14ac:dyDescent="0.2">
      <c r="B18" s="158"/>
      <c r="C18" s="186" t="s">
        <v>4</v>
      </c>
      <c r="D18" s="188" t="s">
        <v>42</v>
      </c>
      <c r="E18" s="160"/>
      <c r="F18" s="160"/>
      <c r="G18" s="213"/>
    </row>
    <row r="19" spans="2:11" x14ac:dyDescent="0.2">
      <c r="B19" s="158"/>
      <c r="C19" s="186" t="s">
        <v>8</v>
      </c>
      <c r="D19" s="189"/>
      <c r="E19" s="160"/>
      <c r="F19" s="160"/>
      <c r="G19" s="213"/>
    </row>
    <row r="20" spans="2:11" x14ac:dyDescent="0.2">
      <c r="B20" s="158"/>
      <c r="C20" s="186" t="s">
        <v>31</v>
      </c>
      <c r="D20" s="190" t="str">
        <f>Currency&amp;"TOY_SYNTH"&amp;IndexTenor&amp;"_Quote"</f>
        <v>HKDTOY_SYNTH1M_Quote</v>
      </c>
      <c r="E20" s="191" t="str">
        <f>Currency&amp;"TOY2_SYNTH"&amp;IndexTenor&amp;"_Quote"</f>
        <v>HKDTOY2_SYNTH1M_Quote</v>
      </c>
      <c r="F20" s="160"/>
      <c r="G20" s="213"/>
    </row>
    <row r="21" spans="2:11" x14ac:dyDescent="0.2">
      <c r="B21" s="158"/>
      <c r="C21" s="186" t="s">
        <v>32</v>
      </c>
      <c r="D21" s="192">
        <f>DATE(YEAR(_xll.qlCalendarAdvance(Calendar,_xll.qlSettingsEvaluationDate(Trigger),NDays&amp;"D")),12,31)</f>
        <v>42004</v>
      </c>
      <c r="E21" s="193">
        <f>DATE(YEAR(D21+1),12,31)</f>
        <v>42369</v>
      </c>
      <c r="F21" s="160"/>
      <c r="G21" s="213"/>
    </row>
    <row r="22" spans="2:11" x14ac:dyDescent="0.2">
      <c r="B22" s="158"/>
      <c r="C22" s="186" t="s">
        <v>37</v>
      </c>
      <c r="D22" s="194"/>
      <c r="E22" s="195"/>
      <c r="F22" s="160"/>
      <c r="G22" s="213"/>
    </row>
    <row r="23" spans="2:11" x14ac:dyDescent="0.2">
      <c r="B23" s="158"/>
      <c r="C23" s="186" t="s">
        <v>21</v>
      </c>
      <c r="D23" s="196" t="e">
        <f>NA()</f>
        <v>#N/A</v>
      </c>
      <c r="E23" s="160"/>
      <c r="F23" s="160"/>
      <c r="G23" s="213"/>
    </row>
    <row r="24" spans="2:11" x14ac:dyDescent="0.2">
      <c r="B24" s="158"/>
      <c r="C24" s="186" t="s">
        <v>11</v>
      </c>
      <c r="D24" s="197" t="s">
        <v>30</v>
      </c>
      <c r="E24" s="160"/>
      <c r="F24" s="160"/>
      <c r="G24" s="213"/>
    </row>
    <row r="25" spans="2:11" x14ac:dyDescent="0.2">
      <c r="B25" s="158"/>
      <c r="C25" s="183" t="s">
        <v>12</v>
      </c>
      <c r="D25" s="198" t="s">
        <v>53</v>
      </c>
      <c r="E25" s="160"/>
      <c r="F25" s="160"/>
      <c r="G25" s="213"/>
    </row>
    <row r="26" spans="2:11" x14ac:dyDescent="0.2">
      <c r="B26" s="158"/>
      <c r="C26" s="180"/>
      <c r="D26" s="180"/>
      <c r="E26" s="160"/>
      <c r="F26" s="160"/>
      <c r="G26" s="213"/>
    </row>
    <row r="27" spans="2:11" x14ac:dyDescent="0.2">
      <c r="B27" s="158"/>
      <c r="C27" s="199">
        <f>_xll.qlTermStructureReferenceDate(YieldCurve)</f>
        <v>41878</v>
      </c>
      <c r="D27" s="200">
        <f>MAX(_xll.ohPack(Selected!J1:J13))</f>
        <v>1</v>
      </c>
      <c r="E27" s="160"/>
      <c r="F27" s="160"/>
      <c r="G27" s="213"/>
    </row>
    <row r="28" spans="2:11" x14ac:dyDescent="0.2">
      <c r="B28" s="158"/>
      <c r="C28" s="201">
        <f>MAX(_xll.ohPack(Selected!I2:I13))</f>
        <v>42244</v>
      </c>
      <c r="D28" s="202">
        <f>MIN(_xll.ohPack(Selected!J1:J13))</f>
        <v>0.99710265595942715</v>
      </c>
      <c r="E28" s="160"/>
      <c r="F28" s="160"/>
      <c r="G28" s="213"/>
    </row>
    <row r="29" spans="2:11" x14ac:dyDescent="0.2">
      <c r="B29" s="158"/>
      <c r="C29" s="201" t="s">
        <v>15</v>
      </c>
      <c r="D29" s="203" t="str">
        <f>_xll.ohRangeRetrieveError(Selected!J1)</f>
        <v/>
      </c>
      <c r="E29" s="160"/>
      <c r="F29" s="160"/>
      <c r="G29" s="213"/>
    </row>
    <row r="30" spans="2:11" ht="14.25" customHeight="1" x14ac:dyDescent="0.2">
      <c r="B30" s="158"/>
      <c r="C30" s="204" t="str">
        <f>UPPER(Currency)&amp;"1M"</f>
        <v>HKD1M</v>
      </c>
      <c r="D30" s="205" t="b">
        <f>_xll.qlRelinkableHandleLinkTo(C30,YieldCurve)</f>
        <v>1</v>
      </c>
      <c r="E30" s="160"/>
      <c r="F30" s="160"/>
      <c r="G30" s="213"/>
    </row>
    <row r="31" spans="2:11" x14ac:dyDescent="0.2">
      <c r="B31" s="158"/>
      <c r="C31" s="206" t="s">
        <v>91</v>
      </c>
      <c r="D31" s="207" t="b">
        <v>0</v>
      </c>
      <c r="E31" s="160"/>
      <c r="F31" s="160"/>
      <c r="G31" s="213"/>
    </row>
    <row r="32" spans="2:11" ht="12" thickBot="1" x14ac:dyDescent="0.25">
      <c r="B32" s="208"/>
      <c r="C32" s="209"/>
      <c r="D32" s="209"/>
      <c r="E32" s="210"/>
      <c r="F32" s="210"/>
      <c r="G32" s="213"/>
    </row>
  </sheetData>
  <phoneticPr fontId="4" type="noConversion"/>
  <dataValidations count="7"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">
      <formula1>"EUR,USD,GBP,JPY,CHF,HKD,CHY,AUD,PLN,HUF"</formula1>
    </dataValidation>
    <dataValidation type="list" allowBlank="1" showInputMessage="1" showErrorMessage="1" sqref="J15:J16">
      <formula1>"Actual/Actual (ISDA),Actual/360,30/360 (Bond Basis),30E/360 (Eurobond Basis),Actual/365 (Fixed),Actual/Actual (ISMA),Actual/Actual (AFB),1/1,30/360 (Italian),Simple"</formula1>
    </dataValidation>
    <dataValidation type="list" showInputMessage="1" showErrorMessage="1" sqref="J11">
      <formula1>"Libor,ibor,Hibor"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3"/>
  <sheetViews>
    <sheetView topLeftCell="B1" workbookViewId="0">
      <selection activeCell="B1" sqref="B1"/>
    </sheetView>
  </sheetViews>
  <sheetFormatPr defaultRowHeight="11.25" x14ac:dyDescent="0.2"/>
  <cols>
    <col min="1" max="1" width="16.7109375" style="18" hidden="1" customWidth="1"/>
    <col min="2" max="2" width="27.5703125" style="18" bestFit="1" customWidth="1"/>
    <col min="3" max="5" width="8" style="18" bestFit="1" customWidth="1"/>
    <col min="6" max="6" width="9.28515625" style="18" customWidth="1"/>
    <col min="7" max="7" width="9" style="18" bestFit="1" customWidth="1"/>
    <col min="8" max="9" width="17.28515625" style="18" bestFit="1" customWidth="1"/>
    <col min="10" max="10" width="3" style="1" bestFit="1" customWidth="1"/>
    <col min="11" max="11" width="14.140625" style="1" bestFit="1" customWidth="1"/>
    <col min="12" max="12" width="28.140625" style="1" bestFit="1" customWidth="1"/>
    <col min="13" max="13" width="3.5703125" style="1" customWidth="1"/>
    <col min="14" max="16384" width="9.140625" style="1"/>
  </cols>
  <sheetData>
    <row r="1" spans="1:11" ht="33.75" x14ac:dyDescent="0.2">
      <c r="A1" s="19" t="s">
        <v>19</v>
      </c>
      <c r="B1" s="19" t="s">
        <v>92</v>
      </c>
      <c r="C1" s="19" t="s">
        <v>16</v>
      </c>
      <c r="D1" s="19" t="s">
        <v>25</v>
      </c>
      <c r="E1" s="19" t="s">
        <v>2</v>
      </c>
      <c r="F1" s="19" t="s">
        <v>3</v>
      </c>
      <c r="G1" s="19" t="s">
        <v>38</v>
      </c>
      <c r="H1" s="19" t="s">
        <v>0</v>
      </c>
      <c r="I1" s="19" t="s">
        <v>1</v>
      </c>
    </row>
    <row r="2" spans="1:11" x14ac:dyDescent="0.2">
      <c r="A2" s="32" t="str">
        <f>Deposits!E3</f>
        <v>obj_0013d#0000</v>
      </c>
      <c r="B2" s="32" t="str">
        <f>_xll.qlRateHelperQuoteName(A2)</f>
        <v>HKDHibor1MLastFixing_Quote</v>
      </c>
      <c r="C2" s="33">
        <f>_xll.qlRateHelperQuoteValue($A2,Trigger)</f>
        <v>2.2714000000000002E-3</v>
      </c>
      <c r="D2" s="33"/>
      <c r="E2" s="34" t="b">
        <f>IF(ISERROR(C2),FALSE,TRUE)</f>
        <v>1</v>
      </c>
      <c r="F2" s="34">
        <v>10</v>
      </c>
      <c r="G2" s="34">
        <v>1</v>
      </c>
      <c r="H2" s="35">
        <f>_xll.qlRateHelperEarliestDate($A2,Trigger)</f>
        <v>41878</v>
      </c>
      <c r="I2" s="36">
        <f>_xll.qlRateHelperLatestDate($A2,Trigger)</f>
        <v>41911</v>
      </c>
    </row>
    <row r="3" spans="1:11" x14ac:dyDescent="0.2">
      <c r="A3" s="29" t="str">
        <f>Swaps!K6</f>
        <v>obj_00137#0001</v>
      </c>
      <c r="B3" s="29" t="str">
        <f>_xll.qlRateHelperQuoteName(A3)</f>
        <v>HKDAM1H2M_Quote</v>
      </c>
      <c r="C3" s="20" t="e">
        <f>_xll.qlRateHelperQuoteValue($A3,Trigger)</f>
        <v>#NUM!</v>
      </c>
      <c r="D3" s="20">
        <f>_xll.qlSwapRateHelperSpread($A3,Trigger)</f>
        <v>0</v>
      </c>
      <c r="E3" s="21" t="b">
        <f t="shared" ref="E3:E13" si="0">IF(ISERROR(C3),FALSE,TRUE)</f>
        <v>0</v>
      </c>
      <c r="F3" s="21">
        <v>50</v>
      </c>
      <c r="G3" s="21">
        <v>1</v>
      </c>
      <c r="H3" s="22">
        <f>_xll.qlRateHelperEarliestDate($A3,Trigger)</f>
        <v>41879</v>
      </c>
      <c r="I3" s="23">
        <f>_xll.qlRateHelperLatestDate($A3,Trigger)</f>
        <v>41940</v>
      </c>
      <c r="K3" s="31"/>
    </row>
    <row r="4" spans="1:11" x14ac:dyDescent="0.2">
      <c r="A4" s="29" t="str">
        <f>Swaps!K7</f>
        <v>obj_00133#0001</v>
      </c>
      <c r="B4" s="29" t="str">
        <f>_xll.qlRateHelperQuoteName(A4)</f>
        <v>HKDAM1H3M_Quote</v>
      </c>
      <c r="C4" s="20">
        <f>_xll.qlRateHelperQuoteValue($A4,Trigger)</f>
        <v>2.1000000000000003E-3</v>
      </c>
      <c r="D4" s="20">
        <f>_xll.qlSwapRateHelperSpread($A4,Trigger)</f>
        <v>0</v>
      </c>
      <c r="E4" s="21" t="b">
        <f t="shared" si="0"/>
        <v>1</v>
      </c>
      <c r="F4" s="21">
        <v>50</v>
      </c>
      <c r="G4" s="21">
        <v>1</v>
      </c>
      <c r="H4" s="22">
        <f>_xll.qlRateHelperEarliestDate($A4,Trigger)</f>
        <v>41879</v>
      </c>
      <c r="I4" s="23">
        <f>_xll.qlRateHelperLatestDate($A4,Trigger)</f>
        <v>41971</v>
      </c>
      <c r="K4" s="31"/>
    </row>
    <row r="5" spans="1:11" x14ac:dyDescent="0.2">
      <c r="A5" s="29" t="str">
        <f>Swaps!K8</f>
        <v>obj_00134#0001</v>
      </c>
      <c r="B5" s="29" t="str">
        <f>_xll.qlRateHelperQuoteName(A5)</f>
        <v>HKDAM1H4M_Quote</v>
      </c>
      <c r="C5" s="20" t="e">
        <f>_xll.qlRateHelperQuoteValue($A5,Trigger)</f>
        <v>#NUM!</v>
      </c>
      <c r="D5" s="20">
        <f>_xll.qlSwapRateHelperSpread($A5,Trigger)</f>
        <v>0</v>
      </c>
      <c r="E5" s="21" t="b">
        <f t="shared" si="0"/>
        <v>0</v>
      </c>
      <c r="F5" s="21">
        <v>50</v>
      </c>
      <c r="G5" s="21">
        <v>1</v>
      </c>
      <c r="H5" s="22">
        <f>_xll.qlRateHelperEarliestDate($A5,Trigger)</f>
        <v>41879</v>
      </c>
      <c r="I5" s="23">
        <f>_xll.qlRateHelperLatestDate($A5,Trigger)</f>
        <v>42002</v>
      </c>
      <c r="K5" s="31"/>
    </row>
    <row r="6" spans="1:11" x14ac:dyDescent="0.2">
      <c r="A6" s="29" t="str">
        <f>Swaps!K9</f>
        <v>obj_00138#0001</v>
      </c>
      <c r="B6" s="29" t="str">
        <f>_xll.qlRateHelperQuoteName(A6)</f>
        <v>HKDAM1H5M_Quote</v>
      </c>
      <c r="C6" s="20" t="e">
        <f>_xll.qlRateHelperQuoteValue($A6,Trigger)</f>
        <v>#NUM!</v>
      </c>
      <c r="D6" s="20">
        <f>_xll.qlSwapRateHelperSpread($A6,Trigger)</f>
        <v>0</v>
      </c>
      <c r="E6" s="21" t="b">
        <f t="shared" si="0"/>
        <v>0</v>
      </c>
      <c r="F6" s="21">
        <v>50</v>
      </c>
      <c r="G6" s="21">
        <v>1</v>
      </c>
      <c r="H6" s="22">
        <f>_xll.qlRateHelperEarliestDate($A6,Trigger)</f>
        <v>41879</v>
      </c>
      <c r="I6" s="23">
        <f>_xll.qlRateHelperLatestDate($A6,Trigger)</f>
        <v>42032</v>
      </c>
      <c r="K6" s="31"/>
    </row>
    <row r="7" spans="1:11" x14ac:dyDescent="0.2">
      <c r="A7" s="29" t="str">
        <f>Swaps!K10</f>
        <v>obj_00132#0001</v>
      </c>
      <c r="B7" s="29" t="str">
        <f>_xll.qlRateHelperQuoteName(A7)</f>
        <v>HKDAM1H6M_Quote</v>
      </c>
      <c r="C7" s="20">
        <f>_xll.qlRateHelperQuoteValue($A7,Trigger)</f>
        <v>2.1000000000000003E-3</v>
      </c>
      <c r="D7" s="20">
        <f>_xll.qlSwapRateHelperSpread($A7,Trigger)</f>
        <v>0</v>
      </c>
      <c r="E7" s="21" t="b">
        <f t="shared" si="0"/>
        <v>1</v>
      </c>
      <c r="F7" s="21">
        <v>50</v>
      </c>
      <c r="G7" s="21">
        <v>1</v>
      </c>
      <c r="H7" s="22">
        <f>_xll.qlRateHelperEarliestDate($A7,Trigger)</f>
        <v>41879</v>
      </c>
      <c r="I7" s="23">
        <f>_xll.qlRateHelperLatestDate($A7,Trigger)</f>
        <v>42062</v>
      </c>
      <c r="K7" s="31"/>
    </row>
    <row r="8" spans="1:11" x14ac:dyDescent="0.2">
      <c r="A8" s="29" t="str">
        <f>Swaps!K11</f>
        <v>obj_0013b#0001</v>
      </c>
      <c r="B8" s="29" t="str">
        <f>_xll.qlRateHelperQuoteName(A8)</f>
        <v>HKDAM1H7M_Quote</v>
      </c>
      <c r="C8" s="20" t="e">
        <f>_xll.qlRateHelperQuoteValue($A8,Trigger)</f>
        <v>#NUM!</v>
      </c>
      <c r="D8" s="20">
        <f>_xll.qlSwapRateHelperSpread($A8,Trigger)</f>
        <v>0</v>
      </c>
      <c r="E8" s="21" t="b">
        <f t="shared" si="0"/>
        <v>0</v>
      </c>
      <c r="F8" s="21">
        <v>50</v>
      </c>
      <c r="G8" s="21">
        <v>1</v>
      </c>
      <c r="H8" s="22">
        <f>_xll.qlRateHelperEarliestDate($A8,Trigger)</f>
        <v>41879</v>
      </c>
      <c r="I8" s="23">
        <f>_xll.qlRateHelperLatestDate($A8,Trigger)</f>
        <v>42093</v>
      </c>
      <c r="K8" s="31"/>
    </row>
    <row r="9" spans="1:11" x14ac:dyDescent="0.2">
      <c r="A9" s="29" t="str">
        <f>Swaps!K12</f>
        <v>obj_00136#0001</v>
      </c>
      <c r="B9" s="29" t="str">
        <f>_xll.qlRateHelperQuoteName(A9)</f>
        <v>HKDAM1H8M_Quote</v>
      </c>
      <c r="C9" s="20" t="e">
        <f>_xll.qlRateHelperQuoteValue($A9,Trigger)</f>
        <v>#NUM!</v>
      </c>
      <c r="D9" s="20">
        <f>_xll.qlSwapRateHelperSpread($A9,Trigger)</f>
        <v>0</v>
      </c>
      <c r="E9" s="21" t="b">
        <f t="shared" si="0"/>
        <v>0</v>
      </c>
      <c r="F9" s="21">
        <v>50</v>
      </c>
      <c r="G9" s="21">
        <v>1</v>
      </c>
      <c r="H9" s="22">
        <f>_xll.qlRateHelperEarliestDate($A9,Trigger)</f>
        <v>41879</v>
      </c>
      <c r="I9" s="23">
        <f>_xll.qlRateHelperLatestDate($A9,Trigger)</f>
        <v>42122</v>
      </c>
      <c r="K9" s="31"/>
    </row>
    <row r="10" spans="1:11" x14ac:dyDescent="0.2">
      <c r="A10" s="29" t="str">
        <f>Swaps!K13</f>
        <v>obj_00139#0001</v>
      </c>
      <c r="B10" s="29" t="str">
        <f>_xll.qlRateHelperQuoteName(A10)</f>
        <v>HKDAM1H9M_Quote</v>
      </c>
      <c r="C10" s="20">
        <f>_xll.qlRateHelperQuoteValue($A10,Trigger)</f>
        <v>2.3999999999999998E-3</v>
      </c>
      <c r="D10" s="20">
        <f>_xll.qlSwapRateHelperSpread($A10,Trigger)</f>
        <v>0</v>
      </c>
      <c r="E10" s="21" t="b">
        <f t="shared" si="0"/>
        <v>1</v>
      </c>
      <c r="F10" s="21">
        <v>50</v>
      </c>
      <c r="G10" s="21">
        <v>1</v>
      </c>
      <c r="H10" s="22">
        <f>_xll.qlRateHelperEarliestDate($A10,Trigger)</f>
        <v>41879</v>
      </c>
      <c r="I10" s="23">
        <f>_xll.qlRateHelperLatestDate($A10,Trigger)</f>
        <v>42152</v>
      </c>
      <c r="K10" s="31"/>
    </row>
    <row r="11" spans="1:11" x14ac:dyDescent="0.2">
      <c r="A11" s="29" t="str">
        <f>Swaps!K14</f>
        <v>obj_0013c#0001</v>
      </c>
      <c r="B11" s="29" t="str">
        <f>_xll.qlRateHelperQuoteName(A11)</f>
        <v>HKDAM1H10M_Quote</v>
      </c>
      <c r="C11" s="20" t="e">
        <f>_xll.qlRateHelperQuoteValue($A11,Trigger)</f>
        <v>#NUM!</v>
      </c>
      <c r="D11" s="20">
        <f>_xll.qlSwapRateHelperSpread($A11,Trigger)</f>
        <v>0</v>
      </c>
      <c r="E11" s="21" t="b">
        <f t="shared" si="0"/>
        <v>0</v>
      </c>
      <c r="F11" s="21">
        <v>50</v>
      </c>
      <c r="G11" s="21">
        <v>1</v>
      </c>
      <c r="H11" s="22">
        <f>_xll.qlRateHelperEarliestDate($A11,Trigger)</f>
        <v>41879</v>
      </c>
      <c r="I11" s="23">
        <f>_xll.qlRateHelperLatestDate($A11,Trigger)</f>
        <v>42184</v>
      </c>
      <c r="K11" s="31"/>
    </row>
    <row r="12" spans="1:11" x14ac:dyDescent="0.2">
      <c r="A12" s="29" t="str">
        <f>Swaps!K15</f>
        <v>obj_00135#0001</v>
      </c>
      <c r="B12" s="29" t="str">
        <f>_xll.qlRateHelperQuoteName(A12)</f>
        <v>HKDAM1H11M_Quote</v>
      </c>
      <c r="C12" s="20" t="e">
        <f>_xll.qlRateHelperQuoteValue($A12,Trigger)</f>
        <v>#NUM!</v>
      </c>
      <c r="D12" s="20">
        <f>_xll.qlSwapRateHelperSpread($A12,Trigger)</f>
        <v>0</v>
      </c>
      <c r="E12" s="21" t="b">
        <f t="shared" si="0"/>
        <v>0</v>
      </c>
      <c r="F12" s="21">
        <v>50</v>
      </c>
      <c r="G12" s="21">
        <v>1</v>
      </c>
      <c r="H12" s="22">
        <f>_xll.qlRateHelperEarliestDate($A12,Trigger)</f>
        <v>41879</v>
      </c>
      <c r="I12" s="23">
        <f>_xll.qlRateHelperLatestDate($A12,Trigger)</f>
        <v>42213</v>
      </c>
      <c r="K12" s="31"/>
    </row>
    <row r="13" spans="1:11" x14ac:dyDescent="0.2">
      <c r="A13" s="28" t="str">
        <f>Swaps!K16</f>
        <v>obj_0013a#0001</v>
      </c>
      <c r="B13" s="28" t="str">
        <f>_xll.qlRateHelperQuoteName(A13)</f>
        <v>HKDAM1H1Y_Quote</v>
      </c>
      <c r="C13" s="24">
        <f>_xll.qlRateHelperQuoteValue($A13,Trigger)</f>
        <v>2.9000000000000002E-3</v>
      </c>
      <c r="D13" s="24">
        <f>_xll.qlSwapRateHelperSpread($A13,Trigger)</f>
        <v>0</v>
      </c>
      <c r="E13" s="25" t="b">
        <f t="shared" si="0"/>
        <v>1</v>
      </c>
      <c r="F13" s="25">
        <v>50</v>
      </c>
      <c r="G13" s="25">
        <v>1</v>
      </c>
      <c r="H13" s="26">
        <f>_xll.qlRateHelperEarliestDate($A13,Trigger)</f>
        <v>41879</v>
      </c>
      <c r="I13" s="27">
        <f>_xll.qlRateHelperLatestDate($A13,Trigger)</f>
        <v>42244</v>
      </c>
      <c r="K13" s="31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1" bestFit="1" customWidth="1"/>
    <col min="2" max="2" width="9" style="1" bestFit="1" customWidth="1"/>
    <col min="3" max="3" width="5.28515625" style="1" customWidth="1"/>
    <col min="4" max="4" width="22.42578125" style="18" hidden="1" customWidth="1"/>
    <col min="5" max="5" width="27.5703125" style="18" bestFit="1" customWidth="1"/>
    <col min="6" max="6" width="8" style="18" customWidth="1"/>
    <col min="7" max="7" width="8" style="18" bestFit="1" customWidth="1"/>
    <col min="8" max="9" width="17.28515625" style="18" bestFit="1" customWidth="1"/>
    <col min="10" max="10" width="12" style="1" bestFit="1" customWidth="1"/>
    <col min="11" max="16384" width="9.140625" style="1"/>
  </cols>
  <sheetData>
    <row r="1" spans="1:10" ht="23.25" thickBot="1" x14ac:dyDescent="0.25">
      <c r="A1" s="217" t="s">
        <v>20</v>
      </c>
      <c r="B1" s="218"/>
      <c r="D1" s="37" t="s">
        <v>93</v>
      </c>
      <c r="E1" s="2" t="s">
        <v>92</v>
      </c>
      <c r="F1" s="3" t="s">
        <v>39</v>
      </c>
      <c r="G1" s="3"/>
      <c r="H1" s="3" t="s">
        <v>0</v>
      </c>
      <c r="I1" s="4" t="s">
        <v>1</v>
      </c>
      <c r="J1" s="5">
        <f t="array" ref="J1:J126">_xll.qlPiecewiseYieldCurveData(YieldCurve)</f>
        <v>1</v>
      </c>
    </row>
    <row r="2" spans="1:10" x14ac:dyDescent="0.2">
      <c r="A2" s="6" t="s">
        <v>27</v>
      </c>
      <c r="B2" s="7">
        <v>8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ISERROR(Swaps!RateHelperConstructors))</f>
        <v>obj_0013d</v>
      </c>
      <c r="E2" s="8" t="str">
        <f>_xll.qlRateHelperQuoteName(D2)</f>
        <v>HKDHibor1MLastFixing_Quote</v>
      </c>
      <c r="F2" s="9">
        <f>_xll.qlRateHelperRate($D2)</f>
        <v>2.1029E-3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0">
        <f>_xll.qlRateHelperEarliestDate($D2)</f>
        <v>41878</v>
      </c>
      <c r="I2" s="11">
        <f>_xll.qlRateHelperLatestDate($D2)</f>
        <v>41911</v>
      </c>
      <c r="J2" s="5">
        <v>0.99980991093524307</v>
      </c>
    </row>
    <row r="3" spans="1:10" x14ac:dyDescent="0.2">
      <c r="A3" s="12" t="s">
        <v>28</v>
      </c>
      <c r="B3" s="13">
        <v>0</v>
      </c>
      <c r="D3" s="8" t="str">
        <v>obj_00133</v>
      </c>
      <c r="E3" s="8" t="str">
        <f>_xll.qlRateHelperQuoteName(D3)</f>
        <v>HKDAM1H3M_Quote</v>
      </c>
      <c r="F3" s="9">
        <f>_xll.qlRateHelperRate($D3)</f>
        <v>2.1000000000000003E-3</v>
      </c>
      <c r="G3" s="9">
        <f>IF(ISERROR(_xll.qlSwapRateHelperSpread($D3)),IF(ISERROR(_xll.qlFuturesRateHelperConvexityAdjustment($D3)),"--",_xll.qlFuturesRateHelperConvexityAdjustment($D3)),_xll.qlSwapRateHelperSpread($D3))</f>
        <v>0</v>
      </c>
      <c r="H3" s="10">
        <f>_xll.qlRateHelperEarliestDate($D3)</f>
        <v>41879</v>
      </c>
      <c r="I3" s="11">
        <f>_xll.qlRateHelperLatestDate($D3)</f>
        <v>41971</v>
      </c>
      <c r="J3" s="5">
        <v>0.99946522165938834</v>
      </c>
    </row>
    <row r="4" spans="1:10" x14ac:dyDescent="0.2">
      <c r="A4" s="12" t="s">
        <v>17</v>
      </c>
      <c r="B4" s="13">
        <v>1</v>
      </c>
      <c r="D4" s="8" t="str">
        <v>obj_00132</v>
      </c>
      <c r="E4" s="8" t="str">
        <f>_xll.qlRateHelperQuoteName(D4)</f>
        <v>HKDAM1H6M_Quote</v>
      </c>
      <c r="F4" s="9">
        <f>_xll.qlRateHelperRate($D4)</f>
        <v>2.1000000000000003E-3</v>
      </c>
      <c r="G4" s="9">
        <f>IF(ISERROR(_xll.qlSwapRateHelperSpread($D4)),IF(ISERROR(_xll.qlFuturesRateHelperConvexityAdjustment($D4)),"--",_xll.qlFuturesRateHelperConvexityAdjustment($D4)),_xll.qlSwapRateHelperSpread($D4))</f>
        <v>0</v>
      </c>
      <c r="H4" s="10">
        <f>_xll.qlRateHelperEarliestDate($D4)</f>
        <v>41879</v>
      </c>
      <c r="I4" s="11">
        <f>_xll.qlRateHelperLatestDate($D4)</f>
        <v>42062</v>
      </c>
      <c r="J4" s="5">
        <v>0.99894249037699345</v>
      </c>
    </row>
    <row r="5" spans="1:10" ht="12" thickBot="1" x14ac:dyDescent="0.25">
      <c r="A5" s="127" t="s">
        <v>18</v>
      </c>
      <c r="B5" s="128" t="s">
        <v>24</v>
      </c>
      <c r="D5" s="8" t="str">
        <v>obj_00139</v>
      </c>
      <c r="E5" s="8" t="str">
        <f>_xll.qlRateHelperQuoteName(D5)</f>
        <v>HKDAM1H9M_Quote</v>
      </c>
      <c r="F5" s="9">
        <f>_xll.qlRateHelperRate($D5)</f>
        <v>2.3999999999999998E-3</v>
      </c>
      <c r="G5" s="9">
        <f>IF(ISERROR(_xll.qlSwapRateHelperSpread($D5)),IF(ISERROR(_xll.qlFuturesRateHelperConvexityAdjustment($D5)),"--",_xll.qlFuturesRateHelperConvexityAdjustment($D5)),_xll.qlSwapRateHelperSpread($D5))</f>
        <v>0</v>
      </c>
      <c r="H5" s="10">
        <f>_xll.qlRateHelperEarliestDate($D5)</f>
        <v>41879</v>
      </c>
      <c r="I5" s="11">
        <f>_xll.qlRateHelperLatestDate($D5)</f>
        <v>42152</v>
      </c>
      <c r="J5" s="5">
        <v>0.99820241196221071</v>
      </c>
    </row>
    <row r="6" spans="1:10" x14ac:dyDescent="0.2">
      <c r="A6" s="129"/>
      <c r="B6" s="129"/>
      <c r="D6" s="8" t="str">
        <v>obj_0013a</v>
      </c>
      <c r="E6" s="8" t="str">
        <f>_xll.qlRateHelperQuoteName(D6)</f>
        <v>HKDAM1H1Y_Quote</v>
      </c>
      <c r="F6" s="9">
        <f>_xll.qlRateHelperRate($D6)</f>
        <v>2.9000000000000002E-3</v>
      </c>
      <c r="G6" s="9">
        <f>IF(ISERROR(_xll.qlSwapRateHelperSpread($D6)),IF(ISERROR(_xll.qlFuturesRateHelperConvexityAdjustment($D6)),"--",_xll.qlFuturesRateHelperConvexityAdjustment($D6)),_xll.qlSwapRateHelperSpread($D6))</f>
        <v>0</v>
      </c>
      <c r="H6" s="10">
        <f>_xll.qlRateHelperEarliestDate($D6)</f>
        <v>41879</v>
      </c>
      <c r="I6" s="11">
        <f>_xll.qlRateHelperLatestDate($D6)</f>
        <v>42244</v>
      </c>
      <c r="J6" s="5">
        <v>0.99710265595942715</v>
      </c>
    </row>
    <row r="7" spans="1:10" x14ac:dyDescent="0.2">
      <c r="D7" s="8" t="e">
        <v>#N/A</v>
      </c>
      <c r="E7" s="8" t="e">
        <f>_xll.qlRateHelperQuoteName(D7)</f>
        <v>#VALUE!</v>
      </c>
      <c r="F7" s="9" t="e">
        <f>_xll.qlRateHelperRate($D7)</f>
        <v>#VALUE!</v>
      </c>
      <c r="G7" s="9" t="str">
        <f>IF(ISERROR(_xll.qlSwapRateHelperSpread($D7)),IF(ISERROR(_xll.qlFuturesRateHelperConvexityAdjustment($D7)),"--",_xll.qlFuturesRateHelperConvexityAdjustment($D7)),_xll.qlSwapRateHelperSpread($D7))</f>
        <v>--</v>
      </c>
      <c r="H7" s="10" t="e">
        <f>_xll.qlRateHelperEarliestDate($D7)</f>
        <v>#VALUE!</v>
      </c>
      <c r="I7" s="11" t="e">
        <f>_xll.qlRateHelperLatestDate($D7)</f>
        <v>#VALUE!</v>
      </c>
      <c r="J7" s="5" t="e">
        <v>#N/A</v>
      </c>
    </row>
    <row r="8" spans="1:10" x14ac:dyDescent="0.2">
      <c r="D8" s="8" t="e">
        <v>#N/A</v>
      </c>
      <c r="E8" s="8" t="e">
        <f>_xll.qlRateHelperQuoteName(D8)</f>
        <v>#VALUE!</v>
      </c>
      <c r="F8" s="9" t="e">
        <f>_xll.qlRateHelperRate($D8)</f>
        <v>#VALUE!</v>
      </c>
      <c r="G8" s="9" t="str">
        <f>IF(ISERROR(_xll.qlSwapRateHelperSpread($D8)),IF(ISERROR(_xll.qlFuturesRateHelperConvexityAdjustment($D8)),"--",_xll.qlFuturesRateHelperConvexityAdjustment($D8)),_xll.qlSwapRateHelperSpread($D8))</f>
        <v>--</v>
      </c>
      <c r="H8" s="10" t="e">
        <f>_xll.qlRateHelperEarliestDate($D8)</f>
        <v>#VALUE!</v>
      </c>
      <c r="I8" s="11" t="e">
        <f>_xll.qlRateHelperLatestDate($D8)</f>
        <v>#VALUE!</v>
      </c>
      <c r="J8" s="5" t="e">
        <v>#N/A</v>
      </c>
    </row>
    <row r="9" spans="1:10" x14ac:dyDescent="0.2">
      <c r="D9" s="8" t="e">
        <v>#N/A</v>
      </c>
      <c r="E9" s="8" t="e">
        <f>_xll.qlRateHelperQuoteName(D9)</f>
        <v>#VALUE!</v>
      </c>
      <c r="F9" s="9" t="e">
        <f>_xll.qlRateHelperRate($D9)</f>
        <v>#VALUE!</v>
      </c>
      <c r="G9" s="9" t="str">
        <f>IF(ISERROR(_xll.qlSwapRateHelperSpread($D9)),IF(ISERROR(_xll.qlFuturesRateHelperConvexityAdjustment($D9)),"--",_xll.qlFuturesRateHelperConvexityAdjustment($D9)),_xll.qlSwapRateHelperSpread($D9))</f>
        <v>--</v>
      </c>
      <c r="H9" s="10" t="e">
        <f>_xll.qlRateHelperEarliestDate($D9)</f>
        <v>#VALUE!</v>
      </c>
      <c r="I9" s="11" t="e">
        <f>_xll.qlRateHelperLatestDate($D9)</f>
        <v>#VALUE!</v>
      </c>
      <c r="J9" s="5" t="e">
        <v>#N/A</v>
      </c>
    </row>
    <row r="10" spans="1:10" x14ac:dyDescent="0.2">
      <c r="D10" s="8" t="e">
        <v>#N/A</v>
      </c>
      <c r="E10" s="8" t="e">
        <f>_xll.qlRateHelperQuoteName(D10)</f>
        <v>#VALUE!</v>
      </c>
      <c r="F10" s="9" t="e">
        <f>_xll.qlRateHelperRate($D10)</f>
        <v>#VALUE!</v>
      </c>
      <c r="G10" s="9" t="str">
        <f>IF(ISERROR(_xll.qlSwapRateHelperSpread($D10)),IF(ISERROR(_xll.qlFuturesRateHelperConvexityAdjustment($D10)),"--",_xll.qlFuturesRateHelperConvexityAdjustment($D10)),_xll.qlSwapRateHelperSpread($D10))</f>
        <v>--</v>
      </c>
      <c r="H10" s="10" t="e">
        <f>_xll.qlRateHelperEarliestDate($D10)</f>
        <v>#VALUE!</v>
      </c>
      <c r="I10" s="11" t="e">
        <f>_xll.qlRateHelperLatestDate($D10)</f>
        <v>#VALUE!</v>
      </c>
      <c r="J10" s="5" t="e">
        <v>#N/A</v>
      </c>
    </row>
    <row r="11" spans="1:10" x14ac:dyDescent="0.2">
      <c r="D11" s="8" t="e">
        <v>#N/A</v>
      </c>
      <c r="E11" s="8" t="e">
        <f>_xll.qlRateHelperQuoteName(D11)</f>
        <v>#VALUE!</v>
      </c>
      <c r="F11" s="9" t="e">
        <f>_xll.qlRateHelperRate($D11)</f>
        <v>#VALUE!</v>
      </c>
      <c r="G11" s="9" t="str">
        <f>IF(ISERROR(_xll.qlSwapRateHelperSpread($D11)),IF(ISERROR(_xll.qlFuturesRateHelperConvexityAdjustment($D11)),"--",_xll.qlFuturesRateHelperConvexityAdjustment($D11)),_xll.qlSwapRateHelperSpread($D11))</f>
        <v>--</v>
      </c>
      <c r="H11" s="10" t="e">
        <f>_xll.qlRateHelperEarliestDate($D11)</f>
        <v>#VALUE!</v>
      </c>
      <c r="I11" s="11" t="e">
        <f>_xll.qlRateHelperLatestDate($D11)</f>
        <v>#VALUE!</v>
      </c>
      <c r="J11" s="5" t="e">
        <v>#N/A</v>
      </c>
    </row>
    <row r="12" spans="1:10" x14ac:dyDescent="0.2">
      <c r="D12" s="8" t="e">
        <v>#N/A</v>
      </c>
      <c r="E12" s="8" t="e">
        <f>_xll.qlRateHelperQuoteName(D12)</f>
        <v>#VALUE!</v>
      </c>
      <c r="F12" s="9" t="e">
        <f>_xll.qlRateHelperRate($D12)</f>
        <v>#VALUE!</v>
      </c>
      <c r="G12" s="9" t="str">
        <f>IF(ISERROR(_xll.qlSwapRateHelperSpread($D12)),IF(ISERROR(_xll.qlFuturesRateHelperConvexityAdjustment($D12)),"--",_xll.qlFuturesRateHelperConvexityAdjustment($D12)),_xll.qlSwapRateHelperSpread($D12))</f>
        <v>--</v>
      </c>
      <c r="H12" s="10" t="e">
        <f>_xll.qlRateHelperEarliestDate($D12)</f>
        <v>#VALUE!</v>
      </c>
      <c r="I12" s="11" t="e">
        <f>_xll.qlRateHelperLatestDate($D12)</f>
        <v>#VALUE!</v>
      </c>
      <c r="J12" s="5" t="e">
        <v>#N/A</v>
      </c>
    </row>
    <row r="13" spans="1:10" x14ac:dyDescent="0.2">
      <c r="D13" s="8" t="e">
        <v>#N/A</v>
      </c>
      <c r="E13" s="8" t="e">
        <f>_xll.qlRateHelperQuoteName(D13)</f>
        <v>#VALUE!</v>
      </c>
      <c r="F13" s="9" t="e">
        <f>_xll.qlRateHelperRate($D13)</f>
        <v>#VALUE!</v>
      </c>
      <c r="G13" s="9" t="str">
        <f>IF(ISERROR(_xll.qlSwapRateHelperSpread($D13)),IF(ISERROR(_xll.qlFuturesRateHelperConvexityAdjustment($D13)),"--",_xll.qlFuturesRateHelperConvexityAdjustment($D13)),_xll.qlSwapRateHelperSpread($D13))</f>
        <v>--</v>
      </c>
      <c r="H13" s="10" t="e">
        <f>_xll.qlRateHelperEarliestDate($D13)</f>
        <v>#VALUE!</v>
      </c>
      <c r="I13" s="11" t="e">
        <f>_xll.qlRateHelperLatestDate($D13)</f>
        <v>#VALUE!</v>
      </c>
      <c r="J13" s="5" t="e">
        <v>#N/A</v>
      </c>
    </row>
    <row r="14" spans="1:10" x14ac:dyDescent="0.2">
      <c r="D14" s="8" t="e">
        <v>#N/A</v>
      </c>
      <c r="E14" s="8" t="e">
        <f>_xll.qlRateHelperQuoteName(D14)</f>
        <v>#VALUE!</v>
      </c>
      <c r="F14" s="9" t="e">
        <f>_xll.qlRateHelperRate($D14)</f>
        <v>#VALUE!</v>
      </c>
      <c r="G14" s="9" t="str">
        <f>IF(ISERROR(_xll.qlSwapRateHelperSpread($D14)),IF(ISERROR(_xll.qlFuturesRateHelperConvexityAdjustment($D14)),"--",_xll.qlFuturesRateHelperConvexityAdjustment($D14)),_xll.qlSwapRateHelperSpread($D14))</f>
        <v>--</v>
      </c>
      <c r="H14" s="10" t="e">
        <f>_xll.qlRateHelperEarliestDate($D14)</f>
        <v>#VALUE!</v>
      </c>
      <c r="I14" s="11" t="e">
        <f>_xll.qlRateHelperLatestDate($D14)</f>
        <v>#VALUE!</v>
      </c>
      <c r="J14" s="5" t="e">
        <v>#N/A</v>
      </c>
    </row>
    <row r="15" spans="1:10" x14ac:dyDescent="0.2">
      <c r="D15" s="8" t="e">
        <v>#N/A</v>
      </c>
      <c r="E15" s="8" t="e">
        <f>_xll.qlRateHelperQuoteName(D15)</f>
        <v>#VALUE!</v>
      </c>
      <c r="F15" s="9" t="e">
        <f>_xll.qlRateHelperRate($D15)</f>
        <v>#VALUE!</v>
      </c>
      <c r="G15" s="9" t="str">
        <f>IF(ISERROR(_xll.qlSwapRateHelperSpread($D15)),IF(ISERROR(_xll.qlFuturesRateHelperConvexityAdjustment($D15)),"--",_xll.qlFuturesRateHelperConvexityAdjustment($D15)),_xll.qlSwapRateHelperSpread($D15))</f>
        <v>--</v>
      </c>
      <c r="H15" s="10" t="e">
        <f>_xll.qlRateHelperEarliestDate($D15)</f>
        <v>#VALUE!</v>
      </c>
      <c r="I15" s="11" t="e">
        <f>_xll.qlRateHelperLatestDate($D15)</f>
        <v>#VALUE!</v>
      </c>
      <c r="J15" s="5" t="e">
        <v>#N/A</v>
      </c>
    </row>
    <row r="16" spans="1:10" x14ac:dyDescent="0.2">
      <c r="D16" s="8" t="e">
        <v>#N/A</v>
      </c>
      <c r="E16" s="8" t="e">
        <f>_xll.qlRateHelperQuoteName(D16)</f>
        <v>#VALUE!</v>
      </c>
      <c r="F16" s="9" t="e">
        <f>_xll.qlRateHelperRate($D16)</f>
        <v>#VALUE!</v>
      </c>
      <c r="G16" s="9" t="str">
        <f>IF(ISERROR(_xll.qlSwapRateHelperSpread($D16)),IF(ISERROR(_xll.qlFuturesRateHelperConvexityAdjustment($D16)),"--",_xll.qlFuturesRateHelperConvexityAdjustment($D16)),_xll.qlSwapRateHelperSpread($D16))</f>
        <v>--</v>
      </c>
      <c r="H16" s="10" t="e">
        <f>_xll.qlRateHelperEarliestDate($D16)</f>
        <v>#VALUE!</v>
      </c>
      <c r="I16" s="11" t="e">
        <f>_xll.qlRateHelperLatestDate($D16)</f>
        <v>#VALUE!</v>
      </c>
      <c r="J16" s="5" t="e">
        <v>#N/A</v>
      </c>
    </row>
    <row r="17" spans="4:10" x14ac:dyDescent="0.2">
      <c r="D17" s="8" t="e">
        <v>#N/A</v>
      </c>
      <c r="E17" s="8" t="e">
        <f>_xll.qlRateHelperQuoteName(D17)</f>
        <v>#VALUE!</v>
      </c>
      <c r="F17" s="9" t="e">
        <f>_xll.qlRateHelperRate($D17)</f>
        <v>#VALUE!</v>
      </c>
      <c r="G17" s="9" t="str">
        <f>IF(ISERROR(_xll.qlSwapRateHelperSpread($D17)),IF(ISERROR(_xll.qlFuturesRateHelperConvexityAdjustment($D17)),"--",_xll.qlFuturesRateHelperConvexityAdjustment($D17)),_xll.qlSwapRateHelperSpread($D17))</f>
        <v>--</v>
      </c>
      <c r="H17" s="10" t="e">
        <f>_xll.qlRateHelperEarliestDate($D17)</f>
        <v>#VALUE!</v>
      </c>
      <c r="I17" s="11" t="e">
        <f>_xll.qlRateHelperLatestDate($D17)</f>
        <v>#VALUE!</v>
      </c>
      <c r="J17" s="5" t="e">
        <v>#N/A</v>
      </c>
    </row>
    <row r="18" spans="4:10" x14ac:dyDescent="0.2">
      <c r="D18" s="8" t="e">
        <v>#N/A</v>
      </c>
      <c r="E18" s="8" t="e">
        <f>_xll.qlRateHelperQuoteName(D18)</f>
        <v>#VALUE!</v>
      </c>
      <c r="F18" s="9" t="e">
        <f>_xll.qlRateHelperRate($D18)</f>
        <v>#VALUE!</v>
      </c>
      <c r="G18" s="9" t="str">
        <f>IF(ISERROR(_xll.qlSwapRateHelperSpread($D18)),IF(ISERROR(_xll.qlFuturesRateHelperConvexityAdjustment($D18)),"--",_xll.qlFuturesRateHelperConvexityAdjustment($D18)),_xll.qlSwapRateHelperSpread($D18))</f>
        <v>--</v>
      </c>
      <c r="H18" s="10" t="e">
        <f>_xll.qlRateHelperEarliestDate($D18)</f>
        <v>#VALUE!</v>
      </c>
      <c r="I18" s="11" t="e">
        <f>_xll.qlRateHelperLatestDate($D18)</f>
        <v>#VALUE!</v>
      </c>
      <c r="J18" s="5" t="e">
        <v>#N/A</v>
      </c>
    </row>
    <row r="19" spans="4:10" x14ac:dyDescent="0.2">
      <c r="D19" s="8" t="e">
        <v>#N/A</v>
      </c>
      <c r="E19" s="8" t="e">
        <f>_xll.qlRateHelperQuoteName(D19)</f>
        <v>#VALUE!</v>
      </c>
      <c r="F19" s="9" t="e">
        <f>_xll.qlRateHelperRate($D19)</f>
        <v>#VALUE!</v>
      </c>
      <c r="G19" s="9" t="str">
        <f>IF(ISERROR(_xll.qlSwapRateHelperSpread($D19)),IF(ISERROR(_xll.qlFuturesRateHelperConvexityAdjustment($D19)),"--",_xll.qlFuturesRateHelperConvexityAdjustment($D19)),_xll.qlSwapRateHelperSpread($D19))</f>
        <v>--</v>
      </c>
      <c r="H19" s="10" t="e">
        <f>_xll.qlRateHelperEarliestDate($D19)</f>
        <v>#VALUE!</v>
      </c>
      <c r="I19" s="11" t="e">
        <f>_xll.qlRateHelperLatestDate($D19)</f>
        <v>#VALUE!</v>
      </c>
      <c r="J19" s="5" t="e">
        <v>#N/A</v>
      </c>
    </row>
    <row r="20" spans="4:10" x14ac:dyDescent="0.2">
      <c r="D20" s="8" t="e">
        <v>#N/A</v>
      </c>
      <c r="E20" s="8" t="e">
        <f>_xll.qlRateHelperQuoteName(D20)</f>
        <v>#VALUE!</v>
      </c>
      <c r="F20" s="9" t="e">
        <f>_xll.qlRateHelperRate($D20)</f>
        <v>#VALUE!</v>
      </c>
      <c r="G20" s="9" t="str">
        <f>IF(ISERROR(_xll.qlSwapRateHelperSpread($D20)),IF(ISERROR(_xll.qlFuturesRateHelperConvexityAdjustment($D20)),"--",_xll.qlFuturesRateHelperConvexityAdjustment($D20)),_xll.qlSwapRateHelperSpread($D20))</f>
        <v>--</v>
      </c>
      <c r="H20" s="10" t="e">
        <f>_xll.qlRateHelperEarliestDate($D20)</f>
        <v>#VALUE!</v>
      </c>
      <c r="I20" s="11" t="e">
        <f>_xll.qlRateHelperLatestDate($D20)</f>
        <v>#VALUE!</v>
      </c>
      <c r="J20" s="5" t="e">
        <v>#N/A</v>
      </c>
    </row>
    <row r="21" spans="4:10" x14ac:dyDescent="0.2">
      <c r="D21" s="8" t="e">
        <v>#N/A</v>
      </c>
      <c r="E21" s="8" t="e">
        <f>_xll.qlRateHelperQuoteName(D21)</f>
        <v>#VALUE!</v>
      </c>
      <c r="F21" s="9" t="e">
        <f>_xll.qlRateHelperRate($D21)</f>
        <v>#VALUE!</v>
      </c>
      <c r="G21" s="9" t="str">
        <f>IF(ISERROR(_xll.qlSwapRateHelperSpread($D21)),IF(ISERROR(_xll.qlFuturesRateHelperConvexityAdjustment($D21)),"--",_xll.qlFuturesRateHelperConvexityAdjustment($D21)),_xll.qlSwapRateHelperSpread($D21))</f>
        <v>--</v>
      </c>
      <c r="H21" s="10" t="e">
        <f>_xll.qlRateHelperEarliestDate($D21)</f>
        <v>#VALUE!</v>
      </c>
      <c r="I21" s="11" t="e">
        <f>_xll.qlRateHelperLatestDate($D21)</f>
        <v>#VALUE!</v>
      </c>
      <c r="J21" s="5" t="e">
        <v>#N/A</v>
      </c>
    </row>
    <row r="22" spans="4:10" x14ac:dyDescent="0.2">
      <c r="D22" s="8" t="e">
        <v>#N/A</v>
      </c>
      <c r="E22" s="8" t="e">
        <f>_xll.qlRateHelperQuoteName(D22)</f>
        <v>#VALUE!</v>
      </c>
      <c r="F22" s="9" t="e">
        <f>_xll.qlRateHelperRate($D22)</f>
        <v>#VALUE!</v>
      </c>
      <c r="G22" s="9" t="str">
        <f>IF(ISERROR(_xll.qlSwapRateHelperSpread($D22)),IF(ISERROR(_xll.qlFuturesRateHelperConvexityAdjustment($D22)),"--",_xll.qlFuturesRateHelperConvexityAdjustment($D22)),_xll.qlSwapRateHelperSpread($D22))</f>
        <v>--</v>
      </c>
      <c r="H22" s="10" t="e">
        <f>_xll.qlRateHelperEarliestDate($D22)</f>
        <v>#VALUE!</v>
      </c>
      <c r="I22" s="11" t="e">
        <f>_xll.qlRateHelperLatestDate($D22)</f>
        <v>#VALUE!</v>
      </c>
      <c r="J22" s="5" t="e">
        <v>#N/A</v>
      </c>
    </row>
    <row r="23" spans="4:10" x14ac:dyDescent="0.2">
      <c r="D23" s="8" t="e">
        <v>#N/A</v>
      </c>
      <c r="E23" s="8" t="e">
        <f>_xll.qlRateHelperQuoteName(D23)</f>
        <v>#VALUE!</v>
      </c>
      <c r="F23" s="9" t="e">
        <f>_xll.qlRateHelperRate($D23)</f>
        <v>#VALUE!</v>
      </c>
      <c r="G23" s="9" t="str">
        <f>IF(ISERROR(_xll.qlSwapRateHelperSpread($D23)),IF(ISERROR(_xll.qlFuturesRateHelperConvexityAdjustment($D23)),"--",_xll.qlFuturesRateHelperConvexityAdjustment($D23)),_xll.qlSwapRateHelperSpread($D23))</f>
        <v>--</v>
      </c>
      <c r="H23" s="10" t="e">
        <f>_xll.qlRateHelperEarliestDate($D23)</f>
        <v>#VALUE!</v>
      </c>
      <c r="I23" s="11" t="e">
        <f>_xll.qlRateHelperLatestDate($D23)</f>
        <v>#VALUE!</v>
      </c>
      <c r="J23" s="5" t="e">
        <v>#N/A</v>
      </c>
    </row>
    <row r="24" spans="4:10" x14ac:dyDescent="0.2">
      <c r="D24" s="8" t="e">
        <v>#N/A</v>
      </c>
      <c r="E24" s="8" t="e">
        <f>_xll.qlRateHelperQuoteName(D24)</f>
        <v>#VALUE!</v>
      </c>
      <c r="F24" s="9" t="e">
        <f>_xll.qlRateHelperRate($D24)</f>
        <v>#VALUE!</v>
      </c>
      <c r="G24" s="9" t="str">
        <f>IF(ISERROR(_xll.qlSwapRateHelperSpread($D24)),IF(ISERROR(_xll.qlFuturesRateHelperConvexityAdjustment($D24)),"--",_xll.qlFuturesRateHelperConvexityAdjustment($D24)),_xll.qlSwapRateHelperSpread($D24))</f>
        <v>--</v>
      </c>
      <c r="H24" s="10" t="e">
        <f>_xll.qlRateHelperEarliestDate($D24)</f>
        <v>#VALUE!</v>
      </c>
      <c r="I24" s="11" t="e">
        <f>_xll.qlRateHelperLatestDate($D24)</f>
        <v>#VALUE!</v>
      </c>
      <c r="J24" s="5" t="e">
        <v>#N/A</v>
      </c>
    </row>
    <row r="25" spans="4:10" x14ac:dyDescent="0.2">
      <c r="D25" s="8" t="e">
        <v>#N/A</v>
      </c>
      <c r="E25" s="8" t="e">
        <f>_xll.qlRateHelperQuoteName(D25)</f>
        <v>#VALUE!</v>
      </c>
      <c r="F25" s="9" t="e">
        <f>_xll.qlRateHelperRate($D25)</f>
        <v>#VALUE!</v>
      </c>
      <c r="G25" s="9" t="str">
        <f>IF(ISERROR(_xll.qlSwapRateHelperSpread($D25)),IF(ISERROR(_xll.qlFuturesRateHelperConvexityAdjustment($D25)),"--",_xll.qlFuturesRateHelperConvexityAdjustment($D25)),_xll.qlSwapRateHelperSpread($D25))</f>
        <v>--</v>
      </c>
      <c r="H25" s="10" t="e">
        <f>_xll.qlRateHelperEarliestDate($D25)</f>
        <v>#VALUE!</v>
      </c>
      <c r="I25" s="11" t="e">
        <f>_xll.qlRateHelperLatestDate($D25)</f>
        <v>#VALUE!</v>
      </c>
      <c r="J25" s="5" t="e">
        <v>#N/A</v>
      </c>
    </row>
    <row r="26" spans="4:10" x14ac:dyDescent="0.2">
      <c r="D26" s="8" t="e">
        <v>#N/A</v>
      </c>
      <c r="E26" s="8" t="e">
        <f>_xll.qlRateHelperQuoteName(D26)</f>
        <v>#VALUE!</v>
      </c>
      <c r="F26" s="9" t="e">
        <f>_xll.qlRateHelperRate($D26)</f>
        <v>#VALUE!</v>
      </c>
      <c r="G26" s="9" t="str">
        <f>IF(ISERROR(_xll.qlSwapRateHelperSpread($D26)),IF(ISERROR(_xll.qlFuturesRateHelperConvexityAdjustment($D26)),"--",_xll.qlFuturesRateHelperConvexityAdjustment($D26)),_xll.qlSwapRateHelperSpread($D26))</f>
        <v>--</v>
      </c>
      <c r="H26" s="10" t="e">
        <f>_xll.qlRateHelperEarliestDate($D26)</f>
        <v>#VALUE!</v>
      </c>
      <c r="I26" s="11" t="e">
        <f>_xll.qlRateHelperLatestDate($D26)</f>
        <v>#VALUE!</v>
      </c>
      <c r="J26" s="5" t="e">
        <v>#N/A</v>
      </c>
    </row>
    <row r="27" spans="4:10" x14ac:dyDescent="0.2">
      <c r="D27" s="8" t="e">
        <v>#N/A</v>
      </c>
      <c r="E27" s="8" t="e">
        <f>_xll.qlRateHelperQuoteName(D27)</f>
        <v>#VALUE!</v>
      </c>
      <c r="F27" s="9" t="e">
        <f>_xll.qlRateHelperRate($D27)</f>
        <v>#VALUE!</v>
      </c>
      <c r="G27" s="9" t="str">
        <f>IF(ISERROR(_xll.qlSwapRateHelperSpread($D27)),IF(ISERROR(_xll.qlFuturesRateHelperConvexityAdjustment($D27)),"--",_xll.qlFuturesRateHelperConvexityAdjustment($D27)),_xll.qlSwapRateHelperSpread($D27))</f>
        <v>--</v>
      </c>
      <c r="H27" s="10" t="e">
        <f>_xll.qlRateHelperEarliestDate($D27)</f>
        <v>#VALUE!</v>
      </c>
      <c r="I27" s="11" t="e">
        <f>_xll.qlRateHelperLatestDate($D27)</f>
        <v>#VALUE!</v>
      </c>
      <c r="J27" s="5" t="e">
        <v>#N/A</v>
      </c>
    </row>
    <row r="28" spans="4:10" x14ac:dyDescent="0.2">
      <c r="D28" s="8" t="e">
        <v>#N/A</v>
      </c>
      <c r="E28" s="8" t="e">
        <f>_xll.qlRateHelperQuoteName(D28)</f>
        <v>#VALUE!</v>
      </c>
      <c r="F28" s="9" t="e">
        <f>_xll.qlRateHelperRate($D28)</f>
        <v>#VALUE!</v>
      </c>
      <c r="G28" s="9" t="str">
        <f>IF(ISERROR(_xll.qlSwapRateHelperSpread($D28)),IF(ISERROR(_xll.qlFuturesRateHelperConvexityAdjustment($D28)),"--",_xll.qlFuturesRateHelperConvexityAdjustment($D28)),_xll.qlSwapRateHelperSpread($D28))</f>
        <v>--</v>
      </c>
      <c r="H28" s="10" t="e">
        <f>_xll.qlRateHelperEarliestDate($D28)</f>
        <v>#VALUE!</v>
      </c>
      <c r="I28" s="11" t="e">
        <f>_xll.qlRateHelperLatestDate($D28)</f>
        <v>#VALUE!</v>
      </c>
      <c r="J28" s="5" t="e">
        <v>#N/A</v>
      </c>
    </row>
    <row r="29" spans="4:10" x14ac:dyDescent="0.2">
      <c r="D29" s="8" t="e">
        <v>#N/A</v>
      </c>
      <c r="E29" s="8" t="e">
        <f>_xll.qlRateHelperQuoteName(D29)</f>
        <v>#VALUE!</v>
      </c>
      <c r="F29" s="9" t="e">
        <f>_xll.qlRateHelperRate($D29)</f>
        <v>#VALUE!</v>
      </c>
      <c r="G29" s="9" t="str">
        <f>IF(ISERROR(_xll.qlSwapRateHelperSpread($D29)),IF(ISERROR(_xll.qlFuturesRateHelperConvexityAdjustment($D29)),"--",_xll.qlFuturesRateHelperConvexityAdjustment($D29)),_xll.qlSwapRateHelperSpread($D29))</f>
        <v>--</v>
      </c>
      <c r="H29" s="10" t="e">
        <f>_xll.qlRateHelperEarliestDate($D29)</f>
        <v>#VALUE!</v>
      </c>
      <c r="I29" s="11" t="e">
        <f>_xll.qlRateHelperLatestDate($D29)</f>
        <v>#VALUE!</v>
      </c>
      <c r="J29" s="5" t="e">
        <v>#N/A</v>
      </c>
    </row>
    <row r="30" spans="4:10" x14ac:dyDescent="0.2">
      <c r="D30" s="8" t="e">
        <v>#N/A</v>
      </c>
      <c r="E30" s="8" t="e">
        <f>_xll.qlRateHelperQuoteName(D30)</f>
        <v>#VALUE!</v>
      </c>
      <c r="F30" s="9" t="e">
        <f>_xll.qlRateHelperRate($D30)</f>
        <v>#VALUE!</v>
      </c>
      <c r="G30" s="9" t="str">
        <f>IF(ISERROR(_xll.qlSwapRateHelperSpread($D30)),IF(ISERROR(_xll.qlFuturesRateHelperConvexityAdjustment($D30)),"--",_xll.qlFuturesRateHelperConvexityAdjustment($D30)),_xll.qlSwapRateHelperSpread($D30))</f>
        <v>--</v>
      </c>
      <c r="H30" s="10" t="e">
        <f>_xll.qlRateHelperEarliestDate($D30)</f>
        <v>#VALUE!</v>
      </c>
      <c r="I30" s="11" t="e">
        <f>_xll.qlRateHelperLatestDate($D30)</f>
        <v>#VALUE!</v>
      </c>
      <c r="J30" s="5" t="e">
        <v>#N/A</v>
      </c>
    </row>
    <row r="31" spans="4:10" x14ac:dyDescent="0.2">
      <c r="D31" s="8" t="e">
        <v>#N/A</v>
      </c>
      <c r="E31" s="8" t="e">
        <f>_xll.qlRateHelperQuoteName(D31)</f>
        <v>#VALUE!</v>
      </c>
      <c r="F31" s="9" t="e">
        <f>_xll.qlRateHelperRate($D31)</f>
        <v>#VALUE!</v>
      </c>
      <c r="G31" s="9" t="str">
        <f>IF(ISERROR(_xll.qlSwapRateHelperSpread($D31)),IF(ISERROR(_xll.qlFuturesRateHelperConvexityAdjustment($D31)),"--",_xll.qlFuturesRateHelperConvexityAdjustment($D31)),_xll.qlSwapRateHelperSpread($D31))</f>
        <v>--</v>
      </c>
      <c r="H31" s="10" t="e">
        <f>_xll.qlRateHelperEarliestDate($D31)</f>
        <v>#VALUE!</v>
      </c>
      <c r="I31" s="11" t="e">
        <f>_xll.qlRateHelperLatestDate($D31)</f>
        <v>#VALUE!</v>
      </c>
      <c r="J31" s="5" t="e">
        <v>#N/A</v>
      </c>
    </row>
    <row r="32" spans="4:10" x14ac:dyDescent="0.2">
      <c r="D32" s="8" t="e">
        <v>#N/A</v>
      </c>
      <c r="E32" s="8" t="e">
        <f>_xll.qlRateHelperQuoteName(D32)</f>
        <v>#VALUE!</v>
      </c>
      <c r="F32" s="9" t="e">
        <f>_xll.qlRateHelperRate($D32)</f>
        <v>#VALUE!</v>
      </c>
      <c r="G32" s="9" t="str">
        <f>IF(ISERROR(_xll.qlSwapRateHelperSpread($D32)),IF(ISERROR(_xll.qlFuturesRateHelperConvexityAdjustment($D32)),"--",_xll.qlFuturesRateHelperConvexityAdjustment($D32)),_xll.qlSwapRateHelperSpread($D32))</f>
        <v>--</v>
      </c>
      <c r="H32" s="10" t="e">
        <f>_xll.qlRateHelperEarliestDate($D32)</f>
        <v>#VALUE!</v>
      </c>
      <c r="I32" s="11" t="e">
        <f>_xll.qlRateHelperLatestDate($D32)</f>
        <v>#VALUE!</v>
      </c>
      <c r="J32" s="5" t="e">
        <v>#N/A</v>
      </c>
    </row>
    <row r="33" spans="4:10" x14ac:dyDescent="0.2">
      <c r="D33" s="8" t="e">
        <v>#N/A</v>
      </c>
      <c r="E33" s="8" t="e">
        <f>_xll.qlRateHelperQuoteName(D33)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0" t="e">
        <f>_xll.qlRateHelperEarliestDate($D33)</f>
        <v>#VALUE!</v>
      </c>
      <c r="I33" s="11" t="e">
        <f>_xll.qlRateHelperLatestDate($D33)</f>
        <v>#VALUE!</v>
      </c>
      <c r="J33" s="5" t="e">
        <v>#N/A</v>
      </c>
    </row>
    <row r="34" spans="4:10" x14ac:dyDescent="0.2">
      <c r="D34" s="8" t="e">
        <v>#N/A</v>
      </c>
      <c r="E34" s="8" t="e">
        <f>_xll.qlRateHelperQuoteName(D34)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0" t="e">
        <f>_xll.qlRateHelperEarliestDate($D34)</f>
        <v>#VALUE!</v>
      </c>
      <c r="I34" s="11" t="e">
        <f>_xll.qlRateHelperLatestDate($D34)</f>
        <v>#VALUE!</v>
      </c>
      <c r="J34" s="5" t="e">
        <v>#N/A</v>
      </c>
    </row>
    <row r="35" spans="4:10" x14ac:dyDescent="0.2">
      <c r="D35" s="8" t="e">
        <v>#N/A</v>
      </c>
      <c r="E35" s="8" t="e">
        <f>_xll.qlRateHelperQuoteName(D35)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0" t="e">
        <f>_xll.qlRateHelperEarliestDate($D35)</f>
        <v>#VALUE!</v>
      </c>
      <c r="I35" s="11" t="e">
        <f>_xll.qlRateHelperLatestDate($D35)</f>
        <v>#VALUE!</v>
      </c>
      <c r="J35" s="5" t="e">
        <v>#N/A</v>
      </c>
    </row>
    <row r="36" spans="4:10" x14ac:dyDescent="0.2">
      <c r="D36" s="8" t="e">
        <v>#N/A</v>
      </c>
      <c r="E36" s="8" t="e">
        <f>_xll.qlRateHelperQuoteName(D36)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0" t="e">
        <f>_xll.qlRateHelperEarliestDate($D36)</f>
        <v>#VALUE!</v>
      </c>
      <c r="I36" s="11" t="e">
        <f>_xll.qlRateHelperLatestDate($D36)</f>
        <v>#VALUE!</v>
      </c>
      <c r="J36" s="5" t="e">
        <v>#N/A</v>
      </c>
    </row>
    <row r="37" spans="4:10" x14ac:dyDescent="0.2">
      <c r="D37" s="8" t="e">
        <v>#N/A</v>
      </c>
      <c r="E37" s="8" t="e">
        <f>_xll.qlRateHelperQuoteName(D37)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0" t="e">
        <f>_xll.qlRateHelperEarliestDate($D37)</f>
        <v>#VALUE!</v>
      </c>
      <c r="I37" s="11" t="e">
        <f>_xll.qlRateHelperLatestDate($D37)</f>
        <v>#VALUE!</v>
      </c>
      <c r="J37" s="5" t="e">
        <v>#N/A</v>
      </c>
    </row>
    <row r="38" spans="4:10" x14ac:dyDescent="0.2">
      <c r="D38" s="8" t="e">
        <v>#N/A</v>
      </c>
      <c r="E38" s="8" t="e">
        <f>_xll.qlRateHelperQuoteName(D38)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0" t="e">
        <f>_xll.qlRateHelperEarliestDate($D38)</f>
        <v>#VALUE!</v>
      </c>
      <c r="I38" s="11" t="e">
        <f>_xll.qlRateHelperLatestDate($D38)</f>
        <v>#VALUE!</v>
      </c>
      <c r="J38" s="5" t="e">
        <v>#N/A</v>
      </c>
    </row>
    <row r="39" spans="4:10" x14ac:dyDescent="0.2">
      <c r="D39" s="8" t="e">
        <v>#N/A</v>
      </c>
      <c r="E39" s="8" t="e">
        <f>_xll.qlRateHelperQuoteName(D39)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0" t="e">
        <f>_xll.qlRateHelperEarliestDate($D39)</f>
        <v>#VALUE!</v>
      </c>
      <c r="I39" s="11" t="e">
        <f>_xll.qlRateHelperLatestDate($D39)</f>
        <v>#VALUE!</v>
      </c>
      <c r="J39" s="5" t="e">
        <v>#N/A</v>
      </c>
    </row>
    <row r="40" spans="4:10" x14ac:dyDescent="0.2">
      <c r="D40" s="8" t="e">
        <v>#N/A</v>
      </c>
      <c r="E40" s="8" t="e">
        <f>_xll.qlRateHelperQuoteName(D40)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0" t="e">
        <f>_xll.qlRateHelperEarliestDate($D40)</f>
        <v>#VALUE!</v>
      </c>
      <c r="I40" s="11" t="e">
        <f>_xll.qlRateHelperLatestDate($D40)</f>
        <v>#VALUE!</v>
      </c>
      <c r="J40" s="5" t="e">
        <v>#N/A</v>
      </c>
    </row>
    <row r="41" spans="4:10" x14ac:dyDescent="0.2">
      <c r="D41" s="8" t="e">
        <v>#N/A</v>
      </c>
      <c r="E41" s="8" t="e">
        <f>_xll.qlRateHelperQuoteName(D41)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0" t="e">
        <f>_xll.qlRateHelperEarliestDate($D41)</f>
        <v>#VALUE!</v>
      </c>
      <c r="I41" s="11" t="e">
        <f>_xll.qlRateHelperLatestDate($D41)</f>
        <v>#VALUE!</v>
      </c>
      <c r="J41" s="5" t="e">
        <v>#N/A</v>
      </c>
    </row>
    <row r="42" spans="4:10" x14ac:dyDescent="0.2">
      <c r="D42" s="8" t="e">
        <v>#N/A</v>
      </c>
      <c r="E42" s="8" t="e">
        <f>_xll.qlRateHelperQuoteName(D42)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0" t="e">
        <f>_xll.qlRateHelperEarliestDate($D42)</f>
        <v>#VALUE!</v>
      </c>
      <c r="I42" s="11" t="e">
        <f>_xll.qlRateHelperLatestDate($D42)</f>
        <v>#VALUE!</v>
      </c>
      <c r="J42" s="5" t="e">
        <v>#N/A</v>
      </c>
    </row>
    <row r="43" spans="4:10" x14ac:dyDescent="0.2">
      <c r="D43" s="8" t="e">
        <v>#N/A</v>
      </c>
      <c r="E43" s="8" t="e">
        <f>_xll.qlRateHelperQuoteName(D43)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0" t="e">
        <f>_xll.qlRateHelperEarliestDate($D43)</f>
        <v>#VALUE!</v>
      </c>
      <c r="I43" s="11" t="e">
        <f>_xll.qlRateHelperLatestDate($D43)</f>
        <v>#VALUE!</v>
      </c>
      <c r="J43" s="5" t="e">
        <v>#N/A</v>
      </c>
    </row>
    <row r="44" spans="4:10" x14ac:dyDescent="0.2">
      <c r="D44" s="8" t="e">
        <v>#N/A</v>
      </c>
      <c r="E44" s="8" t="e">
        <f>_xll.qlRateHelperQuoteName(D44)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0" t="e">
        <f>_xll.qlRateHelperEarliestDate($D44)</f>
        <v>#VALUE!</v>
      </c>
      <c r="I44" s="11" t="e">
        <f>_xll.qlRateHelperLatestDate($D44)</f>
        <v>#VALUE!</v>
      </c>
      <c r="J44" s="5" t="e">
        <v>#N/A</v>
      </c>
    </row>
    <row r="45" spans="4:10" x14ac:dyDescent="0.2">
      <c r="D45" s="8" t="e">
        <v>#N/A</v>
      </c>
      <c r="E45" s="8" t="e">
        <f>_xll.qlRateHelperQuoteName(D45)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0" t="e">
        <f>_xll.qlRateHelperEarliestDate($D45)</f>
        <v>#VALUE!</v>
      </c>
      <c r="I45" s="11" t="e">
        <f>_xll.qlRateHelperLatestDate($D45)</f>
        <v>#VALUE!</v>
      </c>
      <c r="J45" s="5" t="e">
        <v>#N/A</v>
      </c>
    </row>
    <row r="46" spans="4:10" x14ac:dyDescent="0.2">
      <c r="D46" s="8" t="e">
        <v>#N/A</v>
      </c>
      <c r="E46" s="8" t="e">
        <f>_xll.qlRateHelperQuoteName(D46)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0" t="e">
        <f>_xll.qlRateHelperEarliestDate($D46)</f>
        <v>#VALUE!</v>
      </c>
      <c r="I46" s="11" t="e">
        <f>_xll.qlRateHelperLatestDate($D46)</f>
        <v>#VALUE!</v>
      </c>
      <c r="J46" s="5" t="e">
        <v>#N/A</v>
      </c>
    </row>
    <row r="47" spans="4:10" x14ac:dyDescent="0.2">
      <c r="D47" s="8" t="e">
        <v>#N/A</v>
      </c>
      <c r="E47" s="8" t="e">
        <f>_xll.qlRateHelperQuoteName(D47)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0" t="e">
        <f>_xll.qlRateHelperEarliestDate($D47)</f>
        <v>#VALUE!</v>
      </c>
      <c r="I47" s="11" t="e">
        <f>_xll.qlRateHelperLatestDate($D47)</f>
        <v>#VALUE!</v>
      </c>
      <c r="J47" s="5" t="e">
        <v>#N/A</v>
      </c>
    </row>
    <row r="48" spans="4:10" x14ac:dyDescent="0.2">
      <c r="D48" s="8" t="e">
        <v>#N/A</v>
      </c>
      <c r="E48" s="8" t="e">
        <f>_xll.qlRateHelperQuoteName(D48)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0" t="e">
        <f>_xll.qlRateHelperEarliestDate($D48)</f>
        <v>#VALUE!</v>
      </c>
      <c r="I48" s="11" t="e">
        <f>_xll.qlRateHelperLatestDate($D48)</f>
        <v>#VALUE!</v>
      </c>
      <c r="J48" s="5" t="e">
        <v>#N/A</v>
      </c>
    </row>
    <row r="49" spans="4:10" x14ac:dyDescent="0.2">
      <c r="D49" s="8" t="e">
        <v>#N/A</v>
      </c>
      <c r="E49" s="8" t="e">
        <f>_xll.qlRateHelperQuoteName(D49)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0" t="e">
        <f>_xll.qlRateHelperEarliestDate($D49)</f>
        <v>#VALUE!</v>
      </c>
      <c r="I49" s="11" t="e">
        <f>_xll.qlRateHelperLatestDate($D49)</f>
        <v>#VALUE!</v>
      </c>
      <c r="J49" s="5" t="e">
        <v>#N/A</v>
      </c>
    </row>
    <row r="50" spans="4:10" x14ac:dyDescent="0.2">
      <c r="D50" s="8" t="e">
        <v>#N/A</v>
      </c>
      <c r="E50" s="8" t="e">
        <f>_xll.qlRateHelperQuoteName(D50)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0" t="e">
        <f>_xll.qlRateHelperEarliestDate($D50)</f>
        <v>#VALUE!</v>
      </c>
      <c r="I50" s="11" t="e">
        <f>_xll.qlRateHelperLatestDate($D50)</f>
        <v>#VALUE!</v>
      </c>
      <c r="J50" s="5" t="e">
        <v>#N/A</v>
      </c>
    </row>
    <row r="51" spans="4:10" x14ac:dyDescent="0.2">
      <c r="D51" s="8" t="e">
        <v>#N/A</v>
      </c>
      <c r="E51" s="8" t="e">
        <f>_xll.qlRateHelperQuoteName(D51)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0" t="e">
        <f>_xll.qlRateHelperEarliestDate($D51)</f>
        <v>#VALUE!</v>
      </c>
      <c r="I51" s="11" t="e">
        <f>_xll.qlRateHelperLatestDate($D51)</f>
        <v>#VALUE!</v>
      </c>
      <c r="J51" s="5" t="e">
        <v>#N/A</v>
      </c>
    </row>
    <row r="52" spans="4:10" x14ac:dyDescent="0.2">
      <c r="D52" s="8" t="e">
        <v>#N/A</v>
      </c>
      <c r="E52" s="8" t="e">
        <f>_xll.qlRateHelperQuoteName(D52)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0" t="e">
        <f>_xll.qlRateHelperEarliestDate($D52)</f>
        <v>#VALUE!</v>
      </c>
      <c r="I52" s="11" t="e">
        <f>_xll.qlRateHelperLatestDate($D52)</f>
        <v>#VALUE!</v>
      </c>
      <c r="J52" s="5" t="e">
        <v>#N/A</v>
      </c>
    </row>
    <row r="53" spans="4:10" x14ac:dyDescent="0.2">
      <c r="D53" s="8" t="e">
        <v>#N/A</v>
      </c>
      <c r="E53" s="8" t="e">
        <f>_xll.qlRateHelperQuoteName(D53)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0" t="e">
        <f>_xll.qlRateHelperEarliestDate($D53)</f>
        <v>#VALUE!</v>
      </c>
      <c r="I53" s="11" t="e">
        <f>_xll.qlRateHelperLatestDate($D53)</f>
        <v>#VALUE!</v>
      </c>
      <c r="J53" s="5" t="e">
        <v>#N/A</v>
      </c>
    </row>
    <row r="54" spans="4:10" x14ac:dyDescent="0.2">
      <c r="D54" s="8" t="e">
        <v>#N/A</v>
      </c>
      <c r="E54" s="8" t="e">
        <f>_xll.qlRateHelperQuoteName(D54)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0" t="e">
        <f>_xll.qlRateHelperEarliestDate($D54)</f>
        <v>#VALUE!</v>
      </c>
      <c r="I54" s="11" t="e">
        <f>_xll.qlRateHelperLatestDate($D54)</f>
        <v>#VALUE!</v>
      </c>
      <c r="J54" s="5" t="e">
        <v>#N/A</v>
      </c>
    </row>
    <row r="55" spans="4:10" x14ac:dyDescent="0.2">
      <c r="D55" s="8" t="e">
        <v>#N/A</v>
      </c>
      <c r="E55" s="8" t="e">
        <f>_xll.qlRateHelperQuoteName(D55)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0" t="e">
        <f>_xll.qlRateHelperEarliestDate($D55)</f>
        <v>#VALUE!</v>
      </c>
      <c r="I55" s="11" t="e">
        <f>_xll.qlRateHelperLatestDate($D55)</f>
        <v>#VALUE!</v>
      </c>
      <c r="J55" s="5" t="e">
        <v>#N/A</v>
      </c>
    </row>
    <row r="56" spans="4:10" x14ac:dyDescent="0.2">
      <c r="D56" s="8" t="e">
        <v>#N/A</v>
      </c>
      <c r="E56" s="8" t="e">
        <f>_xll.qlRateHelperQuoteName(D56)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0" t="e">
        <f>_xll.qlRateHelperEarliestDate($D56)</f>
        <v>#VALUE!</v>
      </c>
      <c r="I56" s="11" t="e">
        <f>_xll.qlRateHelperLatestDate($D56)</f>
        <v>#VALUE!</v>
      </c>
      <c r="J56" s="5" t="e">
        <v>#N/A</v>
      </c>
    </row>
    <row r="57" spans="4:10" x14ac:dyDescent="0.2">
      <c r="D57" s="8" t="e">
        <v>#N/A</v>
      </c>
      <c r="E57" s="8" t="e">
        <f>_xll.qlRateHelperQuoteName(D57)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0" t="e">
        <f>_xll.qlRateHelperEarliestDate($D57)</f>
        <v>#VALUE!</v>
      </c>
      <c r="I57" s="11" t="e">
        <f>_xll.qlRateHelperLatestDate($D57)</f>
        <v>#VALUE!</v>
      </c>
      <c r="J57" s="5" t="e">
        <v>#N/A</v>
      </c>
    </row>
    <row r="58" spans="4:10" x14ac:dyDescent="0.2">
      <c r="D58" s="8" t="e">
        <v>#N/A</v>
      </c>
      <c r="E58" s="8" t="e">
        <f>_xll.qlRateHelperQuoteName(D58)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0" t="e">
        <f>_xll.qlRateHelperEarliestDate($D58)</f>
        <v>#VALUE!</v>
      </c>
      <c r="I58" s="11" t="e">
        <f>_xll.qlRateHelperLatestDate($D58)</f>
        <v>#VALUE!</v>
      </c>
      <c r="J58" s="5" t="e">
        <v>#N/A</v>
      </c>
    </row>
    <row r="59" spans="4:10" x14ac:dyDescent="0.2">
      <c r="D59" s="8" t="e">
        <v>#N/A</v>
      </c>
      <c r="E59" s="8" t="e">
        <f>_xll.qlRateHelperQuoteName(D59)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0" t="e">
        <f>_xll.qlRateHelperEarliestDate($D59)</f>
        <v>#VALUE!</v>
      </c>
      <c r="I59" s="11" t="e">
        <f>_xll.qlRateHelperLatestDate($D59)</f>
        <v>#VALUE!</v>
      </c>
      <c r="J59" s="5" t="e">
        <v>#N/A</v>
      </c>
    </row>
    <row r="60" spans="4:10" x14ac:dyDescent="0.2">
      <c r="D60" s="8" t="e">
        <v>#N/A</v>
      </c>
      <c r="E60" s="8" t="e">
        <f>_xll.qlRateHelperQuoteName(D60)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0" t="e">
        <f>_xll.qlRateHelperEarliestDate($D60)</f>
        <v>#VALUE!</v>
      </c>
      <c r="I60" s="11" t="e">
        <f>_xll.qlRateHelperLatestDate($D60)</f>
        <v>#VALUE!</v>
      </c>
      <c r="J60" s="5" t="e">
        <v>#N/A</v>
      </c>
    </row>
    <row r="61" spans="4:10" x14ac:dyDescent="0.2">
      <c r="D61" s="8" t="e">
        <v>#N/A</v>
      </c>
      <c r="E61" s="8" t="e">
        <f>_xll.qlRateHelperQuoteName(D61)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0" t="e">
        <f>_xll.qlRateHelperEarliestDate($D61)</f>
        <v>#VALUE!</v>
      </c>
      <c r="I61" s="11" t="e">
        <f>_xll.qlRateHelperLatestDate($D61)</f>
        <v>#VALUE!</v>
      </c>
      <c r="J61" s="5" t="e">
        <v>#N/A</v>
      </c>
    </row>
    <row r="62" spans="4:10" x14ac:dyDescent="0.2">
      <c r="D62" s="8" t="e">
        <v>#N/A</v>
      </c>
      <c r="E62" s="8" t="e">
        <f>_xll.qlRateHelperQuoteName(D62)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0" t="e">
        <f>_xll.qlRateHelperEarliestDate($D62)</f>
        <v>#VALUE!</v>
      </c>
      <c r="I62" s="11" t="e">
        <f>_xll.qlRateHelperLatestDate($D62)</f>
        <v>#VALUE!</v>
      </c>
      <c r="J62" s="5" t="e">
        <v>#N/A</v>
      </c>
    </row>
    <row r="63" spans="4:10" x14ac:dyDescent="0.2">
      <c r="D63" s="8" t="e">
        <v>#N/A</v>
      </c>
      <c r="E63" s="8" t="e">
        <f>_xll.qlRateHelperQuoteName(D63)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0" t="e">
        <f>_xll.qlRateHelperEarliestDate($D63)</f>
        <v>#VALUE!</v>
      </c>
      <c r="I63" s="11" t="e">
        <f>_xll.qlRateHelperLatestDate($D63)</f>
        <v>#VALUE!</v>
      </c>
      <c r="J63" s="5" t="e">
        <v>#N/A</v>
      </c>
    </row>
    <row r="64" spans="4:10" x14ac:dyDescent="0.2">
      <c r="D64" s="8" t="e">
        <v>#N/A</v>
      </c>
      <c r="E64" s="8" t="e">
        <f>_xll.qlRateHelperQuoteName(D64)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0" t="e">
        <f>_xll.qlRateHelperEarliestDate($D64)</f>
        <v>#VALUE!</v>
      </c>
      <c r="I64" s="11" t="e">
        <f>_xll.qlRateHelperLatestDate($D64)</f>
        <v>#VALUE!</v>
      </c>
      <c r="J64" s="5" t="e">
        <v>#N/A</v>
      </c>
    </row>
    <row r="65" spans="4:10" x14ac:dyDescent="0.2">
      <c r="D65" s="8" t="e">
        <v>#N/A</v>
      </c>
      <c r="E65" s="8" t="e">
        <f>_xll.qlRateHelperQuoteName(D65)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0" t="e">
        <f>_xll.qlRateHelperEarliestDate($D65)</f>
        <v>#VALUE!</v>
      </c>
      <c r="I65" s="11" t="e">
        <f>_xll.qlRateHelperLatestDate($D65)</f>
        <v>#VALUE!</v>
      </c>
      <c r="J65" s="5" t="e">
        <v>#N/A</v>
      </c>
    </row>
    <row r="66" spans="4:10" x14ac:dyDescent="0.2">
      <c r="D66" s="8" t="e">
        <v>#N/A</v>
      </c>
      <c r="E66" s="8" t="e">
        <f>_xll.qlRateHelperQuoteName(D66)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0" t="e">
        <f>_xll.qlRateHelperEarliestDate($D66)</f>
        <v>#VALUE!</v>
      </c>
      <c r="I66" s="11" t="e">
        <f>_xll.qlRateHelperLatestDate($D66)</f>
        <v>#VALUE!</v>
      </c>
      <c r="J66" s="5" t="e">
        <v>#N/A</v>
      </c>
    </row>
    <row r="67" spans="4:10" x14ac:dyDescent="0.2">
      <c r="D67" s="8" t="e">
        <v>#N/A</v>
      </c>
      <c r="E67" s="8" t="e">
        <f>_xll.qlRateHelperQuoteName(D67)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0" t="e">
        <f>_xll.qlRateHelperEarliestDate($D67)</f>
        <v>#VALUE!</v>
      </c>
      <c r="I67" s="11" t="e">
        <f>_xll.qlRateHelperLatestDate($D67)</f>
        <v>#VALUE!</v>
      </c>
      <c r="J67" s="5" t="e">
        <v>#N/A</v>
      </c>
    </row>
    <row r="68" spans="4:10" x14ac:dyDescent="0.2">
      <c r="D68" s="8" t="e">
        <v>#N/A</v>
      </c>
      <c r="E68" s="8" t="e">
        <f>_xll.qlRateHelperQuoteName(D68)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0" t="e">
        <f>_xll.qlRateHelperEarliestDate($D68)</f>
        <v>#VALUE!</v>
      </c>
      <c r="I68" s="11" t="e">
        <f>_xll.qlRateHelperLatestDate($D68)</f>
        <v>#VALUE!</v>
      </c>
      <c r="J68" s="5" t="e">
        <v>#N/A</v>
      </c>
    </row>
    <row r="69" spans="4:10" x14ac:dyDescent="0.2">
      <c r="D69" s="8" t="e">
        <v>#N/A</v>
      </c>
      <c r="E69" s="8" t="e">
        <f>_xll.qlRateHelperQuoteName(D69)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0" t="e">
        <f>_xll.qlRateHelperEarliestDate($D69)</f>
        <v>#VALUE!</v>
      </c>
      <c r="I69" s="11" t="e">
        <f>_xll.qlRateHelperLatestDate($D69)</f>
        <v>#VALUE!</v>
      </c>
      <c r="J69" s="5" t="e">
        <v>#N/A</v>
      </c>
    </row>
    <row r="70" spans="4:10" x14ac:dyDescent="0.2">
      <c r="D70" s="8" t="e">
        <v>#N/A</v>
      </c>
      <c r="E70" s="8" t="e">
        <f>_xll.qlRateHelperQuoteName(D70)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0" t="e">
        <f>_xll.qlRateHelperEarliestDate($D70)</f>
        <v>#VALUE!</v>
      </c>
      <c r="I70" s="11" t="e">
        <f>_xll.qlRateHelperLatestDate($D70)</f>
        <v>#VALUE!</v>
      </c>
      <c r="J70" s="5" t="e">
        <v>#N/A</v>
      </c>
    </row>
    <row r="71" spans="4:10" x14ac:dyDescent="0.2">
      <c r="D71" s="8" t="e">
        <v>#N/A</v>
      </c>
      <c r="E71" s="8" t="e">
        <f>_xll.qlRateHelperQuoteName(D71)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0" t="e">
        <f>_xll.qlRateHelperEarliestDate($D71)</f>
        <v>#VALUE!</v>
      </c>
      <c r="I71" s="11" t="e">
        <f>_xll.qlRateHelperLatestDate($D71)</f>
        <v>#VALUE!</v>
      </c>
      <c r="J71" s="5" t="e">
        <v>#N/A</v>
      </c>
    </row>
    <row r="72" spans="4:10" x14ac:dyDescent="0.2">
      <c r="D72" s="8" t="e">
        <v>#N/A</v>
      </c>
      <c r="E72" s="8" t="e">
        <f>_xll.qlRateHelperQuoteName(D72)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0" t="e">
        <f>_xll.qlRateHelperEarliestDate($D72)</f>
        <v>#VALUE!</v>
      </c>
      <c r="I72" s="11" t="e">
        <f>_xll.qlRateHelperLatestDate($D72)</f>
        <v>#VALUE!</v>
      </c>
      <c r="J72" s="5" t="e">
        <v>#N/A</v>
      </c>
    </row>
    <row r="73" spans="4:10" x14ac:dyDescent="0.2">
      <c r="D73" s="8" t="e">
        <v>#N/A</v>
      </c>
      <c r="E73" s="8" t="e">
        <f>_xll.qlRateHelperQuoteName(D73)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0" t="e">
        <f>_xll.qlRateHelperEarliestDate($D73)</f>
        <v>#VALUE!</v>
      </c>
      <c r="I73" s="11" t="e">
        <f>_xll.qlRateHelperLatestDate($D73)</f>
        <v>#VALUE!</v>
      </c>
      <c r="J73" s="5" t="e">
        <v>#N/A</v>
      </c>
    </row>
    <row r="74" spans="4:10" x14ac:dyDescent="0.2">
      <c r="D74" s="8" t="e">
        <v>#N/A</v>
      </c>
      <c r="E74" s="8" t="e">
        <f>_xll.qlRateHelperQuoteName(D74)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0" t="e">
        <f>_xll.qlRateHelperEarliestDate($D74)</f>
        <v>#VALUE!</v>
      </c>
      <c r="I74" s="11" t="e">
        <f>_xll.qlRateHelperLatestDate($D74)</f>
        <v>#VALUE!</v>
      </c>
      <c r="J74" s="5" t="e">
        <v>#N/A</v>
      </c>
    </row>
    <row r="75" spans="4:10" x14ac:dyDescent="0.2">
      <c r="D75" s="8" t="e">
        <v>#N/A</v>
      </c>
      <c r="E75" s="8" t="e">
        <f>_xll.qlRateHelperQuoteName(D75)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0" t="e">
        <f>_xll.qlRateHelperEarliestDate($D75)</f>
        <v>#VALUE!</v>
      </c>
      <c r="I75" s="11" t="e">
        <f>_xll.qlRateHelperLatestDate($D75)</f>
        <v>#VALUE!</v>
      </c>
      <c r="J75" s="5" t="e">
        <v>#N/A</v>
      </c>
    </row>
    <row r="76" spans="4:10" x14ac:dyDescent="0.2">
      <c r="D76" s="8" t="e">
        <v>#N/A</v>
      </c>
      <c r="E76" s="8" t="e">
        <f>_xll.qlRateHelperQuoteName(D76)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0" t="e">
        <f>_xll.qlRateHelperEarliestDate($D76)</f>
        <v>#VALUE!</v>
      </c>
      <c r="I76" s="11" t="e">
        <f>_xll.qlRateHelperLatestDate($D76)</f>
        <v>#VALUE!</v>
      </c>
      <c r="J76" s="5" t="e">
        <v>#N/A</v>
      </c>
    </row>
    <row r="77" spans="4:10" x14ac:dyDescent="0.2">
      <c r="D77" s="8" t="e">
        <v>#N/A</v>
      </c>
      <c r="E77" s="8" t="e">
        <f>_xll.qlRateHelperQuoteName(D77)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0" t="e">
        <f>_xll.qlRateHelperEarliestDate($D77)</f>
        <v>#VALUE!</v>
      </c>
      <c r="I77" s="11" t="e">
        <f>_xll.qlRateHelperLatestDate($D77)</f>
        <v>#VALUE!</v>
      </c>
      <c r="J77" s="5" t="e">
        <v>#N/A</v>
      </c>
    </row>
    <row r="78" spans="4:10" x14ac:dyDescent="0.2">
      <c r="D78" s="8" t="e">
        <v>#N/A</v>
      </c>
      <c r="E78" s="8" t="e">
        <f>_xll.qlRateHelperQuoteName(D78)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0" t="e">
        <f>_xll.qlRateHelperEarliestDate($D78)</f>
        <v>#VALUE!</v>
      </c>
      <c r="I78" s="11" t="e">
        <f>_xll.qlRateHelperLatestDate($D78)</f>
        <v>#VALUE!</v>
      </c>
      <c r="J78" s="5" t="e">
        <v>#N/A</v>
      </c>
    </row>
    <row r="79" spans="4:10" x14ac:dyDescent="0.2">
      <c r="D79" s="8" t="e">
        <v>#N/A</v>
      </c>
      <c r="E79" s="8" t="e">
        <f>_xll.qlRateHelperQuoteName(D79)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0" t="e">
        <f>_xll.qlRateHelperEarliestDate($D79)</f>
        <v>#VALUE!</v>
      </c>
      <c r="I79" s="11" t="e">
        <f>_xll.qlRateHelperLatestDate($D79)</f>
        <v>#VALUE!</v>
      </c>
      <c r="J79" s="5" t="e">
        <v>#N/A</v>
      </c>
    </row>
    <row r="80" spans="4:10" x14ac:dyDescent="0.2">
      <c r="D80" s="8" t="e">
        <v>#N/A</v>
      </c>
      <c r="E80" s="8" t="e">
        <f>_xll.qlRateHelperQuoteName(D80)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0" t="e">
        <f>_xll.qlRateHelperEarliestDate($D80)</f>
        <v>#VALUE!</v>
      </c>
      <c r="I80" s="11" t="e">
        <f>_xll.qlRateHelperLatestDate($D80)</f>
        <v>#VALUE!</v>
      </c>
      <c r="J80" s="5" t="e">
        <v>#N/A</v>
      </c>
    </row>
    <row r="81" spans="4:10" x14ac:dyDescent="0.2">
      <c r="D81" s="8" t="e">
        <v>#N/A</v>
      </c>
      <c r="E81" s="8" t="e">
        <f>_xll.qlRateHelperQuoteName(D81)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0" t="e">
        <f>_xll.qlRateHelperEarliestDate($D81)</f>
        <v>#VALUE!</v>
      </c>
      <c r="I81" s="11" t="e">
        <f>_xll.qlRateHelperLatestDate($D81)</f>
        <v>#VALUE!</v>
      </c>
      <c r="J81" s="5" t="e">
        <v>#N/A</v>
      </c>
    </row>
    <row r="82" spans="4:10" x14ac:dyDescent="0.2">
      <c r="D82" s="8" t="e">
        <v>#N/A</v>
      </c>
      <c r="E82" s="8" t="e">
        <f>_xll.qlRateHelperQuoteName(D82)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0" t="e">
        <f>_xll.qlRateHelperEarliestDate($D82)</f>
        <v>#VALUE!</v>
      </c>
      <c r="I82" s="11" t="e">
        <f>_xll.qlRateHelperLatestDate($D82)</f>
        <v>#VALUE!</v>
      </c>
      <c r="J82" s="5" t="e">
        <v>#N/A</v>
      </c>
    </row>
    <row r="83" spans="4:10" x14ac:dyDescent="0.2">
      <c r="D83" s="8" t="e">
        <v>#N/A</v>
      </c>
      <c r="E83" s="8" t="e">
        <f>_xll.qlRateHelperQuoteName(D83)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0" t="e">
        <f>_xll.qlRateHelperEarliestDate($D83)</f>
        <v>#VALUE!</v>
      </c>
      <c r="I83" s="11" t="e">
        <f>_xll.qlRateHelperLatestDate($D83)</f>
        <v>#VALUE!</v>
      </c>
      <c r="J83" s="5" t="e">
        <v>#N/A</v>
      </c>
    </row>
    <row r="84" spans="4:10" x14ac:dyDescent="0.2">
      <c r="D84" s="8" t="e">
        <v>#N/A</v>
      </c>
      <c r="E84" s="8" t="e">
        <f>_xll.qlRateHelperQuoteName(D84)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0" t="e">
        <f>_xll.qlRateHelperEarliestDate($D84)</f>
        <v>#VALUE!</v>
      </c>
      <c r="I84" s="11" t="e">
        <f>_xll.qlRateHelperLatestDate($D84)</f>
        <v>#VALUE!</v>
      </c>
      <c r="J84" s="5" t="e">
        <v>#N/A</v>
      </c>
    </row>
    <row r="85" spans="4:10" x14ac:dyDescent="0.2">
      <c r="D85" s="8" t="e">
        <v>#N/A</v>
      </c>
      <c r="E85" s="8" t="e">
        <f>_xll.qlRateHelperQuoteName(D85)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0" t="e">
        <f>_xll.qlRateHelperEarliestDate($D85)</f>
        <v>#VALUE!</v>
      </c>
      <c r="I85" s="11" t="e">
        <f>_xll.qlRateHelperLatestDate($D85)</f>
        <v>#VALUE!</v>
      </c>
      <c r="J85" s="5" t="e">
        <v>#N/A</v>
      </c>
    </row>
    <row r="86" spans="4:10" x14ac:dyDescent="0.2">
      <c r="D86" s="8" t="e">
        <v>#N/A</v>
      </c>
      <c r="E86" s="8" t="e">
        <f>_xll.qlRateHelperQuoteName(D86)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0" t="e">
        <f>_xll.qlRateHelperEarliestDate($D86)</f>
        <v>#VALUE!</v>
      </c>
      <c r="I86" s="11" t="e">
        <f>_xll.qlRateHelperLatestDate($D86)</f>
        <v>#VALUE!</v>
      </c>
      <c r="J86" s="5" t="e">
        <v>#N/A</v>
      </c>
    </row>
    <row r="87" spans="4:10" x14ac:dyDescent="0.2">
      <c r="D87" s="8" t="e">
        <v>#N/A</v>
      </c>
      <c r="E87" s="8" t="e">
        <f>_xll.qlRateHelperQuoteName(D87)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0" t="e">
        <f>_xll.qlRateHelperEarliestDate($D87)</f>
        <v>#VALUE!</v>
      </c>
      <c r="I87" s="11" t="e">
        <f>_xll.qlRateHelperLatestDate($D87)</f>
        <v>#VALUE!</v>
      </c>
      <c r="J87" s="5" t="e">
        <v>#N/A</v>
      </c>
    </row>
    <row r="88" spans="4:10" x14ac:dyDescent="0.2">
      <c r="D88" s="8" t="e">
        <v>#N/A</v>
      </c>
      <c r="E88" s="8" t="e">
        <f>_xll.qlRateHelperQuoteName(D88)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0" t="e">
        <f>_xll.qlRateHelperEarliestDate($D88)</f>
        <v>#VALUE!</v>
      </c>
      <c r="I88" s="11" t="e">
        <f>_xll.qlRateHelperLatestDate($D88)</f>
        <v>#VALUE!</v>
      </c>
      <c r="J88" s="5" t="e">
        <v>#N/A</v>
      </c>
    </row>
    <row r="89" spans="4:10" x14ac:dyDescent="0.2">
      <c r="D89" s="8" t="e">
        <v>#N/A</v>
      </c>
      <c r="E89" s="8" t="e">
        <f>_xll.qlRateHelperQuoteName(D89)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0" t="e">
        <f>_xll.qlRateHelperEarliestDate($D89)</f>
        <v>#VALUE!</v>
      </c>
      <c r="I89" s="11" t="e">
        <f>_xll.qlRateHelperLatestDate($D89)</f>
        <v>#VALUE!</v>
      </c>
      <c r="J89" s="5" t="e">
        <v>#N/A</v>
      </c>
    </row>
    <row r="90" spans="4:10" x14ac:dyDescent="0.2">
      <c r="D90" s="8" t="e">
        <v>#N/A</v>
      </c>
      <c r="E90" s="8" t="e">
        <f>_xll.qlRateHelperQuoteName(D90)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0" t="e">
        <f>_xll.qlRateHelperEarliestDate($D90)</f>
        <v>#VALUE!</v>
      </c>
      <c r="I90" s="11" t="e">
        <f>_xll.qlRateHelperLatestDate($D90)</f>
        <v>#VALUE!</v>
      </c>
      <c r="J90" s="5" t="e">
        <v>#N/A</v>
      </c>
    </row>
    <row r="91" spans="4:10" x14ac:dyDescent="0.2">
      <c r="D91" s="8" t="e">
        <v>#N/A</v>
      </c>
      <c r="E91" s="8" t="e">
        <f>_xll.qlRateHelperQuoteName(D91)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0" t="e">
        <f>_xll.qlRateHelperEarliestDate($D91)</f>
        <v>#VALUE!</v>
      </c>
      <c r="I91" s="11" t="e">
        <f>_xll.qlRateHelperLatestDate($D91)</f>
        <v>#VALUE!</v>
      </c>
      <c r="J91" s="5" t="e">
        <v>#N/A</v>
      </c>
    </row>
    <row r="92" spans="4:10" x14ac:dyDescent="0.2">
      <c r="D92" s="8" t="e">
        <v>#N/A</v>
      </c>
      <c r="E92" s="8" t="e">
        <f>_xll.qlRateHelperQuoteName(D92)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0" t="e">
        <f>_xll.qlRateHelperEarliestDate($D92)</f>
        <v>#VALUE!</v>
      </c>
      <c r="I92" s="11" t="e">
        <f>_xll.qlRateHelperLatestDate($D92)</f>
        <v>#VALUE!</v>
      </c>
      <c r="J92" s="5" t="e">
        <v>#N/A</v>
      </c>
    </row>
    <row r="93" spans="4:10" x14ac:dyDescent="0.2">
      <c r="D93" s="8" t="e">
        <v>#N/A</v>
      </c>
      <c r="E93" s="8" t="e">
        <f>_xll.qlRateHelperQuoteName(D93)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0" t="e">
        <f>_xll.qlRateHelperEarliestDate($D93)</f>
        <v>#VALUE!</v>
      </c>
      <c r="I93" s="11" t="e">
        <f>_xll.qlRateHelperLatestDate($D93)</f>
        <v>#VALUE!</v>
      </c>
      <c r="J93" s="5" t="e">
        <v>#N/A</v>
      </c>
    </row>
    <row r="94" spans="4:10" x14ac:dyDescent="0.2">
      <c r="D94" s="8" t="e">
        <v>#N/A</v>
      </c>
      <c r="E94" s="8" t="e">
        <f>_xll.qlRateHelperQuoteName(D94)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0" t="e">
        <f>_xll.qlRateHelperEarliestDate($D94)</f>
        <v>#VALUE!</v>
      </c>
      <c r="I94" s="11" t="e">
        <f>_xll.qlRateHelperLatestDate($D94)</f>
        <v>#VALUE!</v>
      </c>
      <c r="J94" s="5" t="e">
        <v>#N/A</v>
      </c>
    </row>
    <row r="95" spans="4:10" x14ac:dyDescent="0.2">
      <c r="D95" s="8" t="e">
        <v>#N/A</v>
      </c>
      <c r="E95" s="8" t="e">
        <f>_xll.qlRateHelperQuoteName(D95)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0" t="e">
        <f>_xll.qlRateHelperEarliestDate($D95)</f>
        <v>#VALUE!</v>
      </c>
      <c r="I95" s="11" t="e">
        <f>_xll.qlRateHelperLatestDate($D95)</f>
        <v>#VALUE!</v>
      </c>
      <c r="J95" s="5" t="e">
        <v>#N/A</v>
      </c>
    </row>
    <row r="96" spans="4:10" x14ac:dyDescent="0.2">
      <c r="D96" s="8" t="e">
        <v>#N/A</v>
      </c>
      <c r="E96" s="8" t="e">
        <f>_xll.qlRateHelperQuoteName(D96)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0" t="e">
        <f>_xll.qlRateHelperEarliestDate($D96)</f>
        <v>#VALUE!</v>
      </c>
      <c r="I96" s="11" t="e">
        <f>_xll.qlRateHelperLatestDate($D96)</f>
        <v>#VALUE!</v>
      </c>
      <c r="J96" s="5" t="e">
        <v>#N/A</v>
      </c>
    </row>
    <row r="97" spans="4:10" x14ac:dyDescent="0.2">
      <c r="D97" s="8" t="e">
        <v>#N/A</v>
      </c>
      <c r="E97" s="8" t="e">
        <f>_xll.qlRateHelperQuoteName(D97)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0" t="e">
        <f>_xll.qlRateHelperEarliestDate($D97)</f>
        <v>#VALUE!</v>
      </c>
      <c r="I97" s="11" t="e">
        <f>_xll.qlRateHelperLatestDate($D97)</f>
        <v>#VALUE!</v>
      </c>
      <c r="J97" s="5" t="e">
        <v>#N/A</v>
      </c>
    </row>
    <row r="98" spans="4:10" x14ac:dyDescent="0.2">
      <c r="D98" s="8" t="e">
        <v>#N/A</v>
      </c>
      <c r="E98" s="8" t="e">
        <f>_xll.qlRateHelperQuoteName(D98)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0" t="e">
        <f>_xll.qlRateHelperEarliestDate($D98)</f>
        <v>#VALUE!</v>
      </c>
      <c r="I98" s="11" t="e">
        <f>_xll.qlRateHelperLatestDate($D98)</f>
        <v>#VALUE!</v>
      </c>
      <c r="J98" s="5" t="e">
        <v>#N/A</v>
      </c>
    </row>
    <row r="99" spans="4:10" x14ac:dyDescent="0.2">
      <c r="D99" s="8" t="e">
        <v>#N/A</v>
      </c>
      <c r="E99" s="8" t="e">
        <f>_xll.qlRateHelperQuoteName(D99)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0" t="e">
        <f>_xll.qlRateHelperEarliestDate($D99)</f>
        <v>#VALUE!</v>
      </c>
      <c r="I99" s="11" t="e">
        <f>_xll.qlRateHelperLatestDate($D99)</f>
        <v>#VALUE!</v>
      </c>
      <c r="J99" s="5" t="e">
        <v>#N/A</v>
      </c>
    </row>
    <row r="100" spans="4:10" x14ac:dyDescent="0.2">
      <c r="D100" s="8" t="e">
        <v>#N/A</v>
      </c>
      <c r="E100" s="8" t="e">
        <f>_xll.qlRateHelperQuoteName(D100)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0" t="e">
        <f>_xll.qlRateHelperEarliestDate($D100)</f>
        <v>#VALUE!</v>
      </c>
      <c r="I100" s="11" t="e">
        <f>_xll.qlRateHelperLatestDate($D100)</f>
        <v>#VALUE!</v>
      </c>
      <c r="J100" s="5" t="e">
        <v>#N/A</v>
      </c>
    </row>
    <row r="101" spans="4:10" x14ac:dyDescent="0.2">
      <c r="D101" s="8" t="e">
        <v>#N/A</v>
      </c>
      <c r="E101" s="8" t="e">
        <f>_xll.qlRateHelperQuoteName(D101)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0" t="e">
        <f>_xll.qlRateHelperEarliestDate($D101)</f>
        <v>#VALUE!</v>
      </c>
      <c r="I101" s="11" t="e">
        <f>_xll.qlRateHelperLatestDate($D101)</f>
        <v>#VALUE!</v>
      </c>
      <c r="J101" s="5" t="e">
        <v>#N/A</v>
      </c>
    </row>
    <row r="102" spans="4:10" x14ac:dyDescent="0.2">
      <c r="D102" s="8" t="e">
        <v>#N/A</v>
      </c>
      <c r="E102" s="8" t="e">
        <f>_xll.qlRateHelperQuoteName(D102)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0" t="e">
        <f>_xll.qlRateHelperEarliestDate($D102)</f>
        <v>#VALUE!</v>
      </c>
      <c r="I102" s="11" t="e">
        <f>_xll.qlRateHelperLatestDate($D102)</f>
        <v>#VALUE!</v>
      </c>
      <c r="J102" s="5" t="e">
        <v>#N/A</v>
      </c>
    </row>
    <row r="103" spans="4:10" x14ac:dyDescent="0.2">
      <c r="D103" s="8" t="e">
        <v>#N/A</v>
      </c>
      <c r="E103" s="8" t="e">
        <f>_xll.qlRateHelperQuoteName(D103)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0" t="e">
        <f>_xll.qlRateHelperEarliestDate($D103)</f>
        <v>#VALUE!</v>
      </c>
      <c r="I103" s="11" t="e">
        <f>_xll.qlRateHelperLatestDate($D103)</f>
        <v>#VALUE!</v>
      </c>
      <c r="J103" s="5" t="e">
        <v>#N/A</v>
      </c>
    </row>
    <row r="104" spans="4:10" x14ac:dyDescent="0.2">
      <c r="D104" s="8" t="e">
        <v>#N/A</v>
      </c>
      <c r="E104" s="8" t="e">
        <f>_xll.qlRateHelperQuoteName(D104)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0" t="e">
        <f>_xll.qlRateHelperEarliestDate($D104)</f>
        <v>#VALUE!</v>
      </c>
      <c r="I104" s="11" t="e">
        <f>_xll.qlRateHelperLatestDate($D104)</f>
        <v>#VALUE!</v>
      </c>
      <c r="J104" s="5" t="e">
        <v>#N/A</v>
      </c>
    </row>
    <row r="105" spans="4:10" x14ac:dyDescent="0.2">
      <c r="D105" s="8" t="e">
        <v>#N/A</v>
      </c>
      <c r="E105" s="8" t="e">
        <f>_xll.qlRateHelperQuoteName(D105)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0" t="e">
        <f>_xll.qlRateHelperEarliestDate($D105)</f>
        <v>#VALUE!</v>
      </c>
      <c r="I105" s="11" t="e">
        <f>_xll.qlRateHelperLatestDate($D105)</f>
        <v>#VALUE!</v>
      </c>
      <c r="J105" s="5" t="e">
        <v>#N/A</v>
      </c>
    </row>
    <row r="106" spans="4:10" x14ac:dyDescent="0.2">
      <c r="D106" s="8" t="e">
        <v>#N/A</v>
      </c>
      <c r="E106" s="8" t="e">
        <f>_xll.qlRateHelperQuoteName(D106)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0" t="e">
        <f>_xll.qlRateHelperEarliestDate($D106)</f>
        <v>#VALUE!</v>
      </c>
      <c r="I106" s="11" t="e">
        <f>_xll.qlRateHelperLatestDate($D106)</f>
        <v>#VALUE!</v>
      </c>
      <c r="J106" s="5" t="e">
        <v>#N/A</v>
      </c>
    </row>
    <row r="107" spans="4:10" x14ac:dyDescent="0.2">
      <c r="D107" s="8" t="e">
        <v>#N/A</v>
      </c>
      <c r="E107" s="8" t="e">
        <f>_xll.qlRateHelperQuoteName(D107)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0" t="e">
        <f>_xll.qlRateHelperEarliestDate($D107)</f>
        <v>#VALUE!</v>
      </c>
      <c r="I107" s="11" t="e">
        <f>_xll.qlRateHelperLatestDate($D107)</f>
        <v>#VALUE!</v>
      </c>
      <c r="J107" s="5" t="e">
        <v>#N/A</v>
      </c>
    </row>
    <row r="108" spans="4:10" x14ac:dyDescent="0.2">
      <c r="D108" s="8" t="e">
        <v>#N/A</v>
      </c>
      <c r="E108" s="8" t="e">
        <f>_xll.qlRateHelperQuoteName(D108)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0" t="e">
        <f>_xll.qlRateHelperEarliestDate($D108)</f>
        <v>#VALUE!</v>
      </c>
      <c r="I108" s="11" t="e">
        <f>_xll.qlRateHelperLatestDate($D108)</f>
        <v>#VALUE!</v>
      </c>
      <c r="J108" s="5" t="e">
        <v>#N/A</v>
      </c>
    </row>
    <row r="109" spans="4:10" x14ac:dyDescent="0.2">
      <c r="D109" s="8" t="e">
        <v>#N/A</v>
      </c>
      <c r="E109" s="8" t="e">
        <f>_xll.qlRateHelperQuoteName(D109)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0" t="e">
        <f>_xll.qlRateHelperEarliestDate($D109)</f>
        <v>#VALUE!</v>
      </c>
      <c r="I109" s="11" t="e">
        <f>_xll.qlRateHelperLatestDate($D109)</f>
        <v>#VALUE!</v>
      </c>
      <c r="J109" s="5" t="e">
        <v>#N/A</v>
      </c>
    </row>
    <row r="110" spans="4:10" x14ac:dyDescent="0.2">
      <c r="D110" s="8" t="e">
        <v>#N/A</v>
      </c>
      <c r="E110" s="8" t="e">
        <f>_xll.qlRateHelperQuoteName(D110)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0" t="e">
        <f>_xll.qlRateHelperEarliestDate($D110)</f>
        <v>#VALUE!</v>
      </c>
      <c r="I110" s="11" t="e">
        <f>_xll.qlRateHelperLatestDate($D110)</f>
        <v>#VALUE!</v>
      </c>
      <c r="J110" s="5" t="e">
        <v>#N/A</v>
      </c>
    </row>
    <row r="111" spans="4:10" x14ac:dyDescent="0.2">
      <c r="D111" s="8" t="e">
        <v>#N/A</v>
      </c>
      <c r="E111" s="8" t="e">
        <f>_xll.qlRateHelperQuoteName(D111)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0" t="e">
        <f>_xll.qlRateHelperEarliestDate($D111)</f>
        <v>#VALUE!</v>
      </c>
      <c r="I111" s="11" t="e">
        <f>_xll.qlRateHelperLatestDate($D111)</f>
        <v>#VALUE!</v>
      </c>
      <c r="J111" s="5" t="e">
        <v>#N/A</v>
      </c>
    </row>
    <row r="112" spans="4:10" x14ac:dyDescent="0.2">
      <c r="D112" s="8" t="e">
        <v>#N/A</v>
      </c>
      <c r="E112" s="8" t="e">
        <f>_xll.qlRateHelperQuoteName(D112)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0" t="e">
        <f>_xll.qlRateHelperEarliestDate($D112)</f>
        <v>#VALUE!</v>
      </c>
      <c r="I112" s="11" t="e">
        <f>_xll.qlRateHelperLatestDate($D112)</f>
        <v>#VALUE!</v>
      </c>
      <c r="J112" s="5" t="e">
        <v>#N/A</v>
      </c>
    </row>
    <row r="113" spans="4:10" x14ac:dyDescent="0.2">
      <c r="D113" s="8" t="e">
        <v>#N/A</v>
      </c>
      <c r="E113" s="8" t="e">
        <f>_xll.qlRateHelperQuoteName(D113)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0" t="e">
        <f>_xll.qlRateHelperEarliestDate($D113)</f>
        <v>#VALUE!</v>
      </c>
      <c r="I113" s="11" t="e">
        <f>_xll.qlRateHelperLatestDate($D113)</f>
        <v>#VALUE!</v>
      </c>
      <c r="J113" s="5" t="e">
        <v>#N/A</v>
      </c>
    </row>
    <row r="114" spans="4:10" x14ac:dyDescent="0.2">
      <c r="D114" s="8" t="e">
        <v>#N/A</v>
      </c>
      <c r="E114" s="8" t="e">
        <f>_xll.qlRateHelperQuoteName(D114)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0" t="e">
        <f>_xll.qlRateHelperEarliestDate($D114)</f>
        <v>#VALUE!</v>
      </c>
      <c r="I114" s="11" t="e">
        <f>_xll.qlRateHelperLatestDate($D114)</f>
        <v>#VALUE!</v>
      </c>
      <c r="J114" s="5" t="e">
        <v>#N/A</v>
      </c>
    </row>
    <row r="115" spans="4:10" x14ac:dyDescent="0.2">
      <c r="D115" s="8" t="e">
        <v>#N/A</v>
      </c>
      <c r="E115" s="8" t="e">
        <f>_xll.qlRateHelperQuoteName(D115)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0" t="e">
        <f>_xll.qlRateHelperEarliestDate($D115)</f>
        <v>#VALUE!</v>
      </c>
      <c r="I115" s="11" t="e">
        <f>_xll.qlRateHelperLatestDate($D115)</f>
        <v>#VALUE!</v>
      </c>
      <c r="J115" s="5" t="e">
        <v>#N/A</v>
      </c>
    </row>
    <row r="116" spans="4:10" x14ac:dyDescent="0.2">
      <c r="D116" s="8" t="e">
        <v>#N/A</v>
      </c>
      <c r="E116" s="8" t="e">
        <f>_xll.qlRateHelperQuoteName(D116)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0" t="e">
        <f>_xll.qlRateHelperEarliestDate($D116)</f>
        <v>#VALUE!</v>
      </c>
      <c r="I116" s="11" t="e">
        <f>_xll.qlRateHelperLatestDate($D116)</f>
        <v>#VALUE!</v>
      </c>
      <c r="J116" s="5" t="e">
        <v>#N/A</v>
      </c>
    </row>
    <row r="117" spans="4:10" x14ac:dyDescent="0.2">
      <c r="D117" s="8" t="e">
        <v>#N/A</v>
      </c>
      <c r="E117" s="8" t="e">
        <f>_xll.qlRateHelperQuoteName(D117)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0" t="e">
        <f>_xll.qlRateHelperEarliestDate($D117)</f>
        <v>#VALUE!</v>
      </c>
      <c r="I117" s="11" t="e">
        <f>_xll.qlRateHelperLatestDate($D117)</f>
        <v>#VALUE!</v>
      </c>
      <c r="J117" s="5" t="e">
        <v>#N/A</v>
      </c>
    </row>
    <row r="118" spans="4:10" x14ac:dyDescent="0.2">
      <c r="D118" s="8" t="e">
        <v>#N/A</v>
      </c>
      <c r="E118" s="8" t="e">
        <f>_xll.qlRateHelperQuoteName(D118)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0" t="e">
        <f>_xll.qlRateHelperEarliestDate($D118)</f>
        <v>#VALUE!</v>
      </c>
      <c r="I118" s="11" t="e">
        <f>_xll.qlRateHelperLatestDate($D118)</f>
        <v>#VALUE!</v>
      </c>
      <c r="J118" s="5" t="e">
        <v>#N/A</v>
      </c>
    </row>
    <row r="119" spans="4:10" x14ac:dyDescent="0.2">
      <c r="D119" s="8" t="e">
        <v>#N/A</v>
      </c>
      <c r="E119" s="8" t="e">
        <f>_xll.qlRateHelperQuoteName(D119)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0" t="e">
        <f>_xll.qlRateHelperEarliestDate($D119)</f>
        <v>#VALUE!</v>
      </c>
      <c r="I119" s="11" t="e">
        <f>_xll.qlRateHelperLatestDate($D119)</f>
        <v>#VALUE!</v>
      </c>
      <c r="J119" s="5" t="e">
        <v>#N/A</v>
      </c>
    </row>
    <row r="120" spans="4:10" x14ac:dyDescent="0.2">
      <c r="D120" s="8" t="e">
        <v>#N/A</v>
      </c>
      <c r="E120" s="8" t="e">
        <f>_xll.qlRateHelperQuoteName(D120)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0" t="e">
        <f>_xll.qlRateHelperEarliestDate($D120)</f>
        <v>#VALUE!</v>
      </c>
      <c r="I120" s="11" t="e">
        <f>_xll.qlRateHelperLatestDate($D120)</f>
        <v>#VALUE!</v>
      </c>
      <c r="J120" s="5" t="e">
        <v>#N/A</v>
      </c>
    </row>
    <row r="121" spans="4:10" x14ac:dyDescent="0.2">
      <c r="D121" s="8" t="e">
        <v>#N/A</v>
      </c>
      <c r="E121" s="8" t="e">
        <f>_xll.qlRateHelperQuoteName(D121)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0" t="e">
        <f>_xll.qlRateHelperEarliestDate($D121)</f>
        <v>#VALUE!</v>
      </c>
      <c r="I121" s="11" t="e">
        <f>_xll.qlRateHelperLatestDate($D121)</f>
        <v>#VALUE!</v>
      </c>
      <c r="J121" s="5" t="e">
        <v>#N/A</v>
      </c>
    </row>
    <row r="122" spans="4:10" x14ac:dyDescent="0.2">
      <c r="D122" s="8" t="e">
        <v>#N/A</v>
      </c>
      <c r="E122" s="8" t="e">
        <f>_xll.qlRateHelperQuoteName(D122)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0" t="e">
        <f>_xll.qlRateHelperEarliestDate($D122)</f>
        <v>#VALUE!</v>
      </c>
      <c r="I122" s="11" t="e">
        <f>_xll.qlRateHelperLatestDate($D122)</f>
        <v>#VALUE!</v>
      </c>
      <c r="J122" s="5" t="e">
        <v>#N/A</v>
      </c>
    </row>
    <row r="123" spans="4:10" x14ac:dyDescent="0.2">
      <c r="D123" s="8" t="e">
        <v>#N/A</v>
      </c>
      <c r="E123" s="8" t="e">
        <f>_xll.qlRateHelperQuoteName(D123)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0" t="e">
        <f>_xll.qlRateHelperEarliestDate($D123)</f>
        <v>#VALUE!</v>
      </c>
      <c r="I123" s="11" t="e">
        <f>_xll.qlRateHelperLatestDate($D123)</f>
        <v>#VALUE!</v>
      </c>
      <c r="J123" s="5" t="e">
        <v>#N/A</v>
      </c>
    </row>
    <row r="124" spans="4:10" x14ac:dyDescent="0.2">
      <c r="D124" s="8" t="e">
        <v>#N/A</v>
      </c>
      <c r="E124" s="8" t="e">
        <f>_xll.qlRateHelperQuoteName(D124)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0" t="e">
        <f>_xll.qlRateHelperEarliestDate($D124)</f>
        <v>#VALUE!</v>
      </c>
      <c r="I124" s="11" t="e">
        <f>_xll.qlRateHelperLatestDate($D124)</f>
        <v>#VALUE!</v>
      </c>
      <c r="J124" s="5" t="e">
        <v>#N/A</v>
      </c>
    </row>
    <row r="125" spans="4:10" x14ac:dyDescent="0.2">
      <c r="D125" s="8" t="e">
        <v>#N/A</v>
      </c>
      <c r="E125" s="8" t="e">
        <f>_xll.qlRateHelperQuoteName(D125)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0" t="e">
        <f>_xll.qlRateHelperEarliestDate($D125)</f>
        <v>#VALUE!</v>
      </c>
      <c r="I125" s="11" t="e">
        <f>_xll.qlRateHelperLatestDate($D125)</f>
        <v>#VALUE!</v>
      </c>
      <c r="J125" s="5" t="e">
        <v>#N/A</v>
      </c>
    </row>
    <row r="126" spans="4:10" ht="12" thickBot="1" x14ac:dyDescent="0.25">
      <c r="D126" s="14" t="e">
        <v>#N/A</v>
      </c>
      <c r="E126" s="8" t="e">
        <f>_xll.qlRateHelperQuoteName(D126)</f>
        <v>#VALUE!</v>
      </c>
      <c r="F126" s="15" t="e">
        <f>_xll.qlRateHelperRate($D126)</f>
        <v>#VALUE!</v>
      </c>
      <c r="G126" s="15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6" t="e">
        <f>_xll.qlRateHelperEarliestDate($D126)</f>
        <v>#VALUE!</v>
      </c>
      <c r="I126" s="17" t="e">
        <f>_xll.qlRateHelperLatestDate($D126)</f>
        <v>#VALUE!</v>
      </c>
      <c r="J126" s="5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4"/>
  <sheetViews>
    <sheetView workbookViewId="0">
      <selection activeCell="E2" sqref="E2"/>
    </sheetView>
  </sheetViews>
  <sheetFormatPr defaultRowHeight="12.75" x14ac:dyDescent="0.2"/>
  <cols>
    <col min="1" max="1" width="3.42578125" customWidth="1"/>
    <col min="2" max="2" width="3" bestFit="1" customWidth="1"/>
    <col min="3" max="3" width="15.140625" bestFit="1" customWidth="1"/>
    <col min="4" max="4" width="21.42578125" bestFit="1" customWidth="1"/>
    <col min="5" max="5" width="25" bestFit="1" customWidth="1"/>
  </cols>
  <sheetData>
    <row r="1" spans="1:7" ht="15" x14ac:dyDescent="0.25">
      <c r="A1" s="106"/>
      <c r="B1" s="107"/>
      <c r="C1" s="105"/>
      <c r="D1" s="108" t="str">
        <f>Currency&amp;"_YC"&amp;IndexTenor&amp;"RH"</f>
        <v>HKD_YC1MRH</v>
      </c>
      <c r="E1" s="112" t="str">
        <f>$D$1&amp;"_Deposits.xml"</f>
        <v>HKD_YC1MRH_Deposits.xml</v>
      </c>
      <c r="F1" s="103"/>
      <c r="G1" s="109"/>
    </row>
    <row r="2" spans="1:7" ht="22.5" customHeight="1" x14ac:dyDescent="0.2">
      <c r="A2" s="110"/>
      <c r="B2" s="111"/>
      <c r="C2" s="111" t="s">
        <v>118</v>
      </c>
      <c r="D2" s="111" t="s">
        <v>76</v>
      </c>
      <c r="E2" s="113" t="s">
        <v>119</v>
      </c>
      <c r="F2" s="114" t="s">
        <v>120</v>
      </c>
      <c r="G2" s="109"/>
    </row>
    <row r="3" spans="1:7" x14ac:dyDescent="0.2">
      <c r="A3" s="110"/>
      <c r="B3" s="115" t="str">
        <f>IndexTenor</f>
        <v>1M</v>
      </c>
      <c r="C3" s="116" t="str">
        <f>Currency&amp;FamilyName&amp;B3</f>
        <v>HKDHibor1M</v>
      </c>
      <c r="D3" s="117" t="str">
        <f>Currency&amp;FamilyName&amp;B3&amp;"LastFixing"&amp;QuoteSuffix</f>
        <v>HKDHibor1MLastFixing_Quote</v>
      </c>
      <c r="E3" s="118" t="str">
        <f>_xll.qlDepositRateHelper(,D3,C3,Permanent,Trigger,+ObjectOverwrite)</f>
        <v>obj_0013d#0000</v>
      </c>
      <c r="F3" s="119" t="s">
        <v>120</v>
      </c>
      <c r="G3" s="109"/>
    </row>
    <row r="4" spans="1:7" ht="13.5" thickBot="1" x14ac:dyDescent="0.25">
      <c r="A4" s="120"/>
      <c r="B4" s="121"/>
      <c r="C4" s="121"/>
      <c r="D4" s="121"/>
      <c r="E4" s="121"/>
      <c r="F4" s="121"/>
      <c r="G4" s="12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18"/>
  <sheetViews>
    <sheetView topLeftCell="E1" workbookViewId="0">
      <selection activeCell="K3" sqref="K3"/>
    </sheetView>
  </sheetViews>
  <sheetFormatPr defaultRowHeight="11.25" x14ac:dyDescent="0.2"/>
  <cols>
    <col min="1" max="1" width="2.7109375" style="1" customWidth="1"/>
    <col min="2" max="2" width="6.140625" style="1" customWidth="1"/>
    <col min="3" max="3" width="7.7109375" style="1" customWidth="1"/>
    <col min="4" max="4" width="3" style="1" bestFit="1" customWidth="1"/>
    <col min="5" max="5" width="5" style="1" bestFit="1" customWidth="1"/>
    <col min="6" max="6" width="7" style="1" bestFit="1" customWidth="1"/>
    <col min="7" max="8" width="19.28515625" style="1" bestFit="1" customWidth="1"/>
    <col min="9" max="9" width="8" style="1" bestFit="1" customWidth="1"/>
    <col min="10" max="10" width="17.28515625" style="1" bestFit="1" customWidth="1"/>
    <col min="11" max="11" width="22" style="18" bestFit="1" customWidth="1"/>
    <col min="12" max="12" width="21" style="1" customWidth="1"/>
    <col min="13" max="14" width="2.7109375" style="1" customWidth="1"/>
    <col min="15" max="15" width="9.5703125" style="1" bestFit="1" customWidth="1"/>
    <col min="16" max="16" width="24.42578125" style="1" bestFit="1" customWidth="1"/>
    <col min="17" max="17" width="19.28515625" style="1" bestFit="1" customWidth="1"/>
    <col min="18" max="18" width="5" style="1" bestFit="1" customWidth="1"/>
    <col min="19" max="19" width="19.28515625" style="1" bestFit="1" customWidth="1"/>
    <col min="20" max="16384" width="9.140625" style="1"/>
  </cols>
  <sheetData>
    <row r="1" spans="1:19" x14ac:dyDescent="0.2">
      <c r="A1" s="135"/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7"/>
    </row>
    <row r="2" spans="1:19" ht="12" x14ac:dyDescent="0.2">
      <c r="A2" s="138"/>
      <c r="B2" s="132"/>
      <c r="C2" s="132"/>
      <c r="D2" s="132"/>
      <c r="E2" s="132"/>
      <c r="F2" s="132"/>
      <c r="G2" s="132"/>
      <c r="H2" s="132"/>
      <c r="I2" s="21" t="s">
        <v>83</v>
      </c>
      <c r="J2" s="21" t="str">
        <f>Currency&amp;"_YC"&amp;$I$2&amp;"RH"</f>
        <v>HKD_YC1MRH</v>
      </c>
      <c r="K2" s="139" t="str">
        <f>J2&amp;"_Swaps.xml"</f>
        <v>HKD_YC1MRH_Swaps.xml</v>
      </c>
      <c r="L2" s="132"/>
      <c r="M2" s="140"/>
    </row>
    <row r="3" spans="1:19" ht="22.5" customHeight="1" x14ac:dyDescent="0.2">
      <c r="A3" s="138"/>
      <c r="B3" s="141" t="s">
        <v>82</v>
      </c>
      <c r="C3" s="141" t="s">
        <v>81</v>
      </c>
      <c r="D3" s="141"/>
      <c r="E3" s="141"/>
      <c r="F3" s="141" t="s">
        <v>80</v>
      </c>
      <c r="G3" s="141" t="s">
        <v>79</v>
      </c>
      <c r="H3" s="141" t="s">
        <v>78</v>
      </c>
      <c r="I3" s="141" t="s">
        <v>77</v>
      </c>
      <c r="J3" s="141" t="s">
        <v>76</v>
      </c>
      <c r="K3" s="142" t="str">
        <f>IF(Serialize,_xll.ohObjectSave(K4:K16,SerializationPath&amp;K2,FileOverwrite,,Serialize),"---")</f>
        <v>---</v>
      </c>
      <c r="L3" s="143" t="str">
        <f>_xll.ohRangeRetrieveError(K3)</f>
        <v/>
      </c>
      <c r="M3" s="140"/>
      <c r="O3" s="215" t="s">
        <v>75</v>
      </c>
      <c r="P3" s="215" t="s">
        <v>74</v>
      </c>
      <c r="Q3" s="215" t="s">
        <v>73</v>
      </c>
      <c r="R3" s="215" t="s">
        <v>72</v>
      </c>
      <c r="S3" s="216" t="s">
        <v>71</v>
      </c>
    </row>
    <row r="4" spans="1:19" x14ac:dyDescent="0.2">
      <c r="A4" s="131"/>
      <c r="B4" s="132"/>
      <c r="C4" s="132"/>
      <c r="D4" s="132"/>
      <c r="E4" s="132"/>
      <c r="F4" s="132"/>
      <c r="G4" s="132"/>
      <c r="H4" s="132"/>
      <c r="I4" s="132"/>
      <c r="J4" s="132"/>
      <c r="K4" s="144" t="str">
        <f>_xll.qlIborIndex(,FamilyName,I2,O4,Currency,P4,Q4,R4,S4,,Permanent,Trigger,ObjectOverwrite)</f>
        <v>obj_00131#0001</v>
      </c>
      <c r="L4" s="145" t="str">
        <f>_xll.ohRangeRetrieveError(K4)</f>
        <v/>
      </c>
      <c r="M4" s="140"/>
      <c r="O4" s="146">
        <v>0</v>
      </c>
      <c r="P4" s="146" t="s">
        <v>42</v>
      </c>
      <c r="Q4" s="146" t="s">
        <v>68</v>
      </c>
      <c r="R4" s="146" t="b">
        <v>1</v>
      </c>
      <c r="S4" s="147" t="s">
        <v>58</v>
      </c>
    </row>
    <row r="5" spans="1:19" x14ac:dyDescent="0.2">
      <c r="A5" s="131"/>
      <c r="B5" s="132"/>
      <c r="C5" s="132"/>
      <c r="D5" s="132"/>
      <c r="E5" s="132"/>
      <c r="F5" s="132"/>
      <c r="G5" s="132"/>
      <c r="H5" s="132"/>
      <c r="I5" s="132"/>
      <c r="J5" s="132"/>
      <c r="K5" s="132"/>
      <c r="L5" s="148"/>
      <c r="M5" s="140"/>
    </row>
    <row r="6" spans="1:19" x14ac:dyDescent="0.2">
      <c r="A6" s="138"/>
      <c r="B6" s="149">
        <v>1</v>
      </c>
      <c r="C6" s="149" t="s">
        <v>52</v>
      </c>
      <c r="D6" s="149">
        <v>2</v>
      </c>
      <c r="E6" s="149" t="s">
        <v>70</v>
      </c>
      <c r="F6" s="150" t="s">
        <v>69</v>
      </c>
      <c r="G6" s="150" t="s">
        <v>68</v>
      </c>
      <c r="H6" s="150" t="str">
        <f t="shared" ref="H6:H16" si="0">MoneyMarketDayCounter</f>
        <v>Actual/365 (Fixed)</v>
      </c>
      <c r="I6" s="151">
        <v>0</v>
      </c>
      <c r="J6" s="152" t="str">
        <f t="shared" ref="J6:J16" si="1">Currency&amp;$E6&amp;$C6&amp;QuoteSuffix</f>
        <v>HKDAM1H2M_Quote</v>
      </c>
      <c r="K6" s="153" t="str">
        <f>_xll.qlSwapRateHelper2(,$J6,$C6,Calendar,$F6,$G6,$H6,$K$4,$I6,B6&amp;"D",,Permanent,,ObjectOverwrite)</f>
        <v>obj_00137#0001</v>
      </c>
      <c r="L6" s="143" t="str">
        <f>_xll.ohRangeRetrieveError(K6)</f>
        <v/>
      </c>
      <c r="M6" s="140"/>
    </row>
    <row r="7" spans="1:19" x14ac:dyDescent="0.2">
      <c r="A7" s="138"/>
      <c r="B7" s="149">
        <v>1</v>
      </c>
      <c r="C7" s="149" t="s">
        <v>51</v>
      </c>
      <c r="D7" s="149">
        <v>3</v>
      </c>
      <c r="E7" s="149" t="s">
        <v>70</v>
      </c>
      <c r="F7" s="150" t="s">
        <v>69</v>
      </c>
      <c r="G7" s="150" t="s">
        <v>68</v>
      </c>
      <c r="H7" s="154" t="str">
        <f t="shared" si="0"/>
        <v>Actual/365 (Fixed)</v>
      </c>
      <c r="I7" s="151">
        <v>0</v>
      </c>
      <c r="J7" s="152" t="str">
        <f t="shared" si="1"/>
        <v>HKDAM1H3M_Quote</v>
      </c>
      <c r="K7" s="153" t="str">
        <f>_xll.qlSwapRateHelper2(,$J7,$C7,Calendar,$F7,$G7,$H7,$K$4,$I7,B7&amp;"D",,Permanent,,ObjectOverwrite)</f>
        <v>obj_00133#0001</v>
      </c>
      <c r="L7" s="143" t="str">
        <f>_xll.ohRangeRetrieveError(K7)</f>
        <v/>
      </c>
      <c r="M7" s="140"/>
    </row>
    <row r="8" spans="1:19" x14ac:dyDescent="0.2">
      <c r="A8" s="138"/>
      <c r="B8" s="149">
        <v>1</v>
      </c>
      <c r="C8" s="149" t="s">
        <v>50</v>
      </c>
      <c r="D8" s="149">
        <v>4</v>
      </c>
      <c r="E8" s="149" t="s">
        <v>70</v>
      </c>
      <c r="F8" s="150" t="s">
        <v>69</v>
      </c>
      <c r="G8" s="150" t="s">
        <v>68</v>
      </c>
      <c r="H8" s="154" t="str">
        <f t="shared" si="0"/>
        <v>Actual/365 (Fixed)</v>
      </c>
      <c r="I8" s="151">
        <v>0</v>
      </c>
      <c r="J8" s="152" t="str">
        <f t="shared" si="1"/>
        <v>HKDAM1H4M_Quote</v>
      </c>
      <c r="K8" s="153" t="str">
        <f>_xll.qlSwapRateHelper2(,$J8,$C8,Calendar,$F8,$G8,$H8,$K$4,$I8,B8&amp;"D",,Permanent,,ObjectOverwrite)</f>
        <v>obj_00134#0001</v>
      </c>
      <c r="L8" s="143" t="str">
        <f>_xll.ohRangeRetrieveError(K8)</f>
        <v/>
      </c>
      <c r="M8" s="140"/>
    </row>
    <row r="9" spans="1:19" x14ac:dyDescent="0.2">
      <c r="A9" s="138"/>
      <c r="B9" s="149">
        <v>1</v>
      </c>
      <c r="C9" s="149" t="s">
        <v>49</v>
      </c>
      <c r="D9" s="149">
        <v>5</v>
      </c>
      <c r="E9" s="149" t="s">
        <v>70</v>
      </c>
      <c r="F9" s="150" t="s">
        <v>69</v>
      </c>
      <c r="G9" s="150" t="s">
        <v>68</v>
      </c>
      <c r="H9" s="154" t="str">
        <f t="shared" si="0"/>
        <v>Actual/365 (Fixed)</v>
      </c>
      <c r="I9" s="151">
        <v>0</v>
      </c>
      <c r="J9" s="152" t="str">
        <f t="shared" si="1"/>
        <v>HKDAM1H5M_Quote</v>
      </c>
      <c r="K9" s="153" t="str">
        <f>_xll.qlSwapRateHelper2(,$J9,$C9,Calendar,$F9,$G9,$H9,$K$4,$I9,B9&amp;"D",,Permanent,,ObjectOverwrite)</f>
        <v>obj_00138#0001</v>
      </c>
      <c r="L9" s="143" t="str">
        <f>_xll.ohRangeRetrieveError(K9)</f>
        <v/>
      </c>
      <c r="M9" s="140"/>
    </row>
    <row r="10" spans="1:19" x14ac:dyDescent="0.2">
      <c r="A10" s="138"/>
      <c r="B10" s="149">
        <v>1</v>
      </c>
      <c r="C10" s="149" t="s">
        <v>48</v>
      </c>
      <c r="D10" s="149">
        <v>6</v>
      </c>
      <c r="E10" s="149" t="s">
        <v>70</v>
      </c>
      <c r="F10" s="150" t="s">
        <v>69</v>
      </c>
      <c r="G10" s="150" t="s">
        <v>68</v>
      </c>
      <c r="H10" s="154" t="str">
        <f t="shared" si="0"/>
        <v>Actual/365 (Fixed)</v>
      </c>
      <c r="I10" s="151">
        <v>0</v>
      </c>
      <c r="J10" s="152" t="str">
        <f t="shared" si="1"/>
        <v>HKDAM1H6M_Quote</v>
      </c>
      <c r="K10" s="153" t="str">
        <f>_xll.qlSwapRateHelper2(,$J10,$C10,Calendar,$F10,$G10,$H10,$K$4,$I10,B10&amp;"D",,Permanent,,ObjectOverwrite)</f>
        <v>obj_00132#0001</v>
      </c>
      <c r="L10" s="143" t="str">
        <f>_xll.ohRangeRetrieveError(K10)</f>
        <v/>
      </c>
      <c r="M10" s="140"/>
    </row>
    <row r="11" spans="1:19" x14ac:dyDescent="0.2">
      <c r="A11" s="138"/>
      <c r="B11" s="149">
        <v>1</v>
      </c>
      <c r="C11" s="149" t="s">
        <v>47</v>
      </c>
      <c r="D11" s="149">
        <v>7</v>
      </c>
      <c r="E11" s="149" t="s">
        <v>70</v>
      </c>
      <c r="F11" s="150" t="s">
        <v>69</v>
      </c>
      <c r="G11" s="150" t="s">
        <v>68</v>
      </c>
      <c r="H11" s="154" t="str">
        <f t="shared" si="0"/>
        <v>Actual/365 (Fixed)</v>
      </c>
      <c r="I11" s="151">
        <v>0</v>
      </c>
      <c r="J11" s="152" t="str">
        <f t="shared" si="1"/>
        <v>HKDAM1H7M_Quote</v>
      </c>
      <c r="K11" s="153" t="str">
        <f>_xll.qlSwapRateHelper2(,$J11,$C11,Calendar,$F11,$G11,$H11,$K$4,$I11,B11&amp;"D",,Permanent,,ObjectOverwrite)</f>
        <v>obj_0013b#0001</v>
      </c>
      <c r="L11" s="143" t="str">
        <f>_xll.ohRangeRetrieveError(K11)</f>
        <v/>
      </c>
      <c r="M11" s="140"/>
    </row>
    <row r="12" spans="1:19" x14ac:dyDescent="0.2">
      <c r="A12" s="138"/>
      <c r="B12" s="149">
        <v>1</v>
      </c>
      <c r="C12" s="149" t="s">
        <v>46</v>
      </c>
      <c r="D12" s="149">
        <v>8</v>
      </c>
      <c r="E12" s="149" t="s">
        <v>70</v>
      </c>
      <c r="F12" s="150" t="s">
        <v>69</v>
      </c>
      <c r="G12" s="150" t="s">
        <v>68</v>
      </c>
      <c r="H12" s="154" t="str">
        <f t="shared" si="0"/>
        <v>Actual/365 (Fixed)</v>
      </c>
      <c r="I12" s="151">
        <v>0</v>
      </c>
      <c r="J12" s="152" t="str">
        <f t="shared" si="1"/>
        <v>HKDAM1H8M_Quote</v>
      </c>
      <c r="K12" s="153" t="str">
        <f>_xll.qlSwapRateHelper2(,$J12,$C12,Calendar,$F12,$G12,$H12,$K$4,$I12,B12&amp;"D",,Permanent,,ObjectOverwrite)</f>
        <v>obj_00136#0001</v>
      </c>
      <c r="L12" s="143" t="str">
        <f>_xll.ohRangeRetrieveError(K12)</f>
        <v/>
      </c>
      <c r="M12" s="140"/>
    </row>
    <row r="13" spans="1:19" x14ac:dyDescent="0.2">
      <c r="A13" s="138"/>
      <c r="B13" s="149">
        <v>1</v>
      </c>
      <c r="C13" s="149" t="s">
        <v>45</v>
      </c>
      <c r="D13" s="149">
        <v>9</v>
      </c>
      <c r="E13" s="149" t="s">
        <v>70</v>
      </c>
      <c r="F13" s="150" t="s">
        <v>69</v>
      </c>
      <c r="G13" s="150" t="s">
        <v>68</v>
      </c>
      <c r="H13" s="154" t="str">
        <f t="shared" si="0"/>
        <v>Actual/365 (Fixed)</v>
      </c>
      <c r="I13" s="151">
        <v>0</v>
      </c>
      <c r="J13" s="152" t="str">
        <f t="shared" si="1"/>
        <v>HKDAM1H9M_Quote</v>
      </c>
      <c r="K13" s="153" t="str">
        <f>_xll.qlSwapRateHelper2(,$J13,$C13,Calendar,$F13,$G13,$H13,$K$4,$I13,B13&amp;"D",,Permanent,,ObjectOverwrite)</f>
        <v>obj_00139#0001</v>
      </c>
      <c r="L13" s="143" t="str">
        <f>_xll.ohRangeRetrieveError(K13)</f>
        <v/>
      </c>
      <c r="M13" s="140"/>
    </row>
    <row r="14" spans="1:19" x14ac:dyDescent="0.2">
      <c r="A14" s="138"/>
      <c r="B14" s="149">
        <v>1</v>
      </c>
      <c r="C14" s="149" t="s">
        <v>44</v>
      </c>
      <c r="D14" s="149">
        <v>10</v>
      </c>
      <c r="E14" s="149" t="s">
        <v>70</v>
      </c>
      <c r="F14" s="150" t="s">
        <v>69</v>
      </c>
      <c r="G14" s="150" t="s">
        <v>68</v>
      </c>
      <c r="H14" s="154" t="str">
        <f t="shared" si="0"/>
        <v>Actual/365 (Fixed)</v>
      </c>
      <c r="I14" s="151">
        <v>0</v>
      </c>
      <c r="J14" s="152" t="str">
        <f t="shared" si="1"/>
        <v>HKDAM1H10M_Quote</v>
      </c>
      <c r="K14" s="153" t="str">
        <f>_xll.qlSwapRateHelper2(,$J14,$C14,Calendar,$F14,$G14,$H14,$K$4,$I14,B14&amp;"D",,Permanent,,ObjectOverwrite)</f>
        <v>obj_0013c#0001</v>
      </c>
      <c r="L14" s="143" t="str">
        <f>_xll.ohRangeRetrieveError(K14)</f>
        <v/>
      </c>
      <c r="M14" s="140"/>
    </row>
    <row r="15" spans="1:19" x14ac:dyDescent="0.2">
      <c r="A15" s="138"/>
      <c r="B15" s="149">
        <v>1</v>
      </c>
      <c r="C15" s="149" t="s">
        <v>43</v>
      </c>
      <c r="D15" s="149">
        <v>11</v>
      </c>
      <c r="E15" s="149" t="s">
        <v>70</v>
      </c>
      <c r="F15" s="150" t="s">
        <v>69</v>
      </c>
      <c r="G15" s="150" t="s">
        <v>68</v>
      </c>
      <c r="H15" s="154" t="str">
        <f t="shared" si="0"/>
        <v>Actual/365 (Fixed)</v>
      </c>
      <c r="I15" s="151">
        <v>0</v>
      </c>
      <c r="J15" s="152" t="str">
        <f t="shared" si="1"/>
        <v>HKDAM1H11M_Quote</v>
      </c>
      <c r="K15" s="153" t="str">
        <f>_xll.qlSwapRateHelper2(,$J15,$C15,Calendar,$F15,$G15,$H15,$K$4,$I15,B15&amp;"D",,Permanent,,ObjectOverwrite)</f>
        <v>obj_00135#0001</v>
      </c>
      <c r="L15" s="143" t="str">
        <f>_xll.ohRangeRetrieveError(K15)</f>
        <v/>
      </c>
      <c r="M15" s="140"/>
    </row>
    <row r="16" spans="1:19" x14ac:dyDescent="0.2">
      <c r="A16" s="138"/>
      <c r="B16" s="149">
        <v>1</v>
      </c>
      <c r="C16" s="149" t="s">
        <v>23</v>
      </c>
      <c r="D16" s="149">
        <v>12</v>
      </c>
      <c r="E16" s="149" t="s">
        <v>70</v>
      </c>
      <c r="F16" s="150" t="s">
        <v>69</v>
      </c>
      <c r="G16" s="150" t="s">
        <v>68</v>
      </c>
      <c r="H16" s="154" t="str">
        <f t="shared" si="0"/>
        <v>Actual/365 (Fixed)</v>
      </c>
      <c r="I16" s="151">
        <v>0</v>
      </c>
      <c r="J16" s="152" t="str">
        <f t="shared" si="1"/>
        <v>HKDAM1H1Y_Quote</v>
      </c>
      <c r="K16" s="153" t="str">
        <f>_xll.qlSwapRateHelper2(,$J16,$C16,Calendar,$F16,$G16,$H16,$K$4,$I16,B16&amp;"D",,Permanent,,ObjectOverwrite)</f>
        <v>obj_0013a#0001</v>
      </c>
      <c r="L16" s="143" t="str">
        <f>_xll.ohRangeRetrieveError(K16)</f>
        <v/>
      </c>
      <c r="M16" s="140"/>
    </row>
    <row r="17" spans="1:13" x14ac:dyDescent="0.2">
      <c r="A17" s="138"/>
      <c r="B17" s="30"/>
      <c r="C17" s="30"/>
      <c r="D17" s="30"/>
      <c r="E17" s="30"/>
      <c r="F17" s="21"/>
      <c r="G17" s="21"/>
      <c r="H17" s="21"/>
      <c r="I17" s="9"/>
      <c r="J17" s="148"/>
      <c r="K17" s="148"/>
      <c r="L17" s="148"/>
      <c r="M17" s="140"/>
    </row>
    <row r="18" spans="1:13" ht="12" thickBot="1" x14ac:dyDescent="0.25">
      <c r="A18" s="133"/>
      <c r="B18" s="134"/>
      <c r="C18" s="134"/>
      <c r="D18" s="134"/>
      <c r="E18" s="134"/>
      <c r="F18" s="134"/>
      <c r="G18" s="134"/>
      <c r="H18" s="134"/>
      <c r="I18" s="134"/>
      <c r="J18" s="134"/>
      <c r="K18" s="155"/>
      <c r="L18" s="155"/>
      <c r="M18" s="156"/>
    </row>
  </sheetData>
  <dataValidations count="4">
    <dataValidation type="list" allowBlank="1" showInputMessage="1" showErrorMessage="1" sqref="S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Q4">
      <formula1>"Following,Modified Following,Preceding,Modified Preceding,Unadjusted"</formula1>
    </dataValidation>
    <dataValidation type="list" allowBlank="1" showInputMessage="1" showErrorMessage="1" sqref="G6:G17">
      <formula1>"Following,Modified Following,Preceding,Modified Preceding,Month End Reference,Unadjusted Month End,Unadjusted"</formula1>
    </dataValidation>
    <dataValidation type="list" allowBlank="1" showInputMessage="1" showErrorMessage="1" sqref="F6:F17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C00000"/>
  </sheetPr>
  <dimension ref="A1:AA3558"/>
  <sheetViews>
    <sheetView topLeftCell="A17" workbookViewId="0">
      <selection activeCell="J20" sqref="J20"/>
    </sheetView>
  </sheetViews>
  <sheetFormatPr defaultRowHeight="11.25" outlineLevelRow="1" outlineLevelCol="1" x14ac:dyDescent="0.2"/>
  <cols>
    <col min="1" max="1" width="7" style="104" bestFit="1" customWidth="1"/>
    <col min="2" max="2" width="6" style="42" bestFit="1" customWidth="1"/>
    <col min="3" max="3" width="17.28515625" style="42" bestFit="1" customWidth="1"/>
    <col min="4" max="4" width="7" style="104" bestFit="1" customWidth="1"/>
    <col min="5" max="5" width="17.28515625" style="104" bestFit="1" customWidth="1"/>
    <col min="6" max="6" width="20.28515625" style="42" bestFit="1" customWidth="1"/>
    <col min="7" max="7" width="11" style="42" bestFit="1" customWidth="1"/>
    <col min="8" max="8" width="7" style="42" bestFit="1" customWidth="1"/>
    <col min="9" max="9" width="11.140625" style="42" bestFit="1" customWidth="1"/>
    <col min="10" max="10" width="15.28515625" style="42" bestFit="1" customWidth="1"/>
    <col min="11" max="11" width="10.42578125" style="42" customWidth="1"/>
    <col min="12" max="12" width="15.140625" style="104" hidden="1" customWidth="1"/>
    <col min="13" max="13" width="27.5703125" style="104" bestFit="1" customWidth="1"/>
    <col min="14" max="14" width="17.28515625" style="104" bestFit="1" customWidth="1"/>
    <col min="15" max="15" width="12" style="104" bestFit="1" customWidth="1"/>
    <col min="16" max="16" width="6" style="104" hidden="1" customWidth="1" outlineLevel="1"/>
    <col min="17" max="17" width="17.28515625" style="104" hidden="1" customWidth="1" outlineLevel="1"/>
    <col min="18" max="18" width="15.140625" style="104" hidden="1" customWidth="1" outlineLevel="1"/>
    <col min="19" max="19" width="16.140625" style="45" bestFit="1" customWidth="1" collapsed="1"/>
    <col min="20" max="20" width="10" style="104" bestFit="1" customWidth="1"/>
    <col min="21" max="21" width="3.7109375" style="104" customWidth="1"/>
    <col min="22" max="22" width="19.28515625" style="104" customWidth="1"/>
    <col min="23" max="24" width="17.28515625" style="104" bestFit="1" customWidth="1"/>
    <col min="25" max="26" width="15.140625" style="104" bestFit="1" customWidth="1"/>
    <col min="27" max="27" width="22.42578125" style="104" bestFit="1" customWidth="1"/>
    <col min="28" max="16384" width="9.140625" style="104"/>
  </cols>
  <sheetData>
    <row r="1" spans="1:27" s="42" customFormat="1" ht="11.25" hidden="1" customHeight="1" outlineLevel="1" thickBot="1" x14ac:dyDescent="0.25">
      <c r="A1" s="38"/>
      <c r="B1" s="39" t="s">
        <v>94</v>
      </c>
      <c r="C1" s="40"/>
      <c r="D1" s="40"/>
      <c r="E1" s="40"/>
      <c r="F1" s="40"/>
      <c r="G1" s="39" t="s">
        <v>95</v>
      </c>
      <c r="H1" s="40"/>
      <c r="I1" s="41"/>
      <c r="J1" s="40"/>
      <c r="K1" s="41"/>
    </row>
    <row r="2" spans="1:27" ht="11.25" hidden="1" customHeight="1" outlineLevel="1" thickBot="1" x14ac:dyDescent="0.25">
      <c r="A2" s="43"/>
      <c r="B2" s="43" t="s">
        <v>96</v>
      </c>
      <c r="C2" s="43" t="s">
        <v>97</v>
      </c>
      <c r="D2" s="43" t="s">
        <v>33</v>
      </c>
      <c r="E2" s="43" t="s">
        <v>98</v>
      </c>
      <c r="F2" s="44" t="s">
        <v>99</v>
      </c>
      <c r="G2" s="43" t="s">
        <v>97</v>
      </c>
      <c r="H2" s="43" t="s">
        <v>98</v>
      </c>
      <c r="I2" s="44" t="s">
        <v>100</v>
      </c>
      <c r="J2" s="43" t="s">
        <v>101</v>
      </c>
      <c r="K2" s="44" t="s">
        <v>102</v>
      </c>
    </row>
    <row r="3" spans="1:27" ht="11.25" hidden="1" customHeight="1" outlineLevel="1" x14ac:dyDescent="0.2">
      <c r="A3" s="46"/>
      <c r="B3" s="47" t="str">
        <f>_xll.qlPeriodEquivalent(D3&amp;"M")</f>
        <v>6M</v>
      </c>
      <c r="C3" s="48">
        <f>_xll.qlDateEndOfMonth(EDATE(_xll.qlSettingsEvaluationDate(Trigger),-1))</f>
        <v>41851</v>
      </c>
      <c r="D3" s="49">
        <v>6</v>
      </c>
      <c r="E3" s="48">
        <f t="shared" ref="E3:E9" si="0">EDATE($X$19,D3)</f>
        <v>42062</v>
      </c>
      <c r="F3" s="50">
        <f>IF(D3&lt;=12,1,IF(D3&lt;=24,3,IF(D3&lt;=120,6,IF(D3&lt;=240,12,IF(D3&lt;=360,36,60)))))</f>
        <v>1</v>
      </c>
      <c r="G3" s="51">
        <f>ROUNDDOWN(J3*10,2)/10</f>
        <v>2E-3</v>
      </c>
      <c r="H3" s="51">
        <f>IF(K3-J3&gt;1%,(QUOTIENT(K3*10000,50)+1)*0.5%,(QUOTIENT(K3*10000,10)+1)*0.1%)</f>
        <v>3.0000000000000001E-3</v>
      </c>
      <c r="I3" s="52">
        <f>IF(H3-G3&lt;0.5%,0.05%,IF(H3-G3&lt;1%,0.1%,IF(H3-G3&lt;2%,0.25%,0.5%)))</f>
        <v>5.0000000000000001E-4</v>
      </c>
      <c r="J3" s="51">
        <f>MIN(_xll.ohPack($Y$19:INDEX($Y$19:$Y$3552,MATCH(E3+1,$X$19:$X$3552,1),1)))</f>
        <v>2.0058277053096453E-3</v>
      </c>
      <c r="K3" s="51">
        <f>MAX(_xll.ohPack($Y$19:INDEX($Y$19:$Y$3552,MATCH(E3+1,$X$19:$X$3552,1),1)))</f>
        <v>2.5715439811286808E-3</v>
      </c>
    </row>
    <row r="4" spans="1:27" ht="11.25" hidden="1" customHeight="1" outlineLevel="1" x14ac:dyDescent="0.25">
      <c r="A4" s="53"/>
      <c r="B4" s="54" t="str">
        <f>_xll.qlPeriodEquivalent(D4&amp;"M")</f>
        <v>1Y</v>
      </c>
      <c r="C4" s="55">
        <f>C3</f>
        <v>41851</v>
      </c>
      <c r="D4" s="56">
        <v>12</v>
      </c>
      <c r="E4" s="55">
        <f t="shared" si="0"/>
        <v>42243</v>
      </c>
      <c r="F4" s="57">
        <f t="shared" ref="F4:F9" si="1">IF(D4&lt;=12,1,IF(D4&lt;=24,3,IF(D4&lt;=120,6,IF(D4&lt;=240,12,IF(D4&lt;=360,36,60)))))</f>
        <v>1</v>
      </c>
      <c r="G4" s="58">
        <f t="shared" ref="G4:G16" si="2">ROUNDDOWN(J4*10,2)/10</f>
        <v>2E-3</v>
      </c>
      <c r="H4" s="58">
        <f t="shared" ref="H4:H16" si="3">IF(K4-J4&gt;1%,(QUOTIENT(K4*10000,50)+1)*0.5%,(QUOTIENT(K4*10000,10)+1)*0.1%)</f>
        <v>5.0000000000000001E-3</v>
      </c>
      <c r="I4" s="59">
        <f t="shared" ref="I4:I16" si="4">IF(H4-G4&lt;0.5%,0.05%,IF(H4-G4&lt;1%,0.1%,IF(H4-G4&lt;2%,0.25%,0.5%)))</f>
        <v>5.0000000000000001E-4</v>
      </c>
      <c r="J4" s="58">
        <f>MIN(_xll.ohPack($Y$19:INDEX($Y$19:$Y$3552,MATCH(E4+1,$X$19:$X$3552,1),1)))</f>
        <v>2.0058277053096453E-3</v>
      </c>
      <c r="K4" s="59">
        <f>MAX(_xll.ohPack($Y$19:INDEX($Y$19:$Y$3552,MATCH(E4+1,$X$19:$X$3552,1),1)))</f>
        <v>4.6438582127504525E-3</v>
      </c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</row>
    <row r="5" spans="1:27" ht="11.25" hidden="1" customHeight="1" outlineLevel="1" x14ac:dyDescent="0.2">
      <c r="A5" s="53"/>
      <c r="B5" s="54" t="str">
        <f>_xll.qlPeriodEquivalent(D5&amp;"M")</f>
        <v>2Y</v>
      </c>
      <c r="C5" s="55">
        <f>_xll.qlDateEndOfMonth(EDATE(_xll.qlIMMNextDate(_xll.qlSettingsEvaluationDate(Trigger)-1,TRUE),-3))</f>
        <v>41820</v>
      </c>
      <c r="D5" s="56">
        <v>24</v>
      </c>
      <c r="E5" s="55">
        <f t="shared" si="0"/>
        <v>42609</v>
      </c>
      <c r="F5" s="57">
        <f t="shared" si="1"/>
        <v>3</v>
      </c>
      <c r="G5" s="58">
        <f t="shared" si="2"/>
        <v>2E-3</v>
      </c>
      <c r="H5" s="58">
        <f t="shared" si="3"/>
        <v>5.0000000000000001E-3</v>
      </c>
      <c r="I5" s="59">
        <f t="shared" si="4"/>
        <v>5.0000000000000001E-4</v>
      </c>
      <c r="J5" s="58">
        <f>MIN(_xll.ohPack($Y$19:INDEX($Y$19:$Y$3552,MATCH(E5+1,$X$19:$X$3552,1),1)))</f>
        <v>2.0058277053096453E-3</v>
      </c>
      <c r="K5" s="59">
        <f>MAX(_xll.ohPack($Y$19:INDEX($Y$19:$Y$3552,MATCH(E5+1,$X$19:$X$3552,1),1)))</f>
        <v>4.6438582127504525E-3</v>
      </c>
    </row>
    <row r="6" spans="1:27" ht="11.25" hidden="1" customHeight="1" outlineLevel="1" x14ac:dyDescent="0.2">
      <c r="A6" s="60" t="s">
        <v>103</v>
      </c>
      <c r="B6" s="54" t="str">
        <f>_xll.qlPeriodEquivalent(D6&amp;"M")</f>
        <v>5Y</v>
      </c>
      <c r="C6" s="5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6" s="56">
        <v>60</v>
      </c>
      <c r="E6" s="55">
        <f t="shared" si="0"/>
        <v>43704</v>
      </c>
      <c r="F6" s="57">
        <f t="shared" si="1"/>
        <v>6</v>
      </c>
      <c r="G6" s="58">
        <f t="shared" si="2"/>
        <v>2E-3</v>
      </c>
      <c r="H6" s="58">
        <f t="shared" si="3"/>
        <v>5.0000000000000001E-3</v>
      </c>
      <c r="I6" s="59">
        <f t="shared" si="4"/>
        <v>5.0000000000000001E-4</v>
      </c>
      <c r="J6" s="58">
        <f>MIN(_xll.ohPack($Y$19:INDEX($Y$19:$Y$3552,MATCH(E6+1,$X$19:$X$3552,1),1)))</f>
        <v>2.0058277053096453E-3</v>
      </c>
      <c r="K6" s="59">
        <f>MAX(_xll.ohPack($Y$19:INDEX($Y$19:$Y$3552,MATCH(E6+1,$X$19:$X$3552,1),1)))</f>
        <v>4.6438582127504525E-3</v>
      </c>
    </row>
    <row r="7" spans="1:27" ht="11.25" hidden="1" customHeight="1" outlineLevel="1" x14ac:dyDescent="0.2">
      <c r="A7" s="53"/>
      <c r="B7" s="54" t="str">
        <f>_xll.qlPeriodEquivalent(D7&amp;"M")</f>
        <v>10Y</v>
      </c>
      <c r="C7" s="55">
        <f>C6</f>
        <v>41820</v>
      </c>
      <c r="D7" s="56">
        <v>120</v>
      </c>
      <c r="E7" s="55">
        <f t="shared" si="0"/>
        <v>45531</v>
      </c>
      <c r="F7" s="61">
        <f t="shared" si="1"/>
        <v>6</v>
      </c>
      <c r="G7" s="58">
        <f t="shared" si="2"/>
        <v>2E-3</v>
      </c>
      <c r="H7" s="58">
        <f t="shared" si="3"/>
        <v>5.0000000000000001E-3</v>
      </c>
      <c r="I7" s="59">
        <f t="shared" si="4"/>
        <v>5.0000000000000001E-4</v>
      </c>
      <c r="J7" s="58">
        <f>MIN(_xll.ohPack($Y$19:INDEX($Y$19:$Y$3552,MATCH(E7+1,$X$19:$X$3552,1),1)))</f>
        <v>2.0058277053096453E-3</v>
      </c>
      <c r="K7" s="59">
        <f>MAX(_xll.ohPack($Y$19:INDEX($Y$19:$Y$3552,MATCH(E7+1,$X$19:$X$3552,1),1)))</f>
        <v>4.6438582127504525E-3</v>
      </c>
    </row>
    <row r="8" spans="1:27" ht="11.25" hidden="1" customHeight="1" outlineLevel="1" x14ac:dyDescent="0.2">
      <c r="A8" s="53"/>
      <c r="B8" s="54" t="str">
        <f>_xll.qlPeriodEquivalent(D8&amp;"M")</f>
        <v>20Y</v>
      </c>
      <c r="C8" s="55">
        <f>IF(AND(MONTH(C7)=12),C7,_xll.qlDateEndOfMonth(EDATE(C7,-6)))</f>
        <v>41639</v>
      </c>
      <c r="D8" s="56">
        <v>240</v>
      </c>
      <c r="E8" s="55">
        <f t="shared" si="0"/>
        <v>49183</v>
      </c>
      <c r="F8" s="61">
        <f t="shared" si="1"/>
        <v>12</v>
      </c>
      <c r="G8" s="58">
        <f t="shared" si="2"/>
        <v>2E-3</v>
      </c>
      <c r="H8" s="58">
        <f t="shared" si="3"/>
        <v>5.0000000000000001E-3</v>
      </c>
      <c r="I8" s="59">
        <f t="shared" si="4"/>
        <v>5.0000000000000001E-4</v>
      </c>
      <c r="J8" s="58">
        <f>MIN(_xll.ohPack($Y$19:INDEX($Y$19:$Y$3552,MATCH(E8+1,$X$19:$X$3552,1),1)))</f>
        <v>2.0058277053096453E-3</v>
      </c>
      <c r="K8" s="59">
        <f>MAX(_xll.ohPack($Y$19:INDEX($Y$19:$Y$3552,MATCH(E8+1,$X$19:$X$3552,1),1)))</f>
        <v>4.6438582127504525E-3</v>
      </c>
    </row>
    <row r="9" spans="1:27" ht="11.25" hidden="1" customHeight="1" outlineLevel="1" thickBot="1" x14ac:dyDescent="0.25">
      <c r="A9" s="62"/>
      <c r="B9" s="63" t="str">
        <f>_xll.qlPeriodEquivalent(D9&amp;"M")</f>
        <v>30Y</v>
      </c>
      <c r="C9" s="64">
        <f t="shared" ref="C9" si="5">C8</f>
        <v>41639</v>
      </c>
      <c r="D9" s="65">
        <v>360</v>
      </c>
      <c r="E9" s="64">
        <f t="shared" si="0"/>
        <v>52836</v>
      </c>
      <c r="F9" s="66">
        <f t="shared" si="1"/>
        <v>36</v>
      </c>
      <c r="G9" s="67">
        <f t="shared" si="2"/>
        <v>2E-3</v>
      </c>
      <c r="H9" s="67">
        <f t="shared" si="3"/>
        <v>5.0000000000000001E-3</v>
      </c>
      <c r="I9" s="68">
        <f t="shared" si="4"/>
        <v>5.0000000000000001E-4</v>
      </c>
      <c r="J9" s="67">
        <f>MIN(_xll.ohPack($Y$19:INDEX($Y$19:$Y$3552,MATCH(E9+1,$X$19:$X$3552,1),1)))</f>
        <v>2.0058277053096453E-3</v>
      </c>
      <c r="K9" s="68">
        <f>MAX(_xll.ohPack($Y$19:INDEX($Y$19:$Y$3552,MATCH(E9+1,$X$19:$X$3552,1),1)))</f>
        <v>4.6438582127504525E-3</v>
      </c>
      <c r="AA9" s="69"/>
    </row>
    <row r="10" spans="1:27" ht="11.25" hidden="1" customHeight="1" outlineLevel="1" x14ac:dyDescent="0.2">
      <c r="A10" s="53"/>
      <c r="B10" s="54" t="s">
        <v>23</v>
      </c>
      <c r="C10" s="55">
        <f>C3</f>
        <v>41851</v>
      </c>
      <c r="D10" s="56">
        <v>6</v>
      </c>
      <c r="E10" s="55">
        <f t="shared" ref="E10:E16" si="6">EDATE($X$19,D10)</f>
        <v>42062</v>
      </c>
      <c r="F10" s="57">
        <f t="shared" ref="F10:F16" si="7">IF(D10&lt;=12,1,IF(D10&lt;=24,3,IF(D10&lt;=120,6,IF(D10&lt;=240,12,IF(D10&lt;=360,36,60)))))</f>
        <v>1</v>
      </c>
      <c r="G10" s="58">
        <f t="shared" si="2"/>
        <v>1E-3</v>
      </c>
      <c r="H10" s="58">
        <f t="shared" si="3"/>
        <v>3.0000000000000001E-3</v>
      </c>
      <c r="I10" s="59">
        <f t="shared" si="4"/>
        <v>5.0000000000000001E-4</v>
      </c>
      <c r="J10" s="58">
        <f>MIN(_xll.ohPack($Z$19:INDEX($Z$19:$Z$3552,MATCH(E10+1,$X$19:$X$3552,1),1)))</f>
        <v>1.9993643637857459E-3</v>
      </c>
      <c r="K10" s="58">
        <f>MAX(_xll.ohPack($Z$19:INDEX($Z$19:$Z$3552,MATCH(E10+1,$X$19:$X$3552,1),1)))</f>
        <v>2.3953560465487618E-3</v>
      </c>
    </row>
    <row r="11" spans="1:27" ht="11.25" hidden="1" customHeight="1" outlineLevel="1" x14ac:dyDescent="0.2">
      <c r="A11" s="53"/>
      <c r="B11" s="54" t="s">
        <v>89</v>
      </c>
      <c r="C11" s="55">
        <f t="shared" ref="C11:C16" si="8">C4</f>
        <v>41851</v>
      </c>
      <c r="D11" s="56">
        <v>12</v>
      </c>
      <c r="E11" s="55">
        <f t="shared" si="6"/>
        <v>42243</v>
      </c>
      <c r="F11" s="57">
        <f t="shared" si="7"/>
        <v>1</v>
      </c>
      <c r="G11" s="58">
        <f t="shared" si="2"/>
        <v>1E-3</v>
      </c>
      <c r="H11" s="58">
        <f t="shared" si="3"/>
        <v>5.0000000000000001E-3</v>
      </c>
      <c r="I11" s="59">
        <f t="shared" si="4"/>
        <v>5.0000000000000001E-4</v>
      </c>
      <c r="J11" s="58">
        <f>MIN(_xll.ohPack($Z$19:INDEX($Z$19:$Z$3552,MATCH(E11+1,$X$19:$X$3552,1),1)))</f>
        <v>1.9993643637857459E-3</v>
      </c>
      <c r="K11" s="59">
        <f>MAX(_xll.ohPack($Z$19:INDEX($Z$19:$Z$3552,MATCH(E11+1,$X$19:$X$3552,1),1)))</f>
        <v>4.6774565461871198E-3</v>
      </c>
    </row>
    <row r="12" spans="1:27" ht="11.25" hidden="1" customHeight="1" outlineLevel="1" x14ac:dyDescent="0.2">
      <c r="A12" s="53"/>
      <c r="B12" s="54" t="s">
        <v>88</v>
      </c>
      <c r="C12" s="55">
        <f t="shared" si="8"/>
        <v>41820</v>
      </c>
      <c r="D12" s="56">
        <v>24</v>
      </c>
      <c r="E12" s="55">
        <f t="shared" si="6"/>
        <v>42609</v>
      </c>
      <c r="F12" s="57">
        <f t="shared" si="7"/>
        <v>3</v>
      </c>
      <c r="G12" s="58">
        <f t="shared" si="2"/>
        <v>1E-3</v>
      </c>
      <c r="H12" s="58">
        <f t="shared" si="3"/>
        <v>5.0000000000000001E-3</v>
      </c>
      <c r="I12" s="59">
        <f t="shared" si="4"/>
        <v>5.0000000000000001E-4</v>
      </c>
      <c r="J12" s="58">
        <f>MIN(_xll.ohPack($Z$19:INDEX($Z$19:$Z$3552,MATCH(E12+1,$X$19:$X$3552,1),1)))</f>
        <v>1.9993643637857459E-3</v>
      </c>
      <c r="K12" s="59">
        <f>MAX(_xll.ohPack($Z$19:INDEX($Z$19:$Z$3552,MATCH(E12+1,$X$19:$X$3552,1),1)))</f>
        <v>4.6774565461871198E-3</v>
      </c>
    </row>
    <row r="13" spans="1:27" ht="11.25" hidden="1" customHeight="1" outlineLevel="1" x14ac:dyDescent="0.2">
      <c r="A13" s="53" t="s">
        <v>104</v>
      </c>
      <c r="B13" s="54" t="s">
        <v>87</v>
      </c>
      <c r="C13" s="55">
        <f t="shared" si="8"/>
        <v>41820</v>
      </c>
      <c r="D13" s="56">
        <v>60</v>
      </c>
      <c r="E13" s="55">
        <f t="shared" si="6"/>
        <v>43704</v>
      </c>
      <c r="F13" s="57">
        <f t="shared" si="7"/>
        <v>6</v>
      </c>
      <c r="G13" s="58">
        <f t="shared" si="2"/>
        <v>1E-3</v>
      </c>
      <c r="H13" s="58">
        <f t="shared" si="3"/>
        <v>5.0000000000000001E-3</v>
      </c>
      <c r="I13" s="59">
        <f t="shared" si="4"/>
        <v>5.0000000000000001E-4</v>
      </c>
      <c r="J13" s="58">
        <f>MIN(_xll.ohPack($Z$19:INDEX($Z$19:$Z$3552,MATCH(E13+1,$X$19:$X$3552,1),1)))</f>
        <v>1.9993643637857459E-3</v>
      </c>
      <c r="K13" s="59">
        <f>MAX(_xll.ohPack($Z$19:INDEX($Z$19:$Z$3552,MATCH(E13+1,$X$19:$X$3552,1),1)))</f>
        <v>4.6774565461871198E-3</v>
      </c>
    </row>
    <row r="14" spans="1:27" ht="11.25" hidden="1" customHeight="1" outlineLevel="1" x14ac:dyDescent="0.2">
      <c r="A14" s="53"/>
      <c r="B14" s="54" t="s">
        <v>86</v>
      </c>
      <c r="C14" s="55">
        <f t="shared" si="8"/>
        <v>41820</v>
      </c>
      <c r="D14" s="56">
        <v>120</v>
      </c>
      <c r="E14" s="55">
        <f t="shared" si="6"/>
        <v>45531</v>
      </c>
      <c r="F14" s="57">
        <f t="shared" si="7"/>
        <v>6</v>
      </c>
      <c r="G14" s="58">
        <f t="shared" si="2"/>
        <v>1E-3</v>
      </c>
      <c r="H14" s="58">
        <f t="shared" si="3"/>
        <v>5.0000000000000001E-3</v>
      </c>
      <c r="I14" s="59">
        <f t="shared" si="4"/>
        <v>5.0000000000000001E-4</v>
      </c>
      <c r="J14" s="58">
        <f>MIN(_xll.ohPack($Z$19:INDEX($Z$19:$Z$3552,MATCH(E14+1,$X$19:$X$3552,1),1)))</f>
        <v>1.9993643637857459E-3</v>
      </c>
      <c r="K14" s="59">
        <f>MAX(_xll.ohPack($Z$19:INDEX($Z$19:$Z$3552,MATCH(E14+1,$X$19:$X$3552,1),1)))</f>
        <v>4.6774565461871198E-3</v>
      </c>
    </row>
    <row r="15" spans="1:27" ht="11.25" hidden="1" customHeight="1" outlineLevel="1" x14ac:dyDescent="0.2">
      <c r="A15" s="53"/>
      <c r="B15" s="54" t="s">
        <v>85</v>
      </c>
      <c r="C15" s="55">
        <f t="shared" si="8"/>
        <v>41639</v>
      </c>
      <c r="D15" s="56">
        <v>240</v>
      </c>
      <c r="E15" s="55">
        <f t="shared" si="6"/>
        <v>49183</v>
      </c>
      <c r="F15" s="57">
        <f t="shared" si="7"/>
        <v>12</v>
      </c>
      <c r="G15" s="58">
        <f t="shared" si="2"/>
        <v>1E-3</v>
      </c>
      <c r="H15" s="58">
        <f t="shared" si="3"/>
        <v>5.0000000000000001E-3</v>
      </c>
      <c r="I15" s="59">
        <f t="shared" si="4"/>
        <v>5.0000000000000001E-4</v>
      </c>
      <c r="J15" s="58">
        <f>MIN(_xll.ohPack($Z$19:INDEX($Z$19:$Z$3552,MATCH(E15+1,$X$19:$X$3552,1),1)))</f>
        <v>1.9993643637857459E-3</v>
      </c>
      <c r="K15" s="59">
        <f>MAX(_xll.ohPack($Z$19:INDEX($Z$19:$Z$3552,MATCH(E15+1,$X$19:$X$3552,1),1)))</f>
        <v>4.6774565461871198E-3</v>
      </c>
      <c r="Y15" s="70" t="s">
        <v>105</v>
      </c>
      <c r="Z15" s="70" t="s">
        <v>106</v>
      </c>
    </row>
    <row r="16" spans="1:27" ht="11.25" hidden="1" customHeight="1" outlineLevel="1" thickBot="1" x14ac:dyDescent="0.25">
      <c r="A16" s="62"/>
      <c r="B16" s="63" t="s">
        <v>84</v>
      </c>
      <c r="C16" s="64">
        <f t="shared" si="8"/>
        <v>41639</v>
      </c>
      <c r="D16" s="65">
        <v>360</v>
      </c>
      <c r="E16" s="64">
        <f t="shared" si="6"/>
        <v>52836</v>
      </c>
      <c r="F16" s="71">
        <f t="shared" si="7"/>
        <v>36</v>
      </c>
      <c r="G16" s="67">
        <f t="shared" si="2"/>
        <v>1E-3</v>
      </c>
      <c r="H16" s="67">
        <f t="shared" si="3"/>
        <v>5.0000000000000001E-3</v>
      </c>
      <c r="I16" s="68">
        <f t="shared" si="4"/>
        <v>5.0000000000000001E-4</v>
      </c>
      <c r="J16" s="67">
        <f>MIN(_xll.ohPack($Z$19:INDEX($Z$19:$Z$3552,MATCH(E16+1,$X$19:$X$3552,1),1)))</f>
        <v>1.9993643637857459E-3</v>
      </c>
      <c r="K16" s="68">
        <f>MAX(_xll.ohPack($Z$19:INDEX($Z$19:$Z$3552,MATCH(E16+1,$X$19:$X$3552,1),1)))</f>
        <v>4.6774565461871198E-3</v>
      </c>
      <c r="Y16" s="72" t="str">
        <f>_xll.qlIborIndex(,FamilyName,IndexTenor,NDays,Currency,Calendar,"mf",TRUE,MoneyMarketDayCounter,YieldCurve,,"yielcurve")</f>
        <v>obj_00140#0002</v>
      </c>
      <c r="Z16" s="72" t="str">
        <f>_xll.qlOvernightIndex(,FamilyName,NDays,Currency,Calendar,MoneyMarketDayCounter,YieldCurve)</f>
        <v>obj_0013f#0002</v>
      </c>
    </row>
    <row r="17" spans="10:26" ht="12" collapsed="1" thickBot="1" x14ac:dyDescent="0.25"/>
    <row r="18" spans="10:26" ht="12" thickBot="1" x14ac:dyDescent="0.25">
      <c r="L18" s="73" t="s">
        <v>19</v>
      </c>
      <c r="M18" s="73" t="s">
        <v>121</v>
      </c>
      <c r="N18" s="74" t="s">
        <v>108</v>
      </c>
      <c r="O18" s="74" t="s">
        <v>16</v>
      </c>
      <c r="P18" s="74" t="s">
        <v>122</v>
      </c>
      <c r="Q18" s="74" t="s">
        <v>114</v>
      </c>
      <c r="R18" s="74" t="s">
        <v>123</v>
      </c>
      <c r="S18" s="76" t="s">
        <v>111</v>
      </c>
      <c r="T18" s="70" t="s">
        <v>112</v>
      </c>
      <c r="U18" s="42"/>
      <c r="V18" s="77" t="s">
        <v>113</v>
      </c>
      <c r="W18" s="78" t="s">
        <v>114</v>
      </c>
      <c r="X18" s="78" t="s">
        <v>108</v>
      </c>
      <c r="Y18" s="79" t="s">
        <v>115</v>
      </c>
      <c r="Z18" s="80" t="s">
        <v>104</v>
      </c>
    </row>
    <row r="19" spans="10:26" ht="12" thickBot="1" x14ac:dyDescent="0.25">
      <c r="J19" s="81" t="s">
        <v>116</v>
      </c>
      <c r="L19" s="125" t="str">
        <f t="array" ref="L19">_xll.ohFilter(RateHelpers!A2,IF(ISERROR(RateHelpers!C2),FALSE,TRUE))</f>
        <v>obj_0013d#0000</v>
      </c>
      <c r="M19" s="125" t="str">
        <f>_xll.qlRateHelperQuoteName(L19)</f>
        <v>HKDHibor1MLastFixing_Quote</v>
      </c>
      <c r="N19" s="98">
        <f>_xll.qlRateHelperEarliestDate(L19,Trigger)</f>
        <v>41878</v>
      </c>
      <c r="O19" s="99">
        <f>_xll.qlRateHelperQuoteValue(L19,_xll.ohTrigger(RecalcTrigger,YieldCurve))</f>
        <v>2.1029E-3</v>
      </c>
      <c r="P19" s="86" t="e">
        <f>NA()</f>
        <v>#N/A</v>
      </c>
      <c r="Q19" s="98">
        <f>_xll.qlInterestRateIndexFixingDate(IborIndex,N19,_xll.ohTrigger(RecalcTrigger,Trigger))</f>
        <v>41878</v>
      </c>
      <c r="R19" s="100">
        <f>_xll.qlIndexFixing(IborIndex,Q19,TRUE,RecalcTrigger)</f>
        <v>2.1029000000000017E-3</v>
      </c>
      <c r="S19" s="101">
        <f t="shared" ref="S19" si="9">R19-O19</f>
        <v>0</v>
      </c>
      <c r="T19" s="89">
        <f t="array" ref="T19">MAX(ABS(S19))</f>
        <v>0</v>
      </c>
      <c r="U19" s="90"/>
      <c r="V19" s="123" t="s">
        <v>90</v>
      </c>
      <c r="W19" s="91">
        <f>_xll.qlSettingsEvaluationDate(Trigger)</f>
        <v>41878</v>
      </c>
      <c r="X19" s="91">
        <f>_xll.qlCalendarAdvance(Calendar,W19,NDays&amp;"D")</f>
        <v>41878</v>
      </c>
      <c r="Y19" s="92">
        <f t="array" ref="Y19:Y3552">IFERROR(_xll.qlIndexFixing(IborIndex,W19:W3552,TRUE,RecalcTrigger),NA())</f>
        <v>2.1029000000000017E-3</v>
      </c>
      <c r="Z19" s="94">
        <f t="array" ref="Z19:Z3552">IFERROR(_xll.qlIndexFixing(OverNightIndex,X19:X3552,TRUE,RecalcTrigger),NA())</f>
        <v>2.0974255506445161E-3</v>
      </c>
    </row>
    <row r="20" spans="10:26" ht="12" thickBot="1" x14ac:dyDescent="0.25">
      <c r="J20" s="96"/>
      <c r="V20" s="123" t="str">
        <f>V19</f>
        <v>1D</v>
      </c>
      <c r="W20" s="82">
        <f>_xll.qlCalendarAdvance(Calendar,W19,V20,"f",FALSE)</f>
        <v>41879</v>
      </c>
      <c r="X20" s="91">
        <f>_xll.qlCalendarAdvance(Calendar,W20,NDays&amp;"D")</f>
        <v>41879</v>
      </c>
      <c r="Y20" s="92">
        <v>2.1030589915845346E-3</v>
      </c>
      <c r="Z20" s="94">
        <v>2.0974546717889009E-3</v>
      </c>
    </row>
    <row r="21" spans="10:26" x14ac:dyDescent="0.2">
      <c r="L21" s="73" t="s">
        <v>19</v>
      </c>
      <c r="M21" s="73" t="s">
        <v>107</v>
      </c>
      <c r="N21" s="74" t="s">
        <v>108</v>
      </c>
      <c r="O21" s="74" t="s">
        <v>16</v>
      </c>
      <c r="P21" s="75" t="s">
        <v>109</v>
      </c>
      <c r="Q21" s="74" t="s">
        <v>110</v>
      </c>
      <c r="R21" s="74" t="s">
        <v>123</v>
      </c>
      <c r="S21" s="76" t="s">
        <v>111</v>
      </c>
      <c r="T21" s="70" t="s">
        <v>112</v>
      </c>
      <c r="V21" s="123" t="str">
        <f t="shared" ref="V21:V84" si="10">V20</f>
        <v>1D</v>
      </c>
      <c r="W21" s="82">
        <f>_xll.qlCalendarAdvance(Calendar,W20,V21,"f",FALSE)</f>
        <v>41880</v>
      </c>
      <c r="X21" s="91">
        <f>_xll.qlCalendarAdvance(Calendar,W21,NDays&amp;"D")</f>
        <v>41880</v>
      </c>
      <c r="Y21" s="92">
        <v>2.1035681637976422E-3</v>
      </c>
      <c r="Z21" s="94">
        <v>2.0976220389505125E-3</v>
      </c>
    </row>
    <row r="22" spans="10:26" x14ac:dyDescent="0.2">
      <c r="L22" s="123" t="str">
        <f t="array" ref="L22:L32">_xll.ohFilter(RateHelpers!A3:A13,IF(ISERROR(RateHelpers!C3:C13),FALSE,TRUE))</f>
        <v>obj_00133#0001</v>
      </c>
      <c r="M22" s="123" t="str">
        <f>_xll.qlRateHelperQuoteName(L22)</f>
        <v>HKDAM1H3M_Quote</v>
      </c>
      <c r="N22" s="82">
        <f>_xll.qlRateHelperLatestDate(L22,Trigger)</f>
        <v>41971</v>
      </c>
      <c r="O22" s="83">
        <f>_xll.qlRateHelperQuoteValue(L22,_xll.ohTrigger(RecalcTrigger,YieldCurve))</f>
        <v>2.1000000000000003E-3</v>
      </c>
      <c r="P22" s="84" t="e">
        <f t="array" ref="P22:P32">_xll.ohFilter(RateHelpers!#REF!,IF(ISERROR(RateHelpers!C3:C13),FALSE,TRUE))</f>
        <v>#NUM!</v>
      </c>
      <c r="Q22" s="124" t="e">
        <f>_xll.qlSwapIndex(,FamilyName,Monitor!P22,1,Currency,Calendar,"1Y","Modified Following",MoneyMarketDayCounter,IborIndex,YieldCurve,,_xll.ohTrigger(Trigger,RecalcTrigger))</f>
        <v>#VALUE!</v>
      </c>
      <c r="R22" s="87" t="e">
        <f>_xll.qlIndexFixing(Q22,$W$19,TRUE,Trigger)</f>
        <v>#VALUE!</v>
      </c>
      <c r="S22" s="88" t="e">
        <f t="shared" ref="S22:S32" si="11">R22-O22</f>
        <v>#VALUE!</v>
      </c>
      <c r="T22" s="89" t="e">
        <f t="array" ref="T22">MAX(ABS(S22:S25))</f>
        <v>#VALUE!</v>
      </c>
      <c r="V22" s="123" t="str">
        <f t="shared" si="10"/>
        <v>1D</v>
      </c>
      <c r="W22" s="82">
        <f>_xll.qlCalendarAdvance(Calendar,W21,V22,"f",FALSE)</f>
        <v>41883</v>
      </c>
      <c r="X22" s="91">
        <f>_xll.qlCalendarAdvance(Calendar,W22,NDays&amp;"D")</f>
        <v>41883</v>
      </c>
      <c r="Y22" s="92">
        <v>2.1052381650818117E-3</v>
      </c>
      <c r="Z22" s="94">
        <v>2.0978623669998253E-3</v>
      </c>
    </row>
    <row r="23" spans="10:26" x14ac:dyDescent="0.2">
      <c r="L23" s="123" t="str">
        <v>obj_00132#0001</v>
      </c>
      <c r="M23" s="123" t="str">
        <f>_xll.qlRateHelperQuoteName(L23)</f>
        <v>HKDAM1H6M_Quote</v>
      </c>
      <c r="N23" s="82">
        <f>_xll.qlRateHelperLatestDate(L23,Trigger)</f>
        <v>42062</v>
      </c>
      <c r="O23" s="83">
        <f>_xll.qlRateHelperQuoteValue(L23,_xll.ohTrigger(RecalcTrigger,YieldCurve))</f>
        <v>2.1000000000000003E-3</v>
      </c>
      <c r="P23" s="85" t="e">
        <v>#NUM!</v>
      </c>
      <c r="Q23" s="124" t="e">
        <f>_xll.qlSwapIndex(,FamilyName,Monitor!P23,1,Currency,Calendar,"1Y","Modified Following",MoneyMarketDayCounter,IborIndex,YieldCurve,,_xll.ohTrigger(Trigger,RecalcTrigger))</f>
        <v>#VALUE!</v>
      </c>
      <c r="R23" s="87" t="e">
        <f>_xll.qlIndexFixing(Q23,$W$19,TRUE,Trigger)</f>
        <v>#VALUE!</v>
      </c>
      <c r="S23" s="88" t="e">
        <f t="shared" si="11"/>
        <v>#VALUE!</v>
      </c>
      <c r="T23" s="97"/>
      <c r="V23" s="123" t="str">
        <f t="shared" si="10"/>
        <v>1D</v>
      </c>
      <c r="W23" s="82">
        <f>_xll.qlCalendarAdvance(Calendar,W22,V23,"f",FALSE)</f>
        <v>41884</v>
      </c>
      <c r="X23" s="91">
        <f>_xll.qlCalendarAdvance(Calendar,W23,NDays&amp;"D")</f>
        <v>41884</v>
      </c>
      <c r="Y23" s="92">
        <v>2.1054639927548867E-3</v>
      </c>
      <c r="Z23" s="94">
        <v>2.098037093541949E-3</v>
      </c>
    </row>
    <row r="24" spans="10:26" x14ac:dyDescent="0.2">
      <c r="L24" s="123" t="str">
        <v>obj_00139#0001</v>
      </c>
      <c r="M24" s="123" t="str">
        <f>_xll.qlRateHelperQuoteName(L24)</f>
        <v>HKDAM1H9M_Quote</v>
      </c>
      <c r="N24" s="82">
        <f>_xll.qlRateHelperLatestDate(L24,Trigger)</f>
        <v>42152</v>
      </c>
      <c r="O24" s="83">
        <f>_xll.qlRateHelperQuoteValue(L24,_xll.ohTrigger(RecalcTrigger,YieldCurve))</f>
        <v>2.3999999999999998E-3</v>
      </c>
      <c r="P24" s="85" t="e">
        <v>#NUM!</v>
      </c>
      <c r="Q24" s="124" t="e">
        <f>_xll.qlSwapIndex(,FamilyName,Monitor!P24,1,Currency,Calendar,"1Y","Modified Following",MoneyMarketDayCounter,IborIndex,YieldCurve,,_xll.ohTrigger(Trigger,RecalcTrigger))</f>
        <v>#VALUE!</v>
      </c>
      <c r="R24" s="87" t="e">
        <f>_xll.qlIndexFixing(Q24,$W$19,TRUE,Trigger)</f>
        <v>#VALUE!</v>
      </c>
      <c r="S24" s="88" t="e">
        <f t="shared" si="11"/>
        <v>#VALUE!</v>
      </c>
      <c r="T24" s="97"/>
      <c r="V24" s="123" t="str">
        <f t="shared" si="10"/>
        <v>1D</v>
      </c>
      <c r="W24" s="82">
        <f>_xll.qlCalendarAdvance(Calendar,W23,V24,"f",FALSE)</f>
        <v>41885</v>
      </c>
      <c r="X24" s="91">
        <f>_xll.qlCalendarAdvance(Calendar,W24,NDays&amp;"D")</f>
        <v>41885</v>
      </c>
      <c r="Y24" s="92">
        <v>2.1056994524023915E-3</v>
      </c>
      <c r="Z24" s="94">
        <v>2.0982409411474112E-3</v>
      </c>
    </row>
    <row r="25" spans="10:26" x14ac:dyDescent="0.2">
      <c r="L25" s="123" t="str">
        <v>obj_0013a#0001</v>
      </c>
      <c r="M25" s="123" t="str">
        <f>_xll.qlRateHelperQuoteName(L25)</f>
        <v>HKDAM1H1Y_Quote</v>
      </c>
      <c r="N25" s="82">
        <f>_xll.qlRateHelperLatestDate(L25,Trigger)</f>
        <v>42244</v>
      </c>
      <c r="O25" s="83">
        <f>_xll.qlRateHelperQuoteValue(L25,_xll.ohTrigger(RecalcTrigger,YieldCurve))</f>
        <v>2.9000000000000002E-3</v>
      </c>
      <c r="P25" s="85" t="e">
        <v>#NUM!</v>
      </c>
      <c r="Q25" s="124" t="e">
        <f>_xll.qlSwapIndex(,FamilyName,Monitor!P25,1,Currency,Calendar,"1Y","Modified Following",MoneyMarketDayCounter,IborIndex,YieldCurve,,_xll.ohTrigger(Trigger,RecalcTrigger))</f>
        <v>#VALUE!</v>
      </c>
      <c r="R25" s="87" t="e">
        <f>_xll.qlIndexFixing(Q25,$W$19,TRUE,Trigger)</f>
        <v>#VALUE!</v>
      </c>
      <c r="S25" s="88" t="e">
        <f t="shared" si="11"/>
        <v>#VALUE!</v>
      </c>
      <c r="T25" s="97"/>
      <c r="V25" s="123" t="str">
        <f t="shared" si="10"/>
        <v>1D</v>
      </c>
      <c r="W25" s="82">
        <f>_xll.qlCalendarAdvance(Calendar,W24,V25,"f",FALSE)</f>
        <v>41886</v>
      </c>
      <c r="X25" s="91">
        <f>_xll.qlCalendarAdvance(Calendar,W25,NDays&amp;"D")</f>
        <v>41886</v>
      </c>
      <c r="Y25" s="92">
        <v>2.1070541195231801E-3</v>
      </c>
      <c r="Z25" s="94">
        <v>2.0984739098972582E-3</v>
      </c>
    </row>
    <row r="26" spans="10:26" x14ac:dyDescent="0.2">
      <c r="L26" s="123" t="e">
        <v>#N/A</v>
      </c>
      <c r="M26" s="123" t="e">
        <f>_xll.qlRateHelperQuoteName(L26)</f>
        <v>#VALUE!</v>
      </c>
      <c r="N26" s="82" t="e">
        <f>_xll.qlRateHelperLatestDate(L26,Trigger)</f>
        <v>#VALUE!</v>
      </c>
      <c r="O26" s="83" t="e">
        <f>_xll.qlRateHelperQuoteValue(L26,_xll.ohTrigger(RecalcTrigger,YieldCurve))</f>
        <v>#VALUE!</v>
      </c>
      <c r="P26" s="85" t="e">
        <v>#NUM!</v>
      </c>
      <c r="Q26" s="124" t="e">
        <f>_xll.qlSwapIndex(,FamilyName,Monitor!P26,1,Currency,Calendar,"1Y","Modified Following",MoneyMarketDayCounter,IborIndex,YieldCurve,,_xll.ohTrigger(Trigger,RecalcTrigger))</f>
        <v>#VALUE!</v>
      </c>
      <c r="R26" s="87" t="e">
        <f>_xll.qlIndexFixing(Q26,$W$19,TRUE,Trigger)</f>
        <v>#VALUE!</v>
      </c>
      <c r="S26" s="88" t="e">
        <f t="shared" si="11"/>
        <v>#VALUE!</v>
      </c>
      <c r="V26" s="123" t="str">
        <f t="shared" si="10"/>
        <v>1D</v>
      </c>
      <c r="W26" s="82">
        <f>_xll.qlCalendarAdvance(Calendar,W25,V26,"f",FALSE)</f>
        <v>41887</v>
      </c>
      <c r="X26" s="91">
        <f>_xll.qlCalendarAdvance(Calendar,W26,NDays&amp;"D")</f>
        <v>41887</v>
      </c>
      <c r="Y26" s="92">
        <v>2.1073187849906007E-3</v>
      </c>
      <c r="Z26" s="94">
        <v>2.0990489887221893E-3</v>
      </c>
    </row>
    <row r="27" spans="10:26" x14ac:dyDescent="0.2">
      <c r="L27" s="123" t="e">
        <v>#N/A</v>
      </c>
      <c r="M27" s="123" t="e">
        <f>_xll.qlRateHelperQuoteName(L27)</f>
        <v>#VALUE!</v>
      </c>
      <c r="N27" s="82" t="e">
        <f>_xll.qlRateHelperLatestDate(L27,Trigger)</f>
        <v>#VALUE!</v>
      </c>
      <c r="O27" s="83" t="e">
        <f>_xll.qlRateHelperQuoteValue(L27,_xll.ohTrigger(RecalcTrigger,YieldCurve))</f>
        <v>#VALUE!</v>
      </c>
      <c r="P27" s="85" t="e">
        <v>#NUM!</v>
      </c>
      <c r="Q27" s="124" t="e">
        <f>_xll.qlSwapIndex(,FamilyName,Monitor!P27,1,Currency,Calendar,"1Y","Modified Following",MoneyMarketDayCounter,IborIndex,YieldCurve,,_xll.ohTrigger(Trigger,RecalcTrigger))</f>
        <v>#VALUE!</v>
      </c>
      <c r="R27" s="87" t="e">
        <f>_xll.qlIndexFixing(Q27,$W$19,TRUE,Trigger)</f>
        <v>#VALUE!</v>
      </c>
      <c r="S27" s="88" t="e">
        <f t="shared" si="11"/>
        <v>#VALUE!</v>
      </c>
      <c r="V27" s="123" t="str">
        <f t="shared" si="10"/>
        <v>1D</v>
      </c>
      <c r="W27" s="82">
        <f>_xll.qlCalendarAdvance(Calendar,W26,V27,"f",FALSE)</f>
        <v>41890</v>
      </c>
      <c r="X27" s="91">
        <f>_xll.qlCalendarAdvance(Calendar,W27,NDays&amp;"D")</f>
        <v>41890</v>
      </c>
      <c r="Y27" s="92">
        <v>2.1088858457121162E-3</v>
      </c>
      <c r="Z27" s="94">
        <v>2.0998923231452249E-3</v>
      </c>
    </row>
    <row r="28" spans="10:26" x14ac:dyDescent="0.2">
      <c r="L28" s="123" t="e">
        <v>#N/A</v>
      </c>
      <c r="M28" s="123" t="e">
        <f>_xll.qlRateHelperQuoteName(L28)</f>
        <v>#VALUE!</v>
      </c>
      <c r="N28" s="82" t="e">
        <f>_xll.qlRateHelperLatestDate(L28,Trigger)</f>
        <v>#VALUE!</v>
      </c>
      <c r="O28" s="83" t="e">
        <f>_xll.qlRateHelperQuoteValue(L28,_xll.ohTrigger(RecalcTrigger,YieldCurve))</f>
        <v>#VALUE!</v>
      </c>
      <c r="P28" s="85" t="e">
        <v>#NUM!</v>
      </c>
      <c r="Q28" s="124" t="e">
        <f>_xll.qlSwapIndex(,FamilyName,Monitor!P28,1,Currency,Calendar,"1Y","Modified Following",MoneyMarketDayCounter,IborIndex,YieldCurve,,_xll.ohTrigger(Trigger,RecalcTrigger))</f>
        <v>#VALUE!</v>
      </c>
      <c r="R28" s="87" t="e">
        <f>_xll.qlIndexFixing(Q28,$W$19,TRUE,Trigger)</f>
        <v>#VALUE!</v>
      </c>
      <c r="S28" s="88" t="e">
        <f t="shared" si="11"/>
        <v>#VALUE!</v>
      </c>
      <c r="T28" s="97"/>
      <c r="V28" s="123" t="str">
        <f t="shared" si="10"/>
        <v>1D</v>
      </c>
      <c r="W28" s="82">
        <f>_xll.qlCalendarAdvance(Calendar,W27,V28,"f",FALSE)</f>
        <v>41892</v>
      </c>
      <c r="X28" s="91">
        <f>_xll.qlCalendarAdvance(Calendar,W28,NDays&amp;"D")</f>
        <v>41892</v>
      </c>
      <c r="Y28" s="92">
        <v>2.110171508210283E-3</v>
      </c>
      <c r="Z28" s="94">
        <v>2.1004832649695881E-3</v>
      </c>
    </row>
    <row r="29" spans="10:26" x14ac:dyDescent="0.2">
      <c r="L29" s="123" t="e">
        <v>#N/A</v>
      </c>
      <c r="M29" s="123" t="e">
        <f>_xll.qlRateHelperQuoteName(L29)</f>
        <v>#VALUE!</v>
      </c>
      <c r="N29" s="82" t="e">
        <f>_xll.qlRateHelperLatestDate(L29,Trigger)</f>
        <v>#VALUE!</v>
      </c>
      <c r="O29" s="83" t="e">
        <f>_xll.qlRateHelperQuoteValue(L29,_xll.ohTrigger(RecalcTrigger,YieldCurve))</f>
        <v>#VALUE!</v>
      </c>
      <c r="P29" s="85" t="e">
        <v>#NUM!</v>
      </c>
      <c r="Q29" s="124" t="e">
        <f>_xll.qlSwapIndex(,FamilyName,Monitor!P29,1,Currency,Calendar,"1Y","Modified Following",MoneyMarketDayCounter,IborIndex,YieldCurve,,_xll.ohTrigger(Trigger,RecalcTrigger))</f>
        <v>#VALUE!</v>
      </c>
      <c r="R29" s="87" t="e">
        <f>_xll.qlIndexFixing(Q29,$W$19,TRUE,Trigger)</f>
        <v>#VALUE!</v>
      </c>
      <c r="S29" s="88" t="e">
        <f t="shared" si="11"/>
        <v>#VALUE!</v>
      </c>
      <c r="T29" s="97"/>
      <c r="V29" s="123" t="str">
        <f t="shared" si="10"/>
        <v>1D</v>
      </c>
      <c r="W29" s="82">
        <f>_xll.qlCalendarAdvance(Calendar,W28,V29,"f",FALSE)</f>
        <v>41893</v>
      </c>
      <c r="X29" s="91">
        <f>_xll.qlCalendarAdvance(Calendar,W29,NDays&amp;"D")</f>
        <v>41893</v>
      </c>
      <c r="Y29" s="92">
        <v>2.1113694643235675E-3</v>
      </c>
      <c r="Z29" s="94">
        <v>2.1009200813248974E-3</v>
      </c>
    </row>
    <row r="30" spans="10:26" x14ac:dyDescent="0.2">
      <c r="L30" s="123" t="e">
        <v>#N/A</v>
      </c>
      <c r="M30" s="123" t="e">
        <f>_xll.qlRateHelperQuoteName(L30)</f>
        <v>#VALUE!</v>
      </c>
      <c r="N30" s="82" t="e">
        <f>_xll.qlRateHelperLatestDate(L30,Trigger)</f>
        <v>#VALUE!</v>
      </c>
      <c r="O30" s="83" t="e">
        <f>_xll.qlRateHelperQuoteValue(L30,_xll.ohTrigger(RecalcTrigger,YieldCurve))</f>
        <v>#VALUE!</v>
      </c>
      <c r="P30" s="85" t="e">
        <v>#NUM!</v>
      </c>
      <c r="Q30" s="124" t="e">
        <f>_xll.qlSwapIndex(,FamilyName,Monitor!P30,1,Currency,Calendar,"1Y","Modified Following",MoneyMarketDayCounter,IborIndex,YieldCurve,,_xll.ohTrigger(Trigger,RecalcTrigger))</f>
        <v>#VALUE!</v>
      </c>
      <c r="R30" s="87" t="e">
        <f>_xll.qlIndexFixing(Q30,$W$19,TRUE,Trigger)</f>
        <v>#VALUE!</v>
      </c>
      <c r="S30" s="88" t="e">
        <f t="shared" si="11"/>
        <v>#VALUE!</v>
      </c>
      <c r="T30" s="97"/>
      <c r="V30" s="123" t="str">
        <f t="shared" si="10"/>
        <v>1D</v>
      </c>
      <c r="W30" s="82">
        <f>_xll.qlCalendarAdvance(Calendar,W29,V30,"f",FALSE)</f>
        <v>41894</v>
      </c>
      <c r="X30" s="91">
        <f>_xll.qlCalendarAdvance(Calendar,W30,NDays&amp;"D")</f>
        <v>41894</v>
      </c>
      <c r="Y30" s="92">
        <v>2.1116943863961775E-3</v>
      </c>
      <c r="Z30" s="94">
        <v>2.1019028883195734E-3</v>
      </c>
    </row>
    <row r="31" spans="10:26" x14ac:dyDescent="0.2">
      <c r="L31" s="123" t="e">
        <v>#N/A</v>
      </c>
      <c r="M31" s="123" t="e">
        <f>_xll.qlRateHelperQuoteName(L31)</f>
        <v>#VALUE!</v>
      </c>
      <c r="N31" s="82" t="e">
        <f>_xll.qlRateHelperLatestDate(L31,Trigger)</f>
        <v>#VALUE!</v>
      </c>
      <c r="O31" s="83" t="e">
        <f>_xll.qlRateHelperQuoteValue(L31,_xll.ohTrigger(RecalcTrigger,YieldCurve))</f>
        <v>#VALUE!</v>
      </c>
      <c r="P31" s="85" t="e">
        <v>#NUM!</v>
      </c>
      <c r="Q31" s="124" t="e">
        <f>_xll.qlSwapIndex(,FamilyName,Monitor!P31,1,Currency,Calendar,"1Y","Modified Following",MoneyMarketDayCounter,IborIndex,YieldCurve,,_xll.ohTrigger(Trigger,RecalcTrigger))</f>
        <v>#VALUE!</v>
      </c>
      <c r="R31" s="87" t="e">
        <f>_xll.qlIndexFixing(Q31,$W$19,TRUE,Trigger)</f>
        <v>#VALUE!</v>
      </c>
      <c r="S31" s="88" t="e">
        <f t="shared" si="11"/>
        <v>#VALUE!</v>
      </c>
      <c r="T31" s="97"/>
      <c r="V31" s="123" t="str">
        <f t="shared" si="10"/>
        <v>1D</v>
      </c>
      <c r="W31" s="82">
        <f>_xll.qlCalendarAdvance(Calendar,W30,V31,"f",FALSE)</f>
        <v>41897</v>
      </c>
      <c r="X31" s="91">
        <f>_xll.qlCalendarAdvance(Calendar,W31,NDays&amp;"D")</f>
        <v>41897</v>
      </c>
      <c r="Y31" s="92">
        <v>2.1131724562587495E-3</v>
      </c>
      <c r="Z31" s="94">
        <v>2.1029585576226584E-3</v>
      </c>
    </row>
    <row r="32" spans="10:26" ht="12" thickBot="1" x14ac:dyDescent="0.25">
      <c r="L32" s="125" t="e">
        <v>#N/A</v>
      </c>
      <c r="M32" s="125" t="e">
        <f>_xll.qlRateHelperQuoteName(L32)</f>
        <v>#VALUE!</v>
      </c>
      <c r="N32" s="98" t="e">
        <f>_xll.qlRateHelperLatestDate(L32,Trigger)</f>
        <v>#VALUE!</v>
      </c>
      <c r="O32" s="99" t="e">
        <f>_xll.qlRateHelperQuoteValue(L32,_xll.ohTrigger(RecalcTrigger,YieldCurve))</f>
        <v>#VALUE!</v>
      </c>
      <c r="P32" s="86" t="e">
        <v>#NUM!</v>
      </c>
      <c r="Q32" s="126" t="e">
        <f>_xll.qlSwapIndex(,FamilyName,Monitor!P32,1,Currency,Calendar,"1Y","Modified Following",MoneyMarketDayCounter,IborIndex,YieldCurve,,_xll.ohTrigger(Trigger,RecalcTrigger))</f>
        <v>#VALUE!</v>
      </c>
      <c r="R32" s="100" t="e">
        <f>_xll.qlIndexFixing(Q32,$W$19,TRUE,Trigger)</f>
        <v>#VALUE!</v>
      </c>
      <c r="S32" s="101" t="e">
        <f t="shared" si="11"/>
        <v>#VALUE!</v>
      </c>
      <c r="T32" s="97"/>
      <c r="V32" s="123" t="str">
        <f t="shared" si="10"/>
        <v>1D</v>
      </c>
      <c r="W32" s="82">
        <f>_xll.qlCalendarAdvance(Calendar,W31,V32,"f",FALSE)</f>
        <v>41898</v>
      </c>
      <c r="X32" s="91">
        <f>_xll.qlCalendarAdvance(Calendar,W32,NDays&amp;"D")</f>
        <v>41898</v>
      </c>
      <c r="Y32" s="92">
        <v>2.1137085563179836E-3</v>
      </c>
      <c r="Z32" s="94">
        <v>2.1035409793757065E-3</v>
      </c>
    </row>
    <row r="33" spans="10:26" x14ac:dyDescent="0.2">
      <c r="V33" s="123" t="str">
        <f t="shared" si="10"/>
        <v>1D</v>
      </c>
      <c r="W33" s="82">
        <f>_xll.qlCalendarAdvance(Calendar,W32,V33,"f",FALSE)</f>
        <v>41899</v>
      </c>
      <c r="X33" s="91">
        <f>_xll.qlCalendarAdvance(Calendar,W33,NDays&amp;"D")</f>
        <v>41899</v>
      </c>
      <c r="Y33" s="92">
        <v>2.1142152608155293E-3</v>
      </c>
      <c r="Z33" s="94">
        <v>2.1041525222731394E-3</v>
      </c>
    </row>
    <row r="34" spans="10:26" x14ac:dyDescent="0.2">
      <c r="V34" s="123" t="str">
        <f t="shared" si="10"/>
        <v>1D</v>
      </c>
      <c r="W34" s="82">
        <f>_xll.qlCalendarAdvance(Calendar,W33,V34,"f",FALSE)</f>
        <v>41900</v>
      </c>
      <c r="X34" s="91">
        <f>_xll.qlCalendarAdvance(Calendar,W34,NDays&amp;"D")</f>
        <v>41900</v>
      </c>
      <c r="Y34" s="92">
        <v>2.1148980521277019E-3</v>
      </c>
      <c r="Z34" s="94">
        <v>2.1047931862339109E-3</v>
      </c>
    </row>
    <row r="35" spans="10:26" x14ac:dyDescent="0.2">
      <c r="V35" s="123" t="str">
        <f t="shared" si="10"/>
        <v>1D</v>
      </c>
      <c r="W35" s="82">
        <f>_xll.qlCalendarAdvance(Calendar,W34,V35,"f",FALSE)</f>
        <v>41901</v>
      </c>
      <c r="X35" s="91">
        <f>_xll.qlCalendarAdvance(Calendar,W35,NDays&amp;"D")</f>
        <v>41901</v>
      </c>
      <c r="Y35" s="92">
        <v>2.1152118180522267E-3</v>
      </c>
      <c r="Z35" s="94">
        <v>2.1061837378507273E-3</v>
      </c>
    </row>
    <row r="36" spans="10:26" x14ac:dyDescent="0.2">
      <c r="V36" s="123" t="str">
        <f t="shared" si="10"/>
        <v>1D</v>
      </c>
      <c r="W36" s="82">
        <f>_xll.qlCalendarAdvance(Calendar,W35,V36,"f",FALSE)</f>
        <v>41904</v>
      </c>
      <c r="X36" s="91">
        <f>_xll.qlCalendarAdvance(Calendar,W36,NDays&amp;"D")</f>
        <v>41904</v>
      </c>
      <c r="Y36" s="92">
        <v>2.1161873641319571E-3</v>
      </c>
      <c r="Z36" s="94">
        <v>2.107647053034567E-3</v>
      </c>
    </row>
    <row r="37" spans="10:26" x14ac:dyDescent="0.2">
      <c r="V37" s="123" t="str">
        <f t="shared" si="10"/>
        <v>1D</v>
      </c>
      <c r="W37" s="82">
        <f>_xll.qlCalendarAdvance(Calendar,W36,V37,"f",FALSE)</f>
        <v>41905</v>
      </c>
      <c r="X37" s="91">
        <f>_xll.qlCalendarAdvance(Calendar,W37,NDays&amp;"D")</f>
        <v>41905</v>
      </c>
      <c r="Y37" s="92">
        <v>2.1164454038166509E-3</v>
      </c>
      <c r="Z37" s="94">
        <v>2.1084333223930773E-3</v>
      </c>
    </row>
    <row r="38" spans="10:26" x14ac:dyDescent="0.2">
      <c r="V38" s="123" t="str">
        <f t="shared" si="10"/>
        <v>1D</v>
      </c>
      <c r="W38" s="82">
        <f>_xll.qlCalendarAdvance(Calendar,W37,V38,"f",FALSE)</f>
        <v>41906</v>
      </c>
      <c r="X38" s="91">
        <f>_xll.qlCalendarAdvance(Calendar,W38,NDays&amp;"D")</f>
        <v>41906</v>
      </c>
      <c r="Y38" s="92">
        <v>2.116649950794784E-3</v>
      </c>
      <c r="Z38" s="94">
        <v>2.1092487129770188E-3</v>
      </c>
    </row>
    <row r="39" spans="10:26" x14ac:dyDescent="0.2">
      <c r="V39" s="123" t="str">
        <f t="shared" si="10"/>
        <v>1D</v>
      </c>
      <c r="W39" s="82">
        <f>_xll.qlCalendarAdvance(Calendar,W38,V39,"f",FALSE)</f>
        <v>41907</v>
      </c>
      <c r="X39" s="91">
        <f>_xll.qlCalendarAdvance(Calendar,W39,NDays&amp;"D")</f>
        <v>41907</v>
      </c>
      <c r="Y39" s="92">
        <v>2.1165329078188383E-3</v>
      </c>
      <c r="Z39" s="94">
        <v>2.1100932246242987E-3</v>
      </c>
    </row>
    <row r="40" spans="10:26" x14ac:dyDescent="0.2">
      <c r="V40" s="123" t="str">
        <f t="shared" si="10"/>
        <v>1D</v>
      </c>
      <c r="W40" s="82">
        <f>_xll.qlCalendarAdvance(Calendar,W39,V40,"f",FALSE)</f>
        <v>41908</v>
      </c>
      <c r="X40" s="91">
        <f>_xll.qlCalendarAdvance(Calendar,W40,NDays&amp;"D")</f>
        <v>41908</v>
      </c>
      <c r="Y40" s="92">
        <v>2.1167284025633911E-3</v>
      </c>
      <c r="Z40" s="94">
        <v>2.1118915373966969E-3</v>
      </c>
    </row>
    <row r="41" spans="10:26" x14ac:dyDescent="0.2">
      <c r="V41" s="123" t="str">
        <f t="shared" si="10"/>
        <v>1D</v>
      </c>
      <c r="W41" s="82">
        <f>_xll.qlCalendarAdvance(Calendar,W40,V41,"f",FALSE)</f>
        <v>41911</v>
      </c>
      <c r="X41" s="91">
        <f>_xll.qlCalendarAdvance(Calendar,W41,NDays&amp;"D")</f>
        <v>41911</v>
      </c>
      <c r="Y41" s="92">
        <v>2.1167498093842925E-3</v>
      </c>
      <c r="Z41" s="94">
        <v>2.1137452725605854E-3</v>
      </c>
    </row>
    <row r="42" spans="10:26" x14ac:dyDescent="0.2">
      <c r="V42" s="123" t="str">
        <f t="shared" si="10"/>
        <v>1D</v>
      </c>
      <c r="W42" s="82">
        <f>_xll.qlCalendarAdvance(Calendar,W41,V42,"f",FALSE)</f>
        <v>41912</v>
      </c>
      <c r="X42" s="91">
        <f>_xll.qlCalendarAdvance(Calendar,W42,NDays&amp;"D")</f>
        <v>41912</v>
      </c>
      <c r="Y42" s="92">
        <v>2.1162574904063799E-3</v>
      </c>
      <c r="Z42" s="94">
        <v>2.1154324084763738E-3</v>
      </c>
    </row>
    <row r="43" spans="10:26" x14ac:dyDescent="0.2">
      <c r="V43" s="123" t="str">
        <f t="shared" si="10"/>
        <v>1D</v>
      </c>
      <c r="W43" s="82">
        <f>_xll.qlCalendarAdvance(Calendar,W42,V43,"f",FALSE)</f>
        <v>41915</v>
      </c>
      <c r="X43" s="91">
        <f>_xll.qlCalendarAdvance(Calendar,W43,NDays&amp;"D")</f>
        <v>41915</v>
      </c>
      <c r="Y43" s="92">
        <v>2.1151369978173085E-3</v>
      </c>
      <c r="Z43" s="94">
        <v>2.1174258005111453E-3</v>
      </c>
    </row>
    <row r="44" spans="10:26" x14ac:dyDescent="0.2">
      <c r="V44" s="123" t="str">
        <f t="shared" si="10"/>
        <v>1D</v>
      </c>
      <c r="W44" s="82">
        <f>_xll.qlCalendarAdvance(Calendar,W43,V44,"f",FALSE)</f>
        <v>41918</v>
      </c>
      <c r="X44" s="91">
        <f>_xll.qlCalendarAdvance(Calendar,W44,NDays&amp;"D")</f>
        <v>41918</v>
      </c>
      <c r="Y44" s="92">
        <v>2.1133491751351885E-3</v>
      </c>
      <c r="Z44" s="94">
        <v>2.1183964667459421E-3</v>
      </c>
    </row>
    <row r="45" spans="10:26" x14ac:dyDescent="0.2">
      <c r="V45" s="123" t="str">
        <f t="shared" si="10"/>
        <v>1D</v>
      </c>
      <c r="W45" s="82">
        <f>_xll.qlCalendarAdvance(Calendar,W44,V45,"f",FALSE)</f>
        <v>41919</v>
      </c>
      <c r="X45" s="91">
        <f>_xll.qlCalendarAdvance(Calendar,W45,NDays&amp;"D")</f>
        <v>41919</v>
      </c>
      <c r="Y45" s="92">
        <v>2.11260493871517E-3</v>
      </c>
      <c r="Z45" s="94">
        <v>2.1187643833076031E-3</v>
      </c>
    </row>
    <row r="46" spans="10:26" x14ac:dyDescent="0.2">
      <c r="V46" s="123" t="str">
        <f t="shared" si="10"/>
        <v>1D</v>
      </c>
      <c r="W46" s="82">
        <f>_xll.qlCalendarAdvance(Calendar,W45,V46,"f",FALSE)</f>
        <v>41920</v>
      </c>
      <c r="X46" s="91">
        <f>_xll.qlCalendarAdvance(Calendar,W46,NDays&amp;"D")</f>
        <v>41920</v>
      </c>
      <c r="Y46" s="92">
        <v>2.1105107704531539E-3</v>
      </c>
      <c r="Z46" s="94">
        <v>2.1190581650532003E-3</v>
      </c>
    </row>
    <row r="47" spans="10:26" x14ac:dyDescent="0.2">
      <c r="V47" s="123" t="str">
        <f t="shared" si="10"/>
        <v>1D</v>
      </c>
      <c r="W47" s="82">
        <f>_xll.qlCalendarAdvance(Calendar,W46,V47,"f",FALSE)</f>
        <v>41921</v>
      </c>
      <c r="X47" s="91">
        <f>_xll.qlCalendarAdvance(Calendar,W47,NDays&amp;"D")</f>
        <v>41921</v>
      </c>
      <c r="Y47" s="92">
        <v>2.1102314131324351E-3</v>
      </c>
      <c r="Z47" s="94">
        <v>2.1192778118206412E-3</v>
      </c>
    </row>
    <row r="48" spans="10:26" x14ac:dyDescent="0.2">
      <c r="J48" s="130" t="b">
        <v>1</v>
      </c>
      <c r="V48" s="123" t="str">
        <f t="shared" si="10"/>
        <v>1D</v>
      </c>
      <c r="W48" s="82">
        <f>_xll.qlCalendarAdvance(Calendar,W47,V48,"f",FALSE)</f>
        <v>41922</v>
      </c>
      <c r="X48" s="91">
        <f>_xll.qlCalendarAdvance(Calendar,W48,NDays&amp;"D")</f>
        <v>41922</v>
      </c>
      <c r="Y48" s="92">
        <v>2.1099273430732588E-3</v>
      </c>
      <c r="Z48" s="94">
        <v>2.1194822962607627E-3</v>
      </c>
    </row>
    <row r="49" spans="22:26" x14ac:dyDescent="0.2">
      <c r="V49" s="123" t="str">
        <f t="shared" si="10"/>
        <v>1D</v>
      </c>
      <c r="W49" s="82">
        <f>_xll.qlCalendarAdvance(Calendar,W48,V49,"f",FALSE)</f>
        <v>41925</v>
      </c>
      <c r="X49" s="91">
        <f>_xll.qlCalendarAdvance(Calendar,W49,NDays&amp;"D")</f>
        <v>41925</v>
      </c>
      <c r="Y49" s="92">
        <v>2.1065824182245787E-3</v>
      </c>
      <c r="Z49" s="94">
        <v>2.1194150496761655E-3</v>
      </c>
    </row>
    <row r="50" spans="22:26" x14ac:dyDescent="0.2">
      <c r="V50" s="123" t="str">
        <f t="shared" si="10"/>
        <v>1D</v>
      </c>
      <c r="W50" s="82">
        <f>_xll.qlCalendarAdvance(Calendar,W49,V50,"f",FALSE)</f>
        <v>41926</v>
      </c>
      <c r="X50" s="91">
        <f>_xll.qlCalendarAdvance(Calendar,W50,NDays&amp;"D")</f>
        <v>41926</v>
      </c>
      <c r="Y50" s="92">
        <v>2.1053191479895646E-3</v>
      </c>
      <c r="Z50" s="94">
        <v>2.1192640218770098E-3</v>
      </c>
    </row>
    <row r="51" spans="22:26" x14ac:dyDescent="0.2">
      <c r="V51" s="123" t="str">
        <f t="shared" si="10"/>
        <v>1D</v>
      </c>
      <c r="W51" s="82">
        <f>_xll.qlCalendarAdvance(Calendar,W50,V51,"f",FALSE)</f>
        <v>41927</v>
      </c>
      <c r="X51" s="91">
        <f>_xll.qlCalendarAdvance(Calendar,W51,NDays&amp;"D")</f>
        <v>41927</v>
      </c>
      <c r="Y51" s="92">
        <v>2.1021868167407851E-3</v>
      </c>
      <c r="Z51" s="94">
        <v>2.1190388590996978E-3</v>
      </c>
    </row>
    <row r="52" spans="22:26" x14ac:dyDescent="0.2">
      <c r="V52" s="123" t="str">
        <f t="shared" si="10"/>
        <v>1D</v>
      </c>
      <c r="W52" s="82">
        <f>_xll.qlCalendarAdvance(Calendar,W51,V52,"f",FALSE)</f>
        <v>41928</v>
      </c>
      <c r="X52" s="91">
        <f>_xll.qlCalendarAdvance(Calendar,W52,NDays&amp;"D")</f>
        <v>41928</v>
      </c>
      <c r="Y52" s="92">
        <v>2.1016479891198397E-3</v>
      </c>
      <c r="Z52" s="94">
        <v>2.1187395614252758E-3</v>
      </c>
    </row>
    <row r="53" spans="22:26" x14ac:dyDescent="0.2">
      <c r="V53" s="123" t="str">
        <f t="shared" si="10"/>
        <v>1D</v>
      </c>
      <c r="W53" s="82">
        <f>_xll.qlCalendarAdvance(Calendar,W52,V53,"f",FALSE)</f>
        <v>41929</v>
      </c>
      <c r="X53" s="91">
        <f>_xll.qlCalendarAdvance(Calendar,W53,NDays&amp;"D")</f>
        <v>41929</v>
      </c>
      <c r="Y53" s="92">
        <v>2.1010844517732608E-3</v>
      </c>
      <c r="Z53" s="94">
        <v>2.1179061386922271E-3</v>
      </c>
    </row>
    <row r="54" spans="22:26" x14ac:dyDescent="0.2">
      <c r="V54" s="123" t="str">
        <f t="shared" si="10"/>
        <v>1D</v>
      </c>
      <c r="W54" s="82">
        <f>_xll.qlCalendarAdvance(Calendar,W53,V54,"f",FALSE)</f>
        <v>41932</v>
      </c>
      <c r="X54" s="91">
        <f>_xll.qlCalendarAdvance(Calendar,W54,NDays&amp;"D")</f>
        <v>41932</v>
      </c>
      <c r="Y54" s="92">
        <v>2.0961824278508518E-3</v>
      </c>
      <c r="Z54" s="94">
        <v>2.1168010215133481E-3</v>
      </c>
    </row>
    <row r="55" spans="22:26" x14ac:dyDescent="0.2">
      <c r="V55" s="123" t="str">
        <f t="shared" si="10"/>
        <v>1D</v>
      </c>
      <c r="W55" s="82">
        <f>_xll.qlCalendarAdvance(Calendar,W54,V55,"f",FALSE)</f>
        <v>41933</v>
      </c>
      <c r="X55" s="91">
        <f>_xll.qlCalendarAdvance(Calendar,W55,NDays&amp;"D")</f>
        <v>41933</v>
      </c>
      <c r="Y55" s="92">
        <v>2.0944001249747061E-3</v>
      </c>
      <c r="Z55" s="94">
        <v>2.1161310492723295E-3</v>
      </c>
    </row>
    <row r="56" spans="22:26" x14ac:dyDescent="0.2">
      <c r="V56" s="123" t="str">
        <f t="shared" si="10"/>
        <v>1D</v>
      </c>
      <c r="W56" s="82">
        <f>_xll.qlCalendarAdvance(Calendar,W55,V56,"f",FALSE)</f>
        <v>41934</v>
      </c>
      <c r="X56" s="91">
        <f>_xll.qlCalendarAdvance(Calendar,W56,NDays&amp;"D")</f>
        <v>41934</v>
      </c>
      <c r="Y56" s="92">
        <v>2.090229592137604E-3</v>
      </c>
      <c r="Z56" s="94">
        <v>2.1153869420531546E-3</v>
      </c>
    </row>
    <row r="57" spans="22:26" x14ac:dyDescent="0.2">
      <c r="V57" s="123" t="str">
        <f t="shared" si="10"/>
        <v>1D</v>
      </c>
      <c r="W57" s="82">
        <f>_xll.qlCalendarAdvance(Calendar,W56,V57,"f",FALSE)</f>
        <v>41935</v>
      </c>
      <c r="X57" s="91">
        <f>_xll.qlCalendarAdvance(Calendar,W57,NDays&amp;"D")</f>
        <v>41935</v>
      </c>
      <c r="Y57" s="92">
        <v>2.089431315486015E-3</v>
      </c>
      <c r="Z57" s="94">
        <v>2.1145686999368696E-3</v>
      </c>
    </row>
    <row r="58" spans="22:26" x14ac:dyDescent="0.2">
      <c r="V58" s="123" t="str">
        <f t="shared" si="10"/>
        <v>1D</v>
      </c>
      <c r="W58" s="82">
        <f>_xll.qlCalendarAdvance(Calendar,W57,V58,"f",FALSE)</f>
        <v>41936</v>
      </c>
      <c r="X58" s="91">
        <f>_xll.qlCalendarAdvance(Calendar,W58,NDays&amp;"D")</f>
        <v>41936</v>
      </c>
      <c r="Y58" s="92">
        <v>2.088608332100375E-3</v>
      </c>
      <c r="Z58" s="94">
        <v>2.1126973279406158E-3</v>
      </c>
    </row>
    <row r="59" spans="22:26" x14ac:dyDescent="0.2">
      <c r="V59" s="123" t="str">
        <f t="shared" si="10"/>
        <v>1D</v>
      </c>
      <c r="W59" s="82">
        <f>_xll.qlCalendarAdvance(Calendar,W58,V59,"f",FALSE)</f>
        <v>41939</v>
      </c>
      <c r="X59" s="91">
        <f>_xll.qlCalendarAdvance(Calendar,W59,NDays&amp;"D")</f>
        <v>41939</v>
      </c>
      <c r="Y59" s="92">
        <v>2.0821492136428284E-3</v>
      </c>
      <c r="Z59" s="94">
        <v>2.1105543822574901E-3</v>
      </c>
    </row>
    <row r="60" spans="22:26" x14ac:dyDescent="0.2">
      <c r="V60" s="123" t="str">
        <f t="shared" si="10"/>
        <v>1D</v>
      </c>
      <c r="W60" s="82">
        <f>_xll.qlCalendarAdvance(Calendar,W59,V60,"f",FALSE)</f>
        <v>41940</v>
      </c>
      <c r="X60" s="91">
        <f>_xll.qlCalendarAdvance(Calendar,W60,NDays&amp;"D")</f>
        <v>41940</v>
      </c>
      <c r="Y60" s="92">
        <v>2.0798478797726208E-3</v>
      </c>
      <c r="Z60" s="94">
        <v>2.1093654655746086E-3</v>
      </c>
    </row>
    <row r="61" spans="22:26" x14ac:dyDescent="0.2">
      <c r="V61" s="123" t="str">
        <f t="shared" si="10"/>
        <v>1D</v>
      </c>
      <c r="W61" s="82">
        <f>_xll.qlCalendarAdvance(Calendar,W60,V61,"f",FALSE)</f>
        <v>41941</v>
      </c>
      <c r="X61" s="91">
        <f>_xll.qlCalendarAdvance(Calendar,W61,NDays&amp;"D")</f>
        <v>41941</v>
      </c>
      <c r="Y61" s="92">
        <v>2.0788519463855737E-3</v>
      </c>
      <c r="Z61" s="94">
        <v>2.108102413994617E-3</v>
      </c>
    </row>
    <row r="62" spans="22:26" x14ac:dyDescent="0.2">
      <c r="V62" s="123" t="str">
        <f t="shared" si="10"/>
        <v>1D</v>
      </c>
      <c r="W62" s="82">
        <f>_xll.qlCalendarAdvance(Calendar,W61,V62,"f",FALSE)</f>
        <v>41942</v>
      </c>
      <c r="X62" s="91">
        <f>_xll.qlCalendarAdvance(Calendar,W62,NDays&amp;"D")</f>
        <v>41942</v>
      </c>
      <c r="Y62" s="92">
        <v>2.0778313088027373E-3</v>
      </c>
      <c r="Z62" s="94">
        <v>2.106765227436469E-3</v>
      </c>
    </row>
    <row r="63" spans="22:26" x14ac:dyDescent="0.2">
      <c r="V63" s="123" t="str">
        <f t="shared" si="10"/>
        <v>1D</v>
      </c>
      <c r="W63" s="82">
        <f>_xll.qlCalendarAdvance(Calendar,W62,V63,"f",FALSE)</f>
        <v>41943</v>
      </c>
      <c r="X63" s="91">
        <f>_xll.qlCalendarAdvance(Calendar,W63,NDays&amp;"D")</f>
        <v>41943</v>
      </c>
      <c r="Y63" s="92">
        <v>2.0767859674417077E-3</v>
      </c>
      <c r="Z63" s="94">
        <v>2.1038558644651912E-3</v>
      </c>
    </row>
    <row r="64" spans="22:26" x14ac:dyDescent="0.2">
      <c r="V64" s="123" t="str">
        <f t="shared" si="10"/>
        <v>1D</v>
      </c>
      <c r="W64" s="82">
        <f>_xll.qlCalendarAdvance(Calendar,W63,V64,"f",FALSE)</f>
        <v>41946</v>
      </c>
      <c r="X64" s="91">
        <f>_xll.qlCalendarAdvance(Calendar,W64,NDays&amp;"D")</f>
        <v>41946</v>
      </c>
      <c r="Y64" s="92">
        <v>2.0662097364286076E-3</v>
      </c>
      <c r="Z64" s="94">
        <v>2.1006751321517303E-3</v>
      </c>
    </row>
    <row r="65" spans="22:26" x14ac:dyDescent="0.2">
      <c r="V65" s="123" t="str">
        <f t="shared" si="10"/>
        <v>1D</v>
      </c>
      <c r="W65" s="82">
        <f>_xll.qlCalendarAdvance(Calendar,W64,V65,"f",FALSE)</f>
        <v>41947</v>
      </c>
      <c r="X65" s="91">
        <f>_xll.qlCalendarAdvance(Calendar,W65,NDays&amp;"D")</f>
        <v>41947</v>
      </c>
      <c r="Y65" s="92">
        <v>2.063544369847718E-3</v>
      </c>
      <c r="Z65" s="94">
        <v>2.0989672711080321E-3</v>
      </c>
    </row>
    <row r="66" spans="22:26" x14ac:dyDescent="0.2">
      <c r="V66" s="123" t="str">
        <f t="shared" si="10"/>
        <v>1D</v>
      </c>
      <c r="W66" s="82">
        <f>_xll.qlCalendarAdvance(Calendar,W65,V66,"f",FALSE)</f>
        <v>41948</v>
      </c>
      <c r="X66" s="91">
        <f>_xll.qlCalendarAdvance(Calendar,W66,NDays&amp;"D")</f>
        <v>41948</v>
      </c>
      <c r="Y66" s="92">
        <v>2.0608515013514905E-3</v>
      </c>
      <c r="Z66" s="94">
        <v>2.0971852750861775E-3</v>
      </c>
    </row>
    <row r="67" spans="22:26" x14ac:dyDescent="0.2">
      <c r="V67" s="123" t="str">
        <f t="shared" si="10"/>
        <v>1D</v>
      </c>
      <c r="W67" s="82">
        <f>_xll.qlCalendarAdvance(Calendar,W66,V67,"f",FALSE)</f>
        <v>41949</v>
      </c>
      <c r="X67" s="91">
        <f>_xll.qlCalendarAdvance(Calendar,W67,NDays&amp;"D")</f>
        <v>41949</v>
      </c>
      <c r="Y67" s="92">
        <v>2.0553129844140886E-3</v>
      </c>
      <c r="Z67" s="94">
        <v>2.0953291441672128E-3</v>
      </c>
    </row>
    <row r="68" spans="22:26" x14ac:dyDescent="0.2">
      <c r="V68" s="123" t="str">
        <f t="shared" si="10"/>
        <v>1D</v>
      </c>
      <c r="W68" s="82">
        <f>_xll.qlCalendarAdvance(Calendar,W67,V68,"f",FALSE)</f>
        <v>41950</v>
      </c>
      <c r="X68" s="91">
        <f>_xll.qlCalendarAdvance(Calendar,W68,NDays&amp;"D")</f>
        <v>41950</v>
      </c>
      <c r="Y68" s="92">
        <v>2.0540103492427248E-3</v>
      </c>
      <c r="Z68" s="94">
        <v>2.0913817490764153E-3</v>
      </c>
    </row>
    <row r="69" spans="22:26" x14ac:dyDescent="0.2">
      <c r="V69" s="123" t="str">
        <f t="shared" si="10"/>
        <v>1D</v>
      </c>
      <c r="W69" s="82">
        <f>_xll.qlCalendarAdvance(Calendar,W68,V69,"f",FALSE)</f>
        <v>41953</v>
      </c>
      <c r="X69" s="91">
        <f>_xll.qlCalendarAdvance(Calendar,W69,NDays&amp;"D")</f>
        <v>41953</v>
      </c>
      <c r="Y69" s="92">
        <v>2.0472467237039327E-3</v>
      </c>
      <c r="Z69" s="94">
        <v>2.0871632714392074E-3</v>
      </c>
    </row>
    <row r="70" spans="22:26" x14ac:dyDescent="0.2">
      <c r="V70" s="123" t="str">
        <f t="shared" si="10"/>
        <v>1D</v>
      </c>
      <c r="W70" s="82">
        <f>_xll.qlCalendarAdvance(Calendar,W69,V70,"f",FALSE)</f>
        <v>41954</v>
      </c>
      <c r="X70" s="91">
        <f>_xll.qlCalendarAdvance(Calendar,W70,NDays&amp;"D")</f>
        <v>41954</v>
      </c>
      <c r="Y70" s="92">
        <v>2.0445520997560696E-3</v>
      </c>
      <c r="Z70" s="94">
        <v>2.0849364660346925E-3</v>
      </c>
    </row>
    <row r="71" spans="22:26" x14ac:dyDescent="0.2">
      <c r="V71" s="123" t="str">
        <f t="shared" si="10"/>
        <v>1D</v>
      </c>
      <c r="W71" s="82">
        <f>_xll.qlCalendarAdvance(Calendar,W70,V71,"f",FALSE)</f>
        <v>41955</v>
      </c>
      <c r="X71" s="91">
        <f>_xll.qlCalendarAdvance(Calendar,W71,NDays&amp;"D")</f>
        <v>41955</v>
      </c>
      <c r="Y71" s="92">
        <v>2.04188439250456E-3</v>
      </c>
      <c r="Z71" s="94">
        <v>2.0826355256520213E-3</v>
      </c>
    </row>
    <row r="72" spans="22:26" x14ac:dyDescent="0.2">
      <c r="V72" s="123" t="str">
        <f t="shared" si="10"/>
        <v>1D</v>
      </c>
      <c r="W72" s="82">
        <f>_xll.qlCalendarAdvance(Calendar,W71,V72,"f",FALSE)</f>
        <v>41956</v>
      </c>
      <c r="X72" s="91">
        <f>_xll.qlCalendarAdvance(Calendar,W72,NDays&amp;"D")</f>
        <v>41956</v>
      </c>
      <c r="Y72" s="92">
        <v>2.0369498143781722E-3</v>
      </c>
      <c r="Z72" s="94">
        <v>2.0802604504532862E-3</v>
      </c>
    </row>
    <row r="73" spans="22:26" x14ac:dyDescent="0.2">
      <c r="V73" s="123" t="str">
        <f t="shared" si="10"/>
        <v>1D</v>
      </c>
      <c r="W73" s="82">
        <f>_xll.qlCalendarAdvance(Calendar,W72,V73,"f",FALSE)</f>
        <v>41957</v>
      </c>
      <c r="X73" s="91">
        <f>_xll.qlCalendarAdvance(Calendar,W73,NDays&amp;"D")</f>
        <v>41957</v>
      </c>
      <c r="Y73" s="92">
        <v>2.0355410958384384E-3</v>
      </c>
      <c r="Z73" s="94">
        <v>2.0752749828819215E-3</v>
      </c>
    </row>
    <row r="74" spans="22:26" x14ac:dyDescent="0.2">
      <c r="V74" s="123" t="str">
        <f t="shared" si="10"/>
        <v>1D</v>
      </c>
      <c r="W74" s="82">
        <f>_xll.qlCalendarAdvance(Calendar,W73,V74,"f",FALSE)</f>
        <v>41960</v>
      </c>
      <c r="X74" s="91">
        <f>_xll.qlCalendarAdvance(Calendar,W74,NDays&amp;"D")</f>
        <v>41960</v>
      </c>
      <c r="Y74" s="92">
        <v>2.0292216986269227E-3</v>
      </c>
      <c r="Z74" s="94">
        <v>2.070018800525153E-3</v>
      </c>
    </row>
    <row r="75" spans="22:26" x14ac:dyDescent="0.2">
      <c r="V75" s="123" t="str">
        <f t="shared" si="10"/>
        <v>1D</v>
      </c>
      <c r="W75" s="82">
        <f>_xll.qlCalendarAdvance(Calendar,W74,V75,"f",FALSE)</f>
        <v>41961</v>
      </c>
      <c r="X75" s="91">
        <f>_xll.qlCalendarAdvance(Calendar,W75,NDays&amp;"D")</f>
        <v>41961</v>
      </c>
      <c r="Y75" s="92">
        <v>2.0268787466186655E-3</v>
      </c>
      <c r="Z75" s="94">
        <v>2.0672730507598214E-3</v>
      </c>
    </row>
    <row r="76" spans="22:26" x14ac:dyDescent="0.2">
      <c r="V76" s="123" t="str">
        <f t="shared" si="10"/>
        <v>1D</v>
      </c>
      <c r="W76" s="82">
        <f>_xll.qlCalendarAdvance(Calendar,W75,V76,"f",FALSE)</f>
        <v>41962</v>
      </c>
      <c r="X76" s="91">
        <f>_xll.qlCalendarAdvance(Calendar,W76,NDays&amp;"D")</f>
        <v>41962</v>
      </c>
      <c r="Y76" s="92">
        <v>2.0246171296077753E-3</v>
      </c>
      <c r="Z76" s="94">
        <v>2.0644531662594723E-3</v>
      </c>
    </row>
    <row r="77" spans="22:26" x14ac:dyDescent="0.2">
      <c r="V77" s="123" t="str">
        <f t="shared" si="10"/>
        <v>1D</v>
      </c>
      <c r="W77" s="82">
        <f>_xll.qlCalendarAdvance(Calendar,W76,V77,"f",FALSE)</f>
        <v>41963</v>
      </c>
      <c r="X77" s="91">
        <f>_xll.qlCalendarAdvance(Calendar,W77,NDays&amp;"D")</f>
        <v>41963</v>
      </c>
      <c r="Y77" s="92">
        <v>2.0210245670567242E-3</v>
      </c>
      <c r="Z77" s="94">
        <v>2.0615591466999206E-3</v>
      </c>
    </row>
    <row r="78" spans="22:26" x14ac:dyDescent="0.2">
      <c r="V78" s="123" t="str">
        <f t="shared" si="10"/>
        <v>1D</v>
      </c>
      <c r="W78" s="82">
        <f>_xll.qlCalendarAdvance(Calendar,W77,V78,"f",FALSE)</f>
        <v>41964</v>
      </c>
      <c r="X78" s="91">
        <f>_xll.qlCalendarAdvance(Calendar,W78,NDays&amp;"D")</f>
        <v>41964</v>
      </c>
      <c r="Y78" s="92">
        <v>2.0197055924564555E-3</v>
      </c>
      <c r="Z78" s="94">
        <v>2.0555355673135267E-3</v>
      </c>
    </row>
    <row r="79" spans="22:26" x14ac:dyDescent="0.2">
      <c r="V79" s="123" t="str">
        <f t="shared" si="10"/>
        <v>1D</v>
      </c>
      <c r="W79" s="82">
        <f>_xll.qlCalendarAdvance(Calendar,W78,V79,"f",FALSE)</f>
        <v>41967</v>
      </c>
      <c r="X79" s="91">
        <f>_xll.qlCalendarAdvance(Calendar,W79,NDays&amp;"D")</f>
        <v>41967</v>
      </c>
      <c r="Y79" s="92">
        <v>2.0148011601246836E-3</v>
      </c>
      <c r="Z79" s="94">
        <v>2.0492417198958446E-3</v>
      </c>
    </row>
    <row r="80" spans="22:26" x14ac:dyDescent="0.2">
      <c r="V80" s="123" t="str">
        <f t="shared" si="10"/>
        <v>1D</v>
      </c>
      <c r="W80" s="82">
        <f>_xll.qlCalendarAdvance(Calendar,W79,V80,"f",FALSE)</f>
        <v>41968</v>
      </c>
      <c r="X80" s="91">
        <f>_xll.qlCalendarAdvance(Calendar,W80,NDays&amp;"D")</f>
        <v>41968</v>
      </c>
      <c r="Y80" s="92">
        <v>2.0120745457253711E-3</v>
      </c>
      <c r="Z80" s="94">
        <v>2.0459770260128352E-3</v>
      </c>
    </row>
    <row r="81" spans="22:26" x14ac:dyDescent="0.2">
      <c r="V81" s="123" t="str">
        <f t="shared" si="10"/>
        <v>1D</v>
      </c>
      <c r="W81" s="82">
        <f>_xll.qlCalendarAdvance(Calendar,W80,V81,"f",FALSE)</f>
        <v>41969</v>
      </c>
      <c r="X81" s="91">
        <f>_xll.qlCalendarAdvance(Calendar,W81,NDays&amp;"D")</f>
        <v>41969</v>
      </c>
      <c r="Y81" s="92">
        <v>2.0110359251426031E-3</v>
      </c>
      <c r="Z81" s="94">
        <v>2.0426381972327157E-3</v>
      </c>
    </row>
    <row r="82" spans="22:26" x14ac:dyDescent="0.2">
      <c r="V82" s="123" t="str">
        <f t="shared" si="10"/>
        <v>1D</v>
      </c>
      <c r="W82" s="82">
        <f>_xll.qlCalendarAdvance(Calendar,W81,V82,"f",FALSE)</f>
        <v>41970</v>
      </c>
      <c r="X82" s="91">
        <f>_xll.qlCalendarAdvance(Calendar,W82,NDays&amp;"D")</f>
        <v>41970</v>
      </c>
      <c r="Y82" s="92">
        <v>2.0100371054326827E-3</v>
      </c>
      <c r="Z82" s="94">
        <v>2.0392252336365324E-3</v>
      </c>
    </row>
    <row r="83" spans="22:26" x14ac:dyDescent="0.2">
      <c r="V83" s="123" t="str">
        <f t="shared" si="10"/>
        <v>1D</v>
      </c>
      <c r="W83" s="82">
        <f>_xll.qlCalendarAdvance(Calendar,W82,V83,"f",FALSE)</f>
        <v>41971</v>
      </c>
      <c r="X83" s="91">
        <f>_xll.qlCalendarAdvance(Calendar,W83,NDays&amp;"D")</f>
        <v>41971</v>
      </c>
      <c r="Y83" s="92">
        <v>2.0090013305638288E-3</v>
      </c>
      <c r="Z83" s="94">
        <v>2.032513284881595E-3</v>
      </c>
    </row>
    <row r="84" spans="22:26" x14ac:dyDescent="0.2">
      <c r="V84" s="123" t="str">
        <f t="shared" si="10"/>
        <v>1D</v>
      </c>
      <c r="W84" s="82">
        <f>_xll.qlCalendarAdvance(Calendar,W83,V84,"f",FALSE)</f>
        <v>41974</v>
      </c>
      <c r="X84" s="91">
        <f>_xll.qlCalendarAdvance(Calendar,W84,NDays&amp;"D")</f>
        <v>41974</v>
      </c>
      <c r="Y84" s="92">
        <v>2.0069047681497976E-3</v>
      </c>
      <c r="Z84" s="94">
        <v>2.0262700016981938E-3</v>
      </c>
    </row>
    <row r="85" spans="22:26" x14ac:dyDescent="0.2">
      <c r="V85" s="123" t="str">
        <f t="shared" ref="V85:V148" si="12">V84</f>
        <v>1D</v>
      </c>
      <c r="W85" s="82">
        <f>_xll.qlCalendarAdvance(Calendar,W84,V85,"f",FALSE)</f>
        <v>41975</v>
      </c>
      <c r="X85" s="91">
        <f>_xll.qlCalendarAdvance(Calendar,W85,NDays&amp;"D")</f>
        <v>41975</v>
      </c>
      <c r="Y85" s="92">
        <v>2.0062689455474336E-3</v>
      </c>
      <c r="Z85" s="94">
        <v>2.0234191017587388E-3</v>
      </c>
    </row>
    <row r="86" spans="22:26" x14ac:dyDescent="0.2">
      <c r="V86" s="123" t="str">
        <f t="shared" si="12"/>
        <v>1D</v>
      </c>
      <c r="W86" s="82">
        <f>_xll.qlCalendarAdvance(Calendar,W85,V86,"f",FALSE)</f>
        <v>41976</v>
      </c>
      <c r="X86" s="91">
        <f>_xll.qlCalendarAdvance(Calendar,W86,NDays&amp;"D")</f>
        <v>41976</v>
      </c>
      <c r="Y86" s="92">
        <v>2.0066751456080927E-3</v>
      </c>
      <c r="Z86" s="94">
        <v>2.0207272516603592E-3</v>
      </c>
    </row>
    <row r="87" spans="22:26" x14ac:dyDescent="0.2">
      <c r="V87" s="123" t="str">
        <f t="shared" si="12"/>
        <v>1D</v>
      </c>
      <c r="W87" s="82">
        <f>_xll.qlCalendarAdvance(Calendar,W86,V87,"f",FALSE)</f>
        <v>41977</v>
      </c>
      <c r="X87" s="91">
        <f>_xll.qlCalendarAdvance(Calendar,W87,NDays&amp;"D")</f>
        <v>41977</v>
      </c>
      <c r="Y87" s="92">
        <v>2.0062249103545288E-3</v>
      </c>
      <c r="Z87" s="94">
        <v>2.0181944512409622E-3</v>
      </c>
    </row>
    <row r="88" spans="22:26" x14ac:dyDescent="0.2">
      <c r="V88" s="123" t="str">
        <f t="shared" si="12"/>
        <v>1D</v>
      </c>
      <c r="W88" s="82">
        <f>_xll.qlCalendarAdvance(Calendar,W87,V88,"f",FALSE)</f>
        <v>41978</v>
      </c>
      <c r="X88" s="91">
        <f>_xll.qlCalendarAdvance(Calendar,W88,NDays&amp;"D")</f>
        <v>41978</v>
      </c>
      <c r="Y88" s="92">
        <v>2.0058277053096453E-3</v>
      </c>
      <c r="Z88" s="94">
        <v>2.0136701248503939E-3</v>
      </c>
    </row>
    <row r="89" spans="22:26" x14ac:dyDescent="0.2">
      <c r="V89" s="123" t="str">
        <f t="shared" si="12"/>
        <v>1D</v>
      </c>
      <c r="W89" s="82">
        <f>_xll.qlCalendarAdvance(Calendar,W88,V89,"f",FALSE)</f>
        <v>41981</v>
      </c>
      <c r="X89" s="91">
        <f>_xll.qlCalendarAdvance(Calendar,W89,NDays&amp;"D")</f>
        <v>41981</v>
      </c>
      <c r="Y89" s="92">
        <v>2.0068181478495998E-3</v>
      </c>
      <c r="Z89" s="94">
        <v>2.0096537457858776E-3</v>
      </c>
    </row>
    <row r="90" spans="22:26" x14ac:dyDescent="0.2">
      <c r="V90" s="123" t="str">
        <f t="shared" si="12"/>
        <v>1D</v>
      </c>
      <c r="W90" s="82">
        <f>_xll.qlCalendarAdvance(Calendar,W89,V90,"f",FALSE)</f>
        <v>41982</v>
      </c>
      <c r="X90" s="91">
        <f>_xll.qlCalendarAdvance(Calendar,W90,NDays&amp;"D")</f>
        <v>41982</v>
      </c>
      <c r="Y90" s="92">
        <v>2.0074664471412692E-3</v>
      </c>
      <c r="Z90" s="94">
        <v>2.0079161935993017E-3</v>
      </c>
    </row>
    <row r="91" spans="22:26" x14ac:dyDescent="0.2">
      <c r="V91" s="123" t="str">
        <f t="shared" si="12"/>
        <v>1D</v>
      </c>
      <c r="W91" s="82">
        <f>_xll.qlCalendarAdvance(Calendar,W90,V91,"f",FALSE)</f>
        <v>41983</v>
      </c>
      <c r="X91" s="91">
        <f>_xll.qlCalendarAdvance(Calendar,W91,NDays&amp;"D")</f>
        <v>41983</v>
      </c>
      <c r="Y91" s="92">
        <v>2.0100997475459804E-3</v>
      </c>
      <c r="Z91" s="94">
        <v>2.0063376910106623E-3</v>
      </c>
    </row>
    <row r="92" spans="22:26" x14ac:dyDescent="0.2">
      <c r="V92" s="123" t="str">
        <f t="shared" si="12"/>
        <v>1D</v>
      </c>
      <c r="W92" s="82">
        <f>_xll.qlCalendarAdvance(Calendar,W91,V92,"f",FALSE)</f>
        <v>41984</v>
      </c>
      <c r="X92" s="91">
        <f>_xll.qlCalendarAdvance(Calendar,W92,NDays&amp;"D")</f>
        <v>41984</v>
      </c>
      <c r="Y92" s="92">
        <v>2.0102062620792893E-3</v>
      </c>
      <c r="Z92" s="94">
        <v>2.0049182381010056E-3</v>
      </c>
    </row>
    <row r="93" spans="22:26" x14ac:dyDescent="0.2">
      <c r="V93" s="123" t="str">
        <f t="shared" si="12"/>
        <v>1D</v>
      </c>
      <c r="W93" s="82">
        <f>_xll.qlCalendarAdvance(Calendar,W92,V93,"f",FALSE)</f>
        <v>41985</v>
      </c>
      <c r="X93" s="91">
        <f>_xll.qlCalendarAdvance(Calendar,W93,NDays&amp;"D")</f>
        <v>41985</v>
      </c>
      <c r="Y93" s="92">
        <v>2.0103658007068893E-3</v>
      </c>
      <c r="Z93" s="94">
        <v>2.0026204851875118E-3</v>
      </c>
    </row>
    <row r="94" spans="22:26" x14ac:dyDescent="0.2">
      <c r="V94" s="123" t="str">
        <f t="shared" si="12"/>
        <v>1D</v>
      </c>
      <c r="W94" s="82">
        <f>_xll.qlCalendarAdvance(Calendar,W93,V94,"f",FALSE)</f>
        <v>41988</v>
      </c>
      <c r="X94" s="91">
        <f>_xll.qlCalendarAdvance(Calendar,W94,NDays&amp;"D")</f>
        <v>41988</v>
      </c>
      <c r="Y94" s="92">
        <v>2.0146968387103935E-3</v>
      </c>
      <c r="Z94" s="94">
        <v>2.0008309227659282E-3</v>
      </c>
    </row>
    <row r="95" spans="22:26" x14ac:dyDescent="0.2">
      <c r="V95" s="123" t="str">
        <f t="shared" si="12"/>
        <v>1D</v>
      </c>
      <c r="W95" s="82">
        <f>_xll.qlCalendarAdvance(Calendar,W94,V95,"f",FALSE)</f>
        <v>41989</v>
      </c>
      <c r="X95" s="91">
        <f>_xll.qlCalendarAdvance(Calendar,W95,NDays&amp;"D")</f>
        <v>41989</v>
      </c>
      <c r="Y95" s="92">
        <v>2.0164586703966705E-3</v>
      </c>
      <c r="Z95" s="94">
        <v>2.000206717927E-3</v>
      </c>
    </row>
    <row r="96" spans="22:26" x14ac:dyDescent="0.2">
      <c r="V96" s="123" t="str">
        <f t="shared" si="12"/>
        <v>1D</v>
      </c>
      <c r="W96" s="82">
        <f>_xll.qlCalendarAdvance(Calendar,W95,V96,"f",FALSE)</f>
        <v>41990</v>
      </c>
      <c r="X96" s="91">
        <f>_xll.qlCalendarAdvance(Calendar,W96,NDays&amp;"D")</f>
        <v>41990</v>
      </c>
      <c r="Y96" s="92">
        <v>2.0213191614523811E-3</v>
      </c>
      <c r="Z96" s="94">
        <v>1.9997415628481008E-3</v>
      </c>
    </row>
    <row r="97" spans="22:26" x14ac:dyDescent="0.2">
      <c r="V97" s="123" t="str">
        <f t="shared" si="12"/>
        <v>1D</v>
      </c>
      <c r="W97" s="82">
        <f>_xll.qlCalendarAdvance(Calendar,W96,V97,"f",FALSE)</f>
        <v>41991</v>
      </c>
      <c r="X97" s="91">
        <f>_xll.qlCalendarAdvance(Calendar,W97,NDays&amp;"D")</f>
        <v>41991</v>
      </c>
      <c r="Y97" s="92">
        <v>2.0219823834813702E-3</v>
      </c>
      <c r="Z97" s="94">
        <v>1.9994354574481843E-3</v>
      </c>
    </row>
    <row r="98" spans="22:26" x14ac:dyDescent="0.2">
      <c r="V98" s="123" t="str">
        <f t="shared" si="12"/>
        <v>1D</v>
      </c>
      <c r="W98" s="82">
        <f>_xll.qlCalendarAdvance(Calendar,W97,V98,"f",FALSE)</f>
        <v>41992</v>
      </c>
      <c r="X98" s="91">
        <f>_xll.qlCalendarAdvance(Calendar,W98,NDays&amp;"D")</f>
        <v>41992</v>
      </c>
      <c r="Y98" s="92">
        <v>2.022698623525214E-3</v>
      </c>
      <c r="Z98" s="94">
        <v>1.9993643637857459E-3</v>
      </c>
    </row>
    <row r="99" spans="22:26" x14ac:dyDescent="0.2">
      <c r="V99" s="123" t="str">
        <f t="shared" si="12"/>
        <v>1D</v>
      </c>
      <c r="W99" s="82">
        <f>_xll.qlCalendarAdvance(Calendar,W98,V99,"f",FALSE)</f>
        <v>41995</v>
      </c>
      <c r="X99" s="91">
        <f>_xll.qlCalendarAdvance(Calendar,W99,NDays&amp;"D")</f>
        <v>41995</v>
      </c>
      <c r="Y99" s="92">
        <v>2.0303702655884025E-3</v>
      </c>
      <c r="Z99" s="94">
        <v>1.9998015319089291E-3</v>
      </c>
    </row>
    <row r="100" spans="22:26" x14ac:dyDescent="0.2">
      <c r="V100" s="123" t="str">
        <f t="shared" si="12"/>
        <v>1D</v>
      </c>
      <c r="W100" s="82">
        <f>_xll.qlCalendarAdvance(Calendar,W99,V100,"f",FALSE)</f>
        <v>41996</v>
      </c>
      <c r="X100" s="91">
        <f>_xll.qlCalendarAdvance(Calendar,W100,NDays&amp;"D")</f>
        <v>41996</v>
      </c>
      <c r="Y100" s="92">
        <v>2.0332456331725777E-3</v>
      </c>
      <c r="Z100" s="94">
        <v>2.0002906745797411E-3</v>
      </c>
    </row>
    <row r="101" spans="22:26" x14ac:dyDescent="0.2">
      <c r="V101" s="123" t="str">
        <f t="shared" si="12"/>
        <v>1D</v>
      </c>
      <c r="W101" s="82">
        <f>_xll.qlCalendarAdvance(Calendar,W100,V101,"f",FALSE)</f>
        <v>41997</v>
      </c>
      <c r="X101" s="91">
        <f>_xll.qlCalendarAdvance(Calendar,W101,NDays&amp;"D")</f>
        <v>41997</v>
      </c>
      <c r="Y101" s="92">
        <v>2.040333411041928E-3</v>
      </c>
      <c r="Z101" s="94">
        <v>2.0028934311175917E-3</v>
      </c>
    </row>
    <row r="102" spans="22:26" x14ac:dyDescent="0.2">
      <c r="V102" s="123" t="str">
        <f t="shared" si="12"/>
        <v>1D</v>
      </c>
      <c r="W102" s="82">
        <f>_xll.qlCalendarAdvance(Calendar,W101,V102,"f",FALSE)</f>
        <v>42002</v>
      </c>
      <c r="X102" s="91">
        <f>_xll.qlCalendarAdvance(Calendar,W102,NDays&amp;"D")</f>
        <v>42002</v>
      </c>
      <c r="Y102" s="92">
        <v>2.053838459610627E-3</v>
      </c>
      <c r="Z102" s="94">
        <v>2.0065655732959264E-3</v>
      </c>
    </row>
    <row r="103" spans="22:26" x14ac:dyDescent="0.2">
      <c r="V103" s="123" t="str">
        <f t="shared" si="12"/>
        <v>1D</v>
      </c>
      <c r="W103" s="82">
        <f>_xll.qlCalendarAdvance(Calendar,W102,V103,"f",FALSE)</f>
        <v>42003</v>
      </c>
      <c r="X103" s="91">
        <f>_xll.qlCalendarAdvance(Calendar,W103,NDays&amp;"D")</f>
        <v>42003</v>
      </c>
      <c r="Y103" s="92">
        <v>2.0578273687999276E-3</v>
      </c>
      <c r="Z103" s="94">
        <v>2.0081680634764787E-3</v>
      </c>
    </row>
    <row r="104" spans="22:26" x14ac:dyDescent="0.2">
      <c r="V104" s="123" t="str">
        <f t="shared" si="12"/>
        <v>1D</v>
      </c>
      <c r="W104" s="82">
        <f>_xll.qlCalendarAdvance(Calendar,W103,V104,"f",FALSE)</f>
        <v>42004</v>
      </c>
      <c r="X104" s="91">
        <f>_xll.qlCalendarAdvance(Calendar,W104,NDays&amp;"D")</f>
        <v>42004</v>
      </c>
      <c r="Y104" s="92">
        <v>2.0594713481183842E-3</v>
      </c>
      <c r="Z104" s="94">
        <v>2.0108954373349031E-3</v>
      </c>
    </row>
    <row r="105" spans="22:26" x14ac:dyDescent="0.2">
      <c r="V105" s="123" t="str">
        <f t="shared" si="12"/>
        <v>1D</v>
      </c>
      <c r="W105" s="82">
        <f>_xll.qlCalendarAdvance(Calendar,W104,V105,"f",FALSE)</f>
        <v>42006</v>
      </c>
      <c r="X105" s="91">
        <f>_xll.qlCalendarAdvance(Calendar,W105,NDays&amp;"D")</f>
        <v>42006</v>
      </c>
      <c r="Y105" s="92">
        <v>2.0707485648585244E-3</v>
      </c>
      <c r="Z105" s="94">
        <v>2.0162326746849444E-3</v>
      </c>
    </row>
    <row r="106" spans="22:26" x14ac:dyDescent="0.2">
      <c r="V106" s="123" t="str">
        <f t="shared" si="12"/>
        <v>1D</v>
      </c>
      <c r="W106" s="82">
        <f>_xll.qlCalendarAdvance(Calendar,W105,V106,"f",FALSE)</f>
        <v>42009</v>
      </c>
      <c r="X106" s="91">
        <f>_xll.qlCalendarAdvance(Calendar,W106,NDays&amp;"D")</f>
        <v>42009</v>
      </c>
      <c r="Y106" s="92">
        <v>2.0851014673760639E-3</v>
      </c>
      <c r="Z106" s="94">
        <v>2.0211230472511055E-3</v>
      </c>
    </row>
    <row r="107" spans="22:26" x14ac:dyDescent="0.2">
      <c r="V107" s="123" t="str">
        <f t="shared" si="12"/>
        <v>1D</v>
      </c>
      <c r="W107" s="82">
        <f>_xll.qlCalendarAdvance(Calendar,W106,V107,"f",FALSE)</f>
        <v>42010</v>
      </c>
      <c r="X107" s="91">
        <f>_xll.qlCalendarAdvance(Calendar,W107,NDays&amp;"D")</f>
        <v>42010</v>
      </c>
      <c r="Y107" s="92">
        <v>2.0902039260947245E-3</v>
      </c>
      <c r="Z107" s="94">
        <v>2.0238388850224442E-3</v>
      </c>
    </row>
    <row r="108" spans="22:26" x14ac:dyDescent="0.2">
      <c r="V108" s="123" t="str">
        <f t="shared" si="12"/>
        <v>1D</v>
      </c>
      <c r="W108" s="82">
        <f>_xll.qlCalendarAdvance(Calendar,W107,V108,"f",FALSE)</f>
        <v>42011</v>
      </c>
      <c r="X108" s="91">
        <f>_xll.qlCalendarAdvance(Calendar,W108,NDays&amp;"D")</f>
        <v>42011</v>
      </c>
      <c r="Y108" s="92">
        <v>2.1017465945309551E-3</v>
      </c>
      <c r="Z108" s="94">
        <v>2.0267137724727657E-3</v>
      </c>
    </row>
    <row r="109" spans="22:26" x14ac:dyDescent="0.2">
      <c r="V109" s="123" t="str">
        <f t="shared" si="12"/>
        <v>1D</v>
      </c>
      <c r="W109" s="82">
        <f>_xll.qlCalendarAdvance(Calendar,W108,V109,"f",FALSE)</f>
        <v>42012</v>
      </c>
      <c r="X109" s="91">
        <f>_xll.qlCalendarAdvance(Calendar,W109,NDays&amp;"D")</f>
        <v>42012</v>
      </c>
      <c r="Y109" s="92">
        <v>2.1040796870215248E-3</v>
      </c>
      <c r="Z109" s="94">
        <v>2.02974770960207E-3</v>
      </c>
    </row>
    <row r="110" spans="22:26" x14ac:dyDescent="0.2">
      <c r="V110" s="123" t="str">
        <f t="shared" si="12"/>
        <v>1D</v>
      </c>
      <c r="W110" s="82">
        <f>_xll.qlCalendarAdvance(Calendar,W109,V110,"f",FALSE)</f>
        <v>42013</v>
      </c>
      <c r="X110" s="91">
        <f>_xll.qlCalendarAdvance(Calendar,W110,NDays&amp;"D")</f>
        <v>42013</v>
      </c>
      <c r="Y110" s="92">
        <v>2.1064657787885121E-3</v>
      </c>
      <c r="Z110" s="94">
        <v>2.03635711022776E-3</v>
      </c>
    </row>
    <row r="111" spans="22:26" x14ac:dyDescent="0.2">
      <c r="V111" s="123" t="str">
        <f t="shared" si="12"/>
        <v>1D</v>
      </c>
      <c r="W111" s="82">
        <f>_xll.qlCalendarAdvance(Calendar,W110,V111,"f",FALSE)</f>
        <v>42016</v>
      </c>
      <c r="X111" s="91">
        <f>_xll.qlCalendarAdvance(Calendar,W111,NDays&amp;"D")</f>
        <v>42016</v>
      </c>
      <c r="Y111" s="92">
        <v>2.1241593509661646E-3</v>
      </c>
      <c r="Z111" s="94">
        <v>2.0434739547470215E-3</v>
      </c>
    </row>
    <row r="112" spans="22:26" x14ac:dyDescent="0.2">
      <c r="V112" s="123" t="str">
        <f t="shared" si="12"/>
        <v>1D</v>
      </c>
      <c r="W112" s="82">
        <f>_xll.qlCalendarAdvance(Calendar,W111,V112,"f",FALSE)</f>
        <v>42017</v>
      </c>
      <c r="X112" s="91">
        <f>_xll.qlCalendarAdvance(Calendar,W112,NDays&amp;"D")</f>
        <v>42017</v>
      </c>
      <c r="Y112" s="92">
        <v>2.1303753693449703E-3</v>
      </c>
      <c r="Z112" s="94">
        <v>2.0473031403522857E-3</v>
      </c>
    </row>
    <row r="113" spans="22:26" x14ac:dyDescent="0.2">
      <c r="V113" s="123" t="str">
        <f t="shared" si="12"/>
        <v>1D</v>
      </c>
      <c r="W113" s="82">
        <f>_xll.qlCalendarAdvance(Calendar,W112,V113,"f",FALSE)</f>
        <v>42018</v>
      </c>
      <c r="X113" s="91">
        <f>_xll.qlCalendarAdvance(Calendar,W113,NDays&amp;"D")</f>
        <v>42018</v>
      </c>
      <c r="Y113" s="92">
        <v>2.1441456582420178E-3</v>
      </c>
      <c r="Z113" s="94">
        <v>2.0512913755554862E-3</v>
      </c>
    </row>
    <row r="114" spans="22:26" x14ac:dyDescent="0.2">
      <c r="V114" s="123" t="str">
        <f t="shared" si="12"/>
        <v>1D</v>
      </c>
      <c r="W114" s="82">
        <f>_xll.qlCalendarAdvance(Calendar,W113,V114,"f",FALSE)</f>
        <v>42019</v>
      </c>
      <c r="X114" s="91">
        <f>_xll.qlCalendarAdvance(Calendar,W114,NDays&amp;"D")</f>
        <v>42019</v>
      </c>
      <c r="Y114" s="92">
        <v>2.1470352882891827E-3</v>
      </c>
      <c r="Z114" s="94">
        <v>2.0554386604376695E-3</v>
      </c>
    </row>
    <row r="115" spans="22:26" x14ac:dyDescent="0.2">
      <c r="V115" s="123" t="str">
        <f t="shared" si="12"/>
        <v>1D</v>
      </c>
      <c r="W115" s="82">
        <f>_xll.qlCalendarAdvance(Calendar,W114,V115,"f",FALSE)</f>
        <v>42020</v>
      </c>
      <c r="X115" s="91">
        <f>_xll.qlCalendarAdvance(Calendar,W115,NDays&amp;"D")</f>
        <v>42020</v>
      </c>
      <c r="Y115" s="92">
        <v>2.149977910964356E-3</v>
      </c>
      <c r="Z115" s="94">
        <v>2.064275070488379E-3</v>
      </c>
    </row>
    <row r="116" spans="22:26" x14ac:dyDescent="0.2">
      <c r="V116" s="123" t="str">
        <f t="shared" si="12"/>
        <v>1D</v>
      </c>
      <c r="W116" s="82">
        <f>_xll.qlCalendarAdvance(Calendar,W115,V116,"f",FALSE)</f>
        <v>42023</v>
      </c>
      <c r="X116" s="91">
        <f>_xll.qlCalendarAdvance(Calendar,W116,NDays&amp;"D")</f>
        <v>42023</v>
      </c>
      <c r="Y116" s="92">
        <v>2.1710121879396057E-3</v>
      </c>
      <c r="Z116" s="94">
        <v>2.073618297323554E-3</v>
      </c>
    </row>
    <row r="117" spans="22:26" x14ac:dyDescent="0.2">
      <c r="V117" s="123" t="str">
        <f t="shared" si="12"/>
        <v>1D</v>
      </c>
      <c r="W117" s="82">
        <f>_xll.qlCalendarAdvance(Calendar,W116,V117,"f",FALSE)</f>
        <v>42024</v>
      </c>
      <c r="X117" s="91">
        <f>_xll.qlCalendarAdvance(Calendar,W117,NDays&amp;"D")</f>
        <v>42024</v>
      </c>
      <c r="Y117" s="92">
        <v>2.1783417783211201E-3</v>
      </c>
      <c r="Z117" s="94">
        <v>2.0785608307627434E-3</v>
      </c>
    </row>
    <row r="118" spans="22:26" x14ac:dyDescent="0.2">
      <c r="V118" s="123" t="str">
        <f t="shared" si="12"/>
        <v>1D</v>
      </c>
      <c r="W118" s="82">
        <f>_xll.qlCalendarAdvance(Calendar,W117,V118,"f",FALSE)</f>
        <v>42025</v>
      </c>
      <c r="X118" s="91">
        <f>_xll.qlCalendarAdvance(Calendar,W118,NDays&amp;"D")</f>
        <v>42025</v>
      </c>
      <c r="Y118" s="92">
        <v>2.1943398172765828E-3</v>
      </c>
      <c r="Z118" s="94">
        <v>2.0836624141240545E-3</v>
      </c>
    </row>
    <row r="119" spans="22:26" x14ac:dyDescent="0.2">
      <c r="V119" s="123" t="str">
        <f t="shared" si="12"/>
        <v>1D</v>
      </c>
      <c r="W119" s="82">
        <f>_xll.qlCalendarAdvance(Calendar,W118,V119,"f",FALSE)</f>
        <v>42026</v>
      </c>
      <c r="X119" s="91">
        <f>_xll.qlCalendarAdvance(Calendar,W119,NDays&amp;"D")</f>
        <v>42026</v>
      </c>
      <c r="Y119" s="92">
        <v>2.1977859397024138E-3</v>
      </c>
      <c r="Z119" s="94">
        <v>2.088923047083302E-3</v>
      </c>
    </row>
    <row r="120" spans="22:26" x14ac:dyDescent="0.2">
      <c r="V120" s="123" t="str">
        <f t="shared" si="12"/>
        <v>1D</v>
      </c>
      <c r="W120" s="82">
        <f>_xll.qlCalendarAdvance(Calendar,W119,V120,"f",FALSE)</f>
        <v>42027</v>
      </c>
      <c r="X120" s="91">
        <f>_xll.qlCalendarAdvance(Calendar,W120,NDays&amp;"D")</f>
        <v>42027</v>
      </c>
      <c r="Y120" s="92">
        <v>2.2012850477918485E-3</v>
      </c>
      <c r="Z120" s="94">
        <v>2.099986560869886E-3</v>
      </c>
    </row>
    <row r="121" spans="22:26" x14ac:dyDescent="0.2">
      <c r="V121" s="123" t="str">
        <f t="shared" si="12"/>
        <v>1D</v>
      </c>
      <c r="W121" s="82">
        <f>_xll.qlCalendarAdvance(Calendar,W120,V121,"f",FALSE)</f>
        <v>42030</v>
      </c>
      <c r="X121" s="91">
        <f>_xll.qlCalendarAdvance(Calendar,W121,NDays&amp;"D")</f>
        <v>42030</v>
      </c>
      <c r="Y121" s="92">
        <v>2.2256600713322881E-3</v>
      </c>
      <c r="Z121" s="94">
        <v>2.1115560766826746E-3</v>
      </c>
    </row>
    <row r="122" spans="22:26" x14ac:dyDescent="0.2">
      <c r="V122" s="123" t="str">
        <f t="shared" si="12"/>
        <v>1D</v>
      </c>
      <c r="W122" s="82">
        <f>_xll.qlCalendarAdvance(Calendar,W121,V122,"f",FALSE)</f>
        <v>42031</v>
      </c>
      <c r="X122" s="91">
        <f>_xll.qlCalendarAdvance(Calendar,W122,NDays&amp;"D")</f>
        <v>42031</v>
      </c>
      <c r="Y122" s="92">
        <v>2.2341032482708556E-3</v>
      </c>
      <c r="Z122" s="94">
        <v>2.1176119586041597E-3</v>
      </c>
    </row>
    <row r="123" spans="22:26" x14ac:dyDescent="0.2">
      <c r="V123" s="123" t="str">
        <f t="shared" si="12"/>
        <v>1D</v>
      </c>
      <c r="W123" s="82">
        <f>_xll.qlCalendarAdvance(Calendar,W122,V123,"f",FALSE)</f>
        <v>42032</v>
      </c>
      <c r="X123" s="91">
        <f>_xll.qlCalendarAdvance(Calendar,W123,NDays&amp;"D")</f>
        <v>42032</v>
      </c>
      <c r="Y123" s="92">
        <v>2.2379733072646442E-3</v>
      </c>
      <c r="Z123" s="94">
        <v>2.1238268902046276E-3</v>
      </c>
    </row>
    <row r="124" spans="22:26" x14ac:dyDescent="0.2">
      <c r="V124" s="123" t="str">
        <f t="shared" si="12"/>
        <v>1D</v>
      </c>
      <c r="W124" s="82">
        <f>_xll.qlCalendarAdvance(Calendar,W123,V124,"f",FALSE)</f>
        <v>42033</v>
      </c>
      <c r="X124" s="91">
        <f>_xll.qlCalendarAdvance(Calendar,W124,NDays&amp;"D")</f>
        <v>42033</v>
      </c>
      <c r="Y124" s="92">
        <v>2.241896345678859E-3</v>
      </c>
      <c r="Z124" s="94">
        <v>2.1302008716461707E-3</v>
      </c>
    </row>
    <row r="125" spans="22:26" x14ac:dyDescent="0.2">
      <c r="V125" s="123" t="str">
        <f t="shared" si="12"/>
        <v>1D</v>
      </c>
      <c r="W125" s="82">
        <f>_xll.qlCalendarAdvance(Calendar,W124,V125,"f",FALSE)</f>
        <v>42034</v>
      </c>
      <c r="X125" s="91">
        <f>_xll.qlCalendarAdvance(Calendar,W125,NDays&amp;"D")</f>
        <v>42034</v>
      </c>
      <c r="Y125" s="92">
        <v>2.24587236246933E-3</v>
      </c>
      <c r="Z125" s="94">
        <v>2.1434915881531533E-3</v>
      </c>
    </row>
    <row r="126" spans="22:26" x14ac:dyDescent="0.2">
      <c r="V126" s="123" t="str">
        <f t="shared" si="12"/>
        <v>1D</v>
      </c>
      <c r="W126" s="82">
        <f>_xll.qlCalendarAdvance(Calendar,W125,V126,"f",FALSE)</f>
        <v>42037</v>
      </c>
      <c r="X126" s="91">
        <f>_xll.qlCalendarAdvance(Calendar,W126,NDays&amp;"D")</f>
        <v>42037</v>
      </c>
      <c r="Y126" s="92">
        <v>2.2728620138788369E-3</v>
      </c>
      <c r="Z126" s="94">
        <v>2.1572872954989109E-3</v>
      </c>
    </row>
    <row r="127" spans="22:26" x14ac:dyDescent="0.2">
      <c r="V127" s="123" t="str">
        <f t="shared" si="12"/>
        <v>1D</v>
      </c>
      <c r="W127" s="82">
        <f>_xll.qlCalendarAdvance(Calendar,W126,V127,"f",FALSE)</f>
        <v>42038</v>
      </c>
      <c r="X127" s="91">
        <f>_xll.qlCalendarAdvance(Calendar,W127,NDays&amp;"D")</f>
        <v>42038</v>
      </c>
      <c r="Y127" s="92">
        <v>2.2821665939493879E-3</v>
      </c>
      <c r="Z127" s="94">
        <v>2.1644565259837378E-3</v>
      </c>
    </row>
    <row r="128" spans="22:26" x14ac:dyDescent="0.2">
      <c r="V128" s="123" t="str">
        <f t="shared" si="12"/>
        <v>1D</v>
      </c>
      <c r="W128" s="82">
        <f>_xll.qlCalendarAdvance(Calendar,W127,V128,"f",FALSE)</f>
        <v>42039</v>
      </c>
      <c r="X128" s="91">
        <f>_xll.qlCalendarAdvance(Calendar,W128,NDays&amp;"D")</f>
        <v>42039</v>
      </c>
      <c r="Y128" s="92">
        <v>2.2916215693541803E-3</v>
      </c>
      <c r="Z128" s="94">
        <v>2.1717848063906864E-3</v>
      </c>
    </row>
    <row r="129" spans="22:26" x14ac:dyDescent="0.2">
      <c r="V129" s="123" t="str">
        <f t="shared" si="12"/>
        <v>1D</v>
      </c>
      <c r="W129" s="82">
        <f>_xll.qlCalendarAdvance(Calendar,W128,V129,"f",FALSE)</f>
        <v>42040</v>
      </c>
      <c r="X129" s="91">
        <f>_xll.qlCalendarAdvance(Calendar,W129,NDays&amp;"D")</f>
        <v>42040</v>
      </c>
      <c r="Y129" s="92">
        <v>2.3012247684118087E-3</v>
      </c>
      <c r="Z129" s="94">
        <v>2.1792721366387102E-3</v>
      </c>
    </row>
    <row r="130" spans="22:26" x14ac:dyDescent="0.2">
      <c r="V130" s="123" t="str">
        <f t="shared" si="12"/>
        <v>1D</v>
      </c>
      <c r="W130" s="82">
        <f>_xll.qlCalendarAdvance(Calendar,W129,V130,"f",FALSE)</f>
        <v>42041</v>
      </c>
      <c r="X130" s="91">
        <f>_xll.qlCalendarAdvance(Calendar,W130,NDays&amp;"D")</f>
        <v>42041</v>
      </c>
      <c r="Y130" s="92">
        <v>2.3109740194379724E-3</v>
      </c>
      <c r="Z130" s="94">
        <v>2.1947901608210252E-3</v>
      </c>
    </row>
    <row r="131" spans="22:26" x14ac:dyDescent="0.2">
      <c r="V131" s="123" t="str">
        <f t="shared" si="12"/>
        <v>1D</v>
      </c>
      <c r="W131" s="82">
        <f>_xll.qlCalendarAdvance(Calendar,W130,V131,"f",FALSE)</f>
        <v>42044</v>
      </c>
      <c r="X131" s="91">
        <f>_xll.qlCalendarAdvance(Calendar,W131,NDays&amp;"D")</f>
        <v>42044</v>
      </c>
      <c r="Y131" s="92">
        <v>2.3410763674673002E-3</v>
      </c>
      <c r="Z131" s="94">
        <v>2.2108119565278361E-3</v>
      </c>
    </row>
    <row r="132" spans="22:26" x14ac:dyDescent="0.2">
      <c r="V132" s="123" t="str">
        <f t="shared" si="12"/>
        <v>1D</v>
      </c>
      <c r="W132" s="82">
        <f>_xll.qlCalendarAdvance(Calendar,W131,V132,"f",FALSE)</f>
        <v>42045</v>
      </c>
      <c r="X132" s="91">
        <f>_xll.qlCalendarAdvance(Calendar,W132,NDays&amp;"D")</f>
        <v>42045</v>
      </c>
      <c r="Y132" s="92">
        <v>2.3513881095014416E-3</v>
      </c>
      <c r="Z132" s="94">
        <v>2.2190945362243752E-3</v>
      </c>
    </row>
    <row r="133" spans="22:26" x14ac:dyDescent="0.2">
      <c r="V133" s="123" t="str">
        <f t="shared" si="12"/>
        <v>1D</v>
      </c>
      <c r="W133" s="82">
        <f>_xll.qlCalendarAdvance(Calendar,W132,V133,"f",FALSE)</f>
        <v>42046</v>
      </c>
      <c r="X133" s="91">
        <f>_xll.qlCalendarAdvance(Calendar,W133,NDays&amp;"D")</f>
        <v>42046</v>
      </c>
      <c r="Y133" s="92">
        <v>2.3618350450623532E-3</v>
      </c>
      <c r="Z133" s="94">
        <v>2.2275361658430359E-3</v>
      </c>
    </row>
    <row r="134" spans="22:26" x14ac:dyDescent="0.2">
      <c r="V134" s="123" t="str">
        <f t="shared" si="12"/>
        <v>1D</v>
      </c>
      <c r="W134" s="82">
        <f>_xll.qlCalendarAdvance(Calendar,W133,V134,"f",FALSE)</f>
        <v>42047</v>
      </c>
      <c r="X134" s="91">
        <f>_xll.qlCalendarAdvance(Calendar,W134,NDays&amp;"D")</f>
        <v>42047</v>
      </c>
      <c r="Y134" s="92">
        <v>2.372415002451262E-3</v>
      </c>
      <c r="Z134" s="94">
        <v>2.2361368454648645E-3</v>
      </c>
    </row>
    <row r="135" spans="22:26" x14ac:dyDescent="0.2">
      <c r="V135" s="123" t="str">
        <f t="shared" si="12"/>
        <v>1D</v>
      </c>
      <c r="W135" s="82">
        <f>_xll.qlCalendarAdvance(Calendar,W134,V135,"f",FALSE)</f>
        <v>42048</v>
      </c>
      <c r="X135" s="91">
        <f>_xll.qlCalendarAdvance(Calendar,W135,NDays&amp;"D")</f>
        <v>42048</v>
      </c>
      <c r="Y135" s="92">
        <v>2.3831258099693948E-3</v>
      </c>
      <c r="Z135" s="94">
        <v>2.2538822885990557E-3</v>
      </c>
    </row>
    <row r="136" spans="22:26" x14ac:dyDescent="0.2">
      <c r="V136" s="123" t="str">
        <f t="shared" si="12"/>
        <v>1D</v>
      </c>
      <c r="W136" s="82">
        <f>_xll.qlCalendarAdvance(Calendar,W135,V136,"f",FALSE)</f>
        <v>42051</v>
      </c>
      <c r="X136" s="91">
        <f>_xll.qlCalendarAdvance(Calendar,W136,NDays&amp;"D")</f>
        <v>42051</v>
      </c>
      <c r="Y136" s="92">
        <v>2.4160216162766707E-3</v>
      </c>
      <c r="Z136" s="94">
        <v>2.2721300632544406E-3</v>
      </c>
    </row>
    <row r="137" spans="22:26" x14ac:dyDescent="0.2">
      <c r="V137" s="123" t="str">
        <f t="shared" si="12"/>
        <v>1D</v>
      </c>
      <c r="W137" s="82">
        <f>_xll.qlCalendarAdvance(Calendar,W136,V137,"f",FALSE)</f>
        <v>42052</v>
      </c>
      <c r="X137" s="91">
        <f>_xll.qlCalendarAdvance(Calendar,W137,NDays&amp;"D")</f>
        <v>42052</v>
      </c>
      <c r="Y137" s="92">
        <v>2.4272341072631826E-3</v>
      </c>
      <c r="Z137" s="94">
        <v>2.2815259926489695E-3</v>
      </c>
    </row>
    <row r="138" spans="22:26" x14ac:dyDescent="0.2">
      <c r="V138" s="123" t="str">
        <f t="shared" si="12"/>
        <v>1D</v>
      </c>
      <c r="W138" s="82">
        <f>_xll.qlCalendarAdvance(Calendar,W137,V138,"f",FALSE)</f>
        <v>42053</v>
      </c>
      <c r="X138" s="91">
        <f>_xll.qlCalendarAdvance(Calendar,W138,NDays&amp;"D")</f>
        <v>42053</v>
      </c>
      <c r="Y138" s="92">
        <v>2.438566589835846E-3</v>
      </c>
      <c r="Z138" s="94">
        <v>2.2910809720466663E-3</v>
      </c>
    </row>
    <row r="139" spans="22:26" x14ac:dyDescent="0.2">
      <c r="V139" s="123" t="str">
        <f t="shared" si="12"/>
        <v>1D</v>
      </c>
      <c r="W139" s="82">
        <f>_xll.qlCalendarAdvance(Calendar,W138,V139,"f",FALSE)</f>
        <v>42054</v>
      </c>
      <c r="X139" s="91">
        <f>_xll.qlCalendarAdvance(Calendar,W139,NDays&amp;"D")</f>
        <v>42054</v>
      </c>
      <c r="Y139" s="92">
        <v>2.4500168922698367E-3</v>
      </c>
      <c r="Z139" s="94">
        <v>2.3007950015285772E-3</v>
      </c>
    </row>
    <row r="140" spans="22:26" x14ac:dyDescent="0.2">
      <c r="V140" s="123" t="str">
        <f t="shared" si="12"/>
        <v>1D</v>
      </c>
      <c r="W140" s="82">
        <f>_xll.qlCalendarAdvance(Calendar,W139,V140,"f",FALSE)</f>
        <v>42055</v>
      </c>
      <c r="X140" s="91">
        <f>_xll.qlCalendarAdvance(Calendar,W140,NDays&amp;"D")</f>
        <v>42055</v>
      </c>
      <c r="Y140" s="92">
        <v>2.4615828428461201E-3</v>
      </c>
      <c r="Z140" s="94">
        <v>2.3207679829147696E-3</v>
      </c>
    </row>
    <row r="141" spans="22:26" x14ac:dyDescent="0.2">
      <c r="V141" s="123" t="str">
        <f t="shared" si="12"/>
        <v>1D</v>
      </c>
      <c r="W141" s="82">
        <f>_xll.qlCalendarAdvance(Calendar,W140,V141,"f",FALSE)</f>
        <v>42058</v>
      </c>
      <c r="X141" s="91">
        <f>_xll.qlCalendarAdvance(Calendar,W141,NDays&amp;"D")</f>
        <v>42058</v>
      </c>
      <c r="Y141" s="92">
        <v>2.4969528660791812E-3</v>
      </c>
      <c r="Z141" s="94">
        <v>2.3412416196499919E-3</v>
      </c>
    </row>
    <row r="142" spans="22:26" x14ac:dyDescent="0.2">
      <c r="V142" s="123" t="str">
        <f t="shared" si="12"/>
        <v>1D</v>
      </c>
      <c r="W142" s="82">
        <f>_xll.qlCalendarAdvance(Calendar,W141,V142,"f",FALSE)</f>
        <v>42059</v>
      </c>
      <c r="X142" s="91">
        <f>_xll.qlCalendarAdvance(Calendar,W142,NDays&amp;"D")</f>
        <v>42059</v>
      </c>
      <c r="Y142" s="92">
        <v>2.5089596918606172E-3</v>
      </c>
      <c r="Z142" s="94">
        <v>2.3517508992287883E-3</v>
      </c>
    </row>
    <row r="143" spans="22:26" x14ac:dyDescent="0.2">
      <c r="V143" s="123" t="str">
        <f t="shared" si="12"/>
        <v>1D</v>
      </c>
      <c r="W143" s="82">
        <f>_xll.qlCalendarAdvance(Calendar,W142,V143,"f",FALSE)</f>
        <v>42060</v>
      </c>
      <c r="X143" s="91">
        <f>_xll.qlCalendarAdvance(Calendar,W143,NDays&amp;"D")</f>
        <v>42060</v>
      </c>
      <c r="Y143" s="92">
        <v>2.5210713070820756E-3</v>
      </c>
      <c r="Z143" s="94">
        <v>2.3624192291349377E-3</v>
      </c>
    </row>
    <row r="144" spans="22:26" x14ac:dyDescent="0.2">
      <c r="V144" s="123" t="str">
        <f t="shared" si="12"/>
        <v>1D</v>
      </c>
      <c r="W144" s="82">
        <f>_xll.qlCalendarAdvance(Calendar,W143,V144,"f",FALSE)</f>
        <v>42061</v>
      </c>
      <c r="X144" s="91">
        <f>_xll.qlCalendarAdvance(Calendar,W144,NDays&amp;"D")</f>
        <v>42061</v>
      </c>
      <c r="Y144" s="92">
        <v>2.5332855399868926E-3</v>
      </c>
      <c r="Z144" s="94">
        <v>2.3732466089632087E-3</v>
      </c>
    </row>
    <row r="145" spans="22:26" x14ac:dyDescent="0.2">
      <c r="V145" s="123" t="str">
        <f t="shared" si="12"/>
        <v>1D</v>
      </c>
      <c r="W145" s="82">
        <f>_xll.qlCalendarAdvance(Calendar,W144,V145,"f",FALSE)</f>
        <v>42062</v>
      </c>
      <c r="X145" s="91">
        <f>_xll.qlCalendarAdvance(Calendar,W145,NDays&amp;"D")</f>
        <v>42062</v>
      </c>
      <c r="Y145" s="92">
        <v>2.5715439811286808E-3</v>
      </c>
      <c r="Z145" s="94">
        <v>2.3953560465487618E-3</v>
      </c>
    </row>
    <row r="146" spans="22:26" x14ac:dyDescent="0.2">
      <c r="V146" s="123" t="str">
        <f t="shared" si="12"/>
        <v>1D</v>
      </c>
      <c r="W146" s="82">
        <f>_xll.qlCalendarAdvance(Calendar,W145,V146,"f",FALSE)</f>
        <v>42065</v>
      </c>
      <c r="X146" s="91">
        <f>_xll.qlCalendarAdvance(Calendar,W146,NDays&amp;"D")</f>
        <v>42065</v>
      </c>
      <c r="Y146" s="92">
        <v>2.6029865803564858E-3</v>
      </c>
      <c r="Z146" s="94">
        <v>2.4177716601525567E-3</v>
      </c>
    </row>
    <row r="147" spans="22:26" x14ac:dyDescent="0.2">
      <c r="V147" s="123" t="str">
        <f t="shared" si="12"/>
        <v>1D</v>
      </c>
      <c r="W147" s="82">
        <f>_xll.qlCalendarAdvance(Calendar,W146,V147,"f",FALSE)</f>
        <v>42066</v>
      </c>
      <c r="X147" s="91">
        <f>_xll.qlCalendarAdvance(Calendar,W147,NDays&amp;"D")</f>
        <v>42066</v>
      </c>
      <c r="Y147" s="92">
        <v>2.6429680942691002E-3</v>
      </c>
      <c r="Z147" s="94">
        <v>2.4291510671092809E-3</v>
      </c>
    </row>
    <row r="148" spans="22:26" x14ac:dyDescent="0.2">
      <c r="V148" s="123" t="str">
        <f t="shared" si="12"/>
        <v>1D</v>
      </c>
      <c r="W148" s="82">
        <f>_xll.qlCalendarAdvance(Calendar,W147,V148,"f",FALSE)</f>
        <v>42067</v>
      </c>
      <c r="X148" s="91">
        <f>_xll.qlCalendarAdvance(Calendar,W148,NDays&amp;"D")</f>
        <v>42067</v>
      </c>
      <c r="Y148" s="92">
        <v>2.6492391991226587E-3</v>
      </c>
      <c r="Z148" s="94">
        <v>2.4406287183675879E-3</v>
      </c>
    </row>
    <row r="149" spans="22:26" x14ac:dyDescent="0.2">
      <c r="V149" s="123" t="str">
        <f t="shared" ref="V149:V212" si="13">V148</f>
        <v>1D</v>
      </c>
      <c r="W149" s="82">
        <f>_xll.qlCalendarAdvance(Calendar,W148,V149,"f",FALSE)</f>
        <v>42068</v>
      </c>
      <c r="X149" s="91">
        <f>_xll.qlCalendarAdvance(Calendar,W149,NDays&amp;"D")</f>
        <v>42068</v>
      </c>
      <c r="Y149" s="92">
        <v>2.6555429721451512E-3</v>
      </c>
      <c r="Z149" s="94">
        <v>2.4522046138464315E-3</v>
      </c>
    </row>
    <row r="150" spans="22:26" x14ac:dyDescent="0.2">
      <c r="V150" s="123" t="str">
        <f t="shared" si="13"/>
        <v>1D</v>
      </c>
      <c r="W150" s="82">
        <f>_xll.qlCalendarAdvance(Calendar,W149,V150,"f",FALSE)</f>
        <v>42069</v>
      </c>
      <c r="X150" s="91">
        <f>_xll.qlCalendarAdvance(Calendar,W150,NDays&amp;"D")</f>
        <v>42069</v>
      </c>
      <c r="Y150" s="92">
        <v>2.6618794123545522E-3</v>
      </c>
      <c r="Z150" s="94">
        <v>2.4757006774641286E-3</v>
      </c>
    </row>
    <row r="151" spans="22:26" x14ac:dyDescent="0.2">
      <c r="V151" s="123" t="str">
        <f t="shared" si="13"/>
        <v>1D</v>
      </c>
      <c r="W151" s="82">
        <f>_xll.qlCalendarAdvance(Calendar,W150,V151,"f",FALSE)</f>
        <v>42072</v>
      </c>
      <c r="X151" s="91">
        <f>_xll.qlCalendarAdvance(Calendar,W151,NDays&amp;"D")</f>
        <v>42072</v>
      </c>
      <c r="Y151" s="92">
        <v>2.6950412555002126E-3</v>
      </c>
      <c r="Z151" s="94">
        <v>2.4994906386965887E-3</v>
      </c>
    </row>
    <row r="152" spans="22:26" x14ac:dyDescent="0.2">
      <c r="V152" s="123" t="str">
        <f t="shared" si="13"/>
        <v>1D</v>
      </c>
      <c r="W152" s="82">
        <f>_xll.qlCalendarAdvance(Calendar,W151,V152,"f",FALSE)</f>
        <v>42073</v>
      </c>
      <c r="X152" s="91">
        <f>_xll.qlCalendarAdvance(Calendar,W152,NDays&amp;"D")</f>
        <v>42073</v>
      </c>
      <c r="Y152" s="92">
        <v>2.7085850454957165E-3</v>
      </c>
      <c r="Z152" s="94">
        <v>2.5115577556833468E-3</v>
      </c>
    </row>
    <row r="153" spans="22:26" x14ac:dyDescent="0.2">
      <c r="V153" s="123" t="str">
        <f t="shared" si="13"/>
        <v>1D</v>
      </c>
      <c r="W153" s="82">
        <f>_xll.qlCalendarAdvance(Calendar,W152,V153,"f",FALSE)</f>
        <v>42074</v>
      </c>
      <c r="X153" s="91">
        <f>_xll.qlCalendarAdvance(Calendar,W153,NDays&amp;"D")</f>
        <v>42074</v>
      </c>
      <c r="Y153" s="92">
        <v>2.736512070818493E-3</v>
      </c>
      <c r="Z153" s="94">
        <v>2.5237231168906415E-3</v>
      </c>
    </row>
    <row r="154" spans="22:26" x14ac:dyDescent="0.2">
      <c r="V154" s="123" t="str">
        <f t="shared" si="13"/>
        <v>1D</v>
      </c>
      <c r="W154" s="82">
        <f>_xll.qlCalendarAdvance(Calendar,W153,V154,"f",FALSE)</f>
        <v>42075</v>
      </c>
      <c r="X154" s="91">
        <f>_xll.qlCalendarAdvance(Calendar,W154,NDays&amp;"D")</f>
        <v>42075</v>
      </c>
      <c r="Y154" s="92">
        <v>2.7431427586867632E-3</v>
      </c>
      <c r="Z154" s="94">
        <v>2.5359867225616117E-3</v>
      </c>
    </row>
    <row r="155" spans="22:26" x14ac:dyDescent="0.2">
      <c r="V155" s="123" t="str">
        <f t="shared" si="13"/>
        <v>1D</v>
      </c>
      <c r="W155" s="82">
        <f>_xll.qlCalendarAdvance(Calendar,W154,V155,"f",FALSE)</f>
        <v>42076</v>
      </c>
      <c r="X155" s="91">
        <f>_xll.qlCalendarAdvance(Calendar,W155,NDays&amp;"D")</f>
        <v>42076</v>
      </c>
      <c r="Y155" s="92">
        <v>2.7498061060644351E-3</v>
      </c>
      <c r="Z155" s="94">
        <v>2.5608593817616492E-3</v>
      </c>
    </row>
    <row r="156" spans="22:26" x14ac:dyDescent="0.2">
      <c r="V156" s="123" t="str">
        <f t="shared" si="13"/>
        <v>1D</v>
      </c>
      <c r="W156" s="82">
        <f>_xll.qlCalendarAdvance(Calendar,W155,V156,"f",FALSE)</f>
        <v>42079</v>
      </c>
      <c r="X156" s="91">
        <f>_xll.qlCalendarAdvance(Calendar,W156,NDays&amp;"D")</f>
        <v>42079</v>
      </c>
      <c r="Y156" s="92">
        <v>2.7919117097548766E-3</v>
      </c>
      <c r="Z156" s="94">
        <v>2.5860235885855065E-3</v>
      </c>
    </row>
    <row r="157" spans="22:26" x14ac:dyDescent="0.2">
      <c r="V157" s="123" t="str">
        <f t="shared" si="13"/>
        <v>1D</v>
      </c>
      <c r="W157" s="82">
        <f>_xll.qlCalendarAdvance(Calendar,W156,V157,"f",FALSE)</f>
        <v>42080</v>
      </c>
      <c r="X157" s="91">
        <f>_xll.qlCalendarAdvance(Calendar,W157,NDays&amp;"D")</f>
        <v>42080</v>
      </c>
      <c r="Y157" s="92">
        <v>2.8061434777586348E-3</v>
      </c>
      <c r="Z157" s="94">
        <v>2.5987784160885763E-3</v>
      </c>
    </row>
    <row r="158" spans="22:26" x14ac:dyDescent="0.2">
      <c r="V158" s="123" t="str">
        <f t="shared" si="13"/>
        <v>1D</v>
      </c>
      <c r="W158" s="82">
        <f>_xll.qlCalendarAdvance(Calendar,W157,V158,"f",FALSE)</f>
        <v>42081</v>
      </c>
      <c r="X158" s="91">
        <f>_xll.qlCalendarAdvance(Calendar,W158,NDays&amp;"D")</f>
        <v>42081</v>
      </c>
      <c r="Y158" s="92">
        <v>2.8354479809589161E-3</v>
      </c>
      <c r="Z158" s="94">
        <v>2.611631487893229E-3</v>
      </c>
    </row>
    <row r="159" spans="22:26" x14ac:dyDescent="0.2">
      <c r="V159" s="123" t="str">
        <f t="shared" si="13"/>
        <v>1D</v>
      </c>
      <c r="W159" s="82">
        <f>_xll.qlCalendarAdvance(Calendar,W158,V159,"f",FALSE)</f>
        <v>42082</v>
      </c>
      <c r="X159" s="91">
        <f>_xll.qlCalendarAdvance(Calendar,W159,NDays&amp;"D")</f>
        <v>42082</v>
      </c>
      <c r="Y159" s="92">
        <v>2.8424219083982363E-3</v>
      </c>
      <c r="Z159" s="94">
        <v>2.6245828041615571E-3</v>
      </c>
    </row>
    <row r="160" spans="22:26" x14ac:dyDescent="0.2">
      <c r="V160" s="123" t="str">
        <f t="shared" si="13"/>
        <v>1D</v>
      </c>
      <c r="W160" s="82">
        <f>_xll.qlCalendarAdvance(Calendar,W159,V160,"f",FALSE)</f>
        <v>42083</v>
      </c>
      <c r="X160" s="91">
        <f>_xll.qlCalendarAdvance(Calendar,W160,NDays&amp;"D")</f>
        <v>42083</v>
      </c>
      <c r="Y160" s="92">
        <v>2.8494284870685519E-3</v>
      </c>
      <c r="Z160" s="94">
        <v>2.6508321694910615E-3</v>
      </c>
    </row>
    <row r="161" spans="22:26" x14ac:dyDescent="0.2">
      <c r="V161" s="123" t="str">
        <f t="shared" si="13"/>
        <v>1D</v>
      </c>
      <c r="W161" s="82">
        <f>_xll.qlCalendarAdvance(Calendar,W160,V161,"f",FALSE)</f>
        <v>42086</v>
      </c>
      <c r="X161" s="91">
        <f>_xll.qlCalendarAdvance(Calendar,W161,NDays&amp;"D")</f>
        <v>42086</v>
      </c>
      <c r="Y161" s="92">
        <v>2.893598061947398E-3</v>
      </c>
      <c r="Z161" s="94">
        <v>2.6773705134663928E-3</v>
      </c>
    </row>
    <row r="162" spans="22:26" x14ac:dyDescent="0.2">
      <c r="V162" s="123" t="str">
        <f t="shared" si="13"/>
        <v>1D</v>
      </c>
      <c r="W162" s="82">
        <f>_xll.qlCalendarAdvance(Calendar,W161,V162,"f",FALSE)</f>
        <v>42087</v>
      </c>
      <c r="X162" s="91">
        <f>_xll.qlCalendarAdvance(Calendar,W162,NDays&amp;"D")</f>
        <v>42087</v>
      </c>
      <c r="Y162" s="92">
        <v>2.9085178254131192E-3</v>
      </c>
      <c r="Z162" s="94">
        <v>2.6908130518910056E-3</v>
      </c>
    </row>
    <row r="163" spans="22:26" x14ac:dyDescent="0.2">
      <c r="V163" s="123" t="str">
        <f t="shared" si="13"/>
        <v>1D</v>
      </c>
      <c r="W163" s="82">
        <f>_xll.qlCalendarAdvance(Calendar,W162,V163,"f",FALSE)</f>
        <v>42088</v>
      </c>
      <c r="X163" s="91">
        <f>_xll.qlCalendarAdvance(Calendar,W163,NDays&amp;"D")</f>
        <v>42088</v>
      </c>
      <c r="Y163" s="92">
        <v>2.9391999730932206E-3</v>
      </c>
      <c r="Z163" s="94">
        <v>2.7043538347792939E-3</v>
      </c>
    </row>
    <row r="164" spans="22:26" x14ac:dyDescent="0.2">
      <c r="V164" s="123" t="str">
        <f t="shared" si="13"/>
        <v>1D</v>
      </c>
      <c r="W164" s="82">
        <f>_xll.qlCalendarAdvance(Calendar,W163,V164,"f",FALSE)</f>
        <v>42089</v>
      </c>
      <c r="X164" s="91">
        <f>_xll.qlCalendarAdvance(Calendar,W164,NDays&amp;"D")</f>
        <v>42089</v>
      </c>
      <c r="Y164" s="92">
        <v>2.9465170836156379E-3</v>
      </c>
      <c r="Z164" s="94">
        <v>2.7179928621312577E-3</v>
      </c>
    </row>
    <row r="165" spans="22:26" x14ac:dyDescent="0.2">
      <c r="V165" s="123" t="str">
        <f t="shared" si="13"/>
        <v>1D</v>
      </c>
      <c r="W165" s="82">
        <f>_xll.qlCalendarAdvance(Calendar,W164,V165,"f",FALSE)</f>
        <v>42090</v>
      </c>
      <c r="X165" s="91">
        <f>_xll.qlCalendarAdvance(Calendar,W165,NDays&amp;"D")</f>
        <v>42090</v>
      </c>
      <c r="Y165" s="92">
        <v>2.9538668365626207E-3</v>
      </c>
      <c r="Z165" s="94">
        <v>2.745619051350475E-3</v>
      </c>
    </row>
    <row r="166" spans="22:26" x14ac:dyDescent="0.2">
      <c r="V166" s="123" t="str">
        <f t="shared" si="13"/>
        <v>1D</v>
      </c>
      <c r="W166" s="82">
        <f>_xll.qlCalendarAdvance(Calendar,W165,V166,"f",FALSE)</f>
        <v>42093</v>
      </c>
      <c r="X166" s="91">
        <f>_xll.qlCalendarAdvance(Calendar,W166,NDays&amp;"D")</f>
        <v>42093</v>
      </c>
      <c r="Y166" s="92">
        <v>3.000100436808002E-3</v>
      </c>
      <c r="Z166" s="94">
        <v>2.773531416662145E-3</v>
      </c>
    </row>
    <row r="167" spans="22:26" x14ac:dyDescent="0.2">
      <c r="V167" s="123" t="str">
        <f t="shared" si="13"/>
        <v>1D</v>
      </c>
      <c r="W167" s="82">
        <f>_xll.qlCalendarAdvance(Calendar,W166,V167,"f",FALSE)</f>
        <v>42094</v>
      </c>
      <c r="X167" s="91">
        <f>_xll.qlCalendarAdvance(Calendar,W167,NDays&amp;"D")</f>
        <v>42094</v>
      </c>
      <c r="Y167" s="92">
        <v>3.0076298833522737E-3</v>
      </c>
      <c r="Z167" s="94">
        <v>2.7876616666566711E-3</v>
      </c>
    </row>
    <row r="168" spans="22:26" x14ac:dyDescent="0.2">
      <c r="V168" s="123" t="str">
        <f t="shared" si="13"/>
        <v>1D</v>
      </c>
      <c r="W168" s="82">
        <f>_xll.qlCalendarAdvance(Calendar,W167,V168,"f",FALSE)</f>
        <v>42095</v>
      </c>
      <c r="X168" s="91">
        <f>_xll.qlCalendarAdvance(Calendar,W168,NDays&amp;"D")</f>
        <v>42095</v>
      </c>
      <c r="Y168" s="92">
        <v>3.0477681827013165E-3</v>
      </c>
      <c r="Z168" s="94">
        <v>2.8018901611148728E-3</v>
      </c>
    </row>
    <row r="169" spans="22:26" x14ac:dyDescent="0.2">
      <c r="V169" s="123" t="str">
        <f t="shared" si="13"/>
        <v>1D</v>
      </c>
      <c r="W169" s="82">
        <f>_xll.qlCalendarAdvance(Calendar,W168,V169,"f",FALSE)</f>
        <v>42096</v>
      </c>
      <c r="X169" s="91">
        <f>_xll.qlCalendarAdvance(Calendar,W169,NDays&amp;"D")</f>
        <v>42096</v>
      </c>
      <c r="Y169" s="92">
        <v>3.0554284161480802E-3</v>
      </c>
      <c r="Z169" s="94">
        <v>2.8453077154120265E-3</v>
      </c>
    </row>
    <row r="170" spans="22:26" x14ac:dyDescent="0.2">
      <c r="V170" s="123" t="str">
        <f t="shared" si="13"/>
        <v>1D</v>
      </c>
      <c r="W170" s="82">
        <f>_xll.qlCalendarAdvance(Calendar,W169,V170,"f",FALSE)</f>
        <v>42101</v>
      </c>
      <c r="X170" s="91">
        <f>_xll.qlCalendarAdvance(Calendar,W170,NDays&amp;"D")</f>
        <v>42101</v>
      </c>
      <c r="Y170" s="92">
        <v>3.1192914881927511E-3</v>
      </c>
      <c r="Z170" s="94">
        <v>2.8893242641947481E-3</v>
      </c>
    </row>
    <row r="171" spans="22:26" x14ac:dyDescent="0.2">
      <c r="V171" s="123" t="str">
        <f t="shared" si="13"/>
        <v>1D</v>
      </c>
      <c r="W171" s="82">
        <f>_xll.qlCalendarAdvance(Calendar,W170,V171,"f",FALSE)</f>
        <v>42102</v>
      </c>
      <c r="X171" s="91">
        <f>_xll.qlCalendarAdvance(Calendar,W171,NDays&amp;"D")</f>
        <v>42102</v>
      </c>
      <c r="Y171" s="92">
        <v>3.1356363039203305E-3</v>
      </c>
      <c r="Z171" s="94">
        <v>2.9042404708712333E-3</v>
      </c>
    </row>
    <row r="172" spans="22:26" x14ac:dyDescent="0.2">
      <c r="V172" s="123" t="str">
        <f t="shared" si="13"/>
        <v>1D</v>
      </c>
      <c r="W172" s="82">
        <f>_xll.qlCalendarAdvance(Calendar,W171,V172,"f",FALSE)</f>
        <v>42103</v>
      </c>
      <c r="X172" s="91">
        <f>_xll.qlCalendarAdvance(Calendar,W172,NDays&amp;"D")</f>
        <v>42103</v>
      </c>
      <c r="Y172" s="92">
        <v>3.1691560438983427E-3</v>
      </c>
      <c r="Z172" s="94">
        <v>2.9192549221734865E-3</v>
      </c>
    </row>
    <row r="173" spans="22:26" x14ac:dyDescent="0.2">
      <c r="V173" s="123" t="str">
        <f t="shared" si="13"/>
        <v>1D</v>
      </c>
      <c r="W173" s="82">
        <f>_xll.qlCalendarAdvance(Calendar,W172,V173,"f",FALSE)</f>
        <v>42104</v>
      </c>
      <c r="X173" s="91">
        <f>_xll.qlCalendarAdvance(Calendar,W173,NDays&amp;"D")</f>
        <v>42104</v>
      </c>
      <c r="Y173" s="92">
        <v>3.1771919593560232E-3</v>
      </c>
      <c r="Z173" s="94">
        <v>2.949635143007316E-3</v>
      </c>
    </row>
    <row r="174" spans="22:26" x14ac:dyDescent="0.2">
      <c r="V174" s="123" t="str">
        <f t="shared" si="13"/>
        <v>1D</v>
      </c>
      <c r="W174" s="82">
        <f>_xll.qlCalendarAdvance(Calendar,W173,V174,"f",FALSE)</f>
        <v>42107</v>
      </c>
      <c r="X174" s="91">
        <f>_xll.qlCalendarAdvance(Calendar,W174,NDays&amp;"D")</f>
        <v>42107</v>
      </c>
      <c r="Y174" s="92">
        <v>3.2188347503097443E-3</v>
      </c>
      <c r="Z174" s="94">
        <v>2.9802951740454109E-3</v>
      </c>
    </row>
    <row r="175" spans="22:26" x14ac:dyDescent="0.2">
      <c r="V175" s="123" t="str">
        <f t="shared" si="13"/>
        <v>1D</v>
      </c>
      <c r="W175" s="82">
        <f>_xll.qlCalendarAdvance(Calendar,W174,V175,"f",FALSE)</f>
        <v>42108</v>
      </c>
      <c r="X175" s="91">
        <f>_xll.qlCalendarAdvance(Calendar,W175,NDays&amp;"D")</f>
        <v>42108</v>
      </c>
      <c r="Y175" s="92">
        <v>3.2357693159572598E-3</v>
      </c>
      <c r="Z175" s="94">
        <v>2.995800848719643E-3</v>
      </c>
    </row>
    <row r="176" spans="22:26" x14ac:dyDescent="0.2">
      <c r="V176" s="123" t="str">
        <f t="shared" si="13"/>
        <v>1D</v>
      </c>
      <c r="W176" s="82">
        <f>_xll.qlCalendarAdvance(Calendar,W175,V176,"f",FALSE)</f>
        <v>42109</v>
      </c>
      <c r="X176" s="91">
        <f>_xll.qlCalendarAdvance(Calendar,W176,NDays&amp;"D")</f>
        <v>42109</v>
      </c>
      <c r="Y176" s="92">
        <v>3.2528021746854137E-3</v>
      </c>
      <c r="Z176" s="94">
        <v>3.0114047681006895E-3</v>
      </c>
    </row>
    <row r="177" spans="22:26" x14ac:dyDescent="0.2">
      <c r="V177" s="123" t="str">
        <f t="shared" si="13"/>
        <v>1D</v>
      </c>
      <c r="W177" s="82">
        <f>_xll.qlCalendarAdvance(Calendar,W176,V177,"f",FALSE)</f>
        <v>42110</v>
      </c>
      <c r="X177" s="91">
        <f>_xll.qlCalendarAdvance(Calendar,W177,NDays&amp;"D")</f>
        <v>42110</v>
      </c>
      <c r="Y177" s="92">
        <v>3.2877001108730028E-3</v>
      </c>
      <c r="Z177" s="94">
        <v>3.0271069322695965E-3</v>
      </c>
    </row>
    <row r="178" spans="22:26" x14ac:dyDescent="0.2">
      <c r="V178" s="123" t="str">
        <f t="shared" si="13"/>
        <v>1D</v>
      </c>
      <c r="W178" s="82">
        <f>_xll.qlCalendarAdvance(Calendar,W177,V178,"f",FALSE)</f>
        <v>42111</v>
      </c>
      <c r="X178" s="91">
        <f>_xll.qlCalendarAdvance(Calendar,W178,NDays&amp;"D")</f>
        <v>42111</v>
      </c>
      <c r="Y178" s="92">
        <v>3.2960790065970154E-3</v>
      </c>
      <c r="Z178" s="94">
        <v>3.0588643770645967E-3</v>
      </c>
    </row>
    <row r="179" spans="22:26" x14ac:dyDescent="0.2">
      <c r="V179" s="123" t="str">
        <f t="shared" si="13"/>
        <v>1D</v>
      </c>
      <c r="W179" s="82">
        <f>_xll.qlCalendarAdvance(Calendar,W178,V179,"f",FALSE)</f>
        <v>42114</v>
      </c>
      <c r="X179" s="91">
        <f>_xll.qlCalendarAdvance(Calendar,W179,NDays&amp;"D")</f>
        <v>42114</v>
      </c>
      <c r="Y179" s="92">
        <v>3.3394408789835981E-3</v>
      </c>
      <c r="Z179" s="94">
        <v>3.0908980363375527E-3</v>
      </c>
    </row>
    <row r="180" spans="22:26" x14ac:dyDescent="0.2">
      <c r="V180" s="123" t="str">
        <f t="shared" si="13"/>
        <v>1D</v>
      </c>
      <c r="W180" s="82">
        <f>_xll.qlCalendarAdvance(Calendar,W179,V180,"f",FALSE)</f>
        <v>42115</v>
      </c>
      <c r="X180" s="91">
        <f>_xll.qlCalendarAdvance(Calendar,W180,NDays&amp;"D")</f>
        <v>42115</v>
      </c>
      <c r="Y180" s="92">
        <v>3.3570635049161579E-3</v>
      </c>
      <c r="Z180" s="94">
        <v>3.1070914242026237E-3</v>
      </c>
    </row>
    <row r="181" spans="22:26" x14ac:dyDescent="0.2">
      <c r="V181" s="123" t="str">
        <f t="shared" si="13"/>
        <v>1D</v>
      </c>
      <c r="W181" s="82">
        <f>_xll.qlCalendarAdvance(Calendar,W180,V181,"f",FALSE)</f>
        <v>42116</v>
      </c>
      <c r="X181" s="91">
        <f>_xll.qlCalendarAdvance(Calendar,W181,NDays&amp;"D")</f>
        <v>42116</v>
      </c>
      <c r="Y181" s="92">
        <v>3.374784426863231E-3</v>
      </c>
      <c r="Z181" s="94">
        <v>3.123383057017648E-3</v>
      </c>
    </row>
    <row r="182" spans="22:26" x14ac:dyDescent="0.2">
      <c r="V182" s="123" t="str">
        <f t="shared" si="13"/>
        <v>1D</v>
      </c>
      <c r="W182" s="82">
        <f>_xll.qlCalendarAdvance(Calendar,W181,V182,"f",FALSE)</f>
        <v>42117</v>
      </c>
      <c r="X182" s="91">
        <f>_xll.qlCalendarAdvance(Calendar,W182,NDays&amp;"D")</f>
        <v>42117</v>
      </c>
      <c r="Y182" s="92">
        <v>3.4110607671773707E-3</v>
      </c>
      <c r="Z182" s="94">
        <v>3.1397729346205328E-3</v>
      </c>
    </row>
    <row r="183" spans="22:26" x14ac:dyDescent="0.2">
      <c r="V183" s="123" t="str">
        <f t="shared" si="13"/>
        <v>1D</v>
      </c>
      <c r="W183" s="82">
        <f>_xll.qlCalendarAdvance(Calendar,W182,V183,"f",FALSE)</f>
        <v>42118</v>
      </c>
      <c r="X183" s="91">
        <f>_xll.qlCalendarAdvance(Calendar,W183,NDays&amp;"D")</f>
        <v>42118</v>
      </c>
      <c r="Y183" s="92">
        <v>3.4197825702086604E-3</v>
      </c>
      <c r="Z183" s="94">
        <v>3.1729077536635235E-3</v>
      </c>
    </row>
    <row r="184" spans="22:26" x14ac:dyDescent="0.2">
      <c r="V184" s="123" t="str">
        <f t="shared" si="13"/>
        <v>1D</v>
      </c>
      <c r="W184" s="82">
        <f>_xll.qlCalendarAdvance(Calendar,W183,V184,"f",FALSE)</f>
        <v>42121</v>
      </c>
      <c r="X184" s="91">
        <f>_xll.qlCalendarAdvance(Calendar,W184,NDays&amp;"D")</f>
        <v>42121</v>
      </c>
      <c r="Y184" s="92">
        <v>3.4648634919233201E-3</v>
      </c>
      <c r="Z184" s="94">
        <v>3.2063148933969554E-3</v>
      </c>
    </row>
    <row r="185" spans="22:26" x14ac:dyDescent="0.2">
      <c r="V185" s="123" t="str">
        <f t="shared" si="13"/>
        <v>1D</v>
      </c>
      <c r="W185" s="82">
        <f>_xll.qlCalendarAdvance(Calendar,W184,V185,"f",FALSE)</f>
        <v>42122</v>
      </c>
      <c r="X185" s="91">
        <f>_xll.qlCalendarAdvance(Calendar,W185,NDays&amp;"D")</f>
        <v>42122</v>
      </c>
      <c r="Y185" s="92">
        <v>3.4831741990562679E-3</v>
      </c>
      <c r="Z185" s="94">
        <v>3.2231959952633282E-3</v>
      </c>
    </row>
    <row r="186" spans="22:26" x14ac:dyDescent="0.2">
      <c r="V186" s="123" t="str">
        <f t="shared" si="13"/>
        <v>1D</v>
      </c>
      <c r="W186" s="82">
        <f>_xll.qlCalendarAdvance(Calendar,W185,V186,"f",FALSE)</f>
        <v>42123</v>
      </c>
      <c r="X186" s="91">
        <f>_xll.qlCalendarAdvance(Calendar,W186,NDays&amp;"D")</f>
        <v>42123</v>
      </c>
      <c r="Y186" s="92">
        <v>3.5015814615997716E-3</v>
      </c>
      <c r="Z186" s="94">
        <v>3.2401753419986079E-3</v>
      </c>
    </row>
    <row r="187" spans="22:26" x14ac:dyDescent="0.2">
      <c r="V187" s="123" t="str">
        <f t="shared" si="13"/>
        <v>1D</v>
      </c>
      <c r="W187" s="82">
        <f>_xll.qlCalendarAdvance(Calendar,W186,V187,"f",FALSE)</f>
        <v>42124</v>
      </c>
      <c r="X187" s="91">
        <f>_xll.qlCalendarAdvance(Calendar,W187,NDays&amp;"D")</f>
        <v>42124</v>
      </c>
      <c r="Y187" s="92">
        <v>3.5105643017689309E-3</v>
      </c>
      <c r="Z187" s="94">
        <v>3.283159229937882E-3</v>
      </c>
    </row>
    <row r="188" spans="22:26" x14ac:dyDescent="0.2">
      <c r="V188" s="123" t="str">
        <f t="shared" si="13"/>
        <v>1D</v>
      </c>
      <c r="W188" s="82">
        <f>_xll.qlCalendarAdvance(Calendar,W187,V188,"f",FALSE)</f>
        <v>42128</v>
      </c>
      <c r="X188" s="91">
        <f>_xll.qlCalendarAdvance(Calendar,W188,NDays&amp;"D")</f>
        <v>42128</v>
      </c>
      <c r="Y188" s="92">
        <v>3.6042786385661538E-3</v>
      </c>
      <c r="Z188" s="94">
        <v>3.3265457498432571E-3</v>
      </c>
    </row>
    <row r="189" spans="22:26" x14ac:dyDescent="0.2">
      <c r="V189" s="123" t="str">
        <f t="shared" si="13"/>
        <v>1D</v>
      </c>
      <c r="W189" s="82">
        <f>_xll.qlCalendarAdvance(Calendar,W188,V189,"f",FALSE)</f>
        <v>42129</v>
      </c>
      <c r="X189" s="91">
        <f>_xll.qlCalendarAdvance(Calendar,W189,NDays&amp;"D")</f>
        <v>42129</v>
      </c>
      <c r="Y189" s="92">
        <v>3.6230416100058171E-3</v>
      </c>
      <c r="Z189" s="94">
        <v>3.3441145662782557E-3</v>
      </c>
    </row>
    <row r="190" spans="22:26" x14ac:dyDescent="0.2">
      <c r="V190" s="123" t="str">
        <f t="shared" si="13"/>
        <v>1D</v>
      </c>
      <c r="W190" s="82">
        <f>_xll.qlCalendarAdvance(Calendar,W189,V190,"f",FALSE)</f>
        <v>42130</v>
      </c>
      <c r="X190" s="91">
        <f>_xll.qlCalendarAdvance(Calendar,W190,NDays&amp;"D")</f>
        <v>42130</v>
      </c>
      <c r="Y190" s="92">
        <v>3.6607477602438017E-3</v>
      </c>
      <c r="Z190" s="94">
        <v>3.3617816278252999E-3</v>
      </c>
    </row>
    <row r="191" spans="22:26" x14ac:dyDescent="0.2">
      <c r="V191" s="123" t="str">
        <f t="shared" si="13"/>
        <v>1D</v>
      </c>
      <c r="W191" s="82">
        <f>_xll.qlCalendarAdvance(Calendar,W190,V191,"f",FALSE)</f>
        <v>42131</v>
      </c>
      <c r="X191" s="91">
        <f>_xll.qlCalendarAdvance(Calendar,W191,NDays&amp;"D")</f>
        <v>42131</v>
      </c>
      <c r="Y191" s="92">
        <v>3.6700566493371584E-3</v>
      </c>
      <c r="Z191" s="94">
        <v>3.379546934241251E-3</v>
      </c>
    </row>
    <row r="192" spans="22:26" x14ac:dyDescent="0.2">
      <c r="V192" s="123" t="str">
        <f t="shared" si="13"/>
        <v>1D</v>
      </c>
      <c r="W192" s="82">
        <f>_xll.qlCalendarAdvance(Calendar,W191,V192,"f",FALSE)</f>
        <v>42132</v>
      </c>
      <c r="X192" s="91">
        <f>_xll.qlCalendarAdvance(Calendar,W192,NDays&amp;"D")</f>
        <v>42132</v>
      </c>
      <c r="Y192" s="92">
        <v>3.6793938628429303E-3</v>
      </c>
      <c r="Z192" s="94">
        <v>3.4154369893006171E-3</v>
      </c>
    </row>
    <row r="193" spans="22:26" x14ac:dyDescent="0.2">
      <c r="V193" s="123" t="str">
        <f t="shared" si="13"/>
        <v>1D</v>
      </c>
      <c r="W193" s="82">
        <f>_xll.qlCalendarAdvance(Calendar,W192,V193,"f",FALSE)</f>
        <v>42135</v>
      </c>
      <c r="X193" s="91">
        <f>_xll.qlCalendarAdvance(Calendar,W193,NDays&amp;"D")</f>
        <v>42135</v>
      </c>
      <c r="Y193" s="92">
        <v>3.7356285047709667E-3</v>
      </c>
      <c r="Z193" s="94">
        <v>3.4515906105392347E-3</v>
      </c>
    </row>
    <row r="194" spans="22:26" x14ac:dyDescent="0.2">
      <c r="V194" s="123" t="str">
        <f t="shared" si="13"/>
        <v>1D</v>
      </c>
      <c r="W194" s="82">
        <f>_xll.qlCalendarAdvance(Calendar,W193,V194,"f",FALSE)</f>
        <v>42136</v>
      </c>
      <c r="X194" s="91">
        <f>_xll.qlCalendarAdvance(Calendar,W194,NDays&amp;"D")</f>
        <v>42136</v>
      </c>
      <c r="Y194" s="92">
        <v>3.7543000004525867E-3</v>
      </c>
      <c r="Z194" s="94">
        <v>3.4698471422722754E-3</v>
      </c>
    </row>
    <row r="195" spans="22:26" x14ac:dyDescent="0.2">
      <c r="V195" s="123" t="str">
        <f t="shared" si="13"/>
        <v>1D</v>
      </c>
      <c r="W195" s="82">
        <f>_xll.qlCalendarAdvance(Calendar,W194,V195,"f",FALSE)</f>
        <v>42137</v>
      </c>
      <c r="X195" s="91">
        <f>_xll.qlCalendarAdvance(Calendar,W195,NDays&amp;"D")</f>
        <v>42137</v>
      </c>
      <c r="Y195" s="92">
        <v>3.7910813296986581E-3</v>
      </c>
      <c r="Z195" s="94">
        <v>3.4882019190363156E-3</v>
      </c>
    </row>
    <row r="196" spans="22:26" x14ac:dyDescent="0.2">
      <c r="V196" s="123" t="str">
        <f t="shared" si="13"/>
        <v>1D</v>
      </c>
      <c r="W196" s="82">
        <f>_xll.qlCalendarAdvance(Calendar,W195,V196,"f",FALSE)</f>
        <v>42138</v>
      </c>
      <c r="X196" s="91">
        <f>_xll.qlCalendarAdvance(Calendar,W196,NDays&amp;"D")</f>
        <v>42138</v>
      </c>
      <c r="Y196" s="92">
        <v>3.8005099908799272E-3</v>
      </c>
      <c r="Z196" s="94">
        <v>3.5066549409934478E-3</v>
      </c>
    </row>
    <row r="197" spans="22:26" x14ac:dyDescent="0.2">
      <c r="V197" s="123" t="str">
        <f t="shared" si="13"/>
        <v>1D</v>
      </c>
      <c r="W197" s="82">
        <f>_xll.qlCalendarAdvance(Calendar,W196,V197,"f",FALSE)</f>
        <v>42139</v>
      </c>
      <c r="X197" s="91">
        <f>_xll.qlCalendarAdvance(Calendar,W197,NDays&amp;"D")</f>
        <v>42139</v>
      </c>
      <c r="Y197" s="92">
        <v>3.8099525827789593E-3</v>
      </c>
      <c r="Z197" s="94">
        <v>3.5439228771102136E-3</v>
      </c>
    </row>
    <row r="198" spans="22:26" x14ac:dyDescent="0.2">
      <c r="V198" s="123" t="str">
        <f t="shared" si="13"/>
        <v>1D</v>
      </c>
      <c r="W198" s="82">
        <f>_xll.qlCalendarAdvance(Calendar,W197,V198,"f",FALSE)</f>
        <v>42142</v>
      </c>
      <c r="X198" s="91">
        <f>_xll.qlCalendarAdvance(Calendar,W198,NDays&amp;"D")</f>
        <v>42142</v>
      </c>
      <c r="Y198" s="92">
        <v>3.86484967995566E-3</v>
      </c>
      <c r="Z198" s="94">
        <v>3.5814494802666186E-3</v>
      </c>
    </row>
    <row r="199" spans="22:26" x14ac:dyDescent="0.2">
      <c r="V199" s="123" t="str">
        <f t="shared" si="13"/>
        <v>1D</v>
      </c>
      <c r="W199" s="82">
        <f>_xll.qlCalendarAdvance(Calendar,W198,V199,"f",FALSE)</f>
        <v>42143</v>
      </c>
      <c r="X199" s="91">
        <f>_xll.qlCalendarAdvance(Calendar,W199,NDays&amp;"D")</f>
        <v>42143</v>
      </c>
      <c r="Y199" s="92">
        <v>3.8829335755000945E-3</v>
      </c>
      <c r="Z199" s="94">
        <v>3.6003937279460718E-3</v>
      </c>
    </row>
    <row r="200" spans="22:26" x14ac:dyDescent="0.2">
      <c r="V200" s="123" t="str">
        <f t="shared" si="13"/>
        <v>1D</v>
      </c>
      <c r="W200" s="82">
        <f>_xll.qlCalendarAdvance(Calendar,W199,V200,"f",FALSE)</f>
        <v>42144</v>
      </c>
      <c r="X200" s="91">
        <f>_xll.qlCalendarAdvance(Calendar,W200,NDays&amp;"D")</f>
        <v>42144</v>
      </c>
      <c r="Y200" s="92">
        <v>3.9178429324504887E-3</v>
      </c>
      <c r="Z200" s="94">
        <v>3.6194362208996633E-3</v>
      </c>
    </row>
    <row r="201" spans="22:26" x14ac:dyDescent="0.2">
      <c r="V201" s="123" t="str">
        <f t="shared" si="13"/>
        <v>1D</v>
      </c>
      <c r="W201" s="82">
        <f>_xll.qlCalendarAdvance(Calendar,W200,V201,"f",FALSE)</f>
        <v>42145</v>
      </c>
      <c r="X201" s="91">
        <f>_xll.qlCalendarAdvance(Calendar,W201,NDays&amp;"D")</f>
        <v>42145</v>
      </c>
      <c r="Y201" s="92">
        <v>3.9271291997372559E-3</v>
      </c>
      <c r="Z201" s="94">
        <v>3.6385769590463468E-3</v>
      </c>
    </row>
    <row r="202" spans="22:26" x14ac:dyDescent="0.2">
      <c r="V202" s="123" t="str">
        <f t="shared" si="13"/>
        <v>1D</v>
      </c>
      <c r="W202" s="82">
        <f>_xll.qlCalendarAdvance(Calendar,W201,V202,"f",FALSE)</f>
        <v>42146</v>
      </c>
      <c r="X202" s="91">
        <f>_xll.qlCalendarAdvance(Calendar,W202,NDays&amp;"D")</f>
        <v>42146</v>
      </c>
      <c r="Y202" s="92">
        <v>3.9363980957468087E-3</v>
      </c>
      <c r="Z202" s="94">
        <v>3.677222965058347E-3</v>
      </c>
    </row>
    <row r="203" spans="22:26" x14ac:dyDescent="0.2">
      <c r="V203" s="123" t="str">
        <f t="shared" si="13"/>
        <v>1D</v>
      </c>
      <c r="W203" s="82">
        <f>_xll.qlCalendarAdvance(Calendar,W202,V203,"f",FALSE)</f>
        <v>42149</v>
      </c>
      <c r="X203" s="91">
        <f>_xll.qlCalendarAdvance(Calendar,W203,NDays&amp;"D")</f>
        <v>42149</v>
      </c>
      <c r="Y203" s="92">
        <v>3.9884692296148433E-3</v>
      </c>
      <c r="Z203" s="94">
        <v>3.7161223642123709E-3</v>
      </c>
    </row>
    <row r="204" spans="22:26" x14ac:dyDescent="0.2">
      <c r="V204" s="123" t="str">
        <f t="shared" si="13"/>
        <v>1D</v>
      </c>
      <c r="W204" s="82">
        <f>_xll.qlCalendarAdvance(Calendar,W203,V204,"f",FALSE)</f>
        <v>42150</v>
      </c>
      <c r="X204" s="91">
        <f>_xll.qlCalendarAdvance(Calendar,W204,NDays&amp;"D")</f>
        <v>42150</v>
      </c>
      <c r="Y204" s="92">
        <v>4.005469379693794E-3</v>
      </c>
      <c r="Z204" s="94">
        <v>3.7357543287297457E-3</v>
      </c>
    </row>
    <row r="205" spans="22:26" x14ac:dyDescent="0.2">
      <c r="V205" s="123" t="str">
        <f t="shared" si="13"/>
        <v>1D</v>
      </c>
      <c r="W205" s="82">
        <f>_xll.qlCalendarAdvance(Calendar,W204,V205,"f",FALSE)</f>
        <v>42151</v>
      </c>
      <c r="X205" s="91">
        <f>_xll.qlCalendarAdvance(Calendar,W205,NDays&amp;"D")</f>
        <v>42151</v>
      </c>
      <c r="Y205" s="92">
        <v>4.0377699721063105E-3</v>
      </c>
      <c r="Z205" s="94">
        <v>3.7554845385212587E-3</v>
      </c>
    </row>
    <row r="206" spans="22:26" x14ac:dyDescent="0.2">
      <c r="V206" s="123" t="str">
        <f t="shared" si="13"/>
        <v>1D</v>
      </c>
      <c r="W206" s="82">
        <f>_xll.qlCalendarAdvance(Calendar,W205,V206,"f",FALSE)</f>
        <v>42152</v>
      </c>
      <c r="X206" s="91">
        <f>_xll.qlCalendarAdvance(Calendar,W206,NDays&amp;"D")</f>
        <v>42152</v>
      </c>
      <c r="Y206" s="92">
        <v>4.0465497569624337E-3</v>
      </c>
      <c r="Z206" s="94">
        <v>3.7752606984742254E-3</v>
      </c>
    </row>
    <row r="207" spans="22:26" x14ac:dyDescent="0.2">
      <c r="V207" s="123" t="str">
        <f t="shared" si="13"/>
        <v>1D</v>
      </c>
      <c r="W207" s="82">
        <f>_xll.qlCalendarAdvance(Calendar,W206,V207,"f",FALSE)</f>
        <v>42153</v>
      </c>
      <c r="X207" s="91">
        <f>_xll.qlCalendarAdvance(Calendar,W207,NDays&amp;"D")</f>
        <v>42153</v>
      </c>
      <c r="Y207" s="92">
        <v>4.0628276383004175E-3</v>
      </c>
      <c r="Z207" s="94">
        <v>3.8142390475389334E-3</v>
      </c>
    </row>
    <row r="208" spans="22:26" x14ac:dyDescent="0.2">
      <c r="V208" s="123" t="str">
        <f t="shared" si="13"/>
        <v>1D</v>
      </c>
      <c r="W208" s="82">
        <f>_xll.qlCalendarAdvance(Calendar,W207,V208,"f",FALSE)</f>
        <v>42156</v>
      </c>
      <c r="X208" s="91">
        <f>_xll.qlCalendarAdvance(Calendar,W208,NDays&amp;"D")</f>
        <v>42156</v>
      </c>
      <c r="Y208" s="92">
        <v>4.1031220798610915E-3</v>
      </c>
      <c r="Z208" s="94">
        <v>3.8524192623667908E-3</v>
      </c>
    </row>
    <row r="209" spans="22:26" x14ac:dyDescent="0.2">
      <c r="V209" s="123" t="str">
        <f t="shared" si="13"/>
        <v>1D</v>
      </c>
      <c r="W209" s="82">
        <f>_xll.qlCalendarAdvance(Calendar,W208,V209,"f",FALSE)</f>
        <v>42157</v>
      </c>
      <c r="X209" s="91">
        <f>_xll.qlCalendarAdvance(Calendar,W209,NDays&amp;"D")</f>
        <v>42157</v>
      </c>
      <c r="Y209" s="92">
        <v>4.1114354459989011E-3</v>
      </c>
      <c r="Z209" s="94">
        <v>3.8711700889637601E-3</v>
      </c>
    </row>
    <row r="210" spans="22:26" x14ac:dyDescent="0.2">
      <c r="V210" s="123" t="str">
        <f t="shared" si="13"/>
        <v>1D</v>
      </c>
      <c r="W210" s="82">
        <f>_xll.qlCalendarAdvance(Calendar,W209,V210,"f",FALSE)</f>
        <v>42158</v>
      </c>
      <c r="X210" s="91">
        <f>_xll.qlCalendarAdvance(Calendar,W210,NDays&amp;"D")</f>
        <v>42158</v>
      </c>
      <c r="Y210" s="92">
        <v>4.1268506622932355E-3</v>
      </c>
      <c r="Z210" s="94">
        <v>3.8897053899156209E-3</v>
      </c>
    </row>
    <row r="211" spans="22:26" x14ac:dyDescent="0.2">
      <c r="V211" s="123" t="str">
        <f t="shared" si="13"/>
        <v>1D</v>
      </c>
      <c r="W211" s="82">
        <f>_xll.qlCalendarAdvance(Calendar,W210,V211,"f",FALSE)</f>
        <v>42159</v>
      </c>
      <c r="X211" s="91">
        <f>_xll.qlCalendarAdvance(Calendar,W211,NDays&amp;"D")</f>
        <v>42159</v>
      </c>
      <c r="Y211" s="92">
        <v>4.1559677502863573E-3</v>
      </c>
      <c r="Z211" s="94">
        <v>3.9080251648981879E-3</v>
      </c>
    </row>
    <row r="212" spans="22:26" x14ac:dyDescent="0.2">
      <c r="V212" s="123" t="str">
        <f t="shared" si="13"/>
        <v>1D</v>
      </c>
      <c r="W212" s="82">
        <f>_xll.qlCalendarAdvance(Calendar,W211,V212,"f",FALSE)</f>
        <v>42160</v>
      </c>
      <c r="X212" s="91">
        <f>_xll.qlCalendarAdvance(Calendar,W212,NDays&amp;"D")</f>
        <v>42160</v>
      </c>
      <c r="Y212" s="92">
        <v>4.1639213154378149E-3</v>
      </c>
      <c r="Z212" s="94">
        <v>3.9439889108291073E-3</v>
      </c>
    </row>
    <row r="213" spans="22:26" x14ac:dyDescent="0.2">
      <c r="V213" s="123" t="str">
        <f t="shared" ref="V213:V276" si="14">V212</f>
        <v>1D</v>
      </c>
      <c r="W213" s="82">
        <f>_xll.qlCalendarAdvance(Calendar,W212,V213,"f",FALSE)</f>
        <v>42163</v>
      </c>
      <c r="X213" s="91">
        <f>_xll.qlCalendarAdvance(Calendar,W213,NDays&amp;"D")</f>
        <v>42163</v>
      </c>
      <c r="Y213" s="92">
        <v>4.2006930530776128E-3</v>
      </c>
      <c r="Z213" s="94">
        <v>3.9791490060270274E-3</v>
      </c>
    </row>
    <row r="214" spans="22:26" x14ac:dyDescent="0.2">
      <c r="V214" s="123" t="str">
        <f t="shared" si="14"/>
        <v>1D</v>
      </c>
      <c r="W214" s="82">
        <f>_xll.qlCalendarAdvance(Calendar,W213,V214,"f",FALSE)</f>
        <v>42164</v>
      </c>
      <c r="X214" s="91">
        <f>_xll.qlCalendarAdvance(Calendar,W214,NDays&amp;"D")</f>
        <v>42164</v>
      </c>
      <c r="Y214" s="92">
        <v>4.2148147875988497E-3</v>
      </c>
      <c r="Z214" s="94">
        <v>3.9963911514062644E-3</v>
      </c>
    </row>
    <row r="215" spans="22:26" x14ac:dyDescent="0.2">
      <c r="V215" s="123" t="str">
        <f t="shared" si="14"/>
        <v>1D</v>
      </c>
      <c r="W215" s="82">
        <f>_xll.qlCalendarAdvance(Calendar,W214,V215,"f",FALSE)</f>
        <v>42165</v>
      </c>
      <c r="X215" s="91">
        <f>_xll.qlCalendarAdvance(Calendar,W215,NDays&amp;"D")</f>
        <v>42165</v>
      </c>
      <c r="Y215" s="92">
        <v>4.2287209391374354E-3</v>
      </c>
      <c r="Z215" s="94">
        <v>4.0134177708162078E-3</v>
      </c>
    </row>
    <row r="216" spans="22:26" x14ac:dyDescent="0.2">
      <c r="V216" s="123" t="str">
        <f t="shared" si="14"/>
        <v>1D</v>
      </c>
      <c r="W216" s="82">
        <f>_xll.qlCalendarAdvance(Calendar,W215,V216,"f",FALSE)</f>
        <v>42166</v>
      </c>
      <c r="X216" s="91">
        <f>_xll.qlCalendarAdvance(Calendar,W216,NDays&amp;"D")</f>
        <v>42166</v>
      </c>
      <c r="Y216" s="92">
        <v>4.2548221498862546E-3</v>
      </c>
      <c r="Z216" s="94">
        <v>4.0302288641758111E-3</v>
      </c>
    </row>
    <row r="217" spans="22:26" x14ac:dyDescent="0.2">
      <c r="V217" s="123" t="str">
        <f t="shared" si="14"/>
        <v>1D</v>
      </c>
      <c r="W217" s="82">
        <f>_xll.qlCalendarAdvance(Calendar,W216,V217,"f",FALSE)</f>
        <v>42167</v>
      </c>
      <c r="X217" s="91">
        <f>_xll.qlCalendarAdvance(Calendar,W217,NDays&amp;"D")</f>
        <v>42167</v>
      </c>
      <c r="Y217" s="92">
        <v>4.2620200345433812E-3</v>
      </c>
      <c r="Z217" s="94">
        <v>4.0631778606844051E-3</v>
      </c>
    </row>
    <row r="218" spans="22:26" x14ac:dyDescent="0.2">
      <c r="V218" s="123" t="str">
        <f t="shared" si="14"/>
        <v>1D</v>
      </c>
      <c r="W218" s="82">
        <f>_xll.qlCalendarAdvance(Calendar,W217,V218,"f",FALSE)</f>
        <v>42170</v>
      </c>
      <c r="X218" s="91">
        <f>_xll.qlCalendarAdvance(Calendar,W218,NDays&amp;"D")</f>
        <v>42170</v>
      </c>
      <c r="Y218" s="92">
        <v>4.2950179265286072E-3</v>
      </c>
      <c r="Z218" s="94">
        <v>4.0953179763814074E-3</v>
      </c>
    </row>
    <row r="219" spans="22:26" x14ac:dyDescent="0.2">
      <c r="V219" s="123" t="str">
        <f t="shared" si="14"/>
        <v>1D</v>
      </c>
      <c r="W219" s="82">
        <f>_xll.qlCalendarAdvance(Calendar,W218,V219,"f",FALSE)</f>
        <v>42171</v>
      </c>
      <c r="X219" s="91">
        <f>_xll.qlCalendarAdvance(Calendar,W219,NDays&amp;"D")</f>
        <v>42171</v>
      </c>
      <c r="Y219" s="92">
        <v>4.3076305650156339E-3</v>
      </c>
      <c r="Z219" s="94">
        <v>4.1110514390030328E-3</v>
      </c>
    </row>
    <row r="220" spans="22:26" x14ac:dyDescent="0.2">
      <c r="V220" s="123" t="str">
        <f t="shared" si="14"/>
        <v>1D</v>
      </c>
      <c r="W220" s="82">
        <f>_xll.qlCalendarAdvance(Calendar,W219,V220,"f",FALSE)</f>
        <v>42172</v>
      </c>
      <c r="X220" s="91">
        <f>_xll.qlCalendarAdvance(Calendar,W220,NDays&amp;"D")</f>
        <v>42172</v>
      </c>
      <c r="Y220" s="92">
        <v>4.3200276155842916E-3</v>
      </c>
      <c r="Z220" s="94">
        <v>4.126569375493272E-3</v>
      </c>
    </row>
    <row r="221" spans="22:26" x14ac:dyDescent="0.2">
      <c r="V221" s="123" t="str">
        <f t="shared" si="14"/>
        <v>1D</v>
      </c>
      <c r="W221" s="82">
        <f>_xll.qlCalendarAdvance(Calendar,W220,V221,"f",FALSE)</f>
        <v>42173</v>
      </c>
      <c r="X221" s="91">
        <f>_xll.qlCalendarAdvance(Calendar,W221,NDays&amp;"D")</f>
        <v>42173</v>
      </c>
      <c r="Y221" s="92">
        <v>4.3431126811925222E-3</v>
      </c>
      <c r="Z221" s="94">
        <v>4.1418717856900322E-3</v>
      </c>
    </row>
    <row r="222" spans="22:26" x14ac:dyDescent="0.2">
      <c r="V222" s="123" t="str">
        <f t="shared" si="14"/>
        <v>1D</v>
      </c>
      <c r="W222" s="82">
        <f>_xll.qlCalendarAdvance(Calendar,W221,V222,"f",FALSE)</f>
        <v>42174</v>
      </c>
      <c r="X222" s="91">
        <f>_xll.qlCalendarAdvance(Calendar,W222,NDays&amp;"D")</f>
        <v>42174</v>
      </c>
      <c r="Y222" s="92">
        <v>4.3495549659992279E-3</v>
      </c>
      <c r="Z222" s="94">
        <v>4.1718058660641013E-3</v>
      </c>
    </row>
    <row r="223" spans="22:26" x14ac:dyDescent="0.2">
      <c r="V223" s="123" t="str">
        <f t="shared" si="14"/>
        <v>1D</v>
      </c>
      <c r="W223" s="82">
        <f>_xll.qlCalendarAdvance(Calendar,W222,V223,"f",FALSE)</f>
        <v>42177</v>
      </c>
      <c r="X223" s="91">
        <f>_xll.qlCalendarAdvance(Calendar,W223,NDays&amp;"D")</f>
        <v>42177</v>
      </c>
      <c r="Y223" s="92">
        <v>4.3787790269482763E-3</v>
      </c>
      <c r="Z223" s="94">
        <v>4.200926163380192E-3</v>
      </c>
    </row>
    <row r="224" spans="22:26" x14ac:dyDescent="0.2">
      <c r="V224" s="123" t="str">
        <f t="shared" si="14"/>
        <v>1D</v>
      </c>
      <c r="W224" s="82">
        <f>_xll.qlCalendarAdvance(Calendar,W223,V224,"f",FALSE)</f>
        <v>42178</v>
      </c>
      <c r="X224" s="91">
        <f>_xll.qlCalendarAdvance(Calendar,W224,NDays&amp;"D")</f>
        <v>42178</v>
      </c>
      <c r="Y224" s="92">
        <v>4.3898825365557377E-3</v>
      </c>
      <c r="Z224" s="94">
        <v>4.215150941866419E-3</v>
      </c>
    </row>
    <row r="225" spans="22:26" x14ac:dyDescent="0.2">
      <c r="V225" s="123" t="str">
        <f t="shared" si="14"/>
        <v>1D</v>
      </c>
      <c r="W225" s="82">
        <f>_xll.qlCalendarAdvance(Calendar,W224,V225,"f",FALSE)</f>
        <v>42179</v>
      </c>
      <c r="X225" s="91">
        <f>_xll.qlCalendarAdvance(Calendar,W225,NDays&amp;"D")</f>
        <v>42179</v>
      </c>
      <c r="Y225" s="92">
        <v>4.4007704538737338E-3</v>
      </c>
      <c r="Z225" s="94">
        <v>4.2291601940591672E-3</v>
      </c>
    </row>
    <row r="226" spans="22:26" x14ac:dyDescent="0.2">
      <c r="V226" s="123" t="str">
        <f t="shared" si="14"/>
        <v>1D</v>
      </c>
      <c r="W226" s="82">
        <f>_xll.qlCalendarAdvance(Calendar,W225,V226,"f",FALSE)</f>
        <v>42180</v>
      </c>
      <c r="X226" s="91">
        <f>_xll.qlCalendarAdvance(Calendar,W226,NDays&amp;"D")</f>
        <v>42180</v>
      </c>
      <c r="Y226" s="92">
        <v>4.4208390989692453E-3</v>
      </c>
      <c r="Z226" s="94">
        <v>4.2429539197152977E-3</v>
      </c>
    </row>
    <row r="227" spans="22:26" x14ac:dyDescent="0.2">
      <c r="V227" s="123" t="str">
        <f t="shared" si="14"/>
        <v>1D</v>
      </c>
      <c r="W227" s="82">
        <f>_xll.qlCalendarAdvance(Calendar,W226,V227,"f",FALSE)</f>
        <v>42181</v>
      </c>
      <c r="X227" s="91">
        <f>_xll.qlCalendarAdvance(Calendar,W227,NDays&amp;"D")</f>
        <v>42181</v>
      </c>
      <c r="Y227" s="92">
        <v>4.426525874269175E-3</v>
      </c>
      <c r="Z227" s="94">
        <v>4.2698728986290124E-3</v>
      </c>
    </row>
    <row r="228" spans="22:26" x14ac:dyDescent="0.2">
      <c r="V228" s="123" t="str">
        <f t="shared" si="14"/>
        <v>1D</v>
      </c>
      <c r="W228" s="82">
        <f>_xll.qlCalendarAdvance(Calendar,W227,V228,"f",FALSE)</f>
        <v>42184</v>
      </c>
      <c r="X228" s="91">
        <f>_xll.qlCalendarAdvance(Calendar,W228,NDays&amp;"D")</f>
        <v>42184</v>
      </c>
      <c r="Y228" s="92">
        <v>4.4519761362275725E-3</v>
      </c>
      <c r="Z228" s="94">
        <v>4.2959735577030589E-3</v>
      </c>
    </row>
    <row r="229" spans="22:26" x14ac:dyDescent="0.2">
      <c r="V229" s="123" t="str">
        <f t="shared" si="14"/>
        <v>1D</v>
      </c>
      <c r="W229" s="82">
        <f>_xll.qlCalendarAdvance(Calendar,W228,V229,"f",FALSE)</f>
        <v>42185</v>
      </c>
      <c r="X229" s="91">
        <f>_xll.qlCalendarAdvance(Calendar,W229,NDays&amp;"D")</f>
        <v>42185</v>
      </c>
      <c r="Y229" s="92">
        <v>4.4657661387311146E-3</v>
      </c>
      <c r="Z229" s="94">
        <v>4.3149654392804493E-3</v>
      </c>
    </row>
    <row r="230" spans="22:26" x14ac:dyDescent="0.2">
      <c r="V230" s="123" t="str">
        <f t="shared" si="14"/>
        <v>1D</v>
      </c>
      <c r="W230" s="82">
        <f>_xll.qlCalendarAdvance(Calendar,W229,V230,"f",FALSE)</f>
        <v>42187</v>
      </c>
      <c r="X230" s="91">
        <f>_xll.qlCalendarAdvance(Calendar,W230,NDays&amp;"D")</f>
        <v>42187</v>
      </c>
      <c r="Y230" s="92">
        <v>4.4880011873344589E-3</v>
      </c>
      <c r="Z230" s="94">
        <v>4.3334752575796553E-3</v>
      </c>
    </row>
    <row r="231" spans="22:26" x14ac:dyDescent="0.2">
      <c r="V231" s="123" t="str">
        <f t="shared" si="14"/>
        <v>1D</v>
      </c>
      <c r="W231" s="82">
        <f>_xll.qlCalendarAdvance(Calendar,W230,V231,"f",FALSE)</f>
        <v>42188</v>
      </c>
      <c r="X231" s="91">
        <f>_xll.qlCalendarAdvance(Calendar,W231,NDays&amp;"D")</f>
        <v>42188</v>
      </c>
      <c r="Y231" s="92">
        <v>4.4929325522459892E-3</v>
      </c>
      <c r="Z231" s="94">
        <v>4.3573789329035923E-3</v>
      </c>
    </row>
    <row r="232" spans="22:26" x14ac:dyDescent="0.2">
      <c r="V232" s="123" t="str">
        <f t="shared" si="14"/>
        <v>1D</v>
      </c>
      <c r="W232" s="82">
        <f>_xll.qlCalendarAdvance(Calendar,W231,V232,"f",FALSE)</f>
        <v>42191</v>
      </c>
      <c r="X232" s="91">
        <f>_xll.qlCalendarAdvance(Calendar,W232,NDays&amp;"D")</f>
        <v>42191</v>
      </c>
      <c r="Y232" s="92">
        <v>4.5181585637557318E-3</v>
      </c>
      <c r="Z232" s="94">
        <v>4.3804601513264263E-3</v>
      </c>
    </row>
    <row r="233" spans="22:26" x14ac:dyDescent="0.2">
      <c r="V233" s="123" t="str">
        <f t="shared" si="14"/>
        <v>1D</v>
      </c>
      <c r="W233" s="82">
        <f>_xll.qlCalendarAdvance(Calendar,W232,V233,"f",FALSE)</f>
        <v>42192</v>
      </c>
      <c r="X233" s="91">
        <f>_xll.qlCalendarAdvance(Calendar,W233,NDays&amp;"D")</f>
        <v>42192</v>
      </c>
      <c r="Y233" s="92">
        <v>4.5261360316326982E-3</v>
      </c>
      <c r="Z233" s="94">
        <v>4.3916675580568665E-3</v>
      </c>
    </row>
    <row r="234" spans="22:26" x14ac:dyDescent="0.2">
      <c r="V234" s="123" t="str">
        <f t="shared" si="14"/>
        <v>1D</v>
      </c>
      <c r="W234" s="82">
        <f>_xll.qlCalendarAdvance(Calendar,W233,V234,"f",FALSE)</f>
        <v>42193</v>
      </c>
      <c r="X234" s="91">
        <f>_xll.qlCalendarAdvance(Calendar,W234,NDays&amp;"D")</f>
        <v>42193</v>
      </c>
      <c r="Y234" s="92">
        <v>4.5403507243549947E-3</v>
      </c>
      <c r="Z234" s="94">
        <v>4.4026594380885964E-3</v>
      </c>
    </row>
    <row r="235" spans="22:26" x14ac:dyDescent="0.2">
      <c r="V235" s="123" t="str">
        <f t="shared" si="14"/>
        <v>1D</v>
      </c>
      <c r="W235" s="82">
        <f>_xll.qlCalendarAdvance(Calendar,W234,V235,"f",FALSE)</f>
        <v>42194</v>
      </c>
      <c r="X235" s="91">
        <f>_xll.qlCalendarAdvance(Calendar,W235,NDays&amp;"D")</f>
        <v>42194</v>
      </c>
      <c r="Y235" s="92">
        <v>4.5445987597322879E-3</v>
      </c>
      <c r="Z235" s="94">
        <v>4.413435791421616E-3</v>
      </c>
    </row>
    <row r="236" spans="22:26" x14ac:dyDescent="0.2">
      <c r="V236" s="123" t="str">
        <f t="shared" si="14"/>
        <v>1D</v>
      </c>
      <c r="W236" s="82">
        <f>_xll.qlCalendarAdvance(Calendar,W235,V236,"f",FALSE)</f>
        <v>42195</v>
      </c>
      <c r="X236" s="91">
        <f>_xll.qlCalendarAdvance(Calendar,W236,NDays&amp;"D")</f>
        <v>42195</v>
      </c>
      <c r="Y236" s="92">
        <v>4.5487748212409201E-3</v>
      </c>
      <c r="Z236" s="94">
        <v>4.4343239460598038E-3</v>
      </c>
    </row>
    <row r="237" spans="22:26" x14ac:dyDescent="0.2">
      <c r="V237" s="123" t="str">
        <f t="shared" si="14"/>
        <v>1D</v>
      </c>
      <c r="W237" s="82">
        <f>_xll.qlCalendarAdvance(Calendar,W236,V237,"f",FALSE)</f>
        <v>42198</v>
      </c>
      <c r="X237" s="91">
        <f>_xll.qlCalendarAdvance(Calendar,W237,NDays&amp;"D")</f>
        <v>42198</v>
      </c>
      <c r="Y237" s="92">
        <v>4.5694731812464459E-3</v>
      </c>
      <c r="Z237" s="94">
        <v>4.4543859367129901E-3</v>
      </c>
    </row>
    <row r="238" spans="22:26" x14ac:dyDescent="0.2">
      <c r="V238" s="123" t="str">
        <f t="shared" si="14"/>
        <v>1D</v>
      </c>
      <c r="W238" s="82">
        <f>_xll.qlCalendarAdvance(Calendar,W237,V238,"f",FALSE)</f>
        <v>42199</v>
      </c>
      <c r="X238" s="91">
        <f>_xll.qlCalendarAdvance(Calendar,W238,NDays&amp;"D")</f>
        <v>42199</v>
      </c>
      <c r="Y238" s="92">
        <v>4.5759414262080255E-3</v>
      </c>
      <c r="Z238" s="94">
        <v>4.4640846560661807E-3</v>
      </c>
    </row>
    <row r="239" spans="22:26" x14ac:dyDescent="0.2">
      <c r="V239" s="123" t="str">
        <f t="shared" si="14"/>
        <v>1D</v>
      </c>
      <c r="W239" s="82">
        <f>_xll.qlCalendarAdvance(Calendar,W238,V239,"f",FALSE)</f>
        <v>42200</v>
      </c>
      <c r="X239" s="91">
        <f>_xll.qlCalendarAdvance(Calendar,W239,NDays&amp;"D")</f>
        <v>42200</v>
      </c>
      <c r="Y239" s="92">
        <v>4.5871388301774929E-3</v>
      </c>
      <c r="Z239" s="94">
        <v>4.4735678484775221E-3</v>
      </c>
    </row>
    <row r="240" spans="22:26" x14ac:dyDescent="0.2">
      <c r="V240" s="123" t="str">
        <f t="shared" si="14"/>
        <v>1D</v>
      </c>
      <c r="W240" s="82">
        <f>_xll.qlCalendarAdvance(Calendar,W239,V240,"f",FALSE)</f>
        <v>42201</v>
      </c>
      <c r="X240" s="91">
        <f>_xll.qlCalendarAdvance(Calendar,W240,NDays&amp;"D")</f>
        <v>42201</v>
      </c>
      <c r="Y240" s="92">
        <v>4.5906316589658727E-3</v>
      </c>
      <c r="Z240" s="94">
        <v>4.4828355141901532E-3</v>
      </c>
    </row>
    <row r="241" spans="22:26" x14ac:dyDescent="0.2">
      <c r="V241" s="123" t="str">
        <f t="shared" si="14"/>
        <v>1D</v>
      </c>
      <c r="W241" s="82">
        <f>_xll.qlCalendarAdvance(Calendar,W240,V241,"f",FALSE)</f>
        <v>42202</v>
      </c>
      <c r="X241" s="91">
        <f>_xll.qlCalendarAdvance(Calendar,W241,NDays&amp;"D")</f>
        <v>42202</v>
      </c>
      <c r="Y241" s="92">
        <v>4.5940525309967799E-3</v>
      </c>
      <c r="Z241" s="94">
        <v>4.5007079180792173E-3</v>
      </c>
    </row>
    <row r="242" spans="22:26" x14ac:dyDescent="0.2">
      <c r="V242" s="123" t="str">
        <f t="shared" si="14"/>
        <v>1D</v>
      </c>
      <c r="W242" s="82">
        <f>_xll.qlCalendarAdvance(Calendar,W241,V242,"f",FALSE)</f>
        <v>42205</v>
      </c>
      <c r="X242" s="91">
        <f>_xll.qlCalendarAdvance(Calendar,W242,NDays&amp;"D")</f>
        <v>42205</v>
      </c>
      <c r="Y242" s="92">
        <v>4.6102231838036061E-3</v>
      </c>
      <c r="Z242" s="94">
        <v>4.5177509076221867E-3</v>
      </c>
    </row>
    <row r="243" spans="22:26" x14ac:dyDescent="0.2">
      <c r="V243" s="123" t="str">
        <f t="shared" si="14"/>
        <v>1D</v>
      </c>
      <c r="W243" s="82">
        <f>_xll.qlCalendarAdvance(Calendar,W242,V243,"f",FALSE)</f>
        <v>42206</v>
      </c>
      <c r="X243" s="91">
        <f>_xll.qlCalendarAdvance(Calendar,W243,NDays&amp;"D")</f>
        <v>42206</v>
      </c>
      <c r="Y243" s="92">
        <v>4.6151821884431489E-3</v>
      </c>
      <c r="Z243" s="94">
        <v>4.5259409386255722E-3</v>
      </c>
    </row>
    <row r="244" spans="22:26" x14ac:dyDescent="0.2">
      <c r="V244" s="123" t="str">
        <f t="shared" si="14"/>
        <v>1D</v>
      </c>
      <c r="W244" s="82">
        <f>_xll.qlCalendarAdvance(Calendar,W243,V244,"f",FALSE)</f>
        <v>42207</v>
      </c>
      <c r="X244" s="91">
        <f>_xll.qlCalendarAdvance(Calendar,W244,NDays&amp;"D")</f>
        <v>42207</v>
      </c>
      <c r="Y244" s="92">
        <v>4.6233620157229514E-3</v>
      </c>
      <c r="Z244" s="94">
        <v>4.5339154426871087E-3</v>
      </c>
    </row>
    <row r="245" spans="22:26" x14ac:dyDescent="0.2">
      <c r="V245" s="123" t="str">
        <f t="shared" si="14"/>
        <v>1D</v>
      </c>
      <c r="W245" s="82">
        <f>_xll.qlCalendarAdvance(Calendar,W244,V245,"f",FALSE)</f>
        <v>42208</v>
      </c>
      <c r="X245" s="91">
        <f>_xll.qlCalendarAdvance(Calendar,W245,NDays&amp;"D")</f>
        <v>42208</v>
      </c>
      <c r="Y245" s="92">
        <v>4.6260997571695092E-3</v>
      </c>
      <c r="Z245" s="94">
        <v>4.5416744198878423E-3</v>
      </c>
    </row>
    <row r="246" spans="22:26" x14ac:dyDescent="0.2">
      <c r="V246" s="123" t="str">
        <f t="shared" si="14"/>
        <v>1D</v>
      </c>
      <c r="W246" s="82">
        <f>_xll.qlCalendarAdvance(Calendar,W245,V246,"f",FALSE)</f>
        <v>42209</v>
      </c>
      <c r="X246" s="91">
        <f>_xll.qlCalendarAdvance(Calendar,W246,NDays&amp;"D")</f>
        <v>42209</v>
      </c>
      <c r="Y246" s="92">
        <v>4.6287655596774771E-3</v>
      </c>
      <c r="Z246" s="94">
        <v>4.5565308316719575E-3</v>
      </c>
    </row>
    <row r="247" spans="22:26" x14ac:dyDescent="0.2">
      <c r="V247" s="123" t="str">
        <f t="shared" si="14"/>
        <v>1D</v>
      </c>
      <c r="W247" s="82">
        <f>_xll.qlCalendarAdvance(Calendar,W246,V247,"f",FALSE)</f>
        <v>42212</v>
      </c>
      <c r="X247" s="91">
        <f>_xll.qlCalendarAdvance(Calendar,W247,NDays&amp;"D")</f>
        <v>42212</v>
      </c>
      <c r="Y247" s="92">
        <v>4.6404084617715953E-3</v>
      </c>
      <c r="Z247" s="94">
        <v>4.5705550583807764E-3</v>
      </c>
    </row>
    <row r="248" spans="22:26" x14ac:dyDescent="0.2">
      <c r="V248" s="123" t="str">
        <f t="shared" si="14"/>
        <v>1D</v>
      </c>
      <c r="W248" s="82">
        <f>_xll.qlCalendarAdvance(Calendar,W247,V248,"f",FALSE)</f>
        <v>42213</v>
      </c>
      <c r="X248" s="91">
        <f>_xll.qlCalendarAdvance(Calendar,W248,NDays&amp;"D")</f>
        <v>42213</v>
      </c>
      <c r="Y248" s="92">
        <v>4.6438582127504525E-3</v>
      </c>
      <c r="Z248" s="94">
        <v>4.577236400467033E-3</v>
      </c>
    </row>
    <row r="249" spans="22:26" x14ac:dyDescent="0.2">
      <c r="V249" s="123" t="str">
        <f t="shared" si="14"/>
        <v>1D</v>
      </c>
      <c r="W249" s="82">
        <f>_xll.qlCalendarAdvance(Calendar,W248,V249,"f",FALSE)</f>
        <v>42214</v>
      </c>
      <c r="X249" s="91">
        <f>_xll.qlCalendarAdvance(Calendar,W249,NDays&amp;"D")</f>
        <v>42214</v>
      </c>
      <c r="Y249" s="92" t="e">
        <v>#N/A</v>
      </c>
      <c r="Z249" s="94">
        <v>4.5837022155303941E-3</v>
      </c>
    </row>
    <row r="250" spans="22:26" x14ac:dyDescent="0.2">
      <c r="V250" s="123" t="str">
        <f t="shared" si="14"/>
        <v>1D</v>
      </c>
      <c r="W250" s="82">
        <f>_xll.qlCalendarAdvance(Calendar,W249,V250,"f",FALSE)</f>
        <v>42215</v>
      </c>
      <c r="X250" s="91">
        <f>_xll.qlCalendarAdvance(Calendar,W250,NDays&amp;"D")</f>
        <v>42215</v>
      </c>
      <c r="Y250" s="92" t="e">
        <v>#N/A</v>
      </c>
      <c r="Z250" s="94">
        <v>4.5899525034087674E-3</v>
      </c>
    </row>
    <row r="251" spans="22:26" x14ac:dyDescent="0.2">
      <c r="V251" s="123" t="str">
        <f t="shared" si="14"/>
        <v>1D</v>
      </c>
      <c r="W251" s="82">
        <f>_xll.qlCalendarAdvance(Calendar,W250,V251,"f",FALSE)</f>
        <v>42216</v>
      </c>
      <c r="X251" s="91">
        <f>_xll.qlCalendarAdvance(Calendar,W251,NDays&amp;"D")</f>
        <v>42216</v>
      </c>
      <c r="Y251" s="92" t="e">
        <v>#N/A</v>
      </c>
      <c r="Z251" s="94">
        <v>4.6017926723307409E-3</v>
      </c>
    </row>
    <row r="252" spans="22:26" x14ac:dyDescent="0.2">
      <c r="V252" s="123" t="str">
        <f t="shared" si="14"/>
        <v>1D</v>
      </c>
      <c r="W252" s="82">
        <f>_xll.qlCalendarAdvance(Calendar,W251,V252,"f",FALSE)</f>
        <v>42219</v>
      </c>
      <c r="X252" s="91">
        <f>_xll.qlCalendarAdvance(Calendar,W252,NDays&amp;"D")</f>
        <v>42219</v>
      </c>
      <c r="Y252" s="92" t="e">
        <v>#N/A</v>
      </c>
      <c r="Z252" s="94">
        <v>4.6127983844501674E-3</v>
      </c>
    </row>
    <row r="253" spans="22:26" x14ac:dyDescent="0.2">
      <c r="V253" s="123" t="str">
        <f t="shared" si="14"/>
        <v>1D</v>
      </c>
      <c r="W253" s="82">
        <f>_xll.qlCalendarAdvance(Calendar,W252,V253,"f",FALSE)</f>
        <v>42220</v>
      </c>
      <c r="X253" s="91">
        <f>_xll.qlCalendarAdvance(Calendar,W253,NDays&amp;"D")</f>
        <v>42220</v>
      </c>
      <c r="Y253" s="92" t="e">
        <v>#N/A</v>
      </c>
      <c r="Z253" s="94">
        <v>4.6179710370519711E-3</v>
      </c>
    </row>
    <row r="254" spans="22:26" x14ac:dyDescent="0.2">
      <c r="V254" s="123" t="str">
        <f t="shared" si="14"/>
        <v>1D</v>
      </c>
      <c r="W254" s="82">
        <f>_xll.qlCalendarAdvance(Calendar,W253,V254,"f",FALSE)</f>
        <v>42221</v>
      </c>
      <c r="X254" s="91">
        <f>_xll.qlCalendarAdvance(Calendar,W254,NDays&amp;"D")</f>
        <v>42221</v>
      </c>
      <c r="Y254" s="92" t="e">
        <v>#N/A</v>
      </c>
      <c r="Z254" s="94">
        <v>4.6229281623877405E-3</v>
      </c>
    </row>
    <row r="255" spans="22:26" x14ac:dyDescent="0.2">
      <c r="V255" s="123" t="str">
        <f t="shared" si="14"/>
        <v>1D</v>
      </c>
      <c r="W255" s="82">
        <f>_xll.qlCalendarAdvance(Calendar,W254,V255,"f",FALSE)</f>
        <v>42222</v>
      </c>
      <c r="X255" s="91">
        <f>_xll.qlCalendarAdvance(Calendar,W255,NDays&amp;"D")</f>
        <v>42222</v>
      </c>
      <c r="Y255" s="92" t="e">
        <v>#N/A</v>
      </c>
      <c r="Z255" s="94">
        <v>4.6276697606195683E-3</v>
      </c>
    </row>
    <row r="256" spans="22:26" x14ac:dyDescent="0.2">
      <c r="V256" s="123" t="str">
        <f t="shared" si="14"/>
        <v>1D</v>
      </c>
      <c r="W256" s="82">
        <f>_xll.qlCalendarAdvance(Calendar,W255,V256,"f",FALSE)</f>
        <v>42223</v>
      </c>
      <c r="X256" s="91">
        <f>_xll.qlCalendarAdvance(Calendar,W256,NDays&amp;"D")</f>
        <v>42223</v>
      </c>
      <c r="Y256" s="92" t="e">
        <v>#N/A</v>
      </c>
      <c r="Z256" s="94">
        <v>4.6364934282228107E-3</v>
      </c>
    </row>
    <row r="257" spans="22:26" x14ac:dyDescent="0.2">
      <c r="V257" s="123" t="str">
        <f t="shared" si="14"/>
        <v>1D</v>
      </c>
      <c r="W257" s="82">
        <f>_xll.qlCalendarAdvance(Calendar,W256,V257,"f",FALSE)</f>
        <v>42226</v>
      </c>
      <c r="X257" s="91">
        <f>_xll.qlCalendarAdvance(Calendar,W257,NDays&amp;"D")</f>
        <v>42226</v>
      </c>
      <c r="Y257" s="92" t="e">
        <v>#N/A</v>
      </c>
      <c r="Z257" s="94">
        <v>4.6444808822643235E-3</v>
      </c>
    </row>
    <row r="258" spans="22:26" x14ac:dyDescent="0.2">
      <c r="V258" s="123" t="str">
        <f t="shared" si="14"/>
        <v>1D</v>
      </c>
      <c r="W258" s="82">
        <f>_xll.qlCalendarAdvance(Calendar,W257,V258,"f",FALSE)</f>
        <v>42227</v>
      </c>
      <c r="X258" s="91">
        <f>_xll.qlCalendarAdvance(Calendar,W258,NDays&amp;"D")</f>
        <v>42227</v>
      </c>
      <c r="Y258" s="92" t="e">
        <v>#N/A</v>
      </c>
      <c r="Z258" s="94">
        <v>4.6481448448143503E-3</v>
      </c>
    </row>
    <row r="259" spans="22:26" x14ac:dyDescent="0.2">
      <c r="V259" s="123" t="str">
        <f t="shared" si="14"/>
        <v>1D</v>
      </c>
      <c r="W259" s="82">
        <f>_xll.qlCalendarAdvance(Calendar,W258,V259,"f",FALSE)</f>
        <v>42228</v>
      </c>
      <c r="X259" s="91">
        <f>_xll.qlCalendarAdvance(Calendar,W259,NDays&amp;"D")</f>
        <v>42228</v>
      </c>
      <c r="Y259" s="92" t="e">
        <v>#N/A</v>
      </c>
      <c r="Z259" s="94">
        <v>4.6515932801793891E-3</v>
      </c>
    </row>
    <row r="260" spans="22:26" x14ac:dyDescent="0.2">
      <c r="V260" s="123" t="str">
        <f t="shared" si="14"/>
        <v>1D</v>
      </c>
      <c r="W260" s="82">
        <f>_xll.qlCalendarAdvance(Calendar,W259,V260,"f",FALSE)</f>
        <v>42229</v>
      </c>
      <c r="X260" s="91">
        <f>_xll.qlCalendarAdvance(Calendar,W260,NDays&amp;"D")</f>
        <v>42229</v>
      </c>
      <c r="Y260" s="92" t="e">
        <v>#N/A</v>
      </c>
      <c r="Z260" s="94">
        <v>4.6548261882783937E-3</v>
      </c>
    </row>
    <row r="261" spans="22:26" x14ac:dyDescent="0.2">
      <c r="V261" s="123" t="str">
        <f t="shared" si="14"/>
        <v>1D</v>
      </c>
      <c r="W261" s="82">
        <f>_xll.qlCalendarAdvance(Calendar,W260,V261,"f",FALSE)</f>
        <v>42230</v>
      </c>
      <c r="X261" s="91">
        <f>_xll.qlCalendarAdvance(Calendar,W261,NDays&amp;"D")</f>
        <v>42230</v>
      </c>
      <c r="Y261" s="92" t="e">
        <v>#N/A</v>
      </c>
      <c r="Z261" s="94">
        <v>4.6606330903250139E-3</v>
      </c>
    </row>
    <row r="262" spans="22:26" x14ac:dyDescent="0.2">
      <c r="V262" s="123" t="str">
        <f t="shared" si="14"/>
        <v>1D</v>
      </c>
      <c r="W262" s="82">
        <f>_xll.qlCalendarAdvance(Calendar,W261,V262,"f",FALSE)</f>
        <v>42233</v>
      </c>
      <c r="X262" s="91">
        <f>_xll.qlCalendarAdvance(Calendar,W262,NDays&amp;"D")</f>
        <v>42233</v>
      </c>
      <c r="Y262" s="92" t="e">
        <v>#N/A</v>
      </c>
      <c r="Z262" s="94">
        <v>4.6656025489866249E-3</v>
      </c>
    </row>
    <row r="263" spans="22:26" x14ac:dyDescent="0.2">
      <c r="V263" s="123" t="str">
        <f t="shared" si="14"/>
        <v>1D</v>
      </c>
      <c r="W263" s="82">
        <f>_xll.qlCalendarAdvance(Calendar,W262,V263,"f",FALSE)</f>
        <v>42234</v>
      </c>
      <c r="X263" s="91">
        <f>_xll.qlCalendarAdvance(Calendar,W263,NDays&amp;"D")</f>
        <v>42234</v>
      </c>
      <c r="Y263" s="92" t="e">
        <v>#N/A</v>
      </c>
      <c r="Z263" s="94">
        <v>4.6677578211606896E-3</v>
      </c>
    </row>
    <row r="264" spans="22:26" x14ac:dyDescent="0.2">
      <c r="V264" s="123" t="str">
        <f t="shared" si="14"/>
        <v>1D</v>
      </c>
      <c r="W264" s="82">
        <f>_xll.qlCalendarAdvance(Calendar,W263,V264,"f",FALSE)</f>
        <v>42235</v>
      </c>
      <c r="X264" s="91">
        <f>_xll.qlCalendarAdvance(Calendar,W264,NDays&amp;"D")</f>
        <v>42235</v>
      </c>
      <c r="Y264" s="92" t="e">
        <v>#N/A</v>
      </c>
      <c r="Z264" s="94">
        <v>4.6696975662308127E-3</v>
      </c>
    </row>
    <row r="265" spans="22:26" x14ac:dyDescent="0.2">
      <c r="V265" s="123" t="str">
        <f t="shared" si="14"/>
        <v>1D</v>
      </c>
      <c r="W265" s="82">
        <f>_xll.qlCalendarAdvance(Calendar,W264,V265,"f",FALSE)</f>
        <v>42236</v>
      </c>
      <c r="X265" s="91">
        <f>_xll.qlCalendarAdvance(Calendar,W265,NDays&amp;"D")</f>
        <v>42236</v>
      </c>
      <c r="Y265" s="92" t="e">
        <v>#N/A</v>
      </c>
      <c r="Z265" s="94">
        <v>4.6714217839538552E-3</v>
      </c>
    </row>
    <row r="266" spans="22:26" x14ac:dyDescent="0.2">
      <c r="V266" s="123" t="str">
        <f t="shared" si="14"/>
        <v>1D</v>
      </c>
      <c r="W266" s="82">
        <f>_xll.qlCalendarAdvance(Calendar,W265,V266,"f",FALSE)</f>
        <v>42237</v>
      </c>
      <c r="X266" s="91">
        <f>_xll.qlCalendarAdvance(Calendar,W266,NDays&amp;"D")</f>
        <v>42237</v>
      </c>
      <c r="Y266" s="92" t="e">
        <v>#N/A</v>
      </c>
      <c r="Z266" s="94">
        <v>4.6742116523697721E-3</v>
      </c>
    </row>
    <row r="267" spans="22:26" x14ac:dyDescent="0.2">
      <c r="V267" s="123" t="str">
        <f t="shared" si="14"/>
        <v>1D</v>
      </c>
      <c r="W267" s="82">
        <f>_xll.qlCalendarAdvance(Calendar,W266,V267,"f",FALSE)</f>
        <v>42240</v>
      </c>
      <c r="X267" s="91">
        <f>_xll.qlCalendarAdvance(Calendar,W267,NDays&amp;"D")</f>
        <v>42240</v>
      </c>
      <c r="Y267" s="92" t="e">
        <v>#N/A</v>
      </c>
      <c r="Z267" s="94">
        <v>4.6761633828340532E-3</v>
      </c>
    </row>
    <row r="268" spans="22:26" x14ac:dyDescent="0.2">
      <c r="V268" s="123" t="str">
        <f t="shared" si="14"/>
        <v>1D</v>
      </c>
      <c r="W268" s="82">
        <f>_xll.qlCalendarAdvance(Calendar,W267,V268,"f",FALSE)</f>
        <v>42241</v>
      </c>
      <c r="X268" s="91">
        <f>_xll.qlCalendarAdvance(Calendar,W268,NDays&amp;"D")</f>
        <v>42241</v>
      </c>
      <c r="Y268" s="92" t="e">
        <v>#N/A</v>
      </c>
      <c r="Z268" s="94">
        <v>4.6768099644700634E-3</v>
      </c>
    </row>
    <row r="269" spans="22:26" x14ac:dyDescent="0.2">
      <c r="V269" s="123" t="str">
        <f t="shared" si="14"/>
        <v>1D</v>
      </c>
      <c r="W269" s="82">
        <f>_xll.qlCalendarAdvance(Calendar,W268,V269,"f",FALSE)</f>
        <v>42242</v>
      </c>
      <c r="X269" s="91">
        <f>_xll.qlCalendarAdvance(Calendar,W269,NDays&amp;"D")</f>
        <v>42242</v>
      </c>
      <c r="Y269" s="92" t="e">
        <v>#N/A</v>
      </c>
      <c r="Z269" s="94">
        <v>4.6772410190021318E-3</v>
      </c>
    </row>
    <row r="270" spans="22:26" x14ac:dyDescent="0.2">
      <c r="V270" s="123" t="str">
        <f t="shared" si="14"/>
        <v>1D</v>
      </c>
      <c r="W270" s="82">
        <f>_xll.qlCalendarAdvance(Calendar,W269,V270,"f",FALSE)</f>
        <v>42243</v>
      </c>
      <c r="X270" s="91">
        <f>_xll.qlCalendarAdvance(Calendar,W270,NDays&amp;"D")</f>
        <v>42243</v>
      </c>
      <c r="Y270" s="92" t="e">
        <v>#N/A</v>
      </c>
      <c r="Z270" s="94">
        <v>4.6774565461871198E-3</v>
      </c>
    </row>
    <row r="271" spans="22:26" x14ac:dyDescent="0.2">
      <c r="V271" s="123" t="str">
        <f t="shared" si="14"/>
        <v>1D</v>
      </c>
      <c r="W271" s="82">
        <f>_xll.qlCalendarAdvance(Calendar,W270,V271,"f",FALSE)</f>
        <v>42244</v>
      </c>
      <c r="X271" s="91">
        <f>_xll.qlCalendarAdvance(Calendar,W271,NDays&amp;"D")</f>
        <v>42244</v>
      </c>
      <c r="Y271" s="92" t="e">
        <v>#N/A</v>
      </c>
      <c r="Z271" s="94" t="e">
        <v>#N/A</v>
      </c>
    </row>
    <row r="272" spans="22:26" x14ac:dyDescent="0.2">
      <c r="V272" s="123" t="str">
        <f t="shared" si="14"/>
        <v>1D</v>
      </c>
      <c r="W272" s="82">
        <f>_xll.qlCalendarAdvance(Calendar,W271,V272,"f",FALSE)</f>
        <v>42247</v>
      </c>
      <c r="X272" s="91">
        <f>_xll.qlCalendarAdvance(Calendar,W272,NDays&amp;"D")</f>
        <v>42247</v>
      </c>
      <c r="Y272" s="92" t="e">
        <v>#N/A</v>
      </c>
      <c r="Z272" s="94" t="e">
        <v>#N/A</v>
      </c>
    </row>
    <row r="273" spans="22:26" x14ac:dyDescent="0.2">
      <c r="V273" s="123" t="str">
        <f t="shared" si="14"/>
        <v>1D</v>
      </c>
      <c r="W273" s="82">
        <f>_xll.qlCalendarAdvance(Calendar,W272,V273,"f",FALSE)</f>
        <v>42248</v>
      </c>
      <c r="X273" s="91">
        <f>_xll.qlCalendarAdvance(Calendar,W273,NDays&amp;"D")</f>
        <v>42248</v>
      </c>
      <c r="Y273" s="92" t="e">
        <v>#N/A</v>
      </c>
      <c r="Z273" s="94" t="e">
        <v>#N/A</v>
      </c>
    </row>
    <row r="274" spans="22:26" x14ac:dyDescent="0.2">
      <c r="V274" s="123" t="str">
        <f t="shared" si="14"/>
        <v>1D</v>
      </c>
      <c r="W274" s="82">
        <f>_xll.qlCalendarAdvance(Calendar,W273,V274,"f",FALSE)</f>
        <v>42249</v>
      </c>
      <c r="X274" s="91">
        <f>_xll.qlCalendarAdvance(Calendar,W274,NDays&amp;"D")</f>
        <v>42249</v>
      </c>
      <c r="Y274" s="92" t="e">
        <v>#N/A</v>
      </c>
      <c r="Z274" s="94" t="e">
        <v>#N/A</v>
      </c>
    </row>
    <row r="275" spans="22:26" x14ac:dyDescent="0.2">
      <c r="V275" s="123" t="str">
        <f t="shared" si="14"/>
        <v>1D</v>
      </c>
      <c r="W275" s="82">
        <f>_xll.qlCalendarAdvance(Calendar,W274,V275,"f",FALSE)</f>
        <v>42250</v>
      </c>
      <c r="X275" s="91">
        <f>_xll.qlCalendarAdvance(Calendar,W275,NDays&amp;"D")</f>
        <v>42250</v>
      </c>
      <c r="Y275" s="92" t="e">
        <v>#N/A</v>
      </c>
      <c r="Z275" s="94" t="e">
        <v>#N/A</v>
      </c>
    </row>
    <row r="276" spans="22:26" x14ac:dyDescent="0.2">
      <c r="V276" s="123" t="str">
        <f t="shared" si="14"/>
        <v>1D</v>
      </c>
      <c r="W276" s="82">
        <f>_xll.qlCalendarAdvance(Calendar,W275,V276,"f",FALSE)</f>
        <v>42251</v>
      </c>
      <c r="X276" s="91">
        <f>_xll.qlCalendarAdvance(Calendar,W276,NDays&amp;"D")</f>
        <v>42251</v>
      </c>
      <c r="Y276" s="92" t="e">
        <v>#N/A</v>
      </c>
      <c r="Z276" s="94" t="e">
        <v>#N/A</v>
      </c>
    </row>
    <row r="277" spans="22:26" x14ac:dyDescent="0.2">
      <c r="V277" s="123" t="str">
        <f t="shared" ref="V277:V340" si="15">V276</f>
        <v>1D</v>
      </c>
      <c r="W277" s="82">
        <f>_xll.qlCalendarAdvance(Calendar,W276,V277,"f",FALSE)</f>
        <v>42254</v>
      </c>
      <c r="X277" s="91">
        <f>_xll.qlCalendarAdvance(Calendar,W277,NDays&amp;"D")</f>
        <v>42254</v>
      </c>
      <c r="Y277" s="92" t="e">
        <v>#N/A</v>
      </c>
      <c r="Z277" s="94" t="e">
        <v>#N/A</v>
      </c>
    </row>
    <row r="278" spans="22:26" x14ac:dyDescent="0.2">
      <c r="V278" s="123" t="str">
        <f t="shared" si="15"/>
        <v>1D</v>
      </c>
      <c r="W278" s="82">
        <f>_xll.qlCalendarAdvance(Calendar,W277,V278,"f",FALSE)</f>
        <v>42255</v>
      </c>
      <c r="X278" s="91">
        <f>_xll.qlCalendarAdvance(Calendar,W278,NDays&amp;"D")</f>
        <v>42255</v>
      </c>
      <c r="Y278" s="92" t="e">
        <v>#N/A</v>
      </c>
      <c r="Z278" s="94" t="e">
        <v>#N/A</v>
      </c>
    </row>
    <row r="279" spans="22:26" x14ac:dyDescent="0.2">
      <c r="V279" s="123" t="str">
        <f t="shared" si="15"/>
        <v>1D</v>
      </c>
      <c r="W279" s="82">
        <f>_xll.qlCalendarAdvance(Calendar,W278,V279,"f",FALSE)</f>
        <v>42256</v>
      </c>
      <c r="X279" s="91">
        <f>_xll.qlCalendarAdvance(Calendar,W279,NDays&amp;"D")</f>
        <v>42256</v>
      </c>
      <c r="Y279" s="92" t="e">
        <v>#N/A</v>
      </c>
      <c r="Z279" s="94" t="e">
        <v>#N/A</v>
      </c>
    </row>
    <row r="280" spans="22:26" x14ac:dyDescent="0.2">
      <c r="V280" s="123" t="str">
        <f t="shared" si="15"/>
        <v>1D</v>
      </c>
      <c r="W280" s="82">
        <f>_xll.qlCalendarAdvance(Calendar,W279,V280,"f",FALSE)</f>
        <v>42257</v>
      </c>
      <c r="X280" s="91">
        <f>_xll.qlCalendarAdvance(Calendar,W280,NDays&amp;"D")</f>
        <v>42257</v>
      </c>
      <c r="Y280" s="92" t="e">
        <v>#N/A</v>
      </c>
      <c r="Z280" s="94" t="e">
        <v>#N/A</v>
      </c>
    </row>
    <row r="281" spans="22:26" x14ac:dyDescent="0.2">
      <c r="V281" s="123" t="str">
        <f t="shared" si="15"/>
        <v>1D</v>
      </c>
      <c r="W281" s="82">
        <f>_xll.qlCalendarAdvance(Calendar,W280,V281,"f",FALSE)</f>
        <v>42258</v>
      </c>
      <c r="X281" s="91">
        <f>_xll.qlCalendarAdvance(Calendar,W281,NDays&amp;"D")</f>
        <v>42258</v>
      </c>
      <c r="Y281" s="92" t="e">
        <v>#N/A</v>
      </c>
      <c r="Z281" s="94" t="e">
        <v>#N/A</v>
      </c>
    </row>
    <row r="282" spans="22:26" x14ac:dyDescent="0.2">
      <c r="V282" s="123" t="str">
        <f t="shared" si="15"/>
        <v>1D</v>
      </c>
      <c r="W282" s="82">
        <f>_xll.qlCalendarAdvance(Calendar,W281,V282,"f",FALSE)</f>
        <v>42261</v>
      </c>
      <c r="X282" s="91">
        <f>_xll.qlCalendarAdvance(Calendar,W282,NDays&amp;"D")</f>
        <v>42261</v>
      </c>
      <c r="Y282" s="92" t="e">
        <v>#N/A</v>
      </c>
      <c r="Z282" s="94" t="e">
        <v>#N/A</v>
      </c>
    </row>
    <row r="283" spans="22:26" x14ac:dyDescent="0.2">
      <c r="V283" s="123" t="str">
        <f t="shared" si="15"/>
        <v>1D</v>
      </c>
      <c r="W283" s="82">
        <f>_xll.qlCalendarAdvance(Calendar,W282,V283,"f",FALSE)</f>
        <v>42262</v>
      </c>
      <c r="X283" s="91">
        <f>_xll.qlCalendarAdvance(Calendar,W283,NDays&amp;"D")</f>
        <v>42262</v>
      </c>
      <c r="Y283" s="92" t="e">
        <v>#N/A</v>
      </c>
      <c r="Z283" s="94" t="e">
        <v>#N/A</v>
      </c>
    </row>
    <row r="284" spans="22:26" x14ac:dyDescent="0.2">
      <c r="V284" s="123" t="str">
        <f t="shared" si="15"/>
        <v>1D</v>
      </c>
      <c r="W284" s="82">
        <f>_xll.qlCalendarAdvance(Calendar,W283,V284,"f",FALSE)</f>
        <v>42263</v>
      </c>
      <c r="X284" s="91">
        <f>_xll.qlCalendarAdvance(Calendar,W284,NDays&amp;"D")</f>
        <v>42263</v>
      </c>
      <c r="Y284" s="92" t="e">
        <v>#N/A</v>
      </c>
      <c r="Z284" s="94" t="e">
        <v>#N/A</v>
      </c>
    </row>
    <row r="285" spans="22:26" x14ac:dyDescent="0.2">
      <c r="V285" s="123" t="str">
        <f t="shared" si="15"/>
        <v>1D</v>
      </c>
      <c r="W285" s="82">
        <f>_xll.qlCalendarAdvance(Calendar,W284,V285,"f",FALSE)</f>
        <v>42264</v>
      </c>
      <c r="X285" s="91">
        <f>_xll.qlCalendarAdvance(Calendar,W285,NDays&amp;"D")</f>
        <v>42264</v>
      </c>
      <c r="Y285" s="92" t="e">
        <v>#N/A</v>
      </c>
      <c r="Z285" s="94" t="e">
        <v>#N/A</v>
      </c>
    </row>
    <row r="286" spans="22:26" x14ac:dyDescent="0.2">
      <c r="V286" s="123" t="str">
        <f t="shared" si="15"/>
        <v>1D</v>
      </c>
      <c r="W286" s="82">
        <f>_xll.qlCalendarAdvance(Calendar,W285,V286,"f",FALSE)</f>
        <v>42265</v>
      </c>
      <c r="X286" s="91">
        <f>_xll.qlCalendarAdvance(Calendar,W286,NDays&amp;"D")</f>
        <v>42265</v>
      </c>
      <c r="Y286" s="92" t="e">
        <v>#N/A</v>
      </c>
      <c r="Z286" s="94" t="e">
        <v>#N/A</v>
      </c>
    </row>
    <row r="287" spans="22:26" x14ac:dyDescent="0.2">
      <c r="V287" s="123" t="str">
        <f t="shared" si="15"/>
        <v>1D</v>
      </c>
      <c r="W287" s="82">
        <f>_xll.qlCalendarAdvance(Calendar,W286,V287,"f",FALSE)</f>
        <v>42268</v>
      </c>
      <c r="X287" s="91">
        <f>_xll.qlCalendarAdvance(Calendar,W287,NDays&amp;"D")</f>
        <v>42268</v>
      </c>
      <c r="Y287" s="92" t="e">
        <v>#N/A</v>
      </c>
      <c r="Z287" s="94" t="e">
        <v>#N/A</v>
      </c>
    </row>
    <row r="288" spans="22:26" x14ac:dyDescent="0.2">
      <c r="V288" s="123" t="str">
        <f t="shared" si="15"/>
        <v>1D</v>
      </c>
      <c r="W288" s="82">
        <f>_xll.qlCalendarAdvance(Calendar,W287,V288,"f",FALSE)</f>
        <v>42269</v>
      </c>
      <c r="X288" s="91">
        <f>_xll.qlCalendarAdvance(Calendar,W288,NDays&amp;"D")</f>
        <v>42269</v>
      </c>
      <c r="Y288" s="92" t="e">
        <v>#N/A</v>
      </c>
      <c r="Z288" s="94" t="e">
        <v>#N/A</v>
      </c>
    </row>
    <row r="289" spans="22:26" x14ac:dyDescent="0.2">
      <c r="V289" s="123" t="str">
        <f t="shared" si="15"/>
        <v>1D</v>
      </c>
      <c r="W289" s="82">
        <f>_xll.qlCalendarAdvance(Calendar,W288,V289,"f",FALSE)</f>
        <v>42270</v>
      </c>
      <c r="X289" s="91">
        <f>_xll.qlCalendarAdvance(Calendar,W289,NDays&amp;"D")</f>
        <v>42270</v>
      </c>
      <c r="Y289" s="92" t="e">
        <v>#N/A</v>
      </c>
      <c r="Z289" s="94" t="e">
        <v>#N/A</v>
      </c>
    </row>
    <row r="290" spans="22:26" x14ac:dyDescent="0.2">
      <c r="V290" s="123" t="str">
        <f t="shared" si="15"/>
        <v>1D</v>
      </c>
      <c r="W290" s="82">
        <f>_xll.qlCalendarAdvance(Calendar,W289,V290,"f",FALSE)</f>
        <v>42271</v>
      </c>
      <c r="X290" s="91">
        <f>_xll.qlCalendarAdvance(Calendar,W290,NDays&amp;"D")</f>
        <v>42271</v>
      </c>
      <c r="Y290" s="92" t="e">
        <v>#N/A</v>
      </c>
      <c r="Z290" s="94" t="e">
        <v>#N/A</v>
      </c>
    </row>
    <row r="291" spans="22:26" x14ac:dyDescent="0.2">
      <c r="V291" s="123" t="str">
        <f t="shared" si="15"/>
        <v>1D</v>
      </c>
      <c r="W291" s="82">
        <f>_xll.qlCalendarAdvance(Calendar,W290,V291,"f",FALSE)</f>
        <v>42272</v>
      </c>
      <c r="X291" s="91">
        <f>_xll.qlCalendarAdvance(Calendar,W291,NDays&amp;"D")</f>
        <v>42272</v>
      </c>
      <c r="Y291" s="92" t="e">
        <v>#N/A</v>
      </c>
      <c r="Z291" s="94" t="e">
        <v>#N/A</v>
      </c>
    </row>
    <row r="292" spans="22:26" x14ac:dyDescent="0.2">
      <c r="V292" s="123" t="str">
        <f t="shared" si="15"/>
        <v>1D</v>
      </c>
      <c r="W292" s="82">
        <f>_xll.qlCalendarAdvance(Calendar,W291,V292,"f",FALSE)</f>
        <v>42275</v>
      </c>
      <c r="X292" s="91">
        <f>_xll.qlCalendarAdvance(Calendar,W292,NDays&amp;"D")</f>
        <v>42275</v>
      </c>
      <c r="Y292" s="92" t="e">
        <v>#N/A</v>
      </c>
      <c r="Z292" s="94" t="e">
        <v>#N/A</v>
      </c>
    </row>
    <row r="293" spans="22:26" x14ac:dyDescent="0.2">
      <c r="V293" s="123" t="str">
        <f t="shared" si="15"/>
        <v>1D</v>
      </c>
      <c r="W293" s="82">
        <f>_xll.qlCalendarAdvance(Calendar,W292,V293,"f",FALSE)</f>
        <v>42276</v>
      </c>
      <c r="X293" s="91">
        <f>_xll.qlCalendarAdvance(Calendar,W293,NDays&amp;"D")</f>
        <v>42276</v>
      </c>
      <c r="Y293" s="92" t="e">
        <v>#N/A</v>
      </c>
      <c r="Z293" s="94" t="e">
        <v>#N/A</v>
      </c>
    </row>
    <row r="294" spans="22:26" x14ac:dyDescent="0.2">
      <c r="V294" s="123" t="str">
        <f t="shared" si="15"/>
        <v>1D</v>
      </c>
      <c r="W294" s="82">
        <f>_xll.qlCalendarAdvance(Calendar,W293,V294,"f",FALSE)</f>
        <v>42277</v>
      </c>
      <c r="X294" s="91">
        <f>_xll.qlCalendarAdvance(Calendar,W294,NDays&amp;"D")</f>
        <v>42277</v>
      </c>
      <c r="Y294" s="92" t="e">
        <v>#N/A</v>
      </c>
      <c r="Z294" s="94" t="e">
        <v>#N/A</v>
      </c>
    </row>
    <row r="295" spans="22:26" x14ac:dyDescent="0.2">
      <c r="V295" s="123" t="str">
        <f t="shared" si="15"/>
        <v>1D</v>
      </c>
      <c r="W295" s="82">
        <f>_xll.qlCalendarAdvance(Calendar,W294,V295,"f",FALSE)</f>
        <v>42279</v>
      </c>
      <c r="X295" s="91">
        <f>_xll.qlCalendarAdvance(Calendar,W295,NDays&amp;"D")</f>
        <v>42279</v>
      </c>
      <c r="Y295" s="92" t="e">
        <v>#N/A</v>
      </c>
      <c r="Z295" s="94" t="e">
        <v>#N/A</v>
      </c>
    </row>
    <row r="296" spans="22:26" x14ac:dyDescent="0.2">
      <c r="V296" s="123" t="str">
        <f t="shared" si="15"/>
        <v>1D</v>
      </c>
      <c r="W296" s="82">
        <f>_xll.qlCalendarAdvance(Calendar,W295,V296,"f",FALSE)</f>
        <v>42282</v>
      </c>
      <c r="X296" s="91">
        <f>_xll.qlCalendarAdvance(Calendar,W296,NDays&amp;"D")</f>
        <v>42282</v>
      </c>
      <c r="Y296" s="92" t="e">
        <v>#N/A</v>
      </c>
      <c r="Z296" s="94" t="e">
        <v>#N/A</v>
      </c>
    </row>
    <row r="297" spans="22:26" x14ac:dyDescent="0.2">
      <c r="V297" s="123" t="str">
        <f t="shared" si="15"/>
        <v>1D</v>
      </c>
      <c r="W297" s="82">
        <f>_xll.qlCalendarAdvance(Calendar,W296,V297,"f",FALSE)</f>
        <v>42283</v>
      </c>
      <c r="X297" s="91">
        <f>_xll.qlCalendarAdvance(Calendar,W297,NDays&amp;"D")</f>
        <v>42283</v>
      </c>
      <c r="Y297" s="92" t="e">
        <v>#N/A</v>
      </c>
      <c r="Z297" s="94" t="e">
        <v>#N/A</v>
      </c>
    </row>
    <row r="298" spans="22:26" x14ac:dyDescent="0.2">
      <c r="V298" s="123" t="str">
        <f t="shared" si="15"/>
        <v>1D</v>
      </c>
      <c r="W298" s="82">
        <f>_xll.qlCalendarAdvance(Calendar,W297,V298,"f",FALSE)</f>
        <v>42284</v>
      </c>
      <c r="X298" s="91">
        <f>_xll.qlCalendarAdvance(Calendar,W298,NDays&amp;"D")</f>
        <v>42284</v>
      </c>
      <c r="Y298" s="92" t="e">
        <v>#N/A</v>
      </c>
      <c r="Z298" s="94" t="e">
        <v>#N/A</v>
      </c>
    </row>
    <row r="299" spans="22:26" x14ac:dyDescent="0.2">
      <c r="V299" s="123" t="str">
        <f t="shared" si="15"/>
        <v>1D</v>
      </c>
      <c r="W299" s="82">
        <f>_xll.qlCalendarAdvance(Calendar,W298,V299,"f",FALSE)</f>
        <v>42285</v>
      </c>
      <c r="X299" s="91">
        <f>_xll.qlCalendarAdvance(Calendar,W299,NDays&amp;"D")</f>
        <v>42285</v>
      </c>
      <c r="Y299" s="92" t="e">
        <v>#N/A</v>
      </c>
      <c r="Z299" s="94" t="e">
        <v>#N/A</v>
      </c>
    </row>
    <row r="300" spans="22:26" x14ac:dyDescent="0.2">
      <c r="V300" s="123" t="str">
        <f t="shared" si="15"/>
        <v>1D</v>
      </c>
      <c r="W300" s="82">
        <f>_xll.qlCalendarAdvance(Calendar,W299,V300,"f",FALSE)</f>
        <v>42286</v>
      </c>
      <c r="X300" s="91">
        <f>_xll.qlCalendarAdvance(Calendar,W300,NDays&amp;"D")</f>
        <v>42286</v>
      </c>
      <c r="Y300" s="92" t="e">
        <v>#N/A</v>
      </c>
      <c r="Z300" s="94" t="e">
        <v>#N/A</v>
      </c>
    </row>
    <row r="301" spans="22:26" x14ac:dyDescent="0.2">
      <c r="V301" s="123" t="str">
        <f t="shared" si="15"/>
        <v>1D</v>
      </c>
      <c r="W301" s="82">
        <f>_xll.qlCalendarAdvance(Calendar,W300,V301,"f",FALSE)</f>
        <v>42289</v>
      </c>
      <c r="X301" s="91">
        <f>_xll.qlCalendarAdvance(Calendar,W301,NDays&amp;"D")</f>
        <v>42289</v>
      </c>
      <c r="Y301" s="92" t="e">
        <v>#N/A</v>
      </c>
      <c r="Z301" s="94" t="e">
        <v>#N/A</v>
      </c>
    </row>
    <row r="302" spans="22:26" x14ac:dyDescent="0.2">
      <c r="V302" s="123" t="str">
        <f t="shared" si="15"/>
        <v>1D</v>
      </c>
      <c r="W302" s="82">
        <f>_xll.qlCalendarAdvance(Calendar,W301,V302,"f",FALSE)</f>
        <v>42290</v>
      </c>
      <c r="X302" s="91">
        <f>_xll.qlCalendarAdvance(Calendar,W302,NDays&amp;"D")</f>
        <v>42290</v>
      </c>
      <c r="Y302" s="92" t="e">
        <v>#N/A</v>
      </c>
      <c r="Z302" s="94" t="e">
        <v>#N/A</v>
      </c>
    </row>
    <row r="303" spans="22:26" x14ac:dyDescent="0.2">
      <c r="V303" s="123" t="str">
        <f t="shared" si="15"/>
        <v>1D</v>
      </c>
      <c r="W303" s="82">
        <f>_xll.qlCalendarAdvance(Calendar,W302,V303,"f",FALSE)</f>
        <v>42291</v>
      </c>
      <c r="X303" s="91">
        <f>_xll.qlCalendarAdvance(Calendar,W303,NDays&amp;"D")</f>
        <v>42291</v>
      </c>
      <c r="Y303" s="92" t="e">
        <v>#N/A</v>
      </c>
      <c r="Z303" s="94" t="e">
        <v>#N/A</v>
      </c>
    </row>
    <row r="304" spans="22:26" x14ac:dyDescent="0.2">
      <c r="V304" s="123" t="str">
        <f t="shared" si="15"/>
        <v>1D</v>
      </c>
      <c r="W304" s="82">
        <f>_xll.qlCalendarAdvance(Calendar,W303,V304,"f",FALSE)</f>
        <v>42292</v>
      </c>
      <c r="X304" s="91">
        <f>_xll.qlCalendarAdvance(Calendar,W304,NDays&amp;"D")</f>
        <v>42292</v>
      </c>
      <c r="Y304" s="92" t="e">
        <v>#N/A</v>
      </c>
      <c r="Z304" s="94" t="e">
        <v>#N/A</v>
      </c>
    </row>
    <row r="305" spans="22:26" x14ac:dyDescent="0.2">
      <c r="V305" s="123" t="str">
        <f t="shared" si="15"/>
        <v>1D</v>
      </c>
      <c r="W305" s="82">
        <f>_xll.qlCalendarAdvance(Calendar,W304,V305,"f",FALSE)</f>
        <v>42293</v>
      </c>
      <c r="X305" s="91">
        <f>_xll.qlCalendarAdvance(Calendar,W305,NDays&amp;"D")</f>
        <v>42293</v>
      </c>
      <c r="Y305" s="92" t="e">
        <v>#N/A</v>
      </c>
      <c r="Z305" s="94" t="e">
        <v>#N/A</v>
      </c>
    </row>
    <row r="306" spans="22:26" x14ac:dyDescent="0.2">
      <c r="V306" s="123" t="str">
        <f t="shared" si="15"/>
        <v>1D</v>
      </c>
      <c r="W306" s="82">
        <f>_xll.qlCalendarAdvance(Calendar,W305,V306,"f",FALSE)</f>
        <v>42296</v>
      </c>
      <c r="X306" s="91">
        <f>_xll.qlCalendarAdvance(Calendar,W306,NDays&amp;"D")</f>
        <v>42296</v>
      </c>
      <c r="Y306" s="92" t="e">
        <v>#N/A</v>
      </c>
      <c r="Z306" s="94" t="e">
        <v>#N/A</v>
      </c>
    </row>
    <row r="307" spans="22:26" x14ac:dyDescent="0.2">
      <c r="V307" s="123" t="str">
        <f t="shared" si="15"/>
        <v>1D</v>
      </c>
      <c r="W307" s="82">
        <f>_xll.qlCalendarAdvance(Calendar,W306,V307,"f",FALSE)</f>
        <v>42297</v>
      </c>
      <c r="X307" s="91">
        <f>_xll.qlCalendarAdvance(Calendar,W307,NDays&amp;"D")</f>
        <v>42297</v>
      </c>
      <c r="Y307" s="92" t="e">
        <v>#N/A</v>
      </c>
      <c r="Z307" s="94" t="e">
        <v>#N/A</v>
      </c>
    </row>
    <row r="308" spans="22:26" x14ac:dyDescent="0.2">
      <c r="V308" s="123" t="str">
        <f t="shared" si="15"/>
        <v>1D</v>
      </c>
      <c r="W308" s="82">
        <f>_xll.qlCalendarAdvance(Calendar,W307,V308,"f",FALSE)</f>
        <v>42298</v>
      </c>
      <c r="X308" s="91">
        <f>_xll.qlCalendarAdvance(Calendar,W308,NDays&amp;"D")</f>
        <v>42298</v>
      </c>
      <c r="Y308" s="92" t="e">
        <v>#N/A</v>
      </c>
      <c r="Z308" s="94" t="e">
        <v>#N/A</v>
      </c>
    </row>
    <row r="309" spans="22:26" x14ac:dyDescent="0.2">
      <c r="V309" s="123" t="str">
        <f t="shared" si="15"/>
        <v>1D</v>
      </c>
      <c r="W309" s="82">
        <f>_xll.qlCalendarAdvance(Calendar,W308,V309,"f",FALSE)</f>
        <v>42299</v>
      </c>
      <c r="X309" s="91">
        <f>_xll.qlCalendarAdvance(Calendar,W309,NDays&amp;"D")</f>
        <v>42299</v>
      </c>
      <c r="Y309" s="92" t="e">
        <v>#N/A</v>
      </c>
      <c r="Z309" s="94" t="e">
        <v>#N/A</v>
      </c>
    </row>
    <row r="310" spans="22:26" x14ac:dyDescent="0.2">
      <c r="V310" s="123" t="str">
        <f t="shared" si="15"/>
        <v>1D</v>
      </c>
      <c r="W310" s="82">
        <f>_xll.qlCalendarAdvance(Calendar,W309,V310,"f",FALSE)</f>
        <v>42300</v>
      </c>
      <c r="X310" s="91">
        <f>_xll.qlCalendarAdvance(Calendar,W310,NDays&amp;"D")</f>
        <v>42300</v>
      </c>
      <c r="Y310" s="92" t="e">
        <v>#N/A</v>
      </c>
      <c r="Z310" s="94" t="e">
        <v>#N/A</v>
      </c>
    </row>
    <row r="311" spans="22:26" x14ac:dyDescent="0.2">
      <c r="V311" s="123" t="str">
        <f t="shared" si="15"/>
        <v>1D</v>
      </c>
      <c r="W311" s="82">
        <f>_xll.qlCalendarAdvance(Calendar,W310,V311,"f",FALSE)</f>
        <v>42303</v>
      </c>
      <c r="X311" s="91">
        <f>_xll.qlCalendarAdvance(Calendar,W311,NDays&amp;"D")</f>
        <v>42303</v>
      </c>
      <c r="Y311" s="92" t="e">
        <v>#N/A</v>
      </c>
      <c r="Z311" s="94" t="e">
        <v>#N/A</v>
      </c>
    </row>
    <row r="312" spans="22:26" x14ac:dyDescent="0.2">
      <c r="V312" s="123" t="str">
        <f t="shared" si="15"/>
        <v>1D</v>
      </c>
      <c r="W312" s="82">
        <f>_xll.qlCalendarAdvance(Calendar,W311,V312,"f",FALSE)</f>
        <v>42304</v>
      </c>
      <c r="X312" s="91">
        <f>_xll.qlCalendarAdvance(Calendar,W312,NDays&amp;"D")</f>
        <v>42304</v>
      </c>
      <c r="Y312" s="92" t="e">
        <v>#N/A</v>
      </c>
      <c r="Z312" s="94" t="e">
        <v>#N/A</v>
      </c>
    </row>
    <row r="313" spans="22:26" x14ac:dyDescent="0.2">
      <c r="V313" s="123" t="str">
        <f t="shared" si="15"/>
        <v>1D</v>
      </c>
      <c r="W313" s="82">
        <f>_xll.qlCalendarAdvance(Calendar,W312,V313,"f",FALSE)</f>
        <v>42305</v>
      </c>
      <c r="X313" s="91">
        <f>_xll.qlCalendarAdvance(Calendar,W313,NDays&amp;"D")</f>
        <v>42305</v>
      </c>
      <c r="Y313" s="92" t="e">
        <v>#N/A</v>
      </c>
      <c r="Z313" s="94" t="e">
        <v>#N/A</v>
      </c>
    </row>
    <row r="314" spans="22:26" x14ac:dyDescent="0.2">
      <c r="V314" s="123" t="str">
        <f t="shared" si="15"/>
        <v>1D</v>
      </c>
      <c r="W314" s="82">
        <f>_xll.qlCalendarAdvance(Calendar,W313,V314,"f",FALSE)</f>
        <v>42306</v>
      </c>
      <c r="X314" s="91">
        <f>_xll.qlCalendarAdvance(Calendar,W314,NDays&amp;"D")</f>
        <v>42306</v>
      </c>
      <c r="Y314" s="92" t="e">
        <v>#N/A</v>
      </c>
      <c r="Z314" s="94" t="e">
        <v>#N/A</v>
      </c>
    </row>
    <row r="315" spans="22:26" x14ac:dyDescent="0.2">
      <c r="V315" s="123" t="str">
        <f t="shared" si="15"/>
        <v>1D</v>
      </c>
      <c r="W315" s="82">
        <f>_xll.qlCalendarAdvance(Calendar,W314,V315,"f",FALSE)</f>
        <v>42307</v>
      </c>
      <c r="X315" s="91">
        <f>_xll.qlCalendarAdvance(Calendar,W315,NDays&amp;"D")</f>
        <v>42307</v>
      </c>
      <c r="Y315" s="92" t="e">
        <v>#N/A</v>
      </c>
      <c r="Z315" s="94" t="e">
        <v>#N/A</v>
      </c>
    </row>
    <row r="316" spans="22:26" x14ac:dyDescent="0.2">
      <c r="V316" s="123" t="str">
        <f t="shared" si="15"/>
        <v>1D</v>
      </c>
      <c r="W316" s="82">
        <f>_xll.qlCalendarAdvance(Calendar,W315,V316,"f",FALSE)</f>
        <v>42310</v>
      </c>
      <c r="X316" s="91">
        <f>_xll.qlCalendarAdvance(Calendar,W316,NDays&amp;"D")</f>
        <v>42310</v>
      </c>
      <c r="Y316" s="92" t="e">
        <v>#N/A</v>
      </c>
      <c r="Z316" s="94" t="e">
        <v>#N/A</v>
      </c>
    </row>
    <row r="317" spans="22:26" x14ac:dyDescent="0.2">
      <c r="V317" s="123" t="str">
        <f t="shared" si="15"/>
        <v>1D</v>
      </c>
      <c r="W317" s="82">
        <f>_xll.qlCalendarAdvance(Calendar,W316,V317,"f",FALSE)</f>
        <v>42311</v>
      </c>
      <c r="X317" s="91">
        <f>_xll.qlCalendarAdvance(Calendar,W317,NDays&amp;"D")</f>
        <v>42311</v>
      </c>
      <c r="Y317" s="92" t="e">
        <v>#N/A</v>
      </c>
      <c r="Z317" s="94" t="e">
        <v>#N/A</v>
      </c>
    </row>
    <row r="318" spans="22:26" x14ac:dyDescent="0.2">
      <c r="V318" s="123" t="str">
        <f t="shared" si="15"/>
        <v>1D</v>
      </c>
      <c r="W318" s="82">
        <f>_xll.qlCalendarAdvance(Calendar,W317,V318,"f",FALSE)</f>
        <v>42312</v>
      </c>
      <c r="X318" s="91">
        <f>_xll.qlCalendarAdvance(Calendar,W318,NDays&amp;"D")</f>
        <v>42312</v>
      </c>
      <c r="Y318" s="92" t="e">
        <v>#N/A</v>
      </c>
      <c r="Z318" s="94" t="e">
        <v>#N/A</v>
      </c>
    </row>
    <row r="319" spans="22:26" x14ac:dyDescent="0.2">
      <c r="V319" s="123" t="str">
        <f t="shared" si="15"/>
        <v>1D</v>
      </c>
      <c r="W319" s="82">
        <f>_xll.qlCalendarAdvance(Calendar,W318,V319,"f",FALSE)</f>
        <v>42313</v>
      </c>
      <c r="X319" s="91">
        <f>_xll.qlCalendarAdvance(Calendar,W319,NDays&amp;"D")</f>
        <v>42313</v>
      </c>
      <c r="Y319" s="92" t="e">
        <v>#N/A</v>
      </c>
      <c r="Z319" s="94" t="e">
        <v>#N/A</v>
      </c>
    </row>
    <row r="320" spans="22:26" x14ac:dyDescent="0.2">
      <c r="V320" s="123" t="str">
        <f t="shared" si="15"/>
        <v>1D</v>
      </c>
      <c r="W320" s="82">
        <f>_xll.qlCalendarAdvance(Calendar,W319,V320,"f",FALSE)</f>
        <v>42314</v>
      </c>
      <c r="X320" s="91">
        <f>_xll.qlCalendarAdvance(Calendar,W320,NDays&amp;"D")</f>
        <v>42314</v>
      </c>
      <c r="Y320" s="92" t="e">
        <v>#N/A</v>
      </c>
      <c r="Z320" s="94" t="e">
        <v>#N/A</v>
      </c>
    </row>
    <row r="321" spans="22:26" x14ac:dyDescent="0.2">
      <c r="V321" s="123" t="str">
        <f t="shared" si="15"/>
        <v>1D</v>
      </c>
      <c r="W321" s="82">
        <f>_xll.qlCalendarAdvance(Calendar,W320,V321,"f",FALSE)</f>
        <v>42317</v>
      </c>
      <c r="X321" s="91">
        <f>_xll.qlCalendarAdvance(Calendar,W321,NDays&amp;"D")</f>
        <v>42317</v>
      </c>
      <c r="Y321" s="92" t="e">
        <v>#N/A</v>
      </c>
      <c r="Z321" s="94" t="e">
        <v>#N/A</v>
      </c>
    </row>
    <row r="322" spans="22:26" x14ac:dyDescent="0.2">
      <c r="V322" s="123" t="str">
        <f t="shared" si="15"/>
        <v>1D</v>
      </c>
      <c r="W322" s="82">
        <f>_xll.qlCalendarAdvance(Calendar,W321,V322,"f",FALSE)</f>
        <v>42318</v>
      </c>
      <c r="X322" s="91">
        <f>_xll.qlCalendarAdvance(Calendar,W322,NDays&amp;"D")</f>
        <v>42318</v>
      </c>
      <c r="Y322" s="92" t="e">
        <v>#N/A</v>
      </c>
      <c r="Z322" s="94" t="e">
        <v>#N/A</v>
      </c>
    </row>
    <row r="323" spans="22:26" x14ac:dyDescent="0.2">
      <c r="V323" s="123" t="str">
        <f t="shared" si="15"/>
        <v>1D</v>
      </c>
      <c r="W323" s="82">
        <f>_xll.qlCalendarAdvance(Calendar,W322,V323,"f",FALSE)</f>
        <v>42319</v>
      </c>
      <c r="X323" s="91">
        <f>_xll.qlCalendarAdvance(Calendar,W323,NDays&amp;"D")</f>
        <v>42319</v>
      </c>
      <c r="Y323" s="92" t="e">
        <v>#N/A</v>
      </c>
      <c r="Z323" s="94" t="e">
        <v>#N/A</v>
      </c>
    </row>
    <row r="324" spans="22:26" x14ac:dyDescent="0.2">
      <c r="V324" s="123" t="str">
        <f t="shared" si="15"/>
        <v>1D</v>
      </c>
      <c r="W324" s="82">
        <f>_xll.qlCalendarAdvance(Calendar,W323,V324,"f",FALSE)</f>
        <v>42320</v>
      </c>
      <c r="X324" s="91">
        <f>_xll.qlCalendarAdvance(Calendar,W324,NDays&amp;"D")</f>
        <v>42320</v>
      </c>
      <c r="Y324" s="92" t="e">
        <v>#N/A</v>
      </c>
      <c r="Z324" s="94" t="e">
        <v>#N/A</v>
      </c>
    </row>
    <row r="325" spans="22:26" x14ac:dyDescent="0.2">
      <c r="V325" s="123" t="str">
        <f t="shared" si="15"/>
        <v>1D</v>
      </c>
      <c r="W325" s="82">
        <f>_xll.qlCalendarAdvance(Calendar,W324,V325,"f",FALSE)</f>
        <v>42321</v>
      </c>
      <c r="X325" s="91">
        <f>_xll.qlCalendarAdvance(Calendar,W325,NDays&amp;"D")</f>
        <v>42321</v>
      </c>
      <c r="Y325" s="92" t="e">
        <v>#N/A</v>
      </c>
      <c r="Z325" s="94" t="e">
        <v>#N/A</v>
      </c>
    </row>
    <row r="326" spans="22:26" x14ac:dyDescent="0.2">
      <c r="V326" s="123" t="str">
        <f t="shared" si="15"/>
        <v>1D</v>
      </c>
      <c r="W326" s="82">
        <f>_xll.qlCalendarAdvance(Calendar,W325,V326,"f",FALSE)</f>
        <v>42324</v>
      </c>
      <c r="X326" s="91">
        <f>_xll.qlCalendarAdvance(Calendar,W326,NDays&amp;"D")</f>
        <v>42324</v>
      </c>
      <c r="Y326" s="92" t="e">
        <v>#N/A</v>
      </c>
      <c r="Z326" s="94" t="e">
        <v>#N/A</v>
      </c>
    </row>
    <row r="327" spans="22:26" x14ac:dyDescent="0.2">
      <c r="V327" s="123" t="str">
        <f t="shared" si="15"/>
        <v>1D</v>
      </c>
      <c r="W327" s="82">
        <f>_xll.qlCalendarAdvance(Calendar,W326,V327,"f",FALSE)</f>
        <v>42325</v>
      </c>
      <c r="X327" s="91">
        <f>_xll.qlCalendarAdvance(Calendar,W327,NDays&amp;"D")</f>
        <v>42325</v>
      </c>
      <c r="Y327" s="92" t="e">
        <v>#N/A</v>
      </c>
      <c r="Z327" s="94" t="e">
        <v>#N/A</v>
      </c>
    </row>
    <row r="328" spans="22:26" x14ac:dyDescent="0.2">
      <c r="V328" s="123" t="str">
        <f t="shared" si="15"/>
        <v>1D</v>
      </c>
      <c r="W328" s="82">
        <f>_xll.qlCalendarAdvance(Calendar,W327,V328,"f",FALSE)</f>
        <v>42326</v>
      </c>
      <c r="X328" s="91">
        <f>_xll.qlCalendarAdvance(Calendar,W328,NDays&amp;"D")</f>
        <v>42326</v>
      </c>
      <c r="Y328" s="92" t="e">
        <v>#N/A</v>
      </c>
      <c r="Z328" s="94" t="e">
        <v>#N/A</v>
      </c>
    </row>
    <row r="329" spans="22:26" x14ac:dyDescent="0.2">
      <c r="V329" s="123" t="str">
        <f t="shared" si="15"/>
        <v>1D</v>
      </c>
      <c r="W329" s="82">
        <f>_xll.qlCalendarAdvance(Calendar,W328,V329,"f",FALSE)</f>
        <v>42327</v>
      </c>
      <c r="X329" s="91">
        <f>_xll.qlCalendarAdvance(Calendar,W329,NDays&amp;"D")</f>
        <v>42327</v>
      </c>
      <c r="Y329" s="92" t="e">
        <v>#N/A</v>
      </c>
      <c r="Z329" s="94" t="e">
        <v>#N/A</v>
      </c>
    </row>
    <row r="330" spans="22:26" x14ac:dyDescent="0.2">
      <c r="V330" s="123" t="str">
        <f t="shared" si="15"/>
        <v>1D</v>
      </c>
      <c r="W330" s="82">
        <f>_xll.qlCalendarAdvance(Calendar,W329,V330,"f",FALSE)</f>
        <v>42328</v>
      </c>
      <c r="X330" s="91">
        <f>_xll.qlCalendarAdvance(Calendar,W330,NDays&amp;"D")</f>
        <v>42328</v>
      </c>
      <c r="Y330" s="92" t="e">
        <v>#N/A</v>
      </c>
      <c r="Z330" s="94" t="e">
        <v>#N/A</v>
      </c>
    </row>
    <row r="331" spans="22:26" x14ac:dyDescent="0.2">
      <c r="V331" s="123" t="str">
        <f t="shared" si="15"/>
        <v>1D</v>
      </c>
      <c r="W331" s="82">
        <f>_xll.qlCalendarAdvance(Calendar,W330,V331,"f",FALSE)</f>
        <v>42331</v>
      </c>
      <c r="X331" s="91">
        <f>_xll.qlCalendarAdvance(Calendar,W331,NDays&amp;"D")</f>
        <v>42331</v>
      </c>
      <c r="Y331" s="92" t="e">
        <v>#N/A</v>
      </c>
      <c r="Z331" s="94" t="e">
        <v>#N/A</v>
      </c>
    </row>
    <row r="332" spans="22:26" x14ac:dyDescent="0.2">
      <c r="V332" s="123" t="str">
        <f t="shared" si="15"/>
        <v>1D</v>
      </c>
      <c r="W332" s="82">
        <f>_xll.qlCalendarAdvance(Calendar,W331,V332,"f",FALSE)</f>
        <v>42332</v>
      </c>
      <c r="X332" s="91">
        <f>_xll.qlCalendarAdvance(Calendar,W332,NDays&amp;"D")</f>
        <v>42332</v>
      </c>
      <c r="Y332" s="92" t="e">
        <v>#N/A</v>
      </c>
      <c r="Z332" s="94" t="e">
        <v>#N/A</v>
      </c>
    </row>
    <row r="333" spans="22:26" x14ac:dyDescent="0.2">
      <c r="V333" s="123" t="str">
        <f t="shared" si="15"/>
        <v>1D</v>
      </c>
      <c r="W333" s="82">
        <f>_xll.qlCalendarAdvance(Calendar,W332,V333,"f",FALSE)</f>
        <v>42333</v>
      </c>
      <c r="X333" s="91">
        <f>_xll.qlCalendarAdvance(Calendar,W333,NDays&amp;"D")</f>
        <v>42333</v>
      </c>
      <c r="Y333" s="92" t="e">
        <v>#N/A</v>
      </c>
      <c r="Z333" s="94" t="e">
        <v>#N/A</v>
      </c>
    </row>
    <row r="334" spans="22:26" x14ac:dyDescent="0.2">
      <c r="V334" s="123" t="str">
        <f t="shared" si="15"/>
        <v>1D</v>
      </c>
      <c r="W334" s="82">
        <f>_xll.qlCalendarAdvance(Calendar,W333,V334,"f",FALSE)</f>
        <v>42334</v>
      </c>
      <c r="X334" s="91">
        <f>_xll.qlCalendarAdvance(Calendar,W334,NDays&amp;"D")</f>
        <v>42334</v>
      </c>
      <c r="Y334" s="92" t="e">
        <v>#N/A</v>
      </c>
      <c r="Z334" s="94" t="e">
        <v>#N/A</v>
      </c>
    </row>
    <row r="335" spans="22:26" x14ac:dyDescent="0.2">
      <c r="V335" s="123" t="str">
        <f t="shared" si="15"/>
        <v>1D</v>
      </c>
      <c r="W335" s="82">
        <f>_xll.qlCalendarAdvance(Calendar,W334,V335,"f",FALSE)</f>
        <v>42335</v>
      </c>
      <c r="X335" s="91">
        <f>_xll.qlCalendarAdvance(Calendar,W335,NDays&amp;"D")</f>
        <v>42335</v>
      </c>
      <c r="Y335" s="92" t="e">
        <v>#N/A</v>
      </c>
      <c r="Z335" s="94" t="e">
        <v>#N/A</v>
      </c>
    </row>
    <row r="336" spans="22:26" x14ac:dyDescent="0.2">
      <c r="V336" s="123" t="str">
        <f t="shared" si="15"/>
        <v>1D</v>
      </c>
      <c r="W336" s="82">
        <f>_xll.qlCalendarAdvance(Calendar,W335,V336,"f",FALSE)</f>
        <v>42338</v>
      </c>
      <c r="X336" s="91">
        <f>_xll.qlCalendarAdvance(Calendar,W336,NDays&amp;"D")</f>
        <v>42338</v>
      </c>
      <c r="Y336" s="92" t="e">
        <v>#N/A</v>
      </c>
      <c r="Z336" s="94" t="e">
        <v>#N/A</v>
      </c>
    </row>
    <row r="337" spans="22:26" x14ac:dyDescent="0.2">
      <c r="V337" s="123" t="str">
        <f t="shared" si="15"/>
        <v>1D</v>
      </c>
      <c r="W337" s="82">
        <f>_xll.qlCalendarAdvance(Calendar,W336,V337,"f",FALSE)</f>
        <v>42339</v>
      </c>
      <c r="X337" s="91">
        <f>_xll.qlCalendarAdvance(Calendar,W337,NDays&amp;"D")</f>
        <v>42339</v>
      </c>
      <c r="Y337" s="92" t="e">
        <v>#N/A</v>
      </c>
      <c r="Z337" s="94" t="e">
        <v>#N/A</v>
      </c>
    </row>
    <row r="338" spans="22:26" x14ac:dyDescent="0.2">
      <c r="V338" s="123" t="str">
        <f t="shared" si="15"/>
        <v>1D</v>
      </c>
      <c r="W338" s="82">
        <f>_xll.qlCalendarAdvance(Calendar,W337,V338,"f",FALSE)</f>
        <v>42340</v>
      </c>
      <c r="X338" s="91">
        <f>_xll.qlCalendarAdvance(Calendar,W338,NDays&amp;"D")</f>
        <v>42340</v>
      </c>
      <c r="Y338" s="92" t="e">
        <v>#N/A</v>
      </c>
      <c r="Z338" s="94" t="e">
        <v>#N/A</v>
      </c>
    </row>
    <row r="339" spans="22:26" x14ac:dyDescent="0.2">
      <c r="V339" s="123" t="str">
        <f t="shared" si="15"/>
        <v>1D</v>
      </c>
      <c r="W339" s="82">
        <f>_xll.qlCalendarAdvance(Calendar,W338,V339,"f",FALSE)</f>
        <v>42341</v>
      </c>
      <c r="X339" s="91">
        <f>_xll.qlCalendarAdvance(Calendar,W339,NDays&amp;"D")</f>
        <v>42341</v>
      </c>
      <c r="Y339" s="92" t="e">
        <v>#N/A</v>
      </c>
      <c r="Z339" s="94" t="e">
        <v>#N/A</v>
      </c>
    </row>
    <row r="340" spans="22:26" x14ac:dyDescent="0.2">
      <c r="V340" s="123" t="str">
        <f t="shared" si="15"/>
        <v>1D</v>
      </c>
      <c r="W340" s="82">
        <f>_xll.qlCalendarAdvance(Calendar,W339,V340,"f",FALSE)</f>
        <v>42342</v>
      </c>
      <c r="X340" s="91">
        <f>_xll.qlCalendarAdvance(Calendar,W340,NDays&amp;"D")</f>
        <v>42342</v>
      </c>
      <c r="Y340" s="92" t="e">
        <v>#N/A</v>
      </c>
      <c r="Z340" s="94" t="e">
        <v>#N/A</v>
      </c>
    </row>
    <row r="341" spans="22:26" x14ac:dyDescent="0.2">
      <c r="V341" s="123" t="str">
        <f t="shared" ref="V341:V404" si="16">V340</f>
        <v>1D</v>
      </c>
      <c r="W341" s="82">
        <f>_xll.qlCalendarAdvance(Calendar,W340,V341,"f",FALSE)</f>
        <v>42345</v>
      </c>
      <c r="X341" s="91">
        <f>_xll.qlCalendarAdvance(Calendar,W341,NDays&amp;"D")</f>
        <v>42345</v>
      </c>
      <c r="Y341" s="92" t="e">
        <v>#N/A</v>
      </c>
      <c r="Z341" s="94" t="e">
        <v>#N/A</v>
      </c>
    </row>
    <row r="342" spans="22:26" x14ac:dyDescent="0.2">
      <c r="V342" s="123" t="str">
        <f t="shared" si="16"/>
        <v>1D</v>
      </c>
      <c r="W342" s="82">
        <f>_xll.qlCalendarAdvance(Calendar,W341,V342,"f",FALSE)</f>
        <v>42346</v>
      </c>
      <c r="X342" s="91">
        <f>_xll.qlCalendarAdvance(Calendar,W342,NDays&amp;"D")</f>
        <v>42346</v>
      </c>
      <c r="Y342" s="92" t="e">
        <v>#N/A</v>
      </c>
      <c r="Z342" s="94" t="e">
        <v>#N/A</v>
      </c>
    </row>
    <row r="343" spans="22:26" x14ac:dyDescent="0.2">
      <c r="V343" s="123" t="str">
        <f t="shared" si="16"/>
        <v>1D</v>
      </c>
      <c r="W343" s="82">
        <f>_xll.qlCalendarAdvance(Calendar,W342,V343,"f",FALSE)</f>
        <v>42347</v>
      </c>
      <c r="X343" s="91">
        <f>_xll.qlCalendarAdvance(Calendar,W343,NDays&amp;"D")</f>
        <v>42347</v>
      </c>
      <c r="Y343" s="92" t="e">
        <v>#N/A</v>
      </c>
      <c r="Z343" s="94" t="e">
        <v>#N/A</v>
      </c>
    </row>
    <row r="344" spans="22:26" x14ac:dyDescent="0.2">
      <c r="V344" s="123" t="str">
        <f t="shared" si="16"/>
        <v>1D</v>
      </c>
      <c r="W344" s="82">
        <f>_xll.qlCalendarAdvance(Calendar,W343,V344,"f",FALSE)</f>
        <v>42348</v>
      </c>
      <c r="X344" s="91">
        <f>_xll.qlCalendarAdvance(Calendar,W344,NDays&amp;"D")</f>
        <v>42348</v>
      </c>
      <c r="Y344" s="92" t="e">
        <v>#N/A</v>
      </c>
      <c r="Z344" s="94" t="e">
        <v>#N/A</v>
      </c>
    </row>
    <row r="345" spans="22:26" x14ac:dyDescent="0.2">
      <c r="V345" s="123" t="str">
        <f t="shared" si="16"/>
        <v>1D</v>
      </c>
      <c r="W345" s="82">
        <f>_xll.qlCalendarAdvance(Calendar,W344,V345,"f",FALSE)</f>
        <v>42349</v>
      </c>
      <c r="X345" s="91">
        <f>_xll.qlCalendarAdvance(Calendar,W345,NDays&amp;"D")</f>
        <v>42349</v>
      </c>
      <c r="Y345" s="92" t="e">
        <v>#N/A</v>
      </c>
      <c r="Z345" s="94" t="e">
        <v>#N/A</v>
      </c>
    </row>
    <row r="346" spans="22:26" x14ac:dyDescent="0.2">
      <c r="V346" s="123" t="str">
        <f t="shared" si="16"/>
        <v>1D</v>
      </c>
      <c r="W346" s="82">
        <f>_xll.qlCalendarAdvance(Calendar,W345,V346,"f",FALSE)</f>
        <v>42352</v>
      </c>
      <c r="X346" s="91">
        <f>_xll.qlCalendarAdvance(Calendar,W346,NDays&amp;"D")</f>
        <v>42352</v>
      </c>
      <c r="Y346" s="92" t="e">
        <v>#N/A</v>
      </c>
      <c r="Z346" s="94" t="e">
        <v>#N/A</v>
      </c>
    </row>
    <row r="347" spans="22:26" x14ac:dyDescent="0.2">
      <c r="V347" s="123" t="str">
        <f t="shared" si="16"/>
        <v>1D</v>
      </c>
      <c r="W347" s="82">
        <f>_xll.qlCalendarAdvance(Calendar,W346,V347,"f",FALSE)</f>
        <v>42353</v>
      </c>
      <c r="X347" s="91">
        <f>_xll.qlCalendarAdvance(Calendar,W347,NDays&amp;"D")</f>
        <v>42353</v>
      </c>
      <c r="Y347" s="92" t="e">
        <v>#N/A</v>
      </c>
      <c r="Z347" s="94" t="e">
        <v>#N/A</v>
      </c>
    </row>
    <row r="348" spans="22:26" x14ac:dyDescent="0.2">
      <c r="V348" s="123" t="str">
        <f t="shared" si="16"/>
        <v>1D</v>
      </c>
      <c r="W348" s="82">
        <f>_xll.qlCalendarAdvance(Calendar,W347,V348,"f",FALSE)</f>
        <v>42354</v>
      </c>
      <c r="X348" s="91">
        <f>_xll.qlCalendarAdvance(Calendar,W348,NDays&amp;"D")</f>
        <v>42354</v>
      </c>
      <c r="Y348" s="92" t="e">
        <v>#N/A</v>
      </c>
      <c r="Z348" s="94" t="e">
        <v>#N/A</v>
      </c>
    </row>
    <row r="349" spans="22:26" x14ac:dyDescent="0.2">
      <c r="V349" s="123" t="str">
        <f t="shared" si="16"/>
        <v>1D</v>
      </c>
      <c r="W349" s="82">
        <f>_xll.qlCalendarAdvance(Calendar,W348,V349,"f",FALSE)</f>
        <v>42355</v>
      </c>
      <c r="X349" s="91">
        <f>_xll.qlCalendarAdvance(Calendar,W349,NDays&amp;"D")</f>
        <v>42355</v>
      </c>
      <c r="Y349" s="92" t="e">
        <v>#N/A</v>
      </c>
      <c r="Z349" s="94" t="e">
        <v>#N/A</v>
      </c>
    </row>
    <row r="350" spans="22:26" x14ac:dyDescent="0.2">
      <c r="V350" s="123" t="str">
        <f t="shared" si="16"/>
        <v>1D</v>
      </c>
      <c r="W350" s="82">
        <f>_xll.qlCalendarAdvance(Calendar,W349,V350,"f",FALSE)</f>
        <v>42356</v>
      </c>
      <c r="X350" s="91">
        <f>_xll.qlCalendarAdvance(Calendar,W350,NDays&amp;"D")</f>
        <v>42356</v>
      </c>
      <c r="Y350" s="92" t="e">
        <v>#N/A</v>
      </c>
      <c r="Z350" s="94" t="e">
        <v>#N/A</v>
      </c>
    </row>
    <row r="351" spans="22:26" x14ac:dyDescent="0.2">
      <c r="V351" s="123" t="str">
        <f t="shared" si="16"/>
        <v>1D</v>
      </c>
      <c r="W351" s="82">
        <f>_xll.qlCalendarAdvance(Calendar,W350,V351,"f",FALSE)</f>
        <v>42359</v>
      </c>
      <c r="X351" s="91">
        <f>_xll.qlCalendarAdvance(Calendar,W351,NDays&amp;"D")</f>
        <v>42359</v>
      </c>
      <c r="Y351" s="92" t="e">
        <v>#N/A</v>
      </c>
      <c r="Z351" s="94" t="e">
        <v>#N/A</v>
      </c>
    </row>
    <row r="352" spans="22:26" x14ac:dyDescent="0.2">
      <c r="V352" s="123" t="str">
        <f t="shared" si="16"/>
        <v>1D</v>
      </c>
      <c r="W352" s="82">
        <f>_xll.qlCalendarAdvance(Calendar,W351,V352,"f",FALSE)</f>
        <v>42360</v>
      </c>
      <c r="X352" s="91">
        <f>_xll.qlCalendarAdvance(Calendar,W352,NDays&amp;"D")</f>
        <v>42360</v>
      </c>
      <c r="Y352" s="92" t="e">
        <v>#N/A</v>
      </c>
      <c r="Z352" s="94" t="e">
        <v>#N/A</v>
      </c>
    </row>
    <row r="353" spans="22:26" x14ac:dyDescent="0.2">
      <c r="V353" s="123" t="str">
        <f t="shared" si="16"/>
        <v>1D</v>
      </c>
      <c r="W353" s="82">
        <f>_xll.qlCalendarAdvance(Calendar,W352,V353,"f",FALSE)</f>
        <v>42361</v>
      </c>
      <c r="X353" s="91">
        <f>_xll.qlCalendarAdvance(Calendar,W353,NDays&amp;"D")</f>
        <v>42361</v>
      </c>
      <c r="Y353" s="92" t="e">
        <v>#N/A</v>
      </c>
      <c r="Z353" s="94" t="e">
        <v>#N/A</v>
      </c>
    </row>
    <row r="354" spans="22:26" x14ac:dyDescent="0.2">
      <c r="V354" s="123" t="str">
        <f t="shared" si="16"/>
        <v>1D</v>
      </c>
      <c r="W354" s="82">
        <f>_xll.qlCalendarAdvance(Calendar,W353,V354,"f",FALSE)</f>
        <v>42362</v>
      </c>
      <c r="X354" s="91">
        <f>_xll.qlCalendarAdvance(Calendar,W354,NDays&amp;"D")</f>
        <v>42362</v>
      </c>
      <c r="Y354" s="92" t="e">
        <v>#N/A</v>
      </c>
      <c r="Z354" s="94" t="e">
        <v>#N/A</v>
      </c>
    </row>
    <row r="355" spans="22:26" x14ac:dyDescent="0.2">
      <c r="V355" s="123" t="str">
        <f t="shared" si="16"/>
        <v>1D</v>
      </c>
      <c r="W355" s="82">
        <f>_xll.qlCalendarAdvance(Calendar,W354,V355,"f",FALSE)</f>
        <v>42366</v>
      </c>
      <c r="X355" s="91">
        <f>_xll.qlCalendarAdvance(Calendar,W355,NDays&amp;"D")</f>
        <v>42366</v>
      </c>
      <c r="Y355" s="92" t="e">
        <v>#N/A</v>
      </c>
      <c r="Z355" s="94" t="e">
        <v>#N/A</v>
      </c>
    </row>
    <row r="356" spans="22:26" x14ac:dyDescent="0.2">
      <c r="V356" s="123" t="str">
        <f t="shared" si="16"/>
        <v>1D</v>
      </c>
      <c r="W356" s="82">
        <f>_xll.qlCalendarAdvance(Calendar,W355,V356,"f",FALSE)</f>
        <v>42367</v>
      </c>
      <c r="X356" s="91">
        <f>_xll.qlCalendarAdvance(Calendar,W356,NDays&amp;"D")</f>
        <v>42367</v>
      </c>
      <c r="Y356" s="92" t="e">
        <v>#N/A</v>
      </c>
      <c r="Z356" s="94" t="e">
        <v>#N/A</v>
      </c>
    </row>
    <row r="357" spans="22:26" x14ac:dyDescent="0.2">
      <c r="V357" s="123" t="str">
        <f t="shared" si="16"/>
        <v>1D</v>
      </c>
      <c r="W357" s="82">
        <f>_xll.qlCalendarAdvance(Calendar,W356,V357,"f",FALSE)</f>
        <v>42368</v>
      </c>
      <c r="X357" s="91">
        <f>_xll.qlCalendarAdvance(Calendar,W357,NDays&amp;"D")</f>
        <v>42368</v>
      </c>
      <c r="Y357" s="92" t="e">
        <v>#N/A</v>
      </c>
      <c r="Z357" s="94" t="e">
        <v>#N/A</v>
      </c>
    </row>
    <row r="358" spans="22:26" x14ac:dyDescent="0.2">
      <c r="V358" s="123" t="str">
        <f t="shared" si="16"/>
        <v>1D</v>
      </c>
      <c r="W358" s="82">
        <f>_xll.qlCalendarAdvance(Calendar,W357,V358,"f",FALSE)</f>
        <v>42369</v>
      </c>
      <c r="X358" s="91">
        <f>_xll.qlCalendarAdvance(Calendar,W358,NDays&amp;"D")</f>
        <v>42369</v>
      </c>
      <c r="Y358" s="92" t="e">
        <v>#N/A</v>
      </c>
      <c r="Z358" s="94" t="e">
        <v>#N/A</v>
      </c>
    </row>
    <row r="359" spans="22:26" x14ac:dyDescent="0.2">
      <c r="V359" s="123" t="str">
        <f t="shared" si="16"/>
        <v>1D</v>
      </c>
      <c r="W359" s="82">
        <f>_xll.qlCalendarAdvance(Calendar,W358,V359,"f",FALSE)</f>
        <v>42373</v>
      </c>
      <c r="X359" s="91">
        <f>_xll.qlCalendarAdvance(Calendar,W359,NDays&amp;"D")</f>
        <v>42373</v>
      </c>
      <c r="Y359" s="92" t="e">
        <v>#N/A</v>
      </c>
      <c r="Z359" s="94" t="e">
        <v>#N/A</v>
      </c>
    </row>
    <row r="360" spans="22:26" x14ac:dyDescent="0.2">
      <c r="V360" s="123" t="str">
        <f t="shared" si="16"/>
        <v>1D</v>
      </c>
      <c r="W360" s="82">
        <f>_xll.qlCalendarAdvance(Calendar,W359,V360,"f",FALSE)</f>
        <v>42374</v>
      </c>
      <c r="X360" s="91">
        <f>_xll.qlCalendarAdvance(Calendar,W360,NDays&amp;"D")</f>
        <v>42374</v>
      </c>
      <c r="Y360" s="92" t="e">
        <v>#N/A</v>
      </c>
      <c r="Z360" s="94" t="e">
        <v>#N/A</v>
      </c>
    </row>
    <row r="361" spans="22:26" x14ac:dyDescent="0.2">
      <c r="V361" s="123" t="str">
        <f t="shared" si="16"/>
        <v>1D</v>
      </c>
      <c r="W361" s="82">
        <f>_xll.qlCalendarAdvance(Calendar,W360,V361,"f",FALSE)</f>
        <v>42375</v>
      </c>
      <c r="X361" s="91">
        <f>_xll.qlCalendarAdvance(Calendar,W361,NDays&amp;"D")</f>
        <v>42375</v>
      </c>
      <c r="Y361" s="92" t="e">
        <v>#N/A</v>
      </c>
      <c r="Z361" s="94" t="e">
        <v>#N/A</v>
      </c>
    </row>
    <row r="362" spans="22:26" x14ac:dyDescent="0.2">
      <c r="V362" s="123" t="str">
        <f t="shared" si="16"/>
        <v>1D</v>
      </c>
      <c r="W362" s="82">
        <f>_xll.qlCalendarAdvance(Calendar,W361,V362,"f",FALSE)</f>
        <v>42376</v>
      </c>
      <c r="X362" s="91">
        <f>_xll.qlCalendarAdvance(Calendar,W362,NDays&amp;"D")</f>
        <v>42376</v>
      </c>
      <c r="Y362" s="92" t="e">
        <v>#N/A</v>
      </c>
      <c r="Z362" s="94" t="e">
        <v>#N/A</v>
      </c>
    </row>
    <row r="363" spans="22:26" x14ac:dyDescent="0.2">
      <c r="V363" s="123" t="str">
        <f t="shared" si="16"/>
        <v>1D</v>
      </c>
      <c r="W363" s="82">
        <f>_xll.qlCalendarAdvance(Calendar,W362,V363,"f",FALSE)</f>
        <v>42377</v>
      </c>
      <c r="X363" s="91">
        <f>_xll.qlCalendarAdvance(Calendar,W363,NDays&amp;"D")</f>
        <v>42377</v>
      </c>
      <c r="Y363" s="92" t="e">
        <v>#N/A</v>
      </c>
      <c r="Z363" s="94" t="e">
        <v>#N/A</v>
      </c>
    </row>
    <row r="364" spans="22:26" x14ac:dyDescent="0.2">
      <c r="V364" s="123" t="str">
        <f t="shared" si="16"/>
        <v>1D</v>
      </c>
      <c r="W364" s="82">
        <f>_xll.qlCalendarAdvance(Calendar,W363,V364,"f",FALSE)</f>
        <v>42380</v>
      </c>
      <c r="X364" s="91">
        <f>_xll.qlCalendarAdvance(Calendar,W364,NDays&amp;"D")</f>
        <v>42380</v>
      </c>
      <c r="Y364" s="92" t="e">
        <v>#N/A</v>
      </c>
      <c r="Z364" s="94" t="e">
        <v>#N/A</v>
      </c>
    </row>
    <row r="365" spans="22:26" x14ac:dyDescent="0.2">
      <c r="V365" s="123" t="str">
        <f t="shared" si="16"/>
        <v>1D</v>
      </c>
      <c r="W365" s="82">
        <f>_xll.qlCalendarAdvance(Calendar,W364,V365,"f",FALSE)</f>
        <v>42381</v>
      </c>
      <c r="X365" s="91">
        <f>_xll.qlCalendarAdvance(Calendar,W365,NDays&amp;"D")</f>
        <v>42381</v>
      </c>
      <c r="Y365" s="92" t="e">
        <v>#N/A</v>
      </c>
      <c r="Z365" s="94" t="e">
        <v>#N/A</v>
      </c>
    </row>
    <row r="366" spans="22:26" x14ac:dyDescent="0.2">
      <c r="V366" s="123" t="str">
        <f t="shared" si="16"/>
        <v>1D</v>
      </c>
      <c r="W366" s="82">
        <f>_xll.qlCalendarAdvance(Calendar,W365,V366,"f",FALSE)</f>
        <v>42382</v>
      </c>
      <c r="X366" s="91">
        <f>_xll.qlCalendarAdvance(Calendar,W366,NDays&amp;"D")</f>
        <v>42382</v>
      </c>
      <c r="Y366" s="92" t="e">
        <v>#N/A</v>
      </c>
      <c r="Z366" s="94" t="e">
        <v>#N/A</v>
      </c>
    </row>
    <row r="367" spans="22:26" x14ac:dyDescent="0.2">
      <c r="V367" s="123" t="str">
        <f t="shared" si="16"/>
        <v>1D</v>
      </c>
      <c r="W367" s="82">
        <f>_xll.qlCalendarAdvance(Calendar,W366,V367,"f",FALSE)</f>
        <v>42383</v>
      </c>
      <c r="X367" s="91">
        <f>_xll.qlCalendarAdvance(Calendar,W367,NDays&amp;"D")</f>
        <v>42383</v>
      </c>
      <c r="Y367" s="92" t="e">
        <v>#N/A</v>
      </c>
      <c r="Z367" s="94" t="e">
        <v>#N/A</v>
      </c>
    </row>
    <row r="368" spans="22:26" x14ac:dyDescent="0.2">
      <c r="V368" s="123" t="str">
        <f t="shared" si="16"/>
        <v>1D</v>
      </c>
      <c r="W368" s="82">
        <f>_xll.qlCalendarAdvance(Calendar,W367,V368,"f",FALSE)</f>
        <v>42384</v>
      </c>
      <c r="X368" s="91">
        <f>_xll.qlCalendarAdvance(Calendar,W368,NDays&amp;"D")</f>
        <v>42384</v>
      </c>
      <c r="Y368" s="92" t="e">
        <v>#N/A</v>
      </c>
      <c r="Z368" s="94" t="e">
        <v>#N/A</v>
      </c>
    </row>
    <row r="369" spans="22:26" x14ac:dyDescent="0.2">
      <c r="V369" s="123" t="str">
        <f t="shared" si="16"/>
        <v>1D</v>
      </c>
      <c r="W369" s="82">
        <f>_xll.qlCalendarAdvance(Calendar,W368,V369,"f",FALSE)</f>
        <v>42387</v>
      </c>
      <c r="X369" s="91">
        <f>_xll.qlCalendarAdvance(Calendar,W369,NDays&amp;"D")</f>
        <v>42387</v>
      </c>
      <c r="Y369" s="92" t="e">
        <v>#N/A</v>
      </c>
      <c r="Z369" s="94" t="e">
        <v>#N/A</v>
      </c>
    </row>
    <row r="370" spans="22:26" x14ac:dyDescent="0.2">
      <c r="V370" s="123" t="str">
        <f t="shared" si="16"/>
        <v>1D</v>
      </c>
      <c r="W370" s="82">
        <f>_xll.qlCalendarAdvance(Calendar,W369,V370,"f",FALSE)</f>
        <v>42388</v>
      </c>
      <c r="X370" s="91">
        <f>_xll.qlCalendarAdvance(Calendar,W370,NDays&amp;"D")</f>
        <v>42388</v>
      </c>
      <c r="Y370" s="92" t="e">
        <v>#N/A</v>
      </c>
      <c r="Z370" s="94" t="e">
        <v>#N/A</v>
      </c>
    </row>
    <row r="371" spans="22:26" x14ac:dyDescent="0.2">
      <c r="V371" s="123" t="str">
        <f t="shared" si="16"/>
        <v>1D</v>
      </c>
      <c r="W371" s="82">
        <f>_xll.qlCalendarAdvance(Calendar,W370,V371,"f",FALSE)</f>
        <v>42389</v>
      </c>
      <c r="X371" s="91">
        <f>_xll.qlCalendarAdvance(Calendar,W371,NDays&amp;"D")</f>
        <v>42389</v>
      </c>
      <c r="Y371" s="92" t="e">
        <v>#N/A</v>
      </c>
      <c r="Z371" s="94" t="e">
        <v>#N/A</v>
      </c>
    </row>
    <row r="372" spans="22:26" x14ac:dyDescent="0.2">
      <c r="V372" s="123" t="str">
        <f t="shared" si="16"/>
        <v>1D</v>
      </c>
      <c r="W372" s="82">
        <f>_xll.qlCalendarAdvance(Calendar,W371,V372,"f",FALSE)</f>
        <v>42390</v>
      </c>
      <c r="X372" s="91">
        <f>_xll.qlCalendarAdvance(Calendar,W372,NDays&amp;"D")</f>
        <v>42390</v>
      </c>
      <c r="Y372" s="92" t="e">
        <v>#N/A</v>
      </c>
      <c r="Z372" s="94" t="e">
        <v>#N/A</v>
      </c>
    </row>
    <row r="373" spans="22:26" x14ac:dyDescent="0.2">
      <c r="V373" s="123" t="str">
        <f t="shared" si="16"/>
        <v>1D</v>
      </c>
      <c r="W373" s="82">
        <f>_xll.qlCalendarAdvance(Calendar,W372,V373,"f",FALSE)</f>
        <v>42391</v>
      </c>
      <c r="X373" s="91">
        <f>_xll.qlCalendarAdvance(Calendar,W373,NDays&amp;"D")</f>
        <v>42391</v>
      </c>
      <c r="Y373" s="92" t="e">
        <v>#N/A</v>
      </c>
      <c r="Z373" s="94" t="e">
        <v>#N/A</v>
      </c>
    </row>
    <row r="374" spans="22:26" x14ac:dyDescent="0.2">
      <c r="V374" s="123" t="str">
        <f t="shared" si="16"/>
        <v>1D</v>
      </c>
      <c r="W374" s="82">
        <f>_xll.qlCalendarAdvance(Calendar,W373,V374,"f",FALSE)</f>
        <v>42394</v>
      </c>
      <c r="X374" s="91">
        <f>_xll.qlCalendarAdvance(Calendar,W374,NDays&amp;"D")</f>
        <v>42394</v>
      </c>
      <c r="Y374" s="92" t="e">
        <v>#N/A</v>
      </c>
      <c r="Z374" s="94" t="e">
        <v>#N/A</v>
      </c>
    </row>
    <row r="375" spans="22:26" x14ac:dyDescent="0.2">
      <c r="V375" s="123" t="str">
        <f t="shared" si="16"/>
        <v>1D</v>
      </c>
      <c r="W375" s="82">
        <f>_xll.qlCalendarAdvance(Calendar,W374,V375,"f",FALSE)</f>
        <v>42395</v>
      </c>
      <c r="X375" s="91">
        <f>_xll.qlCalendarAdvance(Calendar,W375,NDays&amp;"D")</f>
        <v>42395</v>
      </c>
      <c r="Y375" s="92" t="e">
        <v>#N/A</v>
      </c>
      <c r="Z375" s="94" t="e">
        <v>#N/A</v>
      </c>
    </row>
    <row r="376" spans="22:26" x14ac:dyDescent="0.2">
      <c r="V376" s="123" t="str">
        <f t="shared" si="16"/>
        <v>1D</v>
      </c>
      <c r="W376" s="82">
        <f>_xll.qlCalendarAdvance(Calendar,W375,V376,"f",FALSE)</f>
        <v>42396</v>
      </c>
      <c r="X376" s="91">
        <f>_xll.qlCalendarAdvance(Calendar,W376,NDays&amp;"D")</f>
        <v>42396</v>
      </c>
      <c r="Y376" s="92" t="e">
        <v>#N/A</v>
      </c>
      <c r="Z376" s="94" t="e">
        <v>#N/A</v>
      </c>
    </row>
    <row r="377" spans="22:26" x14ac:dyDescent="0.2">
      <c r="V377" s="123" t="str">
        <f t="shared" si="16"/>
        <v>1D</v>
      </c>
      <c r="W377" s="82">
        <f>_xll.qlCalendarAdvance(Calendar,W376,V377,"f",FALSE)</f>
        <v>42397</v>
      </c>
      <c r="X377" s="91">
        <f>_xll.qlCalendarAdvance(Calendar,W377,NDays&amp;"D")</f>
        <v>42397</v>
      </c>
      <c r="Y377" s="92" t="e">
        <v>#N/A</v>
      </c>
      <c r="Z377" s="94" t="e">
        <v>#N/A</v>
      </c>
    </row>
    <row r="378" spans="22:26" x14ac:dyDescent="0.2">
      <c r="V378" s="123" t="str">
        <f t="shared" si="16"/>
        <v>1D</v>
      </c>
      <c r="W378" s="82">
        <f>_xll.qlCalendarAdvance(Calendar,W377,V378,"f",FALSE)</f>
        <v>42398</v>
      </c>
      <c r="X378" s="91">
        <f>_xll.qlCalendarAdvance(Calendar,W378,NDays&amp;"D")</f>
        <v>42398</v>
      </c>
      <c r="Y378" s="92" t="e">
        <v>#N/A</v>
      </c>
      <c r="Z378" s="94" t="e">
        <v>#N/A</v>
      </c>
    </row>
    <row r="379" spans="22:26" x14ac:dyDescent="0.2">
      <c r="V379" s="123" t="str">
        <f t="shared" si="16"/>
        <v>1D</v>
      </c>
      <c r="W379" s="82">
        <f>_xll.qlCalendarAdvance(Calendar,W378,V379,"f",FALSE)</f>
        <v>42401</v>
      </c>
      <c r="X379" s="91">
        <f>_xll.qlCalendarAdvance(Calendar,W379,NDays&amp;"D")</f>
        <v>42401</v>
      </c>
      <c r="Y379" s="92" t="e">
        <v>#N/A</v>
      </c>
      <c r="Z379" s="94" t="e">
        <v>#N/A</v>
      </c>
    </row>
    <row r="380" spans="22:26" x14ac:dyDescent="0.2">
      <c r="V380" s="123" t="str">
        <f t="shared" si="16"/>
        <v>1D</v>
      </c>
      <c r="W380" s="82">
        <f>_xll.qlCalendarAdvance(Calendar,W379,V380,"f",FALSE)</f>
        <v>42402</v>
      </c>
      <c r="X380" s="91">
        <f>_xll.qlCalendarAdvance(Calendar,W380,NDays&amp;"D")</f>
        <v>42402</v>
      </c>
      <c r="Y380" s="92" t="e">
        <v>#N/A</v>
      </c>
      <c r="Z380" s="94" t="e">
        <v>#N/A</v>
      </c>
    </row>
    <row r="381" spans="22:26" x14ac:dyDescent="0.2">
      <c r="V381" s="123" t="str">
        <f t="shared" si="16"/>
        <v>1D</v>
      </c>
      <c r="W381" s="82">
        <f>_xll.qlCalendarAdvance(Calendar,W380,V381,"f",FALSE)</f>
        <v>42403</v>
      </c>
      <c r="X381" s="91">
        <f>_xll.qlCalendarAdvance(Calendar,W381,NDays&amp;"D")</f>
        <v>42403</v>
      </c>
      <c r="Y381" s="92" t="e">
        <v>#N/A</v>
      </c>
      <c r="Z381" s="94" t="e">
        <v>#N/A</v>
      </c>
    </row>
    <row r="382" spans="22:26" x14ac:dyDescent="0.2">
      <c r="V382" s="123" t="str">
        <f t="shared" si="16"/>
        <v>1D</v>
      </c>
      <c r="W382" s="82">
        <f>_xll.qlCalendarAdvance(Calendar,W381,V382,"f",FALSE)</f>
        <v>42404</v>
      </c>
      <c r="X382" s="91">
        <f>_xll.qlCalendarAdvance(Calendar,W382,NDays&amp;"D")</f>
        <v>42404</v>
      </c>
      <c r="Y382" s="92" t="e">
        <v>#N/A</v>
      </c>
      <c r="Z382" s="94" t="e">
        <v>#N/A</v>
      </c>
    </row>
    <row r="383" spans="22:26" x14ac:dyDescent="0.2">
      <c r="V383" s="123" t="str">
        <f t="shared" si="16"/>
        <v>1D</v>
      </c>
      <c r="W383" s="82">
        <f>_xll.qlCalendarAdvance(Calendar,W382,V383,"f",FALSE)</f>
        <v>42405</v>
      </c>
      <c r="X383" s="91">
        <f>_xll.qlCalendarAdvance(Calendar,W383,NDays&amp;"D")</f>
        <v>42405</v>
      </c>
      <c r="Y383" s="92" t="e">
        <v>#N/A</v>
      </c>
      <c r="Z383" s="94" t="e">
        <v>#N/A</v>
      </c>
    </row>
    <row r="384" spans="22:26" x14ac:dyDescent="0.2">
      <c r="V384" s="123" t="str">
        <f t="shared" si="16"/>
        <v>1D</v>
      </c>
      <c r="W384" s="82">
        <f>_xll.qlCalendarAdvance(Calendar,W383,V384,"f",FALSE)</f>
        <v>42408</v>
      </c>
      <c r="X384" s="91">
        <f>_xll.qlCalendarAdvance(Calendar,W384,NDays&amp;"D")</f>
        <v>42408</v>
      </c>
      <c r="Y384" s="92" t="e">
        <v>#N/A</v>
      </c>
      <c r="Z384" s="94" t="e">
        <v>#N/A</v>
      </c>
    </row>
    <row r="385" spans="22:26" x14ac:dyDescent="0.2">
      <c r="V385" s="123" t="str">
        <f t="shared" si="16"/>
        <v>1D</v>
      </c>
      <c r="W385" s="82">
        <f>_xll.qlCalendarAdvance(Calendar,W384,V385,"f",FALSE)</f>
        <v>42409</v>
      </c>
      <c r="X385" s="91">
        <f>_xll.qlCalendarAdvance(Calendar,W385,NDays&amp;"D")</f>
        <v>42409</v>
      </c>
      <c r="Y385" s="92" t="e">
        <v>#N/A</v>
      </c>
      <c r="Z385" s="94" t="e">
        <v>#N/A</v>
      </c>
    </row>
    <row r="386" spans="22:26" x14ac:dyDescent="0.2">
      <c r="V386" s="123" t="str">
        <f t="shared" si="16"/>
        <v>1D</v>
      </c>
      <c r="W386" s="82">
        <f>_xll.qlCalendarAdvance(Calendar,W385,V386,"f",FALSE)</f>
        <v>42410</v>
      </c>
      <c r="X386" s="91">
        <f>_xll.qlCalendarAdvance(Calendar,W386,NDays&amp;"D")</f>
        <v>42410</v>
      </c>
      <c r="Y386" s="92" t="e">
        <v>#N/A</v>
      </c>
      <c r="Z386" s="94" t="e">
        <v>#N/A</v>
      </c>
    </row>
    <row r="387" spans="22:26" x14ac:dyDescent="0.2">
      <c r="V387" s="123" t="str">
        <f t="shared" si="16"/>
        <v>1D</v>
      </c>
      <c r="W387" s="82">
        <f>_xll.qlCalendarAdvance(Calendar,W386,V387,"f",FALSE)</f>
        <v>42411</v>
      </c>
      <c r="X387" s="91">
        <f>_xll.qlCalendarAdvance(Calendar,W387,NDays&amp;"D")</f>
        <v>42411</v>
      </c>
      <c r="Y387" s="92" t="e">
        <v>#N/A</v>
      </c>
      <c r="Z387" s="94" t="e">
        <v>#N/A</v>
      </c>
    </row>
    <row r="388" spans="22:26" x14ac:dyDescent="0.2">
      <c r="V388" s="123" t="str">
        <f t="shared" si="16"/>
        <v>1D</v>
      </c>
      <c r="W388" s="82">
        <f>_xll.qlCalendarAdvance(Calendar,W387,V388,"f",FALSE)</f>
        <v>42412</v>
      </c>
      <c r="X388" s="91">
        <f>_xll.qlCalendarAdvance(Calendar,W388,NDays&amp;"D")</f>
        <v>42412</v>
      </c>
      <c r="Y388" s="92" t="e">
        <v>#N/A</v>
      </c>
      <c r="Z388" s="94" t="e">
        <v>#N/A</v>
      </c>
    </row>
    <row r="389" spans="22:26" x14ac:dyDescent="0.2">
      <c r="V389" s="123" t="str">
        <f t="shared" si="16"/>
        <v>1D</v>
      </c>
      <c r="W389" s="82">
        <f>_xll.qlCalendarAdvance(Calendar,W388,V389,"f",FALSE)</f>
        <v>42415</v>
      </c>
      <c r="X389" s="91">
        <f>_xll.qlCalendarAdvance(Calendar,W389,NDays&amp;"D")</f>
        <v>42415</v>
      </c>
      <c r="Y389" s="92" t="e">
        <v>#N/A</v>
      </c>
      <c r="Z389" s="94" t="e">
        <v>#N/A</v>
      </c>
    </row>
    <row r="390" spans="22:26" x14ac:dyDescent="0.2">
      <c r="V390" s="123" t="str">
        <f t="shared" si="16"/>
        <v>1D</v>
      </c>
      <c r="W390" s="82">
        <f>_xll.qlCalendarAdvance(Calendar,W389,V390,"f",FALSE)</f>
        <v>42416</v>
      </c>
      <c r="X390" s="91">
        <f>_xll.qlCalendarAdvance(Calendar,W390,NDays&amp;"D")</f>
        <v>42416</v>
      </c>
      <c r="Y390" s="92" t="e">
        <v>#N/A</v>
      </c>
      <c r="Z390" s="94" t="e">
        <v>#N/A</v>
      </c>
    </row>
    <row r="391" spans="22:26" x14ac:dyDescent="0.2">
      <c r="V391" s="123" t="str">
        <f t="shared" si="16"/>
        <v>1D</v>
      </c>
      <c r="W391" s="82">
        <f>_xll.qlCalendarAdvance(Calendar,W390,V391,"f",FALSE)</f>
        <v>42417</v>
      </c>
      <c r="X391" s="91">
        <f>_xll.qlCalendarAdvance(Calendar,W391,NDays&amp;"D")</f>
        <v>42417</v>
      </c>
      <c r="Y391" s="92" t="e">
        <v>#N/A</v>
      </c>
      <c r="Z391" s="94" t="e">
        <v>#N/A</v>
      </c>
    </row>
    <row r="392" spans="22:26" x14ac:dyDescent="0.2">
      <c r="V392" s="123" t="str">
        <f t="shared" si="16"/>
        <v>1D</v>
      </c>
      <c r="W392" s="82">
        <f>_xll.qlCalendarAdvance(Calendar,W391,V392,"f",FALSE)</f>
        <v>42418</v>
      </c>
      <c r="X392" s="91">
        <f>_xll.qlCalendarAdvance(Calendar,W392,NDays&amp;"D")</f>
        <v>42418</v>
      </c>
      <c r="Y392" s="92" t="e">
        <v>#N/A</v>
      </c>
      <c r="Z392" s="94" t="e">
        <v>#N/A</v>
      </c>
    </row>
    <row r="393" spans="22:26" x14ac:dyDescent="0.2">
      <c r="V393" s="123" t="str">
        <f t="shared" si="16"/>
        <v>1D</v>
      </c>
      <c r="W393" s="82">
        <f>_xll.qlCalendarAdvance(Calendar,W392,V393,"f",FALSE)</f>
        <v>42419</v>
      </c>
      <c r="X393" s="91">
        <f>_xll.qlCalendarAdvance(Calendar,W393,NDays&amp;"D")</f>
        <v>42419</v>
      </c>
      <c r="Y393" s="92" t="e">
        <v>#N/A</v>
      </c>
      <c r="Z393" s="94" t="e">
        <v>#N/A</v>
      </c>
    </row>
    <row r="394" spans="22:26" x14ac:dyDescent="0.2">
      <c r="V394" s="123" t="str">
        <f t="shared" si="16"/>
        <v>1D</v>
      </c>
      <c r="W394" s="82">
        <f>_xll.qlCalendarAdvance(Calendar,W393,V394,"f",FALSE)</f>
        <v>42422</v>
      </c>
      <c r="X394" s="91">
        <f>_xll.qlCalendarAdvance(Calendar,W394,NDays&amp;"D")</f>
        <v>42422</v>
      </c>
      <c r="Y394" s="92" t="e">
        <v>#N/A</v>
      </c>
      <c r="Z394" s="94" t="e">
        <v>#N/A</v>
      </c>
    </row>
    <row r="395" spans="22:26" x14ac:dyDescent="0.2">
      <c r="V395" s="123" t="str">
        <f t="shared" si="16"/>
        <v>1D</v>
      </c>
      <c r="W395" s="82">
        <f>_xll.qlCalendarAdvance(Calendar,W394,V395,"f",FALSE)</f>
        <v>42423</v>
      </c>
      <c r="X395" s="91">
        <f>_xll.qlCalendarAdvance(Calendar,W395,NDays&amp;"D")</f>
        <v>42423</v>
      </c>
      <c r="Y395" s="92" t="e">
        <v>#N/A</v>
      </c>
      <c r="Z395" s="94" t="e">
        <v>#N/A</v>
      </c>
    </row>
    <row r="396" spans="22:26" x14ac:dyDescent="0.2">
      <c r="V396" s="123" t="str">
        <f t="shared" si="16"/>
        <v>1D</v>
      </c>
      <c r="W396" s="82">
        <f>_xll.qlCalendarAdvance(Calendar,W395,V396,"f",FALSE)</f>
        <v>42424</v>
      </c>
      <c r="X396" s="91">
        <f>_xll.qlCalendarAdvance(Calendar,W396,NDays&amp;"D")</f>
        <v>42424</v>
      </c>
      <c r="Y396" s="92" t="e">
        <v>#N/A</v>
      </c>
      <c r="Z396" s="94" t="e">
        <v>#N/A</v>
      </c>
    </row>
    <row r="397" spans="22:26" x14ac:dyDescent="0.2">
      <c r="V397" s="123" t="str">
        <f t="shared" si="16"/>
        <v>1D</v>
      </c>
      <c r="W397" s="82">
        <f>_xll.qlCalendarAdvance(Calendar,W396,V397,"f",FALSE)</f>
        <v>42425</v>
      </c>
      <c r="X397" s="91">
        <f>_xll.qlCalendarAdvance(Calendar,W397,NDays&amp;"D")</f>
        <v>42425</v>
      </c>
      <c r="Y397" s="92" t="e">
        <v>#N/A</v>
      </c>
      <c r="Z397" s="94" t="e">
        <v>#N/A</v>
      </c>
    </row>
    <row r="398" spans="22:26" x14ac:dyDescent="0.2">
      <c r="V398" s="123" t="str">
        <f t="shared" si="16"/>
        <v>1D</v>
      </c>
      <c r="W398" s="82">
        <f>_xll.qlCalendarAdvance(Calendar,W397,V398,"f",FALSE)</f>
        <v>42426</v>
      </c>
      <c r="X398" s="91">
        <f>_xll.qlCalendarAdvance(Calendar,W398,NDays&amp;"D")</f>
        <v>42426</v>
      </c>
      <c r="Y398" s="92" t="e">
        <v>#N/A</v>
      </c>
      <c r="Z398" s="94" t="e">
        <v>#N/A</v>
      </c>
    </row>
    <row r="399" spans="22:26" x14ac:dyDescent="0.2">
      <c r="V399" s="123" t="str">
        <f t="shared" si="16"/>
        <v>1D</v>
      </c>
      <c r="W399" s="82">
        <f>_xll.qlCalendarAdvance(Calendar,W398,V399,"f",FALSE)</f>
        <v>42429</v>
      </c>
      <c r="X399" s="91">
        <f>_xll.qlCalendarAdvance(Calendar,W399,NDays&amp;"D")</f>
        <v>42429</v>
      </c>
      <c r="Y399" s="92" t="e">
        <v>#N/A</v>
      </c>
      <c r="Z399" s="94" t="e">
        <v>#N/A</v>
      </c>
    </row>
    <row r="400" spans="22:26" x14ac:dyDescent="0.2">
      <c r="V400" s="123" t="str">
        <f t="shared" si="16"/>
        <v>1D</v>
      </c>
      <c r="W400" s="82">
        <f>_xll.qlCalendarAdvance(Calendar,W399,V400,"f",FALSE)</f>
        <v>42430</v>
      </c>
      <c r="X400" s="91">
        <f>_xll.qlCalendarAdvance(Calendar,W400,NDays&amp;"D")</f>
        <v>42430</v>
      </c>
      <c r="Y400" s="92" t="e">
        <v>#N/A</v>
      </c>
      <c r="Z400" s="94" t="e">
        <v>#N/A</v>
      </c>
    </row>
    <row r="401" spans="22:26" x14ac:dyDescent="0.2">
      <c r="V401" s="123" t="str">
        <f t="shared" si="16"/>
        <v>1D</v>
      </c>
      <c r="W401" s="82">
        <f>_xll.qlCalendarAdvance(Calendar,W400,V401,"f",FALSE)</f>
        <v>42431</v>
      </c>
      <c r="X401" s="91">
        <f>_xll.qlCalendarAdvance(Calendar,W401,NDays&amp;"D")</f>
        <v>42431</v>
      </c>
      <c r="Y401" s="92" t="e">
        <v>#N/A</v>
      </c>
      <c r="Z401" s="94" t="e">
        <v>#N/A</v>
      </c>
    </row>
    <row r="402" spans="22:26" x14ac:dyDescent="0.2">
      <c r="V402" s="123" t="str">
        <f t="shared" si="16"/>
        <v>1D</v>
      </c>
      <c r="W402" s="82">
        <f>_xll.qlCalendarAdvance(Calendar,W401,V402,"f",FALSE)</f>
        <v>42432</v>
      </c>
      <c r="X402" s="91">
        <f>_xll.qlCalendarAdvance(Calendar,W402,NDays&amp;"D")</f>
        <v>42432</v>
      </c>
      <c r="Y402" s="92" t="e">
        <v>#N/A</v>
      </c>
      <c r="Z402" s="94" t="e">
        <v>#N/A</v>
      </c>
    </row>
    <row r="403" spans="22:26" x14ac:dyDescent="0.2">
      <c r="V403" s="123" t="str">
        <f t="shared" si="16"/>
        <v>1D</v>
      </c>
      <c r="W403" s="82">
        <f>_xll.qlCalendarAdvance(Calendar,W402,V403,"f",FALSE)</f>
        <v>42433</v>
      </c>
      <c r="X403" s="91">
        <f>_xll.qlCalendarAdvance(Calendar,W403,NDays&amp;"D")</f>
        <v>42433</v>
      </c>
      <c r="Y403" s="92" t="e">
        <v>#N/A</v>
      </c>
      <c r="Z403" s="94" t="e">
        <v>#N/A</v>
      </c>
    </row>
    <row r="404" spans="22:26" x14ac:dyDescent="0.2">
      <c r="V404" s="123" t="str">
        <f t="shared" si="16"/>
        <v>1D</v>
      </c>
      <c r="W404" s="82">
        <f>_xll.qlCalendarAdvance(Calendar,W403,V404,"f",FALSE)</f>
        <v>42436</v>
      </c>
      <c r="X404" s="91">
        <f>_xll.qlCalendarAdvance(Calendar,W404,NDays&amp;"D")</f>
        <v>42436</v>
      </c>
      <c r="Y404" s="92" t="e">
        <v>#N/A</v>
      </c>
      <c r="Z404" s="94" t="e">
        <v>#N/A</v>
      </c>
    </row>
    <row r="405" spans="22:26" x14ac:dyDescent="0.2">
      <c r="V405" s="123" t="str">
        <f t="shared" ref="V405:V468" si="17">V404</f>
        <v>1D</v>
      </c>
      <c r="W405" s="82">
        <f>_xll.qlCalendarAdvance(Calendar,W404,V405,"f",FALSE)</f>
        <v>42437</v>
      </c>
      <c r="X405" s="91">
        <f>_xll.qlCalendarAdvance(Calendar,W405,NDays&amp;"D")</f>
        <v>42437</v>
      </c>
      <c r="Y405" s="92" t="e">
        <v>#N/A</v>
      </c>
      <c r="Z405" s="94" t="e">
        <v>#N/A</v>
      </c>
    </row>
    <row r="406" spans="22:26" x14ac:dyDescent="0.2">
      <c r="V406" s="123" t="str">
        <f t="shared" si="17"/>
        <v>1D</v>
      </c>
      <c r="W406" s="82">
        <f>_xll.qlCalendarAdvance(Calendar,W405,V406,"f",FALSE)</f>
        <v>42438</v>
      </c>
      <c r="X406" s="91">
        <f>_xll.qlCalendarAdvance(Calendar,W406,NDays&amp;"D")</f>
        <v>42438</v>
      </c>
      <c r="Y406" s="92" t="e">
        <v>#N/A</v>
      </c>
      <c r="Z406" s="94" t="e">
        <v>#N/A</v>
      </c>
    </row>
    <row r="407" spans="22:26" x14ac:dyDescent="0.2">
      <c r="V407" s="123" t="str">
        <f t="shared" si="17"/>
        <v>1D</v>
      </c>
      <c r="W407" s="82">
        <f>_xll.qlCalendarAdvance(Calendar,W406,V407,"f",FALSE)</f>
        <v>42439</v>
      </c>
      <c r="X407" s="91">
        <f>_xll.qlCalendarAdvance(Calendar,W407,NDays&amp;"D")</f>
        <v>42439</v>
      </c>
      <c r="Y407" s="92" t="e">
        <v>#N/A</v>
      </c>
      <c r="Z407" s="94" t="e">
        <v>#N/A</v>
      </c>
    </row>
    <row r="408" spans="22:26" x14ac:dyDescent="0.2">
      <c r="V408" s="123" t="str">
        <f t="shared" si="17"/>
        <v>1D</v>
      </c>
      <c r="W408" s="82">
        <f>_xll.qlCalendarAdvance(Calendar,W407,V408,"f",FALSE)</f>
        <v>42440</v>
      </c>
      <c r="X408" s="91">
        <f>_xll.qlCalendarAdvance(Calendar,W408,NDays&amp;"D")</f>
        <v>42440</v>
      </c>
      <c r="Y408" s="92" t="e">
        <v>#N/A</v>
      </c>
      <c r="Z408" s="94" t="e">
        <v>#N/A</v>
      </c>
    </row>
    <row r="409" spans="22:26" x14ac:dyDescent="0.2">
      <c r="V409" s="123" t="str">
        <f t="shared" si="17"/>
        <v>1D</v>
      </c>
      <c r="W409" s="82">
        <f>_xll.qlCalendarAdvance(Calendar,W408,V409,"f",FALSE)</f>
        <v>42443</v>
      </c>
      <c r="X409" s="91">
        <f>_xll.qlCalendarAdvance(Calendar,W409,NDays&amp;"D")</f>
        <v>42443</v>
      </c>
      <c r="Y409" s="92" t="e">
        <v>#N/A</v>
      </c>
      <c r="Z409" s="94" t="e">
        <v>#N/A</v>
      </c>
    </row>
    <row r="410" spans="22:26" x14ac:dyDescent="0.2">
      <c r="V410" s="123" t="str">
        <f t="shared" si="17"/>
        <v>1D</v>
      </c>
      <c r="W410" s="82">
        <f>_xll.qlCalendarAdvance(Calendar,W409,V410,"f",FALSE)</f>
        <v>42444</v>
      </c>
      <c r="X410" s="91">
        <f>_xll.qlCalendarAdvance(Calendar,W410,NDays&amp;"D")</f>
        <v>42444</v>
      </c>
      <c r="Y410" s="92" t="e">
        <v>#N/A</v>
      </c>
      <c r="Z410" s="94" t="e">
        <v>#N/A</v>
      </c>
    </row>
    <row r="411" spans="22:26" x14ac:dyDescent="0.2">
      <c r="V411" s="123" t="str">
        <f t="shared" si="17"/>
        <v>1D</v>
      </c>
      <c r="W411" s="82">
        <f>_xll.qlCalendarAdvance(Calendar,W410,V411,"f",FALSE)</f>
        <v>42445</v>
      </c>
      <c r="X411" s="91">
        <f>_xll.qlCalendarAdvance(Calendar,W411,NDays&amp;"D")</f>
        <v>42445</v>
      </c>
      <c r="Y411" s="92" t="e">
        <v>#N/A</v>
      </c>
      <c r="Z411" s="94" t="e">
        <v>#N/A</v>
      </c>
    </row>
    <row r="412" spans="22:26" x14ac:dyDescent="0.2">
      <c r="V412" s="123" t="str">
        <f t="shared" si="17"/>
        <v>1D</v>
      </c>
      <c r="W412" s="82">
        <f>_xll.qlCalendarAdvance(Calendar,W411,V412,"f",FALSE)</f>
        <v>42446</v>
      </c>
      <c r="X412" s="91">
        <f>_xll.qlCalendarAdvance(Calendar,W412,NDays&amp;"D")</f>
        <v>42446</v>
      </c>
      <c r="Y412" s="92" t="e">
        <v>#N/A</v>
      </c>
      <c r="Z412" s="94" t="e">
        <v>#N/A</v>
      </c>
    </row>
    <row r="413" spans="22:26" x14ac:dyDescent="0.2">
      <c r="V413" s="123" t="str">
        <f t="shared" si="17"/>
        <v>1D</v>
      </c>
      <c r="W413" s="82">
        <f>_xll.qlCalendarAdvance(Calendar,W412,V413,"f",FALSE)</f>
        <v>42447</v>
      </c>
      <c r="X413" s="91">
        <f>_xll.qlCalendarAdvance(Calendar,W413,NDays&amp;"D")</f>
        <v>42447</v>
      </c>
      <c r="Y413" s="92" t="e">
        <v>#N/A</v>
      </c>
      <c r="Z413" s="94" t="e">
        <v>#N/A</v>
      </c>
    </row>
    <row r="414" spans="22:26" x14ac:dyDescent="0.2">
      <c r="V414" s="123" t="str">
        <f t="shared" si="17"/>
        <v>1D</v>
      </c>
      <c r="W414" s="82">
        <f>_xll.qlCalendarAdvance(Calendar,W413,V414,"f",FALSE)</f>
        <v>42450</v>
      </c>
      <c r="X414" s="91">
        <f>_xll.qlCalendarAdvance(Calendar,W414,NDays&amp;"D")</f>
        <v>42450</v>
      </c>
      <c r="Y414" s="92" t="e">
        <v>#N/A</v>
      </c>
      <c r="Z414" s="94" t="e">
        <v>#N/A</v>
      </c>
    </row>
    <row r="415" spans="22:26" x14ac:dyDescent="0.2">
      <c r="V415" s="123" t="str">
        <f t="shared" si="17"/>
        <v>1D</v>
      </c>
      <c r="W415" s="82">
        <f>_xll.qlCalendarAdvance(Calendar,W414,V415,"f",FALSE)</f>
        <v>42451</v>
      </c>
      <c r="X415" s="91">
        <f>_xll.qlCalendarAdvance(Calendar,W415,NDays&amp;"D")</f>
        <v>42451</v>
      </c>
      <c r="Y415" s="92" t="e">
        <v>#N/A</v>
      </c>
      <c r="Z415" s="94" t="e">
        <v>#N/A</v>
      </c>
    </row>
    <row r="416" spans="22:26" x14ac:dyDescent="0.2">
      <c r="V416" s="123" t="str">
        <f t="shared" si="17"/>
        <v>1D</v>
      </c>
      <c r="W416" s="82">
        <f>_xll.qlCalendarAdvance(Calendar,W415,V416,"f",FALSE)</f>
        <v>42452</v>
      </c>
      <c r="X416" s="91">
        <f>_xll.qlCalendarAdvance(Calendar,W416,NDays&amp;"D")</f>
        <v>42452</v>
      </c>
      <c r="Y416" s="92" t="e">
        <v>#N/A</v>
      </c>
      <c r="Z416" s="94" t="e">
        <v>#N/A</v>
      </c>
    </row>
    <row r="417" spans="22:26" x14ac:dyDescent="0.2">
      <c r="V417" s="123" t="str">
        <f t="shared" si="17"/>
        <v>1D</v>
      </c>
      <c r="W417" s="82">
        <f>_xll.qlCalendarAdvance(Calendar,W416,V417,"f",FALSE)</f>
        <v>42453</v>
      </c>
      <c r="X417" s="91">
        <f>_xll.qlCalendarAdvance(Calendar,W417,NDays&amp;"D")</f>
        <v>42453</v>
      </c>
      <c r="Y417" s="92" t="e">
        <v>#N/A</v>
      </c>
      <c r="Z417" s="94" t="e">
        <v>#N/A</v>
      </c>
    </row>
    <row r="418" spans="22:26" x14ac:dyDescent="0.2">
      <c r="V418" s="123" t="str">
        <f t="shared" si="17"/>
        <v>1D</v>
      </c>
      <c r="W418" s="82">
        <f>_xll.qlCalendarAdvance(Calendar,W417,V418,"f",FALSE)</f>
        <v>42458</v>
      </c>
      <c r="X418" s="91">
        <f>_xll.qlCalendarAdvance(Calendar,W418,NDays&amp;"D")</f>
        <v>42458</v>
      </c>
      <c r="Y418" s="92" t="e">
        <v>#N/A</v>
      </c>
      <c r="Z418" s="94" t="e">
        <v>#N/A</v>
      </c>
    </row>
    <row r="419" spans="22:26" x14ac:dyDescent="0.2">
      <c r="V419" s="123" t="str">
        <f t="shared" si="17"/>
        <v>1D</v>
      </c>
      <c r="W419" s="82">
        <f>_xll.qlCalendarAdvance(Calendar,W418,V419,"f",FALSE)</f>
        <v>42459</v>
      </c>
      <c r="X419" s="91">
        <f>_xll.qlCalendarAdvance(Calendar,W419,NDays&amp;"D")</f>
        <v>42459</v>
      </c>
      <c r="Y419" s="92" t="e">
        <v>#N/A</v>
      </c>
      <c r="Z419" s="94" t="e">
        <v>#N/A</v>
      </c>
    </row>
    <row r="420" spans="22:26" x14ac:dyDescent="0.2">
      <c r="V420" s="123" t="str">
        <f t="shared" si="17"/>
        <v>1D</v>
      </c>
      <c r="W420" s="82">
        <f>_xll.qlCalendarAdvance(Calendar,W419,V420,"f",FALSE)</f>
        <v>42460</v>
      </c>
      <c r="X420" s="91">
        <f>_xll.qlCalendarAdvance(Calendar,W420,NDays&amp;"D")</f>
        <v>42460</v>
      </c>
      <c r="Y420" s="92" t="e">
        <v>#N/A</v>
      </c>
      <c r="Z420" s="94" t="e">
        <v>#N/A</v>
      </c>
    </row>
    <row r="421" spans="22:26" x14ac:dyDescent="0.2">
      <c r="V421" s="123" t="str">
        <f t="shared" si="17"/>
        <v>1D</v>
      </c>
      <c r="W421" s="82">
        <f>_xll.qlCalendarAdvance(Calendar,W420,V421,"f",FALSE)</f>
        <v>42461</v>
      </c>
      <c r="X421" s="91">
        <f>_xll.qlCalendarAdvance(Calendar,W421,NDays&amp;"D")</f>
        <v>42461</v>
      </c>
      <c r="Y421" s="92" t="e">
        <v>#N/A</v>
      </c>
      <c r="Z421" s="94" t="e">
        <v>#N/A</v>
      </c>
    </row>
    <row r="422" spans="22:26" x14ac:dyDescent="0.2">
      <c r="V422" s="123" t="str">
        <f t="shared" si="17"/>
        <v>1D</v>
      </c>
      <c r="W422" s="82">
        <f>_xll.qlCalendarAdvance(Calendar,W421,V422,"f",FALSE)</f>
        <v>42464</v>
      </c>
      <c r="X422" s="91">
        <f>_xll.qlCalendarAdvance(Calendar,W422,NDays&amp;"D")</f>
        <v>42464</v>
      </c>
      <c r="Y422" s="92" t="e">
        <v>#N/A</v>
      </c>
      <c r="Z422" s="94" t="e">
        <v>#N/A</v>
      </c>
    </row>
    <row r="423" spans="22:26" x14ac:dyDescent="0.2">
      <c r="V423" s="123" t="str">
        <f t="shared" si="17"/>
        <v>1D</v>
      </c>
      <c r="W423" s="82">
        <f>_xll.qlCalendarAdvance(Calendar,W422,V423,"f",FALSE)</f>
        <v>42465</v>
      </c>
      <c r="X423" s="91">
        <f>_xll.qlCalendarAdvance(Calendar,W423,NDays&amp;"D")</f>
        <v>42465</v>
      </c>
      <c r="Y423" s="92" t="e">
        <v>#N/A</v>
      </c>
      <c r="Z423" s="94" t="e">
        <v>#N/A</v>
      </c>
    </row>
    <row r="424" spans="22:26" x14ac:dyDescent="0.2">
      <c r="V424" s="123" t="str">
        <f t="shared" si="17"/>
        <v>1D</v>
      </c>
      <c r="W424" s="82">
        <f>_xll.qlCalendarAdvance(Calendar,W423,V424,"f",FALSE)</f>
        <v>42466</v>
      </c>
      <c r="X424" s="91">
        <f>_xll.qlCalendarAdvance(Calendar,W424,NDays&amp;"D")</f>
        <v>42466</v>
      </c>
      <c r="Y424" s="92" t="e">
        <v>#N/A</v>
      </c>
      <c r="Z424" s="94" t="e">
        <v>#N/A</v>
      </c>
    </row>
    <row r="425" spans="22:26" x14ac:dyDescent="0.2">
      <c r="V425" s="123" t="str">
        <f t="shared" si="17"/>
        <v>1D</v>
      </c>
      <c r="W425" s="82">
        <f>_xll.qlCalendarAdvance(Calendar,W424,V425,"f",FALSE)</f>
        <v>42467</v>
      </c>
      <c r="X425" s="91">
        <f>_xll.qlCalendarAdvance(Calendar,W425,NDays&amp;"D")</f>
        <v>42467</v>
      </c>
      <c r="Y425" s="92" t="e">
        <v>#N/A</v>
      </c>
      <c r="Z425" s="94" t="e">
        <v>#N/A</v>
      </c>
    </row>
    <row r="426" spans="22:26" x14ac:dyDescent="0.2">
      <c r="V426" s="123" t="str">
        <f t="shared" si="17"/>
        <v>1D</v>
      </c>
      <c r="W426" s="82">
        <f>_xll.qlCalendarAdvance(Calendar,W425,V426,"f",FALSE)</f>
        <v>42468</v>
      </c>
      <c r="X426" s="91">
        <f>_xll.qlCalendarAdvance(Calendar,W426,NDays&amp;"D")</f>
        <v>42468</v>
      </c>
      <c r="Y426" s="92" t="e">
        <v>#N/A</v>
      </c>
      <c r="Z426" s="94" t="e">
        <v>#N/A</v>
      </c>
    </row>
    <row r="427" spans="22:26" x14ac:dyDescent="0.2">
      <c r="V427" s="123" t="str">
        <f t="shared" si="17"/>
        <v>1D</v>
      </c>
      <c r="W427" s="82">
        <f>_xll.qlCalendarAdvance(Calendar,W426,V427,"f",FALSE)</f>
        <v>42471</v>
      </c>
      <c r="X427" s="91">
        <f>_xll.qlCalendarAdvance(Calendar,W427,NDays&amp;"D")</f>
        <v>42471</v>
      </c>
      <c r="Y427" s="92" t="e">
        <v>#N/A</v>
      </c>
      <c r="Z427" s="94" t="e">
        <v>#N/A</v>
      </c>
    </row>
    <row r="428" spans="22:26" x14ac:dyDescent="0.2">
      <c r="V428" s="123" t="str">
        <f t="shared" si="17"/>
        <v>1D</v>
      </c>
      <c r="W428" s="82">
        <f>_xll.qlCalendarAdvance(Calendar,W427,V428,"f",FALSE)</f>
        <v>42472</v>
      </c>
      <c r="X428" s="91">
        <f>_xll.qlCalendarAdvance(Calendar,W428,NDays&amp;"D")</f>
        <v>42472</v>
      </c>
      <c r="Y428" s="92" t="e">
        <v>#N/A</v>
      </c>
      <c r="Z428" s="94" t="e">
        <v>#N/A</v>
      </c>
    </row>
    <row r="429" spans="22:26" x14ac:dyDescent="0.2">
      <c r="V429" s="123" t="str">
        <f t="shared" si="17"/>
        <v>1D</v>
      </c>
      <c r="W429" s="82">
        <f>_xll.qlCalendarAdvance(Calendar,W428,V429,"f",FALSE)</f>
        <v>42473</v>
      </c>
      <c r="X429" s="91">
        <f>_xll.qlCalendarAdvance(Calendar,W429,NDays&amp;"D")</f>
        <v>42473</v>
      </c>
      <c r="Y429" s="92" t="e">
        <v>#N/A</v>
      </c>
      <c r="Z429" s="94" t="e">
        <v>#N/A</v>
      </c>
    </row>
    <row r="430" spans="22:26" x14ac:dyDescent="0.2">
      <c r="V430" s="123" t="str">
        <f t="shared" si="17"/>
        <v>1D</v>
      </c>
      <c r="W430" s="82">
        <f>_xll.qlCalendarAdvance(Calendar,W429,V430,"f",FALSE)</f>
        <v>42474</v>
      </c>
      <c r="X430" s="91">
        <f>_xll.qlCalendarAdvance(Calendar,W430,NDays&amp;"D")</f>
        <v>42474</v>
      </c>
      <c r="Y430" s="92" t="e">
        <v>#N/A</v>
      </c>
      <c r="Z430" s="94" t="e">
        <v>#N/A</v>
      </c>
    </row>
    <row r="431" spans="22:26" x14ac:dyDescent="0.2">
      <c r="V431" s="123" t="str">
        <f t="shared" si="17"/>
        <v>1D</v>
      </c>
      <c r="W431" s="82">
        <f>_xll.qlCalendarAdvance(Calendar,W430,V431,"f",FALSE)</f>
        <v>42475</v>
      </c>
      <c r="X431" s="91">
        <f>_xll.qlCalendarAdvance(Calendar,W431,NDays&amp;"D")</f>
        <v>42475</v>
      </c>
      <c r="Y431" s="92" t="e">
        <v>#N/A</v>
      </c>
      <c r="Z431" s="94" t="e">
        <v>#N/A</v>
      </c>
    </row>
    <row r="432" spans="22:26" x14ac:dyDescent="0.2">
      <c r="V432" s="123" t="str">
        <f t="shared" si="17"/>
        <v>1D</v>
      </c>
      <c r="W432" s="82">
        <f>_xll.qlCalendarAdvance(Calendar,W431,V432,"f",FALSE)</f>
        <v>42478</v>
      </c>
      <c r="X432" s="91">
        <f>_xll.qlCalendarAdvance(Calendar,W432,NDays&amp;"D")</f>
        <v>42478</v>
      </c>
      <c r="Y432" s="92" t="e">
        <v>#N/A</v>
      </c>
      <c r="Z432" s="94" t="e">
        <v>#N/A</v>
      </c>
    </row>
    <row r="433" spans="22:26" x14ac:dyDescent="0.2">
      <c r="V433" s="123" t="str">
        <f t="shared" si="17"/>
        <v>1D</v>
      </c>
      <c r="W433" s="82">
        <f>_xll.qlCalendarAdvance(Calendar,W432,V433,"f",FALSE)</f>
        <v>42479</v>
      </c>
      <c r="X433" s="91">
        <f>_xll.qlCalendarAdvance(Calendar,W433,NDays&amp;"D")</f>
        <v>42479</v>
      </c>
      <c r="Y433" s="92" t="e">
        <v>#N/A</v>
      </c>
      <c r="Z433" s="94" t="e">
        <v>#N/A</v>
      </c>
    </row>
    <row r="434" spans="22:26" x14ac:dyDescent="0.2">
      <c r="V434" s="123" t="str">
        <f t="shared" si="17"/>
        <v>1D</v>
      </c>
      <c r="W434" s="82">
        <f>_xll.qlCalendarAdvance(Calendar,W433,V434,"f",FALSE)</f>
        <v>42480</v>
      </c>
      <c r="X434" s="91">
        <f>_xll.qlCalendarAdvance(Calendar,W434,NDays&amp;"D")</f>
        <v>42480</v>
      </c>
      <c r="Y434" s="92" t="e">
        <v>#N/A</v>
      </c>
      <c r="Z434" s="94" t="e">
        <v>#N/A</v>
      </c>
    </row>
    <row r="435" spans="22:26" x14ac:dyDescent="0.2">
      <c r="V435" s="123" t="str">
        <f t="shared" si="17"/>
        <v>1D</v>
      </c>
      <c r="W435" s="82">
        <f>_xll.qlCalendarAdvance(Calendar,W434,V435,"f",FALSE)</f>
        <v>42481</v>
      </c>
      <c r="X435" s="91">
        <f>_xll.qlCalendarAdvance(Calendar,W435,NDays&amp;"D")</f>
        <v>42481</v>
      </c>
      <c r="Y435" s="92" t="e">
        <v>#N/A</v>
      </c>
      <c r="Z435" s="94" t="e">
        <v>#N/A</v>
      </c>
    </row>
    <row r="436" spans="22:26" x14ac:dyDescent="0.2">
      <c r="V436" s="123" t="str">
        <f t="shared" si="17"/>
        <v>1D</v>
      </c>
      <c r="W436" s="82">
        <f>_xll.qlCalendarAdvance(Calendar,W435,V436,"f",FALSE)</f>
        <v>42482</v>
      </c>
      <c r="X436" s="91">
        <f>_xll.qlCalendarAdvance(Calendar,W436,NDays&amp;"D")</f>
        <v>42482</v>
      </c>
      <c r="Y436" s="92" t="e">
        <v>#N/A</v>
      </c>
      <c r="Z436" s="94" t="e">
        <v>#N/A</v>
      </c>
    </row>
    <row r="437" spans="22:26" x14ac:dyDescent="0.2">
      <c r="V437" s="123" t="str">
        <f t="shared" si="17"/>
        <v>1D</v>
      </c>
      <c r="W437" s="82">
        <f>_xll.qlCalendarAdvance(Calendar,W436,V437,"f",FALSE)</f>
        <v>42485</v>
      </c>
      <c r="X437" s="91">
        <f>_xll.qlCalendarAdvance(Calendar,W437,NDays&amp;"D")</f>
        <v>42485</v>
      </c>
      <c r="Y437" s="92" t="e">
        <v>#N/A</v>
      </c>
      <c r="Z437" s="94" t="e">
        <v>#N/A</v>
      </c>
    </row>
    <row r="438" spans="22:26" x14ac:dyDescent="0.2">
      <c r="V438" s="123" t="str">
        <f t="shared" si="17"/>
        <v>1D</v>
      </c>
      <c r="W438" s="82">
        <f>_xll.qlCalendarAdvance(Calendar,W437,V438,"f",FALSE)</f>
        <v>42486</v>
      </c>
      <c r="X438" s="91">
        <f>_xll.qlCalendarAdvance(Calendar,W438,NDays&amp;"D")</f>
        <v>42486</v>
      </c>
      <c r="Y438" s="92" t="e">
        <v>#N/A</v>
      </c>
      <c r="Z438" s="94" t="e">
        <v>#N/A</v>
      </c>
    </row>
    <row r="439" spans="22:26" x14ac:dyDescent="0.2">
      <c r="V439" s="123" t="str">
        <f t="shared" si="17"/>
        <v>1D</v>
      </c>
      <c r="W439" s="82">
        <f>_xll.qlCalendarAdvance(Calendar,W438,V439,"f",FALSE)</f>
        <v>42487</v>
      </c>
      <c r="X439" s="91">
        <f>_xll.qlCalendarAdvance(Calendar,W439,NDays&amp;"D")</f>
        <v>42487</v>
      </c>
      <c r="Y439" s="92" t="e">
        <v>#N/A</v>
      </c>
      <c r="Z439" s="94" t="e">
        <v>#N/A</v>
      </c>
    </row>
    <row r="440" spans="22:26" x14ac:dyDescent="0.2">
      <c r="V440" s="123" t="str">
        <f t="shared" si="17"/>
        <v>1D</v>
      </c>
      <c r="W440" s="82">
        <f>_xll.qlCalendarAdvance(Calendar,W439,V440,"f",FALSE)</f>
        <v>42488</v>
      </c>
      <c r="X440" s="91">
        <f>_xll.qlCalendarAdvance(Calendar,W440,NDays&amp;"D")</f>
        <v>42488</v>
      </c>
      <c r="Y440" s="92" t="e">
        <v>#N/A</v>
      </c>
      <c r="Z440" s="94" t="e">
        <v>#N/A</v>
      </c>
    </row>
    <row r="441" spans="22:26" x14ac:dyDescent="0.2">
      <c r="V441" s="123" t="str">
        <f t="shared" si="17"/>
        <v>1D</v>
      </c>
      <c r="W441" s="82">
        <f>_xll.qlCalendarAdvance(Calendar,W440,V441,"f",FALSE)</f>
        <v>42489</v>
      </c>
      <c r="X441" s="91">
        <f>_xll.qlCalendarAdvance(Calendar,W441,NDays&amp;"D")</f>
        <v>42489</v>
      </c>
      <c r="Y441" s="92" t="e">
        <v>#N/A</v>
      </c>
      <c r="Z441" s="94" t="e">
        <v>#N/A</v>
      </c>
    </row>
    <row r="442" spans="22:26" x14ac:dyDescent="0.2">
      <c r="V442" s="123" t="str">
        <f t="shared" si="17"/>
        <v>1D</v>
      </c>
      <c r="W442" s="82">
        <f>_xll.qlCalendarAdvance(Calendar,W441,V442,"f",FALSE)</f>
        <v>42493</v>
      </c>
      <c r="X442" s="91">
        <f>_xll.qlCalendarAdvance(Calendar,W442,NDays&amp;"D")</f>
        <v>42493</v>
      </c>
      <c r="Y442" s="92" t="e">
        <v>#N/A</v>
      </c>
      <c r="Z442" s="94" t="e">
        <v>#N/A</v>
      </c>
    </row>
    <row r="443" spans="22:26" x14ac:dyDescent="0.2">
      <c r="V443" s="123" t="str">
        <f t="shared" si="17"/>
        <v>1D</v>
      </c>
      <c r="W443" s="82">
        <f>_xll.qlCalendarAdvance(Calendar,W442,V443,"f",FALSE)</f>
        <v>42494</v>
      </c>
      <c r="X443" s="91">
        <f>_xll.qlCalendarAdvance(Calendar,W443,NDays&amp;"D")</f>
        <v>42494</v>
      </c>
      <c r="Y443" s="92" t="e">
        <v>#N/A</v>
      </c>
      <c r="Z443" s="94" t="e">
        <v>#N/A</v>
      </c>
    </row>
    <row r="444" spans="22:26" x14ac:dyDescent="0.2">
      <c r="V444" s="123" t="str">
        <f t="shared" si="17"/>
        <v>1D</v>
      </c>
      <c r="W444" s="82">
        <f>_xll.qlCalendarAdvance(Calendar,W443,V444,"f",FALSE)</f>
        <v>42495</v>
      </c>
      <c r="X444" s="91">
        <f>_xll.qlCalendarAdvance(Calendar,W444,NDays&amp;"D")</f>
        <v>42495</v>
      </c>
      <c r="Y444" s="92" t="e">
        <v>#N/A</v>
      </c>
      <c r="Z444" s="94" t="e">
        <v>#N/A</v>
      </c>
    </row>
    <row r="445" spans="22:26" x14ac:dyDescent="0.2">
      <c r="V445" s="123" t="str">
        <f t="shared" si="17"/>
        <v>1D</v>
      </c>
      <c r="W445" s="82">
        <f>_xll.qlCalendarAdvance(Calendar,W444,V445,"f",FALSE)</f>
        <v>42496</v>
      </c>
      <c r="X445" s="91">
        <f>_xll.qlCalendarAdvance(Calendar,W445,NDays&amp;"D")</f>
        <v>42496</v>
      </c>
      <c r="Y445" s="92" t="e">
        <v>#N/A</v>
      </c>
      <c r="Z445" s="94" t="e">
        <v>#N/A</v>
      </c>
    </row>
    <row r="446" spans="22:26" x14ac:dyDescent="0.2">
      <c r="V446" s="123" t="str">
        <f t="shared" si="17"/>
        <v>1D</v>
      </c>
      <c r="W446" s="82">
        <f>_xll.qlCalendarAdvance(Calendar,W445,V446,"f",FALSE)</f>
        <v>42499</v>
      </c>
      <c r="X446" s="91">
        <f>_xll.qlCalendarAdvance(Calendar,W446,NDays&amp;"D")</f>
        <v>42499</v>
      </c>
      <c r="Y446" s="92" t="e">
        <v>#N/A</v>
      </c>
      <c r="Z446" s="94" t="e">
        <v>#N/A</v>
      </c>
    </row>
    <row r="447" spans="22:26" x14ac:dyDescent="0.2">
      <c r="V447" s="123" t="str">
        <f t="shared" si="17"/>
        <v>1D</v>
      </c>
      <c r="W447" s="82">
        <f>_xll.qlCalendarAdvance(Calendar,W446,V447,"f",FALSE)</f>
        <v>42500</v>
      </c>
      <c r="X447" s="91">
        <f>_xll.qlCalendarAdvance(Calendar,W447,NDays&amp;"D")</f>
        <v>42500</v>
      </c>
      <c r="Y447" s="92" t="e">
        <v>#N/A</v>
      </c>
      <c r="Z447" s="94" t="e">
        <v>#N/A</v>
      </c>
    </row>
    <row r="448" spans="22:26" x14ac:dyDescent="0.2">
      <c r="V448" s="123" t="str">
        <f t="shared" si="17"/>
        <v>1D</v>
      </c>
      <c r="W448" s="82">
        <f>_xll.qlCalendarAdvance(Calendar,W447,V448,"f",FALSE)</f>
        <v>42501</v>
      </c>
      <c r="X448" s="91">
        <f>_xll.qlCalendarAdvance(Calendar,W448,NDays&amp;"D")</f>
        <v>42501</v>
      </c>
      <c r="Y448" s="92" t="e">
        <v>#N/A</v>
      </c>
      <c r="Z448" s="94" t="e">
        <v>#N/A</v>
      </c>
    </row>
    <row r="449" spans="22:26" x14ac:dyDescent="0.2">
      <c r="V449" s="123" t="str">
        <f t="shared" si="17"/>
        <v>1D</v>
      </c>
      <c r="W449" s="82">
        <f>_xll.qlCalendarAdvance(Calendar,W448,V449,"f",FALSE)</f>
        <v>42502</v>
      </c>
      <c r="X449" s="91">
        <f>_xll.qlCalendarAdvance(Calendar,W449,NDays&amp;"D")</f>
        <v>42502</v>
      </c>
      <c r="Y449" s="92" t="e">
        <v>#N/A</v>
      </c>
      <c r="Z449" s="94" t="e">
        <v>#N/A</v>
      </c>
    </row>
    <row r="450" spans="22:26" x14ac:dyDescent="0.2">
      <c r="V450" s="123" t="str">
        <f t="shared" si="17"/>
        <v>1D</v>
      </c>
      <c r="W450" s="82">
        <f>_xll.qlCalendarAdvance(Calendar,W449,V450,"f",FALSE)</f>
        <v>42503</v>
      </c>
      <c r="X450" s="91">
        <f>_xll.qlCalendarAdvance(Calendar,W450,NDays&amp;"D")</f>
        <v>42503</v>
      </c>
      <c r="Y450" s="92" t="e">
        <v>#N/A</v>
      </c>
      <c r="Z450" s="94" t="e">
        <v>#N/A</v>
      </c>
    </row>
    <row r="451" spans="22:26" x14ac:dyDescent="0.2">
      <c r="V451" s="123" t="str">
        <f t="shared" si="17"/>
        <v>1D</v>
      </c>
      <c r="W451" s="82">
        <f>_xll.qlCalendarAdvance(Calendar,W450,V451,"f",FALSE)</f>
        <v>42506</v>
      </c>
      <c r="X451" s="91">
        <f>_xll.qlCalendarAdvance(Calendar,W451,NDays&amp;"D")</f>
        <v>42506</v>
      </c>
      <c r="Y451" s="92" t="e">
        <v>#N/A</v>
      </c>
      <c r="Z451" s="94" t="e">
        <v>#N/A</v>
      </c>
    </row>
    <row r="452" spans="22:26" x14ac:dyDescent="0.2">
      <c r="V452" s="123" t="str">
        <f t="shared" si="17"/>
        <v>1D</v>
      </c>
      <c r="W452" s="82">
        <f>_xll.qlCalendarAdvance(Calendar,W451,V452,"f",FALSE)</f>
        <v>42507</v>
      </c>
      <c r="X452" s="91">
        <f>_xll.qlCalendarAdvance(Calendar,W452,NDays&amp;"D")</f>
        <v>42507</v>
      </c>
      <c r="Y452" s="92" t="e">
        <v>#N/A</v>
      </c>
      <c r="Z452" s="94" t="e">
        <v>#N/A</v>
      </c>
    </row>
    <row r="453" spans="22:26" x14ac:dyDescent="0.2">
      <c r="V453" s="123" t="str">
        <f t="shared" si="17"/>
        <v>1D</v>
      </c>
      <c r="W453" s="82">
        <f>_xll.qlCalendarAdvance(Calendar,W452,V453,"f",FALSE)</f>
        <v>42508</v>
      </c>
      <c r="X453" s="91">
        <f>_xll.qlCalendarAdvance(Calendar,W453,NDays&amp;"D")</f>
        <v>42508</v>
      </c>
      <c r="Y453" s="92" t="e">
        <v>#N/A</v>
      </c>
      <c r="Z453" s="94" t="e">
        <v>#N/A</v>
      </c>
    </row>
    <row r="454" spans="22:26" x14ac:dyDescent="0.2">
      <c r="V454" s="123" t="str">
        <f t="shared" si="17"/>
        <v>1D</v>
      </c>
      <c r="W454" s="82">
        <f>_xll.qlCalendarAdvance(Calendar,W453,V454,"f",FALSE)</f>
        <v>42509</v>
      </c>
      <c r="X454" s="91">
        <f>_xll.qlCalendarAdvance(Calendar,W454,NDays&amp;"D")</f>
        <v>42509</v>
      </c>
      <c r="Y454" s="92" t="e">
        <v>#N/A</v>
      </c>
      <c r="Z454" s="94" t="e">
        <v>#N/A</v>
      </c>
    </row>
    <row r="455" spans="22:26" x14ac:dyDescent="0.2">
      <c r="V455" s="123" t="str">
        <f t="shared" si="17"/>
        <v>1D</v>
      </c>
      <c r="W455" s="82">
        <f>_xll.qlCalendarAdvance(Calendar,W454,V455,"f",FALSE)</f>
        <v>42510</v>
      </c>
      <c r="X455" s="91">
        <f>_xll.qlCalendarAdvance(Calendar,W455,NDays&amp;"D")</f>
        <v>42510</v>
      </c>
      <c r="Y455" s="92" t="e">
        <v>#N/A</v>
      </c>
      <c r="Z455" s="94" t="e">
        <v>#N/A</v>
      </c>
    </row>
    <row r="456" spans="22:26" x14ac:dyDescent="0.2">
      <c r="V456" s="123" t="str">
        <f t="shared" si="17"/>
        <v>1D</v>
      </c>
      <c r="W456" s="82">
        <f>_xll.qlCalendarAdvance(Calendar,W455,V456,"f",FALSE)</f>
        <v>42513</v>
      </c>
      <c r="X456" s="91">
        <f>_xll.qlCalendarAdvance(Calendar,W456,NDays&amp;"D")</f>
        <v>42513</v>
      </c>
      <c r="Y456" s="92" t="e">
        <v>#N/A</v>
      </c>
      <c r="Z456" s="94" t="e">
        <v>#N/A</v>
      </c>
    </row>
    <row r="457" spans="22:26" x14ac:dyDescent="0.2">
      <c r="V457" s="123" t="str">
        <f t="shared" si="17"/>
        <v>1D</v>
      </c>
      <c r="W457" s="82">
        <f>_xll.qlCalendarAdvance(Calendar,W456,V457,"f",FALSE)</f>
        <v>42514</v>
      </c>
      <c r="X457" s="91">
        <f>_xll.qlCalendarAdvance(Calendar,W457,NDays&amp;"D")</f>
        <v>42514</v>
      </c>
      <c r="Y457" s="92" t="e">
        <v>#N/A</v>
      </c>
      <c r="Z457" s="94" t="e">
        <v>#N/A</v>
      </c>
    </row>
    <row r="458" spans="22:26" x14ac:dyDescent="0.2">
      <c r="V458" s="123" t="str">
        <f t="shared" si="17"/>
        <v>1D</v>
      </c>
      <c r="W458" s="82">
        <f>_xll.qlCalendarAdvance(Calendar,W457,V458,"f",FALSE)</f>
        <v>42515</v>
      </c>
      <c r="X458" s="91">
        <f>_xll.qlCalendarAdvance(Calendar,W458,NDays&amp;"D")</f>
        <v>42515</v>
      </c>
      <c r="Y458" s="92" t="e">
        <v>#N/A</v>
      </c>
      <c r="Z458" s="94" t="e">
        <v>#N/A</v>
      </c>
    </row>
    <row r="459" spans="22:26" x14ac:dyDescent="0.2">
      <c r="V459" s="123" t="str">
        <f t="shared" si="17"/>
        <v>1D</v>
      </c>
      <c r="W459" s="82">
        <f>_xll.qlCalendarAdvance(Calendar,W458,V459,"f",FALSE)</f>
        <v>42516</v>
      </c>
      <c r="X459" s="91">
        <f>_xll.qlCalendarAdvance(Calendar,W459,NDays&amp;"D")</f>
        <v>42516</v>
      </c>
      <c r="Y459" s="92" t="e">
        <v>#N/A</v>
      </c>
      <c r="Z459" s="94" t="e">
        <v>#N/A</v>
      </c>
    </row>
    <row r="460" spans="22:26" x14ac:dyDescent="0.2">
      <c r="V460" s="123" t="str">
        <f t="shared" si="17"/>
        <v>1D</v>
      </c>
      <c r="W460" s="82">
        <f>_xll.qlCalendarAdvance(Calendar,W459,V460,"f",FALSE)</f>
        <v>42517</v>
      </c>
      <c r="X460" s="91">
        <f>_xll.qlCalendarAdvance(Calendar,W460,NDays&amp;"D")</f>
        <v>42517</v>
      </c>
      <c r="Y460" s="92" t="e">
        <v>#N/A</v>
      </c>
      <c r="Z460" s="94" t="e">
        <v>#N/A</v>
      </c>
    </row>
    <row r="461" spans="22:26" x14ac:dyDescent="0.2">
      <c r="V461" s="123" t="str">
        <f t="shared" si="17"/>
        <v>1D</v>
      </c>
      <c r="W461" s="82">
        <f>_xll.qlCalendarAdvance(Calendar,W460,V461,"f",FALSE)</f>
        <v>42520</v>
      </c>
      <c r="X461" s="91">
        <f>_xll.qlCalendarAdvance(Calendar,W461,NDays&amp;"D")</f>
        <v>42520</v>
      </c>
      <c r="Y461" s="92" t="e">
        <v>#N/A</v>
      </c>
      <c r="Z461" s="94" t="e">
        <v>#N/A</v>
      </c>
    </row>
    <row r="462" spans="22:26" x14ac:dyDescent="0.2">
      <c r="V462" s="123" t="str">
        <f t="shared" si="17"/>
        <v>1D</v>
      </c>
      <c r="W462" s="82">
        <f>_xll.qlCalendarAdvance(Calendar,W461,V462,"f",FALSE)</f>
        <v>42521</v>
      </c>
      <c r="X462" s="91">
        <f>_xll.qlCalendarAdvance(Calendar,W462,NDays&amp;"D")</f>
        <v>42521</v>
      </c>
      <c r="Y462" s="92" t="e">
        <v>#N/A</v>
      </c>
      <c r="Z462" s="94" t="e">
        <v>#N/A</v>
      </c>
    </row>
    <row r="463" spans="22:26" x14ac:dyDescent="0.2">
      <c r="V463" s="123" t="str">
        <f t="shared" si="17"/>
        <v>1D</v>
      </c>
      <c r="W463" s="82">
        <f>_xll.qlCalendarAdvance(Calendar,W462,V463,"f",FALSE)</f>
        <v>42522</v>
      </c>
      <c r="X463" s="91">
        <f>_xll.qlCalendarAdvance(Calendar,W463,NDays&amp;"D")</f>
        <v>42522</v>
      </c>
      <c r="Y463" s="92" t="e">
        <v>#N/A</v>
      </c>
      <c r="Z463" s="94" t="e">
        <v>#N/A</v>
      </c>
    </row>
    <row r="464" spans="22:26" x14ac:dyDescent="0.2">
      <c r="V464" s="123" t="str">
        <f t="shared" si="17"/>
        <v>1D</v>
      </c>
      <c r="W464" s="82">
        <f>_xll.qlCalendarAdvance(Calendar,W463,V464,"f",FALSE)</f>
        <v>42523</v>
      </c>
      <c r="X464" s="91">
        <f>_xll.qlCalendarAdvance(Calendar,W464,NDays&amp;"D")</f>
        <v>42523</v>
      </c>
      <c r="Y464" s="92" t="e">
        <v>#N/A</v>
      </c>
      <c r="Z464" s="94" t="e">
        <v>#N/A</v>
      </c>
    </row>
    <row r="465" spans="22:26" x14ac:dyDescent="0.2">
      <c r="V465" s="123" t="str">
        <f t="shared" si="17"/>
        <v>1D</v>
      </c>
      <c r="W465" s="82">
        <f>_xll.qlCalendarAdvance(Calendar,W464,V465,"f",FALSE)</f>
        <v>42524</v>
      </c>
      <c r="X465" s="91">
        <f>_xll.qlCalendarAdvance(Calendar,W465,NDays&amp;"D")</f>
        <v>42524</v>
      </c>
      <c r="Y465" s="92" t="e">
        <v>#N/A</v>
      </c>
      <c r="Z465" s="94" t="e">
        <v>#N/A</v>
      </c>
    </row>
    <row r="466" spans="22:26" x14ac:dyDescent="0.2">
      <c r="V466" s="123" t="str">
        <f t="shared" si="17"/>
        <v>1D</v>
      </c>
      <c r="W466" s="82">
        <f>_xll.qlCalendarAdvance(Calendar,W465,V466,"f",FALSE)</f>
        <v>42527</v>
      </c>
      <c r="X466" s="91">
        <f>_xll.qlCalendarAdvance(Calendar,W466,NDays&amp;"D")</f>
        <v>42527</v>
      </c>
      <c r="Y466" s="92" t="e">
        <v>#N/A</v>
      </c>
      <c r="Z466" s="94" t="e">
        <v>#N/A</v>
      </c>
    </row>
    <row r="467" spans="22:26" x14ac:dyDescent="0.2">
      <c r="V467" s="123" t="str">
        <f t="shared" si="17"/>
        <v>1D</v>
      </c>
      <c r="W467" s="82">
        <f>_xll.qlCalendarAdvance(Calendar,W466,V467,"f",FALSE)</f>
        <v>42528</v>
      </c>
      <c r="X467" s="91">
        <f>_xll.qlCalendarAdvance(Calendar,W467,NDays&amp;"D")</f>
        <v>42528</v>
      </c>
      <c r="Y467" s="92" t="e">
        <v>#N/A</v>
      </c>
      <c r="Z467" s="94" t="e">
        <v>#N/A</v>
      </c>
    </row>
    <row r="468" spans="22:26" x14ac:dyDescent="0.2">
      <c r="V468" s="123" t="str">
        <f t="shared" si="17"/>
        <v>1D</v>
      </c>
      <c r="W468" s="82">
        <f>_xll.qlCalendarAdvance(Calendar,W467,V468,"f",FALSE)</f>
        <v>42529</v>
      </c>
      <c r="X468" s="91">
        <f>_xll.qlCalendarAdvance(Calendar,W468,NDays&amp;"D")</f>
        <v>42529</v>
      </c>
      <c r="Y468" s="92" t="e">
        <v>#N/A</v>
      </c>
      <c r="Z468" s="94" t="e">
        <v>#N/A</v>
      </c>
    </row>
    <row r="469" spans="22:26" x14ac:dyDescent="0.2">
      <c r="V469" s="123" t="str">
        <f t="shared" ref="V469:V532" si="18">V468</f>
        <v>1D</v>
      </c>
      <c r="W469" s="82">
        <f>_xll.qlCalendarAdvance(Calendar,W468,V469,"f",FALSE)</f>
        <v>42530</v>
      </c>
      <c r="X469" s="91">
        <f>_xll.qlCalendarAdvance(Calendar,W469,NDays&amp;"D")</f>
        <v>42530</v>
      </c>
      <c r="Y469" s="92" t="e">
        <v>#N/A</v>
      </c>
      <c r="Z469" s="94" t="e">
        <v>#N/A</v>
      </c>
    </row>
    <row r="470" spans="22:26" x14ac:dyDescent="0.2">
      <c r="V470" s="123" t="str">
        <f t="shared" si="18"/>
        <v>1D</v>
      </c>
      <c r="W470" s="82">
        <f>_xll.qlCalendarAdvance(Calendar,W469,V470,"f",FALSE)</f>
        <v>42531</v>
      </c>
      <c r="X470" s="91">
        <f>_xll.qlCalendarAdvance(Calendar,W470,NDays&amp;"D")</f>
        <v>42531</v>
      </c>
      <c r="Y470" s="92" t="e">
        <v>#N/A</v>
      </c>
      <c r="Z470" s="94" t="e">
        <v>#N/A</v>
      </c>
    </row>
    <row r="471" spans="22:26" x14ac:dyDescent="0.2">
      <c r="V471" s="123" t="str">
        <f t="shared" si="18"/>
        <v>1D</v>
      </c>
      <c r="W471" s="82">
        <f>_xll.qlCalendarAdvance(Calendar,W470,V471,"f",FALSE)</f>
        <v>42534</v>
      </c>
      <c r="X471" s="91">
        <f>_xll.qlCalendarAdvance(Calendar,W471,NDays&amp;"D")</f>
        <v>42534</v>
      </c>
      <c r="Y471" s="92" t="e">
        <v>#N/A</v>
      </c>
      <c r="Z471" s="94" t="e">
        <v>#N/A</v>
      </c>
    </row>
    <row r="472" spans="22:26" x14ac:dyDescent="0.2">
      <c r="V472" s="123" t="str">
        <f t="shared" si="18"/>
        <v>1D</v>
      </c>
      <c r="W472" s="82">
        <f>_xll.qlCalendarAdvance(Calendar,W471,V472,"f",FALSE)</f>
        <v>42535</v>
      </c>
      <c r="X472" s="91">
        <f>_xll.qlCalendarAdvance(Calendar,W472,NDays&amp;"D")</f>
        <v>42535</v>
      </c>
      <c r="Y472" s="92" t="e">
        <v>#N/A</v>
      </c>
      <c r="Z472" s="94" t="e">
        <v>#N/A</v>
      </c>
    </row>
    <row r="473" spans="22:26" x14ac:dyDescent="0.2">
      <c r="V473" s="123" t="str">
        <f t="shared" si="18"/>
        <v>1D</v>
      </c>
      <c r="W473" s="82">
        <f>_xll.qlCalendarAdvance(Calendar,W472,V473,"f",FALSE)</f>
        <v>42536</v>
      </c>
      <c r="X473" s="91">
        <f>_xll.qlCalendarAdvance(Calendar,W473,NDays&amp;"D")</f>
        <v>42536</v>
      </c>
      <c r="Y473" s="92" t="e">
        <v>#N/A</v>
      </c>
      <c r="Z473" s="94" t="e">
        <v>#N/A</v>
      </c>
    </row>
    <row r="474" spans="22:26" x14ac:dyDescent="0.2">
      <c r="V474" s="123" t="str">
        <f t="shared" si="18"/>
        <v>1D</v>
      </c>
      <c r="W474" s="82">
        <f>_xll.qlCalendarAdvance(Calendar,W473,V474,"f",FALSE)</f>
        <v>42537</v>
      </c>
      <c r="X474" s="91">
        <f>_xll.qlCalendarAdvance(Calendar,W474,NDays&amp;"D")</f>
        <v>42537</v>
      </c>
      <c r="Y474" s="92" t="e">
        <v>#N/A</v>
      </c>
      <c r="Z474" s="94" t="e">
        <v>#N/A</v>
      </c>
    </row>
    <row r="475" spans="22:26" x14ac:dyDescent="0.2">
      <c r="V475" s="123" t="str">
        <f t="shared" si="18"/>
        <v>1D</v>
      </c>
      <c r="W475" s="82">
        <f>_xll.qlCalendarAdvance(Calendar,W474,V475,"f",FALSE)</f>
        <v>42538</v>
      </c>
      <c r="X475" s="91">
        <f>_xll.qlCalendarAdvance(Calendar,W475,NDays&amp;"D")</f>
        <v>42538</v>
      </c>
      <c r="Y475" s="92" t="e">
        <v>#N/A</v>
      </c>
      <c r="Z475" s="94" t="e">
        <v>#N/A</v>
      </c>
    </row>
    <row r="476" spans="22:26" x14ac:dyDescent="0.2">
      <c r="V476" s="123" t="str">
        <f t="shared" si="18"/>
        <v>1D</v>
      </c>
      <c r="W476" s="82">
        <f>_xll.qlCalendarAdvance(Calendar,W475,V476,"f",FALSE)</f>
        <v>42541</v>
      </c>
      <c r="X476" s="91">
        <f>_xll.qlCalendarAdvance(Calendar,W476,NDays&amp;"D")</f>
        <v>42541</v>
      </c>
      <c r="Y476" s="92" t="e">
        <v>#N/A</v>
      </c>
      <c r="Z476" s="94" t="e">
        <v>#N/A</v>
      </c>
    </row>
    <row r="477" spans="22:26" x14ac:dyDescent="0.2">
      <c r="V477" s="123" t="str">
        <f t="shared" si="18"/>
        <v>1D</v>
      </c>
      <c r="W477" s="82">
        <f>_xll.qlCalendarAdvance(Calendar,W476,V477,"f",FALSE)</f>
        <v>42542</v>
      </c>
      <c r="X477" s="91">
        <f>_xll.qlCalendarAdvance(Calendar,W477,NDays&amp;"D")</f>
        <v>42542</v>
      </c>
      <c r="Y477" s="92" t="e">
        <v>#N/A</v>
      </c>
      <c r="Z477" s="94" t="e">
        <v>#N/A</v>
      </c>
    </row>
    <row r="478" spans="22:26" x14ac:dyDescent="0.2">
      <c r="V478" s="123" t="str">
        <f t="shared" si="18"/>
        <v>1D</v>
      </c>
      <c r="W478" s="82">
        <f>_xll.qlCalendarAdvance(Calendar,W477,V478,"f",FALSE)</f>
        <v>42543</v>
      </c>
      <c r="X478" s="91">
        <f>_xll.qlCalendarAdvance(Calendar,W478,NDays&amp;"D")</f>
        <v>42543</v>
      </c>
      <c r="Y478" s="92" t="e">
        <v>#N/A</v>
      </c>
      <c r="Z478" s="94" t="e">
        <v>#N/A</v>
      </c>
    </row>
    <row r="479" spans="22:26" x14ac:dyDescent="0.2">
      <c r="V479" s="123" t="str">
        <f t="shared" si="18"/>
        <v>1D</v>
      </c>
      <c r="W479" s="82">
        <f>_xll.qlCalendarAdvance(Calendar,W478,V479,"f",FALSE)</f>
        <v>42544</v>
      </c>
      <c r="X479" s="91">
        <f>_xll.qlCalendarAdvance(Calendar,W479,NDays&amp;"D")</f>
        <v>42544</v>
      </c>
      <c r="Y479" s="92" t="e">
        <v>#N/A</v>
      </c>
      <c r="Z479" s="94" t="e">
        <v>#N/A</v>
      </c>
    </row>
    <row r="480" spans="22:26" x14ac:dyDescent="0.2">
      <c r="V480" s="123" t="str">
        <f t="shared" si="18"/>
        <v>1D</v>
      </c>
      <c r="W480" s="82">
        <f>_xll.qlCalendarAdvance(Calendar,W479,V480,"f",FALSE)</f>
        <v>42545</v>
      </c>
      <c r="X480" s="91">
        <f>_xll.qlCalendarAdvance(Calendar,W480,NDays&amp;"D")</f>
        <v>42545</v>
      </c>
      <c r="Y480" s="92" t="e">
        <v>#N/A</v>
      </c>
      <c r="Z480" s="94" t="e">
        <v>#N/A</v>
      </c>
    </row>
    <row r="481" spans="22:26" x14ac:dyDescent="0.2">
      <c r="V481" s="123" t="str">
        <f t="shared" si="18"/>
        <v>1D</v>
      </c>
      <c r="W481" s="82">
        <f>_xll.qlCalendarAdvance(Calendar,W480,V481,"f",FALSE)</f>
        <v>42548</v>
      </c>
      <c r="X481" s="91">
        <f>_xll.qlCalendarAdvance(Calendar,W481,NDays&amp;"D")</f>
        <v>42548</v>
      </c>
      <c r="Y481" s="92" t="e">
        <v>#N/A</v>
      </c>
      <c r="Z481" s="94" t="e">
        <v>#N/A</v>
      </c>
    </row>
    <row r="482" spans="22:26" x14ac:dyDescent="0.2">
      <c r="V482" s="123" t="str">
        <f t="shared" si="18"/>
        <v>1D</v>
      </c>
      <c r="W482" s="82">
        <f>_xll.qlCalendarAdvance(Calendar,W481,V482,"f",FALSE)</f>
        <v>42549</v>
      </c>
      <c r="X482" s="91">
        <f>_xll.qlCalendarAdvance(Calendar,W482,NDays&amp;"D")</f>
        <v>42549</v>
      </c>
      <c r="Y482" s="92" t="e">
        <v>#N/A</v>
      </c>
      <c r="Z482" s="94" t="e">
        <v>#N/A</v>
      </c>
    </row>
    <row r="483" spans="22:26" x14ac:dyDescent="0.2">
      <c r="V483" s="123" t="str">
        <f t="shared" si="18"/>
        <v>1D</v>
      </c>
      <c r="W483" s="82">
        <f>_xll.qlCalendarAdvance(Calendar,W482,V483,"f",FALSE)</f>
        <v>42550</v>
      </c>
      <c r="X483" s="91">
        <f>_xll.qlCalendarAdvance(Calendar,W483,NDays&amp;"D")</f>
        <v>42550</v>
      </c>
      <c r="Y483" s="92" t="e">
        <v>#N/A</v>
      </c>
      <c r="Z483" s="94" t="e">
        <v>#N/A</v>
      </c>
    </row>
    <row r="484" spans="22:26" x14ac:dyDescent="0.2">
      <c r="V484" s="123" t="str">
        <f t="shared" si="18"/>
        <v>1D</v>
      </c>
      <c r="W484" s="82">
        <f>_xll.qlCalendarAdvance(Calendar,W483,V484,"f",FALSE)</f>
        <v>42551</v>
      </c>
      <c r="X484" s="91">
        <f>_xll.qlCalendarAdvance(Calendar,W484,NDays&amp;"D")</f>
        <v>42551</v>
      </c>
      <c r="Y484" s="92" t="e">
        <v>#N/A</v>
      </c>
      <c r="Z484" s="94" t="e">
        <v>#N/A</v>
      </c>
    </row>
    <row r="485" spans="22:26" x14ac:dyDescent="0.2">
      <c r="V485" s="123" t="str">
        <f t="shared" si="18"/>
        <v>1D</v>
      </c>
      <c r="W485" s="82">
        <f>_xll.qlCalendarAdvance(Calendar,W484,V485,"f",FALSE)</f>
        <v>42555</v>
      </c>
      <c r="X485" s="91">
        <f>_xll.qlCalendarAdvance(Calendar,W485,NDays&amp;"D")</f>
        <v>42555</v>
      </c>
      <c r="Y485" s="92" t="e">
        <v>#N/A</v>
      </c>
      <c r="Z485" s="94" t="e">
        <v>#N/A</v>
      </c>
    </row>
    <row r="486" spans="22:26" x14ac:dyDescent="0.2">
      <c r="V486" s="123" t="str">
        <f t="shared" si="18"/>
        <v>1D</v>
      </c>
      <c r="W486" s="82">
        <f>_xll.qlCalendarAdvance(Calendar,W485,V486,"f",FALSE)</f>
        <v>42556</v>
      </c>
      <c r="X486" s="91">
        <f>_xll.qlCalendarAdvance(Calendar,W486,NDays&amp;"D")</f>
        <v>42556</v>
      </c>
      <c r="Y486" s="92" t="e">
        <v>#N/A</v>
      </c>
      <c r="Z486" s="94" t="e">
        <v>#N/A</v>
      </c>
    </row>
    <row r="487" spans="22:26" x14ac:dyDescent="0.2">
      <c r="V487" s="123" t="str">
        <f t="shared" si="18"/>
        <v>1D</v>
      </c>
      <c r="W487" s="82">
        <f>_xll.qlCalendarAdvance(Calendar,W486,V487,"f",FALSE)</f>
        <v>42557</v>
      </c>
      <c r="X487" s="91">
        <f>_xll.qlCalendarAdvance(Calendar,W487,NDays&amp;"D")</f>
        <v>42557</v>
      </c>
      <c r="Y487" s="92" t="e">
        <v>#N/A</v>
      </c>
      <c r="Z487" s="94" t="e">
        <v>#N/A</v>
      </c>
    </row>
    <row r="488" spans="22:26" x14ac:dyDescent="0.2">
      <c r="V488" s="123" t="str">
        <f t="shared" si="18"/>
        <v>1D</v>
      </c>
      <c r="W488" s="82">
        <f>_xll.qlCalendarAdvance(Calendar,W487,V488,"f",FALSE)</f>
        <v>42558</v>
      </c>
      <c r="X488" s="91">
        <f>_xll.qlCalendarAdvance(Calendar,W488,NDays&amp;"D")</f>
        <v>42558</v>
      </c>
      <c r="Y488" s="92" t="e">
        <v>#N/A</v>
      </c>
      <c r="Z488" s="94" t="e">
        <v>#N/A</v>
      </c>
    </row>
    <row r="489" spans="22:26" x14ac:dyDescent="0.2">
      <c r="V489" s="123" t="str">
        <f t="shared" si="18"/>
        <v>1D</v>
      </c>
      <c r="W489" s="82">
        <f>_xll.qlCalendarAdvance(Calendar,W488,V489,"f",FALSE)</f>
        <v>42559</v>
      </c>
      <c r="X489" s="91">
        <f>_xll.qlCalendarAdvance(Calendar,W489,NDays&amp;"D")</f>
        <v>42559</v>
      </c>
      <c r="Y489" s="92" t="e">
        <v>#N/A</v>
      </c>
      <c r="Z489" s="94" t="e">
        <v>#N/A</v>
      </c>
    </row>
    <row r="490" spans="22:26" x14ac:dyDescent="0.2">
      <c r="V490" s="123" t="str">
        <f t="shared" si="18"/>
        <v>1D</v>
      </c>
      <c r="W490" s="82">
        <f>_xll.qlCalendarAdvance(Calendar,W489,V490,"f",FALSE)</f>
        <v>42562</v>
      </c>
      <c r="X490" s="91">
        <f>_xll.qlCalendarAdvance(Calendar,W490,NDays&amp;"D")</f>
        <v>42562</v>
      </c>
      <c r="Y490" s="92" t="e">
        <v>#N/A</v>
      </c>
      <c r="Z490" s="94" t="e">
        <v>#N/A</v>
      </c>
    </row>
    <row r="491" spans="22:26" x14ac:dyDescent="0.2">
      <c r="V491" s="123" t="str">
        <f t="shared" si="18"/>
        <v>1D</v>
      </c>
      <c r="W491" s="82">
        <f>_xll.qlCalendarAdvance(Calendar,W490,V491,"f",FALSE)</f>
        <v>42563</v>
      </c>
      <c r="X491" s="91">
        <f>_xll.qlCalendarAdvance(Calendar,W491,NDays&amp;"D")</f>
        <v>42563</v>
      </c>
      <c r="Y491" s="92" t="e">
        <v>#N/A</v>
      </c>
      <c r="Z491" s="94" t="e">
        <v>#N/A</v>
      </c>
    </row>
    <row r="492" spans="22:26" x14ac:dyDescent="0.2">
      <c r="V492" s="123" t="str">
        <f t="shared" si="18"/>
        <v>1D</v>
      </c>
      <c r="W492" s="82">
        <f>_xll.qlCalendarAdvance(Calendar,W491,V492,"f",FALSE)</f>
        <v>42564</v>
      </c>
      <c r="X492" s="91">
        <f>_xll.qlCalendarAdvance(Calendar,W492,NDays&amp;"D")</f>
        <v>42564</v>
      </c>
      <c r="Y492" s="92" t="e">
        <v>#N/A</v>
      </c>
      <c r="Z492" s="94" t="e">
        <v>#N/A</v>
      </c>
    </row>
    <row r="493" spans="22:26" x14ac:dyDescent="0.2">
      <c r="V493" s="123" t="str">
        <f t="shared" si="18"/>
        <v>1D</v>
      </c>
      <c r="W493" s="82">
        <f>_xll.qlCalendarAdvance(Calendar,W492,V493,"f",FALSE)</f>
        <v>42565</v>
      </c>
      <c r="X493" s="91">
        <f>_xll.qlCalendarAdvance(Calendar,W493,NDays&amp;"D")</f>
        <v>42565</v>
      </c>
      <c r="Y493" s="92" t="e">
        <v>#N/A</v>
      </c>
      <c r="Z493" s="94" t="e">
        <v>#N/A</v>
      </c>
    </row>
    <row r="494" spans="22:26" x14ac:dyDescent="0.2">
      <c r="V494" s="123" t="str">
        <f t="shared" si="18"/>
        <v>1D</v>
      </c>
      <c r="W494" s="82">
        <f>_xll.qlCalendarAdvance(Calendar,W493,V494,"f",FALSE)</f>
        <v>42566</v>
      </c>
      <c r="X494" s="91">
        <f>_xll.qlCalendarAdvance(Calendar,W494,NDays&amp;"D")</f>
        <v>42566</v>
      </c>
      <c r="Y494" s="92" t="e">
        <v>#N/A</v>
      </c>
      <c r="Z494" s="94" t="e">
        <v>#N/A</v>
      </c>
    </row>
    <row r="495" spans="22:26" x14ac:dyDescent="0.2">
      <c r="V495" s="123" t="str">
        <f t="shared" si="18"/>
        <v>1D</v>
      </c>
      <c r="W495" s="82">
        <f>_xll.qlCalendarAdvance(Calendar,W494,V495,"f",FALSE)</f>
        <v>42569</v>
      </c>
      <c r="X495" s="91">
        <f>_xll.qlCalendarAdvance(Calendar,W495,NDays&amp;"D")</f>
        <v>42569</v>
      </c>
      <c r="Y495" s="92" t="e">
        <v>#N/A</v>
      </c>
      <c r="Z495" s="94" t="e">
        <v>#N/A</v>
      </c>
    </row>
    <row r="496" spans="22:26" x14ac:dyDescent="0.2">
      <c r="V496" s="123" t="str">
        <f t="shared" si="18"/>
        <v>1D</v>
      </c>
      <c r="W496" s="82">
        <f>_xll.qlCalendarAdvance(Calendar,W495,V496,"f",FALSE)</f>
        <v>42570</v>
      </c>
      <c r="X496" s="91">
        <f>_xll.qlCalendarAdvance(Calendar,W496,NDays&amp;"D")</f>
        <v>42570</v>
      </c>
      <c r="Y496" s="92" t="e">
        <v>#N/A</v>
      </c>
      <c r="Z496" s="94" t="e">
        <v>#N/A</v>
      </c>
    </row>
    <row r="497" spans="22:26" x14ac:dyDescent="0.2">
      <c r="V497" s="123" t="str">
        <f t="shared" si="18"/>
        <v>1D</v>
      </c>
      <c r="W497" s="82">
        <f>_xll.qlCalendarAdvance(Calendar,W496,V497,"f",FALSE)</f>
        <v>42571</v>
      </c>
      <c r="X497" s="91">
        <f>_xll.qlCalendarAdvance(Calendar,W497,NDays&amp;"D")</f>
        <v>42571</v>
      </c>
      <c r="Y497" s="92" t="e">
        <v>#N/A</v>
      </c>
      <c r="Z497" s="94" t="e">
        <v>#N/A</v>
      </c>
    </row>
    <row r="498" spans="22:26" x14ac:dyDescent="0.2">
      <c r="V498" s="123" t="str">
        <f t="shared" si="18"/>
        <v>1D</v>
      </c>
      <c r="W498" s="82">
        <f>_xll.qlCalendarAdvance(Calendar,W497,V498,"f",FALSE)</f>
        <v>42572</v>
      </c>
      <c r="X498" s="91">
        <f>_xll.qlCalendarAdvance(Calendar,W498,NDays&amp;"D")</f>
        <v>42572</v>
      </c>
      <c r="Y498" s="92" t="e">
        <v>#N/A</v>
      </c>
      <c r="Z498" s="94" t="e">
        <v>#N/A</v>
      </c>
    </row>
    <row r="499" spans="22:26" x14ac:dyDescent="0.2">
      <c r="V499" s="123" t="str">
        <f t="shared" si="18"/>
        <v>1D</v>
      </c>
      <c r="W499" s="82">
        <f>_xll.qlCalendarAdvance(Calendar,W498,V499,"f",FALSE)</f>
        <v>42573</v>
      </c>
      <c r="X499" s="91">
        <f>_xll.qlCalendarAdvance(Calendar,W499,NDays&amp;"D")</f>
        <v>42573</v>
      </c>
      <c r="Y499" s="92" t="e">
        <v>#N/A</v>
      </c>
      <c r="Z499" s="94" t="e">
        <v>#N/A</v>
      </c>
    </row>
    <row r="500" spans="22:26" x14ac:dyDescent="0.2">
      <c r="V500" s="123" t="str">
        <f t="shared" si="18"/>
        <v>1D</v>
      </c>
      <c r="W500" s="82">
        <f>_xll.qlCalendarAdvance(Calendar,W499,V500,"f",FALSE)</f>
        <v>42576</v>
      </c>
      <c r="X500" s="91">
        <f>_xll.qlCalendarAdvance(Calendar,W500,NDays&amp;"D")</f>
        <v>42576</v>
      </c>
      <c r="Y500" s="92" t="e">
        <v>#N/A</v>
      </c>
      <c r="Z500" s="94" t="e">
        <v>#N/A</v>
      </c>
    </row>
    <row r="501" spans="22:26" x14ac:dyDescent="0.2">
      <c r="V501" s="123" t="str">
        <f t="shared" si="18"/>
        <v>1D</v>
      </c>
      <c r="W501" s="82">
        <f>_xll.qlCalendarAdvance(Calendar,W500,V501,"f",FALSE)</f>
        <v>42577</v>
      </c>
      <c r="X501" s="91">
        <f>_xll.qlCalendarAdvance(Calendar,W501,NDays&amp;"D")</f>
        <v>42577</v>
      </c>
      <c r="Y501" s="92" t="e">
        <v>#N/A</v>
      </c>
      <c r="Z501" s="94" t="e">
        <v>#N/A</v>
      </c>
    </row>
    <row r="502" spans="22:26" x14ac:dyDescent="0.2">
      <c r="V502" s="123" t="str">
        <f t="shared" si="18"/>
        <v>1D</v>
      </c>
      <c r="W502" s="82">
        <f>_xll.qlCalendarAdvance(Calendar,W501,V502,"f",FALSE)</f>
        <v>42578</v>
      </c>
      <c r="X502" s="91">
        <f>_xll.qlCalendarAdvance(Calendar,W502,NDays&amp;"D")</f>
        <v>42578</v>
      </c>
      <c r="Y502" s="92" t="e">
        <v>#N/A</v>
      </c>
      <c r="Z502" s="94" t="e">
        <v>#N/A</v>
      </c>
    </row>
    <row r="503" spans="22:26" x14ac:dyDescent="0.2">
      <c r="V503" s="123" t="str">
        <f t="shared" si="18"/>
        <v>1D</v>
      </c>
      <c r="W503" s="82">
        <f>_xll.qlCalendarAdvance(Calendar,W502,V503,"f",FALSE)</f>
        <v>42579</v>
      </c>
      <c r="X503" s="91">
        <f>_xll.qlCalendarAdvance(Calendar,W503,NDays&amp;"D")</f>
        <v>42579</v>
      </c>
      <c r="Y503" s="92" t="e">
        <v>#N/A</v>
      </c>
      <c r="Z503" s="94" t="e">
        <v>#N/A</v>
      </c>
    </row>
    <row r="504" spans="22:26" x14ac:dyDescent="0.2">
      <c r="V504" s="123" t="str">
        <f t="shared" si="18"/>
        <v>1D</v>
      </c>
      <c r="W504" s="82">
        <f>_xll.qlCalendarAdvance(Calendar,W503,V504,"f",FALSE)</f>
        <v>42580</v>
      </c>
      <c r="X504" s="91">
        <f>_xll.qlCalendarAdvance(Calendar,W504,NDays&amp;"D")</f>
        <v>42580</v>
      </c>
      <c r="Y504" s="92" t="e">
        <v>#N/A</v>
      </c>
      <c r="Z504" s="94" t="e">
        <v>#N/A</v>
      </c>
    </row>
    <row r="505" spans="22:26" x14ac:dyDescent="0.2">
      <c r="V505" s="123" t="str">
        <f t="shared" si="18"/>
        <v>1D</v>
      </c>
      <c r="W505" s="82">
        <f>_xll.qlCalendarAdvance(Calendar,W504,V505,"f",FALSE)</f>
        <v>42583</v>
      </c>
      <c r="X505" s="91">
        <f>_xll.qlCalendarAdvance(Calendar,W505,NDays&amp;"D")</f>
        <v>42583</v>
      </c>
      <c r="Y505" s="92" t="e">
        <v>#N/A</v>
      </c>
      <c r="Z505" s="94" t="e">
        <v>#N/A</v>
      </c>
    </row>
    <row r="506" spans="22:26" x14ac:dyDescent="0.2">
      <c r="V506" s="123" t="str">
        <f t="shared" si="18"/>
        <v>1D</v>
      </c>
      <c r="W506" s="82">
        <f>_xll.qlCalendarAdvance(Calendar,W505,V506,"f",FALSE)</f>
        <v>42584</v>
      </c>
      <c r="X506" s="91">
        <f>_xll.qlCalendarAdvance(Calendar,W506,NDays&amp;"D")</f>
        <v>42584</v>
      </c>
      <c r="Y506" s="92" t="e">
        <v>#N/A</v>
      </c>
      <c r="Z506" s="94" t="e">
        <v>#N/A</v>
      </c>
    </row>
    <row r="507" spans="22:26" x14ac:dyDescent="0.2">
      <c r="V507" s="123" t="str">
        <f t="shared" si="18"/>
        <v>1D</v>
      </c>
      <c r="W507" s="82">
        <f>_xll.qlCalendarAdvance(Calendar,W506,V507,"f",FALSE)</f>
        <v>42585</v>
      </c>
      <c r="X507" s="91">
        <f>_xll.qlCalendarAdvance(Calendar,W507,NDays&amp;"D")</f>
        <v>42585</v>
      </c>
      <c r="Y507" s="92" t="e">
        <v>#N/A</v>
      </c>
      <c r="Z507" s="94" t="e">
        <v>#N/A</v>
      </c>
    </row>
    <row r="508" spans="22:26" x14ac:dyDescent="0.2">
      <c r="V508" s="123" t="str">
        <f t="shared" si="18"/>
        <v>1D</v>
      </c>
      <c r="W508" s="82">
        <f>_xll.qlCalendarAdvance(Calendar,W507,V508,"f",FALSE)</f>
        <v>42586</v>
      </c>
      <c r="X508" s="91">
        <f>_xll.qlCalendarAdvance(Calendar,W508,NDays&amp;"D")</f>
        <v>42586</v>
      </c>
      <c r="Y508" s="92" t="e">
        <v>#N/A</v>
      </c>
      <c r="Z508" s="94" t="e">
        <v>#N/A</v>
      </c>
    </row>
    <row r="509" spans="22:26" x14ac:dyDescent="0.2">
      <c r="V509" s="123" t="str">
        <f t="shared" si="18"/>
        <v>1D</v>
      </c>
      <c r="W509" s="82">
        <f>_xll.qlCalendarAdvance(Calendar,W508,V509,"f",FALSE)</f>
        <v>42587</v>
      </c>
      <c r="X509" s="91">
        <f>_xll.qlCalendarAdvance(Calendar,W509,NDays&amp;"D")</f>
        <v>42587</v>
      </c>
      <c r="Y509" s="92" t="e">
        <v>#N/A</v>
      </c>
      <c r="Z509" s="94" t="e">
        <v>#N/A</v>
      </c>
    </row>
    <row r="510" spans="22:26" x14ac:dyDescent="0.2">
      <c r="V510" s="123" t="str">
        <f t="shared" si="18"/>
        <v>1D</v>
      </c>
      <c r="W510" s="82">
        <f>_xll.qlCalendarAdvance(Calendar,W509,V510,"f",FALSE)</f>
        <v>42590</v>
      </c>
      <c r="X510" s="91">
        <f>_xll.qlCalendarAdvance(Calendar,W510,NDays&amp;"D")</f>
        <v>42590</v>
      </c>
      <c r="Y510" s="92" t="e">
        <v>#N/A</v>
      </c>
      <c r="Z510" s="94" t="e">
        <v>#N/A</v>
      </c>
    </row>
    <row r="511" spans="22:26" x14ac:dyDescent="0.2">
      <c r="V511" s="123" t="str">
        <f t="shared" si="18"/>
        <v>1D</v>
      </c>
      <c r="W511" s="82">
        <f>_xll.qlCalendarAdvance(Calendar,W510,V511,"f",FALSE)</f>
        <v>42591</v>
      </c>
      <c r="X511" s="91">
        <f>_xll.qlCalendarAdvance(Calendar,W511,NDays&amp;"D")</f>
        <v>42591</v>
      </c>
      <c r="Y511" s="92" t="e">
        <v>#N/A</v>
      </c>
      <c r="Z511" s="94" t="e">
        <v>#N/A</v>
      </c>
    </row>
    <row r="512" spans="22:26" x14ac:dyDescent="0.2">
      <c r="V512" s="123" t="str">
        <f t="shared" si="18"/>
        <v>1D</v>
      </c>
      <c r="W512" s="82">
        <f>_xll.qlCalendarAdvance(Calendar,W511,V512,"f",FALSE)</f>
        <v>42592</v>
      </c>
      <c r="X512" s="91">
        <f>_xll.qlCalendarAdvance(Calendar,W512,NDays&amp;"D")</f>
        <v>42592</v>
      </c>
      <c r="Y512" s="92" t="e">
        <v>#N/A</v>
      </c>
      <c r="Z512" s="94" t="e">
        <v>#N/A</v>
      </c>
    </row>
    <row r="513" spans="22:26" x14ac:dyDescent="0.2">
      <c r="V513" s="123" t="str">
        <f t="shared" si="18"/>
        <v>1D</v>
      </c>
      <c r="W513" s="82">
        <f>_xll.qlCalendarAdvance(Calendar,W512,V513,"f",FALSE)</f>
        <v>42593</v>
      </c>
      <c r="X513" s="91">
        <f>_xll.qlCalendarAdvance(Calendar,W513,NDays&amp;"D")</f>
        <v>42593</v>
      </c>
      <c r="Y513" s="92" t="e">
        <v>#N/A</v>
      </c>
      <c r="Z513" s="94" t="e">
        <v>#N/A</v>
      </c>
    </row>
    <row r="514" spans="22:26" x14ac:dyDescent="0.2">
      <c r="V514" s="123" t="str">
        <f t="shared" si="18"/>
        <v>1D</v>
      </c>
      <c r="W514" s="82">
        <f>_xll.qlCalendarAdvance(Calendar,W513,V514,"f",FALSE)</f>
        <v>42594</v>
      </c>
      <c r="X514" s="91">
        <f>_xll.qlCalendarAdvance(Calendar,W514,NDays&amp;"D")</f>
        <v>42594</v>
      </c>
      <c r="Y514" s="92" t="e">
        <v>#N/A</v>
      </c>
      <c r="Z514" s="94" t="e">
        <v>#N/A</v>
      </c>
    </row>
    <row r="515" spans="22:26" x14ac:dyDescent="0.2">
      <c r="V515" s="123" t="str">
        <f t="shared" si="18"/>
        <v>1D</v>
      </c>
      <c r="W515" s="82">
        <f>_xll.qlCalendarAdvance(Calendar,W514,V515,"f",FALSE)</f>
        <v>42597</v>
      </c>
      <c r="X515" s="91">
        <f>_xll.qlCalendarAdvance(Calendar,W515,NDays&amp;"D")</f>
        <v>42597</v>
      </c>
      <c r="Y515" s="92" t="e">
        <v>#N/A</v>
      </c>
      <c r="Z515" s="94" t="e">
        <v>#N/A</v>
      </c>
    </row>
    <row r="516" spans="22:26" x14ac:dyDescent="0.2">
      <c r="V516" s="123" t="str">
        <f t="shared" si="18"/>
        <v>1D</v>
      </c>
      <c r="W516" s="82">
        <f>_xll.qlCalendarAdvance(Calendar,W515,V516,"f",FALSE)</f>
        <v>42598</v>
      </c>
      <c r="X516" s="91">
        <f>_xll.qlCalendarAdvance(Calendar,W516,NDays&amp;"D")</f>
        <v>42598</v>
      </c>
      <c r="Y516" s="92" t="e">
        <v>#N/A</v>
      </c>
      <c r="Z516" s="94" t="e">
        <v>#N/A</v>
      </c>
    </row>
    <row r="517" spans="22:26" x14ac:dyDescent="0.2">
      <c r="V517" s="123" t="str">
        <f t="shared" si="18"/>
        <v>1D</v>
      </c>
      <c r="W517" s="82">
        <f>_xll.qlCalendarAdvance(Calendar,W516,V517,"f",FALSE)</f>
        <v>42599</v>
      </c>
      <c r="X517" s="91">
        <f>_xll.qlCalendarAdvance(Calendar,W517,NDays&amp;"D")</f>
        <v>42599</v>
      </c>
      <c r="Y517" s="92" t="e">
        <v>#N/A</v>
      </c>
      <c r="Z517" s="94" t="e">
        <v>#N/A</v>
      </c>
    </row>
    <row r="518" spans="22:26" x14ac:dyDescent="0.2">
      <c r="V518" s="123" t="str">
        <f t="shared" si="18"/>
        <v>1D</v>
      </c>
      <c r="W518" s="82">
        <f>_xll.qlCalendarAdvance(Calendar,W517,V518,"f",FALSE)</f>
        <v>42600</v>
      </c>
      <c r="X518" s="91">
        <f>_xll.qlCalendarAdvance(Calendar,W518,NDays&amp;"D")</f>
        <v>42600</v>
      </c>
      <c r="Y518" s="92" t="e">
        <v>#N/A</v>
      </c>
      <c r="Z518" s="94" t="e">
        <v>#N/A</v>
      </c>
    </row>
    <row r="519" spans="22:26" x14ac:dyDescent="0.2">
      <c r="V519" s="123" t="str">
        <f t="shared" si="18"/>
        <v>1D</v>
      </c>
      <c r="W519" s="82">
        <f>_xll.qlCalendarAdvance(Calendar,W518,V519,"f",FALSE)</f>
        <v>42601</v>
      </c>
      <c r="X519" s="91">
        <f>_xll.qlCalendarAdvance(Calendar,W519,NDays&amp;"D")</f>
        <v>42601</v>
      </c>
      <c r="Y519" s="92" t="e">
        <v>#N/A</v>
      </c>
      <c r="Z519" s="94" t="e">
        <v>#N/A</v>
      </c>
    </row>
    <row r="520" spans="22:26" x14ac:dyDescent="0.2">
      <c r="V520" s="123" t="str">
        <f t="shared" si="18"/>
        <v>1D</v>
      </c>
      <c r="W520" s="82">
        <f>_xll.qlCalendarAdvance(Calendar,W519,V520,"f",FALSE)</f>
        <v>42604</v>
      </c>
      <c r="X520" s="91">
        <f>_xll.qlCalendarAdvance(Calendar,W520,NDays&amp;"D")</f>
        <v>42604</v>
      </c>
      <c r="Y520" s="92" t="e">
        <v>#N/A</v>
      </c>
      <c r="Z520" s="94" t="e">
        <v>#N/A</v>
      </c>
    </row>
    <row r="521" spans="22:26" x14ac:dyDescent="0.2">
      <c r="V521" s="123" t="str">
        <f t="shared" si="18"/>
        <v>1D</v>
      </c>
      <c r="W521" s="82">
        <f>_xll.qlCalendarAdvance(Calendar,W520,V521,"f",FALSE)</f>
        <v>42605</v>
      </c>
      <c r="X521" s="91">
        <f>_xll.qlCalendarAdvance(Calendar,W521,NDays&amp;"D")</f>
        <v>42605</v>
      </c>
      <c r="Y521" s="92" t="e">
        <v>#N/A</v>
      </c>
      <c r="Z521" s="94" t="e">
        <v>#N/A</v>
      </c>
    </row>
    <row r="522" spans="22:26" x14ac:dyDescent="0.2">
      <c r="V522" s="123" t="str">
        <f t="shared" si="18"/>
        <v>1D</v>
      </c>
      <c r="W522" s="82">
        <f>_xll.qlCalendarAdvance(Calendar,W521,V522,"f",FALSE)</f>
        <v>42606</v>
      </c>
      <c r="X522" s="91">
        <f>_xll.qlCalendarAdvance(Calendar,W522,NDays&amp;"D")</f>
        <v>42606</v>
      </c>
      <c r="Y522" s="92" t="e">
        <v>#N/A</v>
      </c>
      <c r="Z522" s="94" t="e">
        <v>#N/A</v>
      </c>
    </row>
    <row r="523" spans="22:26" x14ac:dyDescent="0.2">
      <c r="V523" s="123" t="str">
        <f t="shared" si="18"/>
        <v>1D</v>
      </c>
      <c r="W523" s="82">
        <f>_xll.qlCalendarAdvance(Calendar,W522,V523,"f",FALSE)</f>
        <v>42607</v>
      </c>
      <c r="X523" s="91">
        <f>_xll.qlCalendarAdvance(Calendar,W523,NDays&amp;"D")</f>
        <v>42607</v>
      </c>
      <c r="Y523" s="92" t="e">
        <v>#N/A</v>
      </c>
      <c r="Z523" s="94" t="e">
        <v>#N/A</v>
      </c>
    </row>
    <row r="524" spans="22:26" x14ac:dyDescent="0.2">
      <c r="V524" s="123" t="str">
        <f t="shared" si="18"/>
        <v>1D</v>
      </c>
      <c r="W524" s="82">
        <f>_xll.qlCalendarAdvance(Calendar,W523,V524,"f",FALSE)</f>
        <v>42608</v>
      </c>
      <c r="X524" s="91">
        <f>_xll.qlCalendarAdvance(Calendar,W524,NDays&amp;"D")</f>
        <v>42608</v>
      </c>
      <c r="Y524" s="92" t="e">
        <v>#N/A</v>
      </c>
      <c r="Z524" s="94" t="e">
        <v>#N/A</v>
      </c>
    </row>
    <row r="525" spans="22:26" x14ac:dyDescent="0.2">
      <c r="V525" s="123" t="str">
        <f t="shared" si="18"/>
        <v>1D</v>
      </c>
      <c r="W525" s="82">
        <f>_xll.qlCalendarAdvance(Calendar,W524,V525,"f",FALSE)</f>
        <v>42611</v>
      </c>
      <c r="X525" s="91">
        <f>_xll.qlCalendarAdvance(Calendar,W525,NDays&amp;"D")</f>
        <v>42611</v>
      </c>
      <c r="Y525" s="92" t="e">
        <v>#N/A</v>
      </c>
      <c r="Z525" s="94" t="e">
        <v>#N/A</v>
      </c>
    </row>
    <row r="526" spans="22:26" x14ac:dyDescent="0.2">
      <c r="V526" s="123" t="str">
        <f t="shared" si="18"/>
        <v>1D</v>
      </c>
      <c r="W526" s="82">
        <f>_xll.qlCalendarAdvance(Calendar,W525,V526,"f",FALSE)</f>
        <v>42612</v>
      </c>
      <c r="X526" s="91">
        <f>_xll.qlCalendarAdvance(Calendar,W526,NDays&amp;"D")</f>
        <v>42612</v>
      </c>
      <c r="Y526" s="92" t="e">
        <v>#N/A</v>
      </c>
      <c r="Z526" s="94" t="e">
        <v>#N/A</v>
      </c>
    </row>
    <row r="527" spans="22:26" x14ac:dyDescent="0.2">
      <c r="V527" s="123" t="str">
        <f t="shared" si="18"/>
        <v>1D</v>
      </c>
      <c r="W527" s="82">
        <f>_xll.qlCalendarAdvance(Calendar,W526,V527,"f",FALSE)</f>
        <v>42613</v>
      </c>
      <c r="X527" s="91">
        <f>_xll.qlCalendarAdvance(Calendar,W527,NDays&amp;"D")</f>
        <v>42613</v>
      </c>
      <c r="Y527" s="92" t="e">
        <v>#N/A</v>
      </c>
      <c r="Z527" s="94" t="e">
        <v>#N/A</v>
      </c>
    </row>
    <row r="528" spans="22:26" x14ac:dyDescent="0.2">
      <c r="V528" s="123" t="str">
        <f t="shared" si="18"/>
        <v>1D</v>
      </c>
      <c r="W528" s="82">
        <f>_xll.qlCalendarAdvance(Calendar,W527,V528,"f",FALSE)</f>
        <v>42614</v>
      </c>
      <c r="X528" s="91">
        <f>_xll.qlCalendarAdvance(Calendar,W528,NDays&amp;"D")</f>
        <v>42614</v>
      </c>
      <c r="Y528" s="92" t="e">
        <v>#N/A</v>
      </c>
      <c r="Z528" s="94" t="e">
        <v>#N/A</v>
      </c>
    </row>
    <row r="529" spans="22:26" x14ac:dyDescent="0.2">
      <c r="V529" s="123" t="str">
        <f t="shared" si="18"/>
        <v>1D</v>
      </c>
      <c r="W529" s="82">
        <f>_xll.qlCalendarAdvance(Calendar,W528,V529,"f",FALSE)</f>
        <v>42615</v>
      </c>
      <c r="X529" s="91">
        <f>_xll.qlCalendarAdvance(Calendar,W529,NDays&amp;"D")</f>
        <v>42615</v>
      </c>
      <c r="Y529" s="92" t="e">
        <v>#N/A</v>
      </c>
      <c r="Z529" s="94" t="e">
        <v>#N/A</v>
      </c>
    </row>
    <row r="530" spans="22:26" x14ac:dyDescent="0.2">
      <c r="V530" s="123" t="str">
        <f t="shared" si="18"/>
        <v>1D</v>
      </c>
      <c r="W530" s="82">
        <f>_xll.qlCalendarAdvance(Calendar,W529,V530,"f",FALSE)</f>
        <v>42618</v>
      </c>
      <c r="X530" s="91">
        <f>_xll.qlCalendarAdvance(Calendar,W530,NDays&amp;"D")</f>
        <v>42618</v>
      </c>
      <c r="Y530" s="92" t="e">
        <v>#N/A</v>
      </c>
      <c r="Z530" s="94" t="e">
        <v>#N/A</v>
      </c>
    </row>
    <row r="531" spans="22:26" x14ac:dyDescent="0.2">
      <c r="V531" s="123" t="str">
        <f t="shared" si="18"/>
        <v>1D</v>
      </c>
      <c r="W531" s="82">
        <f>_xll.qlCalendarAdvance(Calendar,W530,V531,"f",FALSE)</f>
        <v>42619</v>
      </c>
      <c r="X531" s="91">
        <f>_xll.qlCalendarAdvance(Calendar,W531,NDays&amp;"D")</f>
        <v>42619</v>
      </c>
      <c r="Y531" s="92" t="e">
        <v>#N/A</v>
      </c>
      <c r="Z531" s="94" t="e">
        <v>#N/A</v>
      </c>
    </row>
    <row r="532" spans="22:26" x14ac:dyDescent="0.2">
      <c r="V532" s="123" t="str">
        <f t="shared" si="18"/>
        <v>1D</v>
      </c>
      <c r="W532" s="82">
        <f>_xll.qlCalendarAdvance(Calendar,W531,V532,"f",FALSE)</f>
        <v>42620</v>
      </c>
      <c r="X532" s="91">
        <f>_xll.qlCalendarAdvance(Calendar,W532,NDays&amp;"D")</f>
        <v>42620</v>
      </c>
      <c r="Y532" s="92" t="e">
        <v>#N/A</v>
      </c>
      <c r="Z532" s="94" t="e">
        <v>#N/A</v>
      </c>
    </row>
    <row r="533" spans="22:26" x14ac:dyDescent="0.2">
      <c r="V533" s="123" t="str">
        <f t="shared" ref="V533:V596" si="19">V532</f>
        <v>1D</v>
      </c>
      <c r="W533" s="82">
        <f>_xll.qlCalendarAdvance(Calendar,W532,V533,"f",FALSE)</f>
        <v>42621</v>
      </c>
      <c r="X533" s="91">
        <f>_xll.qlCalendarAdvance(Calendar,W533,NDays&amp;"D")</f>
        <v>42621</v>
      </c>
      <c r="Y533" s="92" t="e">
        <v>#N/A</v>
      </c>
      <c r="Z533" s="94" t="e">
        <v>#N/A</v>
      </c>
    </row>
    <row r="534" spans="22:26" x14ac:dyDescent="0.2">
      <c r="V534" s="123" t="str">
        <f t="shared" si="19"/>
        <v>1D</v>
      </c>
      <c r="W534" s="82">
        <f>_xll.qlCalendarAdvance(Calendar,W533,V534,"f",FALSE)</f>
        <v>42622</v>
      </c>
      <c r="X534" s="91">
        <f>_xll.qlCalendarAdvance(Calendar,W534,NDays&amp;"D")</f>
        <v>42622</v>
      </c>
      <c r="Y534" s="92" t="e">
        <v>#N/A</v>
      </c>
      <c r="Z534" s="94" t="e">
        <v>#N/A</v>
      </c>
    </row>
    <row r="535" spans="22:26" x14ac:dyDescent="0.2">
      <c r="V535" s="123" t="str">
        <f t="shared" si="19"/>
        <v>1D</v>
      </c>
      <c r="W535" s="82">
        <f>_xll.qlCalendarAdvance(Calendar,W534,V535,"f",FALSE)</f>
        <v>42625</v>
      </c>
      <c r="X535" s="91">
        <f>_xll.qlCalendarAdvance(Calendar,W535,NDays&amp;"D")</f>
        <v>42625</v>
      </c>
      <c r="Y535" s="92" t="e">
        <v>#N/A</v>
      </c>
      <c r="Z535" s="94" t="e">
        <v>#N/A</v>
      </c>
    </row>
    <row r="536" spans="22:26" x14ac:dyDescent="0.2">
      <c r="V536" s="123" t="str">
        <f t="shared" si="19"/>
        <v>1D</v>
      </c>
      <c r="W536" s="82">
        <f>_xll.qlCalendarAdvance(Calendar,W535,V536,"f",FALSE)</f>
        <v>42626</v>
      </c>
      <c r="X536" s="91">
        <f>_xll.qlCalendarAdvance(Calendar,W536,NDays&amp;"D")</f>
        <v>42626</v>
      </c>
      <c r="Y536" s="92" t="e">
        <v>#N/A</v>
      </c>
      <c r="Z536" s="94" t="e">
        <v>#N/A</v>
      </c>
    </row>
    <row r="537" spans="22:26" x14ac:dyDescent="0.2">
      <c r="V537" s="123" t="s">
        <v>117</v>
      </c>
      <c r="W537" s="82">
        <f>_xll.qlCalendarAdvance(Calendar,W536,V537,"f",FALSE)</f>
        <v>42633</v>
      </c>
      <c r="X537" s="91">
        <f>_xll.qlCalendarAdvance(Calendar,W537,NDays&amp;"D")</f>
        <v>42633</v>
      </c>
      <c r="Y537" s="92" t="e">
        <v>#N/A</v>
      </c>
      <c r="Z537" s="94" t="e">
        <v>#N/A</v>
      </c>
    </row>
    <row r="538" spans="22:26" x14ac:dyDescent="0.2">
      <c r="V538" s="123" t="str">
        <f t="shared" si="19"/>
        <v>1w</v>
      </c>
      <c r="W538" s="82">
        <f>_xll.qlCalendarAdvance(Calendar,W537,V538,"f",FALSE)</f>
        <v>42640</v>
      </c>
      <c r="X538" s="91">
        <f>_xll.qlCalendarAdvance(Calendar,W538,NDays&amp;"D")</f>
        <v>42640</v>
      </c>
      <c r="Y538" s="92" t="e">
        <v>#N/A</v>
      </c>
      <c r="Z538" s="94" t="e">
        <v>#N/A</v>
      </c>
    </row>
    <row r="539" spans="22:26" x14ac:dyDescent="0.2">
      <c r="V539" s="123" t="str">
        <f t="shared" si="19"/>
        <v>1w</v>
      </c>
      <c r="W539" s="82">
        <f>_xll.qlCalendarAdvance(Calendar,W538,V539,"f",FALSE)</f>
        <v>42647</v>
      </c>
      <c r="X539" s="91">
        <f>_xll.qlCalendarAdvance(Calendar,W539,NDays&amp;"D")</f>
        <v>42647</v>
      </c>
      <c r="Y539" s="92" t="e">
        <v>#N/A</v>
      </c>
      <c r="Z539" s="94" t="e">
        <v>#N/A</v>
      </c>
    </row>
    <row r="540" spans="22:26" x14ac:dyDescent="0.2">
      <c r="V540" s="123" t="str">
        <f t="shared" si="19"/>
        <v>1w</v>
      </c>
      <c r="W540" s="82">
        <f>_xll.qlCalendarAdvance(Calendar,W539,V540,"f",FALSE)</f>
        <v>42654</v>
      </c>
      <c r="X540" s="91">
        <f>_xll.qlCalendarAdvance(Calendar,W540,NDays&amp;"D")</f>
        <v>42654</v>
      </c>
      <c r="Y540" s="92" t="e">
        <v>#N/A</v>
      </c>
      <c r="Z540" s="94" t="e">
        <v>#N/A</v>
      </c>
    </row>
    <row r="541" spans="22:26" x14ac:dyDescent="0.2">
      <c r="V541" s="123" t="str">
        <f t="shared" si="19"/>
        <v>1w</v>
      </c>
      <c r="W541" s="82">
        <f>_xll.qlCalendarAdvance(Calendar,W540,V541,"f",FALSE)</f>
        <v>42661</v>
      </c>
      <c r="X541" s="91">
        <f>_xll.qlCalendarAdvance(Calendar,W541,NDays&amp;"D")</f>
        <v>42661</v>
      </c>
      <c r="Y541" s="92" t="e">
        <v>#N/A</v>
      </c>
      <c r="Z541" s="94" t="e">
        <v>#N/A</v>
      </c>
    </row>
    <row r="542" spans="22:26" x14ac:dyDescent="0.2">
      <c r="V542" s="123" t="str">
        <f t="shared" si="19"/>
        <v>1w</v>
      </c>
      <c r="W542" s="82">
        <f>_xll.qlCalendarAdvance(Calendar,W541,V542,"f",FALSE)</f>
        <v>42668</v>
      </c>
      <c r="X542" s="91">
        <f>_xll.qlCalendarAdvance(Calendar,W542,NDays&amp;"D")</f>
        <v>42668</v>
      </c>
      <c r="Y542" s="92" t="e">
        <v>#N/A</v>
      </c>
      <c r="Z542" s="94" t="e">
        <v>#N/A</v>
      </c>
    </row>
    <row r="543" spans="22:26" x14ac:dyDescent="0.2">
      <c r="V543" s="123" t="str">
        <f t="shared" si="19"/>
        <v>1w</v>
      </c>
      <c r="W543" s="82">
        <f>_xll.qlCalendarAdvance(Calendar,W542,V543,"f",FALSE)</f>
        <v>42675</v>
      </c>
      <c r="X543" s="91">
        <f>_xll.qlCalendarAdvance(Calendar,W543,NDays&amp;"D")</f>
        <v>42675</v>
      </c>
      <c r="Y543" s="92" t="e">
        <v>#N/A</v>
      </c>
      <c r="Z543" s="94" t="e">
        <v>#N/A</v>
      </c>
    </row>
    <row r="544" spans="22:26" x14ac:dyDescent="0.2">
      <c r="V544" s="123" t="str">
        <f t="shared" si="19"/>
        <v>1w</v>
      </c>
      <c r="W544" s="82">
        <f>_xll.qlCalendarAdvance(Calendar,W543,V544,"f",FALSE)</f>
        <v>42682</v>
      </c>
      <c r="X544" s="91">
        <f>_xll.qlCalendarAdvance(Calendar,W544,NDays&amp;"D")</f>
        <v>42682</v>
      </c>
      <c r="Y544" s="92" t="e">
        <v>#N/A</v>
      </c>
      <c r="Z544" s="94" t="e">
        <v>#N/A</v>
      </c>
    </row>
    <row r="545" spans="22:26" x14ac:dyDescent="0.2">
      <c r="V545" s="123" t="str">
        <f t="shared" si="19"/>
        <v>1w</v>
      </c>
      <c r="W545" s="82">
        <f>_xll.qlCalendarAdvance(Calendar,W544,V545,"f",FALSE)</f>
        <v>42689</v>
      </c>
      <c r="X545" s="91">
        <f>_xll.qlCalendarAdvance(Calendar,W545,NDays&amp;"D")</f>
        <v>42689</v>
      </c>
      <c r="Y545" s="92" t="e">
        <v>#N/A</v>
      </c>
      <c r="Z545" s="94" t="e">
        <v>#N/A</v>
      </c>
    </row>
    <row r="546" spans="22:26" x14ac:dyDescent="0.2">
      <c r="V546" s="123" t="str">
        <f t="shared" si="19"/>
        <v>1w</v>
      </c>
      <c r="W546" s="82">
        <f>_xll.qlCalendarAdvance(Calendar,W545,V546,"f",FALSE)</f>
        <v>42696</v>
      </c>
      <c r="X546" s="91">
        <f>_xll.qlCalendarAdvance(Calendar,W546,NDays&amp;"D")</f>
        <v>42696</v>
      </c>
      <c r="Y546" s="92" t="e">
        <v>#N/A</v>
      </c>
      <c r="Z546" s="94" t="e">
        <v>#N/A</v>
      </c>
    </row>
    <row r="547" spans="22:26" x14ac:dyDescent="0.2">
      <c r="V547" s="123" t="str">
        <f t="shared" si="19"/>
        <v>1w</v>
      </c>
      <c r="W547" s="82">
        <f>_xll.qlCalendarAdvance(Calendar,W546,V547,"f",FALSE)</f>
        <v>42703</v>
      </c>
      <c r="X547" s="91">
        <f>_xll.qlCalendarAdvance(Calendar,W547,NDays&amp;"D")</f>
        <v>42703</v>
      </c>
      <c r="Y547" s="92" t="e">
        <v>#N/A</v>
      </c>
      <c r="Z547" s="94" t="e">
        <v>#N/A</v>
      </c>
    </row>
    <row r="548" spans="22:26" x14ac:dyDescent="0.2">
      <c r="V548" s="123" t="str">
        <f t="shared" si="19"/>
        <v>1w</v>
      </c>
      <c r="W548" s="82">
        <f>_xll.qlCalendarAdvance(Calendar,W547,V548,"f",FALSE)</f>
        <v>42710</v>
      </c>
      <c r="X548" s="91">
        <f>_xll.qlCalendarAdvance(Calendar,W548,NDays&amp;"D")</f>
        <v>42710</v>
      </c>
      <c r="Y548" s="92" t="e">
        <v>#N/A</v>
      </c>
      <c r="Z548" s="94" t="e">
        <v>#N/A</v>
      </c>
    </row>
    <row r="549" spans="22:26" x14ac:dyDescent="0.2">
      <c r="V549" s="123" t="str">
        <f t="shared" si="19"/>
        <v>1w</v>
      </c>
      <c r="W549" s="82">
        <f>_xll.qlCalendarAdvance(Calendar,W548,V549,"f",FALSE)</f>
        <v>42717</v>
      </c>
      <c r="X549" s="91">
        <f>_xll.qlCalendarAdvance(Calendar,W549,NDays&amp;"D")</f>
        <v>42717</v>
      </c>
      <c r="Y549" s="92" t="e">
        <v>#N/A</v>
      </c>
      <c r="Z549" s="94" t="e">
        <v>#N/A</v>
      </c>
    </row>
    <row r="550" spans="22:26" x14ac:dyDescent="0.2">
      <c r="V550" s="123" t="str">
        <f t="shared" si="19"/>
        <v>1w</v>
      </c>
      <c r="W550" s="82">
        <f>_xll.qlCalendarAdvance(Calendar,W549,V550,"f",FALSE)</f>
        <v>42724</v>
      </c>
      <c r="X550" s="91">
        <f>_xll.qlCalendarAdvance(Calendar,W550,NDays&amp;"D")</f>
        <v>42724</v>
      </c>
      <c r="Y550" s="92" t="e">
        <v>#N/A</v>
      </c>
      <c r="Z550" s="94" t="e">
        <v>#N/A</v>
      </c>
    </row>
    <row r="551" spans="22:26" x14ac:dyDescent="0.2">
      <c r="V551" s="123" t="str">
        <f t="shared" si="19"/>
        <v>1w</v>
      </c>
      <c r="W551" s="82">
        <f>_xll.qlCalendarAdvance(Calendar,W550,V551,"f",FALSE)</f>
        <v>42731</v>
      </c>
      <c r="X551" s="91">
        <f>_xll.qlCalendarAdvance(Calendar,W551,NDays&amp;"D")</f>
        <v>42731</v>
      </c>
      <c r="Y551" s="92" t="e">
        <v>#N/A</v>
      </c>
      <c r="Z551" s="94" t="e">
        <v>#N/A</v>
      </c>
    </row>
    <row r="552" spans="22:26" x14ac:dyDescent="0.2">
      <c r="V552" s="123" t="str">
        <f t="shared" si="19"/>
        <v>1w</v>
      </c>
      <c r="W552" s="82">
        <f>_xll.qlCalendarAdvance(Calendar,W551,V552,"f",FALSE)</f>
        <v>42738</v>
      </c>
      <c r="X552" s="91">
        <f>_xll.qlCalendarAdvance(Calendar,W552,NDays&amp;"D")</f>
        <v>42738</v>
      </c>
      <c r="Y552" s="92" t="e">
        <v>#N/A</v>
      </c>
      <c r="Z552" s="94" t="e">
        <v>#N/A</v>
      </c>
    </row>
    <row r="553" spans="22:26" x14ac:dyDescent="0.2">
      <c r="V553" s="123" t="str">
        <f t="shared" si="19"/>
        <v>1w</v>
      </c>
      <c r="W553" s="82">
        <f>_xll.qlCalendarAdvance(Calendar,W552,V553,"f",FALSE)</f>
        <v>42745</v>
      </c>
      <c r="X553" s="91">
        <f>_xll.qlCalendarAdvance(Calendar,W553,NDays&amp;"D")</f>
        <v>42745</v>
      </c>
      <c r="Y553" s="92" t="e">
        <v>#N/A</v>
      </c>
      <c r="Z553" s="94" t="e">
        <v>#N/A</v>
      </c>
    </row>
    <row r="554" spans="22:26" x14ac:dyDescent="0.2">
      <c r="V554" s="123" t="str">
        <f t="shared" si="19"/>
        <v>1w</v>
      </c>
      <c r="W554" s="82">
        <f>_xll.qlCalendarAdvance(Calendar,W553,V554,"f",FALSE)</f>
        <v>42752</v>
      </c>
      <c r="X554" s="91">
        <f>_xll.qlCalendarAdvance(Calendar,W554,NDays&amp;"D")</f>
        <v>42752</v>
      </c>
      <c r="Y554" s="92" t="e">
        <v>#N/A</v>
      </c>
      <c r="Z554" s="94" t="e">
        <v>#N/A</v>
      </c>
    </row>
    <row r="555" spans="22:26" x14ac:dyDescent="0.2">
      <c r="V555" s="123" t="str">
        <f t="shared" si="19"/>
        <v>1w</v>
      </c>
      <c r="W555" s="82">
        <f>_xll.qlCalendarAdvance(Calendar,W554,V555,"f",FALSE)</f>
        <v>42759</v>
      </c>
      <c r="X555" s="91">
        <f>_xll.qlCalendarAdvance(Calendar,W555,NDays&amp;"D")</f>
        <v>42759</v>
      </c>
      <c r="Y555" s="92" t="e">
        <v>#N/A</v>
      </c>
      <c r="Z555" s="94" t="e">
        <v>#N/A</v>
      </c>
    </row>
    <row r="556" spans="22:26" x14ac:dyDescent="0.2">
      <c r="V556" s="123" t="str">
        <f t="shared" si="19"/>
        <v>1w</v>
      </c>
      <c r="W556" s="82">
        <f>_xll.qlCalendarAdvance(Calendar,W555,V556,"f",FALSE)</f>
        <v>42766</v>
      </c>
      <c r="X556" s="91">
        <f>_xll.qlCalendarAdvance(Calendar,W556,NDays&amp;"D")</f>
        <v>42766</v>
      </c>
      <c r="Y556" s="92" t="e">
        <v>#N/A</v>
      </c>
      <c r="Z556" s="94" t="e">
        <v>#N/A</v>
      </c>
    </row>
    <row r="557" spans="22:26" x14ac:dyDescent="0.2">
      <c r="V557" s="123" t="str">
        <f t="shared" si="19"/>
        <v>1w</v>
      </c>
      <c r="W557" s="82">
        <f>_xll.qlCalendarAdvance(Calendar,W556,V557,"f",FALSE)</f>
        <v>42773</v>
      </c>
      <c r="X557" s="91">
        <f>_xll.qlCalendarAdvance(Calendar,W557,NDays&amp;"D")</f>
        <v>42773</v>
      </c>
      <c r="Y557" s="92" t="e">
        <v>#N/A</v>
      </c>
      <c r="Z557" s="94" t="e">
        <v>#N/A</v>
      </c>
    </row>
    <row r="558" spans="22:26" x14ac:dyDescent="0.2">
      <c r="V558" s="123" t="str">
        <f t="shared" si="19"/>
        <v>1w</v>
      </c>
      <c r="W558" s="82">
        <f>_xll.qlCalendarAdvance(Calendar,W557,V558,"f",FALSE)</f>
        <v>42780</v>
      </c>
      <c r="X558" s="91">
        <f>_xll.qlCalendarAdvance(Calendar,W558,NDays&amp;"D")</f>
        <v>42780</v>
      </c>
      <c r="Y558" s="92" t="e">
        <v>#N/A</v>
      </c>
      <c r="Z558" s="94" t="e">
        <v>#N/A</v>
      </c>
    </row>
    <row r="559" spans="22:26" x14ac:dyDescent="0.2">
      <c r="V559" s="123" t="str">
        <f t="shared" si="19"/>
        <v>1w</v>
      </c>
      <c r="W559" s="82">
        <f>_xll.qlCalendarAdvance(Calendar,W558,V559,"f",FALSE)</f>
        <v>42787</v>
      </c>
      <c r="X559" s="91">
        <f>_xll.qlCalendarAdvance(Calendar,W559,NDays&amp;"D")</f>
        <v>42787</v>
      </c>
      <c r="Y559" s="92" t="e">
        <v>#N/A</v>
      </c>
      <c r="Z559" s="94" t="e">
        <v>#N/A</v>
      </c>
    </row>
    <row r="560" spans="22:26" x14ac:dyDescent="0.2">
      <c r="V560" s="123" t="str">
        <f t="shared" si="19"/>
        <v>1w</v>
      </c>
      <c r="W560" s="82">
        <f>_xll.qlCalendarAdvance(Calendar,W559,V560,"f",FALSE)</f>
        <v>42794</v>
      </c>
      <c r="X560" s="91">
        <f>_xll.qlCalendarAdvance(Calendar,W560,NDays&amp;"D")</f>
        <v>42794</v>
      </c>
      <c r="Y560" s="92" t="e">
        <v>#N/A</v>
      </c>
      <c r="Z560" s="94" t="e">
        <v>#N/A</v>
      </c>
    </row>
    <row r="561" spans="22:26" x14ac:dyDescent="0.2">
      <c r="V561" s="123" t="str">
        <f t="shared" si="19"/>
        <v>1w</v>
      </c>
      <c r="W561" s="82">
        <f>_xll.qlCalendarAdvance(Calendar,W560,V561,"f",FALSE)</f>
        <v>42801</v>
      </c>
      <c r="X561" s="91">
        <f>_xll.qlCalendarAdvance(Calendar,W561,NDays&amp;"D")</f>
        <v>42801</v>
      </c>
      <c r="Y561" s="92" t="e">
        <v>#N/A</v>
      </c>
      <c r="Z561" s="94" t="e">
        <v>#N/A</v>
      </c>
    </row>
    <row r="562" spans="22:26" x14ac:dyDescent="0.2">
      <c r="V562" s="123" t="str">
        <f t="shared" si="19"/>
        <v>1w</v>
      </c>
      <c r="W562" s="82">
        <f>_xll.qlCalendarAdvance(Calendar,W561,V562,"f",FALSE)</f>
        <v>42808</v>
      </c>
      <c r="X562" s="91">
        <f>_xll.qlCalendarAdvance(Calendar,W562,NDays&amp;"D")</f>
        <v>42808</v>
      </c>
      <c r="Y562" s="92" t="e">
        <v>#N/A</v>
      </c>
      <c r="Z562" s="94" t="e">
        <v>#N/A</v>
      </c>
    </row>
    <row r="563" spans="22:26" x14ac:dyDescent="0.2">
      <c r="V563" s="123" t="str">
        <f t="shared" si="19"/>
        <v>1w</v>
      </c>
      <c r="W563" s="82">
        <f>_xll.qlCalendarAdvance(Calendar,W562,V563,"f",FALSE)</f>
        <v>42815</v>
      </c>
      <c r="X563" s="91">
        <f>_xll.qlCalendarAdvance(Calendar,W563,NDays&amp;"D")</f>
        <v>42815</v>
      </c>
      <c r="Y563" s="92" t="e">
        <v>#N/A</v>
      </c>
      <c r="Z563" s="94" t="e">
        <v>#N/A</v>
      </c>
    </row>
    <row r="564" spans="22:26" x14ac:dyDescent="0.2">
      <c r="V564" s="123" t="str">
        <f t="shared" si="19"/>
        <v>1w</v>
      </c>
      <c r="W564" s="82">
        <f>_xll.qlCalendarAdvance(Calendar,W563,V564,"f",FALSE)</f>
        <v>42822</v>
      </c>
      <c r="X564" s="91">
        <f>_xll.qlCalendarAdvance(Calendar,W564,NDays&amp;"D")</f>
        <v>42822</v>
      </c>
      <c r="Y564" s="92" t="e">
        <v>#N/A</v>
      </c>
      <c r="Z564" s="94" t="e">
        <v>#N/A</v>
      </c>
    </row>
    <row r="565" spans="22:26" x14ac:dyDescent="0.2">
      <c r="V565" s="123" t="str">
        <f t="shared" si="19"/>
        <v>1w</v>
      </c>
      <c r="W565" s="82">
        <f>_xll.qlCalendarAdvance(Calendar,W564,V565,"f",FALSE)</f>
        <v>42829</v>
      </c>
      <c r="X565" s="91">
        <f>_xll.qlCalendarAdvance(Calendar,W565,NDays&amp;"D")</f>
        <v>42829</v>
      </c>
      <c r="Y565" s="92" t="e">
        <v>#N/A</v>
      </c>
      <c r="Z565" s="94" t="e">
        <v>#N/A</v>
      </c>
    </row>
    <row r="566" spans="22:26" x14ac:dyDescent="0.2">
      <c r="V566" s="123" t="str">
        <f t="shared" si="19"/>
        <v>1w</v>
      </c>
      <c r="W566" s="82">
        <f>_xll.qlCalendarAdvance(Calendar,W565,V566,"f",FALSE)</f>
        <v>42836</v>
      </c>
      <c r="X566" s="91">
        <f>_xll.qlCalendarAdvance(Calendar,W566,NDays&amp;"D")</f>
        <v>42836</v>
      </c>
      <c r="Y566" s="92" t="e">
        <v>#N/A</v>
      </c>
      <c r="Z566" s="94" t="e">
        <v>#N/A</v>
      </c>
    </row>
    <row r="567" spans="22:26" x14ac:dyDescent="0.2">
      <c r="V567" s="123" t="str">
        <f t="shared" si="19"/>
        <v>1w</v>
      </c>
      <c r="W567" s="82">
        <f>_xll.qlCalendarAdvance(Calendar,W566,V567,"f",FALSE)</f>
        <v>42843</v>
      </c>
      <c r="X567" s="91">
        <f>_xll.qlCalendarAdvance(Calendar,W567,NDays&amp;"D")</f>
        <v>42843</v>
      </c>
      <c r="Y567" s="92" t="e">
        <v>#N/A</v>
      </c>
      <c r="Z567" s="94" t="e">
        <v>#N/A</v>
      </c>
    </row>
    <row r="568" spans="22:26" x14ac:dyDescent="0.2">
      <c r="V568" s="123" t="str">
        <f t="shared" si="19"/>
        <v>1w</v>
      </c>
      <c r="W568" s="82">
        <f>_xll.qlCalendarAdvance(Calendar,W567,V568,"f",FALSE)</f>
        <v>42850</v>
      </c>
      <c r="X568" s="91">
        <f>_xll.qlCalendarAdvance(Calendar,W568,NDays&amp;"D")</f>
        <v>42850</v>
      </c>
      <c r="Y568" s="92" t="e">
        <v>#N/A</v>
      </c>
      <c r="Z568" s="94" t="e">
        <v>#N/A</v>
      </c>
    </row>
    <row r="569" spans="22:26" x14ac:dyDescent="0.2">
      <c r="V569" s="123" t="str">
        <f t="shared" si="19"/>
        <v>1w</v>
      </c>
      <c r="W569" s="82">
        <f>_xll.qlCalendarAdvance(Calendar,W568,V569,"f",FALSE)</f>
        <v>42857</v>
      </c>
      <c r="X569" s="91">
        <f>_xll.qlCalendarAdvance(Calendar,W569,NDays&amp;"D")</f>
        <v>42857</v>
      </c>
      <c r="Y569" s="92" t="e">
        <v>#N/A</v>
      </c>
      <c r="Z569" s="94" t="e">
        <v>#N/A</v>
      </c>
    </row>
    <row r="570" spans="22:26" x14ac:dyDescent="0.2">
      <c r="V570" s="123" t="str">
        <f t="shared" si="19"/>
        <v>1w</v>
      </c>
      <c r="W570" s="82">
        <f>_xll.qlCalendarAdvance(Calendar,W569,V570,"f",FALSE)</f>
        <v>42864</v>
      </c>
      <c r="X570" s="91">
        <f>_xll.qlCalendarAdvance(Calendar,W570,NDays&amp;"D")</f>
        <v>42864</v>
      </c>
      <c r="Y570" s="92" t="e">
        <v>#N/A</v>
      </c>
      <c r="Z570" s="94" t="e">
        <v>#N/A</v>
      </c>
    </row>
    <row r="571" spans="22:26" x14ac:dyDescent="0.2">
      <c r="V571" s="123" t="str">
        <f t="shared" si="19"/>
        <v>1w</v>
      </c>
      <c r="W571" s="82">
        <f>_xll.qlCalendarAdvance(Calendar,W570,V571,"f",FALSE)</f>
        <v>42871</v>
      </c>
      <c r="X571" s="91">
        <f>_xll.qlCalendarAdvance(Calendar,W571,NDays&amp;"D")</f>
        <v>42871</v>
      </c>
      <c r="Y571" s="92" t="e">
        <v>#N/A</v>
      </c>
      <c r="Z571" s="94" t="e">
        <v>#N/A</v>
      </c>
    </row>
    <row r="572" spans="22:26" x14ac:dyDescent="0.2">
      <c r="V572" s="123" t="str">
        <f t="shared" si="19"/>
        <v>1w</v>
      </c>
      <c r="W572" s="82">
        <f>_xll.qlCalendarAdvance(Calendar,W571,V572,"f",FALSE)</f>
        <v>42878</v>
      </c>
      <c r="X572" s="91">
        <f>_xll.qlCalendarAdvance(Calendar,W572,NDays&amp;"D")</f>
        <v>42878</v>
      </c>
      <c r="Y572" s="92" t="e">
        <v>#N/A</v>
      </c>
      <c r="Z572" s="94" t="e">
        <v>#N/A</v>
      </c>
    </row>
    <row r="573" spans="22:26" x14ac:dyDescent="0.2">
      <c r="V573" s="123" t="str">
        <f t="shared" si="19"/>
        <v>1w</v>
      </c>
      <c r="W573" s="82">
        <f>_xll.qlCalendarAdvance(Calendar,W572,V573,"f",FALSE)</f>
        <v>42885</v>
      </c>
      <c r="X573" s="91">
        <f>_xll.qlCalendarAdvance(Calendar,W573,NDays&amp;"D")</f>
        <v>42885</v>
      </c>
      <c r="Y573" s="92" t="e">
        <v>#N/A</v>
      </c>
      <c r="Z573" s="94" t="e">
        <v>#N/A</v>
      </c>
    </row>
    <row r="574" spans="22:26" x14ac:dyDescent="0.2">
      <c r="V574" s="123" t="str">
        <f t="shared" si="19"/>
        <v>1w</v>
      </c>
      <c r="W574" s="82">
        <f>_xll.qlCalendarAdvance(Calendar,W573,V574,"f",FALSE)</f>
        <v>42892</v>
      </c>
      <c r="X574" s="91">
        <f>_xll.qlCalendarAdvance(Calendar,W574,NDays&amp;"D")</f>
        <v>42892</v>
      </c>
      <c r="Y574" s="92" t="e">
        <v>#N/A</v>
      </c>
      <c r="Z574" s="94" t="e">
        <v>#N/A</v>
      </c>
    </row>
    <row r="575" spans="22:26" x14ac:dyDescent="0.2">
      <c r="V575" s="123" t="str">
        <f t="shared" si="19"/>
        <v>1w</v>
      </c>
      <c r="W575" s="82">
        <f>_xll.qlCalendarAdvance(Calendar,W574,V575,"f",FALSE)</f>
        <v>42899</v>
      </c>
      <c r="X575" s="91">
        <f>_xll.qlCalendarAdvance(Calendar,W575,NDays&amp;"D")</f>
        <v>42899</v>
      </c>
      <c r="Y575" s="92" t="e">
        <v>#N/A</v>
      </c>
      <c r="Z575" s="94" t="e">
        <v>#N/A</v>
      </c>
    </row>
    <row r="576" spans="22:26" x14ac:dyDescent="0.2">
      <c r="V576" s="123" t="str">
        <f t="shared" si="19"/>
        <v>1w</v>
      </c>
      <c r="W576" s="82">
        <f>_xll.qlCalendarAdvance(Calendar,W575,V576,"f",FALSE)</f>
        <v>42906</v>
      </c>
      <c r="X576" s="91">
        <f>_xll.qlCalendarAdvance(Calendar,W576,NDays&amp;"D")</f>
        <v>42906</v>
      </c>
      <c r="Y576" s="92" t="e">
        <v>#N/A</v>
      </c>
      <c r="Z576" s="94" t="e">
        <v>#N/A</v>
      </c>
    </row>
    <row r="577" spans="22:26" x14ac:dyDescent="0.2">
      <c r="V577" s="123" t="str">
        <f t="shared" si="19"/>
        <v>1w</v>
      </c>
      <c r="W577" s="82">
        <f>_xll.qlCalendarAdvance(Calendar,W576,V577,"f",FALSE)</f>
        <v>42913</v>
      </c>
      <c r="X577" s="91">
        <f>_xll.qlCalendarAdvance(Calendar,W577,NDays&amp;"D")</f>
        <v>42913</v>
      </c>
      <c r="Y577" s="92" t="e">
        <v>#N/A</v>
      </c>
      <c r="Z577" s="94" t="e">
        <v>#N/A</v>
      </c>
    </row>
    <row r="578" spans="22:26" x14ac:dyDescent="0.2">
      <c r="V578" s="123" t="str">
        <f t="shared" si="19"/>
        <v>1w</v>
      </c>
      <c r="W578" s="82">
        <f>_xll.qlCalendarAdvance(Calendar,W577,V578,"f",FALSE)</f>
        <v>42920</v>
      </c>
      <c r="X578" s="91">
        <f>_xll.qlCalendarAdvance(Calendar,W578,NDays&amp;"D")</f>
        <v>42920</v>
      </c>
      <c r="Y578" s="92" t="e">
        <v>#N/A</v>
      </c>
      <c r="Z578" s="94" t="e">
        <v>#N/A</v>
      </c>
    </row>
    <row r="579" spans="22:26" x14ac:dyDescent="0.2">
      <c r="V579" s="123" t="str">
        <f t="shared" si="19"/>
        <v>1w</v>
      </c>
      <c r="W579" s="82">
        <f>_xll.qlCalendarAdvance(Calendar,W578,V579,"f",FALSE)</f>
        <v>42927</v>
      </c>
      <c r="X579" s="91">
        <f>_xll.qlCalendarAdvance(Calendar,W579,NDays&amp;"D")</f>
        <v>42927</v>
      </c>
      <c r="Y579" s="92" t="e">
        <v>#N/A</v>
      </c>
      <c r="Z579" s="94" t="e">
        <v>#N/A</v>
      </c>
    </row>
    <row r="580" spans="22:26" x14ac:dyDescent="0.2">
      <c r="V580" s="123" t="str">
        <f t="shared" si="19"/>
        <v>1w</v>
      </c>
      <c r="W580" s="82">
        <f>_xll.qlCalendarAdvance(Calendar,W579,V580,"f",FALSE)</f>
        <v>42934</v>
      </c>
      <c r="X580" s="91">
        <f>_xll.qlCalendarAdvance(Calendar,W580,NDays&amp;"D")</f>
        <v>42934</v>
      </c>
      <c r="Y580" s="92" t="e">
        <v>#N/A</v>
      </c>
      <c r="Z580" s="94" t="e">
        <v>#N/A</v>
      </c>
    </row>
    <row r="581" spans="22:26" x14ac:dyDescent="0.2">
      <c r="V581" s="123" t="str">
        <f t="shared" si="19"/>
        <v>1w</v>
      </c>
      <c r="W581" s="82">
        <f>_xll.qlCalendarAdvance(Calendar,W580,V581,"f",FALSE)</f>
        <v>42941</v>
      </c>
      <c r="X581" s="91">
        <f>_xll.qlCalendarAdvance(Calendar,W581,NDays&amp;"D")</f>
        <v>42941</v>
      </c>
      <c r="Y581" s="92" t="e">
        <v>#N/A</v>
      </c>
      <c r="Z581" s="94" t="e">
        <v>#N/A</v>
      </c>
    </row>
    <row r="582" spans="22:26" x14ac:dyDescent="0.2">
      <c r="V582" s="123" t="str">
        <f t="shared" si="19"/>
        <v>1w</v>
      </c>
      <c r="W582" s="82">
        <f>_xll.qlCalendarAdvance(Calendar,W581,V582,"f",FALSE)</f>
        <v>42948</v>
      </c>
      <c r="X582" s="91">
        <f>_xll.qlCalendarAdvance(Calendar,W582,NDays&amp;"D")</f>
        <v>42948</v>
      </c>
      <c r="Y582" s="92" t="e">
        <v>#N/A</v>
      </c>
      <c r="Z582" s="94" t="e">
        <v>#N/A</v>
      </c>
    </row>
    <row r="583" spans="22:26" x14ac:dyDescent="0.2">
      <c r="V583" s="123" t="str">
        <f t="shared" si="19"/>
        <v>1w</v>
      </c>
      <c r="W583" s="82">
        <f>_xll.qlCalendarAdvance(Calendar,W582,V583,"f",FALSE)</f>
        <v>42955</v>
      </c>
      <c r="X583" s="91">
        <f>_xll.qlCalendarAdvance(Calendar,W583,NDays&amp;"D")</f>
        <v>42955</v>
      </c>
      <c r="Y583" s="92" t="e">
        <v>#N/A</v>
      </c>
      <c r="Z583" s="94" t="e">
        <v>#N/A</v>
      </c>
    </row>
    <row r="584" spans="22:26" x14ac:dyDescent="0.2">
      <c r="V584" s="123" t="str">
        <f t="shared" si="19"/>
        <v>1w</v>
      </c>
      <c r="W584" s="82">
        <f>_xll.qlCalendarAdvance(Calendar,W583,V584,"f",FALSE)</f>
        <v>42962</v>
      </c>
      <c r="X584" s="91">
        <f>_xll.qlCalendarAdvance(Calendar,W584,NDays&amp;"D")</f>
        <v>42962</v>
      </c>
      <c r="Y584" s="92" t="e">
        <v>#N/A</v>
      </c>
      <c r="Z584" s="94" t="e">
        <v>#N/A</v>
      </c>
    </row>
    <row r="585" spans="22:26" x14ac:dyDescent="0.2">
      <c r="V585" s="123" t="str">
        <f t="shared" si="19"/>
        <v>1w</v>
      </c>
      <c r="W585" s="82">
        <f>_xll.qlCalendarAdvance(Calendar,W584,V585,"f",FALSE)</f>
        <v>42969</v>
      </c>
      <c r="X585" s="91">
        <f>_xll.qlCalendarAdvance(Calendar,W585,NDays&amp;"D")</f>
        <v>42969</v>
      </c>
      <c r="Y585" s="92" t="e">
        <v>#N/A</v>
      </c>
      <c r="Z585" s="94" t="e">
        <v>#N/A</v>
      </c>
    </row>
    <row r="586" spans="22:26" x14ac:dyDescent="0.2">
      <c r="V586" s="123" t="str">
        <f t="shared" si="19"/>
        <v>1w</v>
      </c>
      <c r="W586" s="82">
        <f>_xll.qlCalendarAdvance(Calendar,W585,V586,"f",FALSE)</f>
        <v>42976</v>
      </c>
      <c r="X586" s="91">
        <f>_xll.qlCalendarAdvance(Calendar,W586,NDays&amp;"D")</f>
        <v>42976</v>
      </c>
      <c r="Y586" s="92" t="e">
        <v>#N/A</v>
      </c>
      <c r="Z586" s="94" t="e">
        <v>#N/A</v>
      </c>
    </row>
    <row r="587" spans="22:26" x14ac:dyDescent="0.2">
      <c r="V587" s="123" t="str">
        <f t="shared" si="19"/>
        <v>1w</v>
      </c>
      <c r="W587" s="82">
        <f>_xll.qlCalendarAdvance(Calendar,W586,V587,"f",FALSE)</f>
        <v>42983</v>
      </c>
      <c r="X587" s="91">
        <f>_xll.qlCalendarAdvance(Calendar,W587,NDays&amp;"D")</f>
        <v>42983</v>
      </c>
      <c r="Y587" s="92" t="e">
        <v>#N/A</v>
      </c>
      <c r="Z587" s="94" t="e">
        <v>#N/A</v>
      </c>
    </row>
    <row r="588" spans="22:26" x14ac:dyDescent="0.2">
      <c r="V588" s="123" t="str">
        <f t="shared" si="19"/>
        <v>1w</v>
      </c>
      <c r="W588" s="82">
        <f>_xll.qlCalendarAdvance(Calendar,W587,V588,"f",FALSE)</f>
        <v>42990</v>
      </c>
      <c r="X588" s="91">
        <f>_xll.qlCalendarAdvance(Calendar,W588,NDays&amp;"D")</f>
        <v>42990</v>
      </c>
      <c r="Y588" s="92" t="e">
        <v>#N/A</v>
      </c>
      <c r="Z588" s="94" t="e">
        <v>#N/A</v>
      </c>
    </row>
    <row r="589" spans="22:26" x14ac:dyDescent="0.2">
      <c r="V589" s="123" t="str">
        <f t="shared" si="19"/>
        <v>1w</v>
      </c>
      <c r="W589" s="82">
        <f>_xll.qlCalendarAdvance(Calendar,W588,V589,"f",FALSE)</f>
        <v>42997</v>
      </c>
      <c r="X589" s="91">
        <f>_xll.qlCalendarAdvance(Calendar,W589,NDays&amp;"D")</f>
        <v>42997</v>
      </c>
      <c r="Y589" s="92" t="e">
        <v>#N/A</v>
      </c>
      <c r="Z589" s="94" t="e">
        <v>#N/A</v>
      </c>
    </row>
    <row r="590" spans="22:26" x14ac:dyDescent="0.2">
      <c r="V590" s="123" t="str">
        <f t="shared" si="19"/>
        <v>1w</v>
      </c>
      <c r="W590" s="82">
        <f>_xll.qlCalendarAdvance(Calendar,W589,V590,"f",FALSE)</f>
        <v>43004</v>
      </c>
      <c r="X590" s="91">
        <f>_xll.qlCalendarAdvance(Calendar,W590,NDays&amp;"D")</f>
        <v>43004</v>
      </c>
      <c r="Y590" s="92" t="e">
        <v>#N/A</v>
      </c>
      <c r="Z590" s="94" t="e">
        <v>#N/A</v>
      </c>
    </row>
    <row r="591" spans="22:26" x14ac:dyDescent="0.2">
      <c r="V591" s="123" t="str">
        <f t="shared" si="19"/>
        <v>1w</v>
      </c>
      <c r="W591" s="82">
        <f>_xll.qlCalendarAdvance(Calendar,W590,V591,"f",FALSE)</f>
        <v>43011</v>
      </c>
      <c r="X591" s="91">
        <f>_xll.qlCalendarAdvance(Calendar,W591,NDays&amp;"D")</f>
        <v>43011</v>
      </c>
      <c r="Y591" s="92" t="e">
        <v>#N/A</v>
      </c>
      <c r="Z591" s="94" t="e">
        <v>#N/A</v>
      </c>
    </row>
    <row r="592" spans="22:26" x14ac:dyDescent="0.2">
      <c r="V592" s="123" t="str">
        <f t="shared" si="19"/>
        <v>1w</v>
      </c>
      <c r="W592" s="82">
        <f>_xll.qlCalendarAdvance(Calendar,W591,V592,"f",FALSE)</f>
        <v>43018</v>
      </c>
      <c r="X592" s="91">
        <f>_xll.qlCalendarAdvance(Calendar,W592,NDays&amp;"D")</f>
        <v>43018</v>
      </c>
      <c r="Y592" s="92" t="e">
        <v>#N/A</v>
      </c>
      <c r="Z592" s="94" t="e">
        <v>#N/A</v>
      </c>
    </row>
    <row r="593" spans="22:26" x14ac:dyDescent="0.2">
      <c r="V593" s="123" t="str">
        <f t="shared" si="19"/>
        <v>1w</v>
      </c>
      <c r="W593" s="82">
        <f>_xll.qlCalendarAdvance(Calendar,W592,V593,"f",FALSE)</f>
        <v>43025</v>
      </c>
      <c r="X593" s="91">
        <f>_xll.qlCalendarAdvance(Calendar,W593,NDays&amp;"D")</f>
        <v>43025</v>
      </c>
      <c r="Y593" s="92" t="e">
        <v>#N/A</v>
      </c>
      <c r="Z593" s="94" t="e">
        <v>#N/A</v>
      </c>
    </row>
    <row r="594" spans="22:26" x14ac:dyDescent="0.2">
      <c r="V594" s="123" t="str">
        <f t="shared" si="19"/>
        <v>1w</v>
      </c>
      <c r="W594" s="82">
        <f>_xll.qlCalendarAdvance(Calendar,W593,V594,"f",FALSE)</f>
        <v>43032</v>
      </c>
      <c r="X594" s="91">
        <f>_xll.qlCalendarAdvance(Calendar,W594,NDays&amp;"D")</f>
        <v>43032</v>
      </c>
      <c r="Y594" s="92" t="e">
        <v>#N/A</v>
      </c>
      <c r="Z594" s="94" t="e">
        <v>#N/A</v>
      </c>
    </row>
    <row r="595" spans="22:26" x14ac:dyDescent="0.2">
      <c r="V595" s="123" t="str">
        <f t="shared" si="19"/>
        <v>1w</v>
      </c>
      <c r="W595" s="82">
        <f>_xll.qlCalendarAdvance(Calendar,W594,V595,"f",FALSE)</f>
        <v>43039</v>
      </c>
      <c r="X595" s="91">
        <f>_xll.qlCalendarAdvance(Calendar,W595,NDays&amp;"D")</f>
        <v>43039</v>
      </c>
      <c r="Y595" s="92" t="e">
        <v>#N/A</v>
      </c>
      <c r="Z595" s="94" t="e">
        <v>#N/A</v>
      </c>
    </row>
    <row r="596" spans="22:26" x14ac:dyDescent="0.2">
      <c r="V596" s="123" t="str">
        <f t="shared" si="19"/>
        <v>1w</v>
      </c>
      <c r="W596" s="82">
        <f>_xll.qlCalendarAdvance(Calendar,W595,V596,"f",FALSE)</f>
        <v>43046</v>
      </c>
      <c r="X596" s="91">
        <f>_xll.qlCalendarAdvance(Calendar,W596,NDays&amp;"D")</f>
        <v>43046</v>
      </c>
      <c r="Y596" s="92" t="e">
        <v>#N/A</v>
      </c>
      <c r="Z596" s="94" t="e">
        <v>#N/A</v>
      </c>
    </row>
    <row r="597" spans="22:26" x14ac:dyDescent="0.2">
      <c r="V597" s="123" t="str">
        <f t="shared" ref="V597:V660" si="20">V596</f>
        <v>1w</v>
      </c>
      <c r="W597" s="82">
        <f>_xll.qlCalendarAdvance(Calendar,W596,V597,"f",FALSE)</f>
        <v>43053</v>
      </c>
      <c r="X597" s="91">
        <f>_xll.qlCalendarAdvance(Calendar,W597,NDays&amp;"D")</f>
        <v>43053</v>
      </c>
      <c r="Y597" s="92" t="e">
        <v>#N/A</v>
      </c>
      <c r="Z597" s="94" t="e">
        <v>#N/A</v>
      </c>
    </row>
    <row r="598" spans="22:26" x14ac:dyDescent="0.2">
      <c r="V598" s="123" t="str">
        <f t="shared" si="20"/>
        <v>1w</v>
      </c>
      <c r="W598" s="82">
        <f>_xll.qlCalendarAdvance(Calendar,W597,V598,"f",FALSE)</f>
        <v>43060</v>
      </c>
      <c r="X598" s="91">
        <f>_xll.qlCalendarAdvance(Calendar,W598,NDays&amp;"D")</f>
        <v>43060</v>
      </c>
      <c r="Y598" s="92" t="e">
        <v>#N/A</v>
      </c>
      <c r="Z598" s="94" t="e">
        <v>#N/A</v>
      </c>
    </row>
    <row r="599" spans="22:26" x14ac:dyDescent="0.2">
      <c r="V599" s="123" t="str">
        <f t="shared" si="20"/>
        <v>1w</v>
      </c>
      <c r="W599" s="82">
        <f>_xll.qlCalendarAdvance(Calendar,W598,V599,"f",FALSE)</f>
        <v>43067</v>
      </c>
      <c r="X599" s="91">
        <f>_xll.qlCalendarAdvance(Calendar,W599,NDays&amp;"D")</f>
        <v>43067</v>
      </c>
      <c r="Y599" s="92" t="e">
        <v>#N/A</v>
      </c>
      <c r="Z599" s="94" t="e">
        <v>#N/A</v>
      </c>
    </row>
    <row r="600" spans="22:26" x14ac:dyDescent="0.2">
      <c r="V600" s="123" t="str">
        <f t="shared" si="20"/>
        <v>1w</v>
      </c>
      <c r="W600" s="82">
        <f>_xll.qlCalendarAdvance(Calendar,W599,V600,"f",FALSE)</f>
        <v>43074</v>
      </c>
      <c r="X600" s="91">
        <f>_xll.qlCalendarAdvance(Calendar,W600,NDays&amp;"D")</f>
        <v>43074</v>
      </c>
      <c r="Y600" s="92" t="e">
        <v>#N/A</v>
      </c>
      <c r="Z600" s="94" t="e">
        <v>#N/A</v>
      </c>
    </row>
    <row r="601" spans="22:26" x14ac:dyDescent="0.2">
      <c r="V601" s="123" t="str">
        <f t="shared" si="20"/>
        <v>1w</v>
      </c>
      <c r="W601" s="82">
        <f>_xll.qlCalendarAdvance(Calendar,W600,V601,"f",FALSE)</f>
        <v>43081</v>
      </c>
      <c r="X601" s="91">
        <f>_xll.qlCalendarAdvance(Calendar,W601,NDays&amp;"D")</f>
        <v>43081</v>
      </c>
      <c r="Y601" s="92" t="e">
        <v>#N/A</v>
      </c>
      <c r="Z601" s="94" t="e">
        <v>#N/A</v>
      </c>
    </row>
    <row r="602" spans="22:26" x14ac:dyDescent="0.2">
      <c r="V602" s="123" t="str">
        <f t="shared" si="20"/>
        <v>1w</v>
      </c>
      <c r="W602" s="82">
        <f>_xll.qlCalendarAdvance(Calendar,W601,V602,"f",FALSE)</f>
        <v>43088</v>
      </c>
      <c r="X602" s="91">
        <f>_xll.qlCalendarAdvance(Calendar,W602,NDays&amp;"D")</f>
        <v>43088</v>
      </c>
      <c r="Y602" s="92" t="e">
        <v>#N/A</v>
      </c>
      <c r="Z602" s="94" t="e">
        <v>#N/A</v>
      </c>
    </row>
    <row r="603" spans="22:26" x14ac:dyDescent="0.2">
      <c r="V603" s="123" t="str">
        <f t="shared" si="20"/>
        <v>1w</v>
      </c>
      <c r="W603" s="82">
        <f>_xll.qlCalendarAdvance(Calendar,W602,V603,"f",FALSE)</f>
        <v>43096</v>
      </c>
      <c r="X603" s="91">
        <f>_xll.qlCalendarAdvance(Calendar,W603,NDays&amp;"D")</f>
        <v>43096</v>
      </c>
      <c r="Y603" s="92" t="e">
        <v>#N/A</v>
      </c>
      <c r="Z603" s="94" t="e">
        <v>#N/A</v>
      </c>
    </row>
    <row r="604" spans="22:26" x14ac:dyDescent="0.2">
      <c r="V604" s="123" t="str">
        <f t="shared" si="20"/>
        <v>1w</v>
      </c>
      <c r="W604" s="82">
        <f>_xll.qlCalendarAdvance(Calendar,W603,V604,"f",FALSE)</f>
        <v>43103</v>
      </c>
      <c r="X604" s="91">
        <f>_xll.qlCalendarAdvance(Calendar,W604,NDays&amp;"D")</f>
        <v>43103</v>
      </c>
      <c r="Y604" s="92" t="e">
        <v>#N/A</v>
      </c>
      <c r="Z604" s="94" t="e">
        <v>#N/A</v>
      </c>
    </row>
    <row r="605" spans="22:26" x14ac:dyDescent="0.2">
      <c r="V605" s="123" t="str">
        <f t="shared" si="20"/>
        <v>1w</v>
      </c>
      <c r="W605" s="82">
        <f>_xll.qlCalendarAdvance(Calendar,W604,V605,"f",FALSE)</f>
        <v>43110</v>
      </c>
      <c r="X605" s="91">
        <f>_xll.qlCalendarAdvance(Calendar,W605,NDays&amp;"D")</f>
        <v>43110</v>
      </c>
      <c r="Y605" s="92" t="e">
        <v>#N/A</v>
      </c>
      <c r="Z605" s="94" t="e">
        <v>#N/A</v>
      </c>
    </row>
    <row r="606" spans="22:26" x14ac:dyDescent="0.2">
      <c r="V606" s="123" t="str">
        <f t="shared" si="20"/>
        <v>1w</v>
      </c>
      <c r="W606" s="82">
        <f>_xll.qlCalendarAdvance(Calendar,W605,V606,"f",FALSE)</f>
        <v>43117</v>
      </c>
      <c r="X606" s="91">
        <f>_xll.qlCalendarAdvance(Calendar,W606,NDays&amp;"D")</f>
        <v>43117</v>
      </c>
      <c r="Y606" s="92" t="e">
        <v>#N/A</v>
      </c>
      <c r="Z606" s="94" t="e">
        <v>#N/A</v>
      </c>
    </row>
    <row r="607" spans="22:26" x14ac:dyDescent="0.2">
      <c r="V607" s="123" t="str">
        <f t="shared" si="20"/>
        <v>1w</v>
      </c>
      <c r="W607" s="82">
        <f>_xll.qlCalendarAdvance(Calendar,W606,V607,"f",FALSE)</f>
        <v>43124</v>
      </c>
      <c r="X607" s="91">
        <f>_xll.qlCalendarAdvance(Calendar,W607,NDays&amp;"D")</f>
        <v>43124</v>
      </c>
      <c r="Y607" s="92" t="e">
        <v>#N/A</v>
      </c>
      <c r="Z607" s="94" t="e">
        <v>#N/A</v>
      </c>
    </row>
    <row r="608" spans="22:26" x14ac:dyDescent="0.2">
      <c r="V608" s="123" t="str">
        <f t="shared" si="20"/>
        <v>1w</v>
      </c>
      <c r="W608" s="82">
        <f>_xll.qlCalendarAdvance(Calendar,W607,V608,"f",FALSE)</f>
        <v>43131</v>
      </c>
      <c r="X608" s="91">
        <f>_xll.qlCalendarAdvance(Calendar,W608,NDays&amp;"D")</f>
        <v>43131</v>
      </c>
      <c r="Y608" s="92" t="e">
        <v>#N/A</v>
      </c>
      <c r="Z608" s="94" t="e">
        <v>#N/A</v>
      </c>
    </row>
    <row r="609" spans="22:26" x14ac:dyDescent="0.2">
      <c r="V609" s="123" t="str">
        <f t="shared" si="20"/>
        <v>1w</v>
      </c>
      <c r="W609" s="82">
        <f>_xll.qlCalendarAdvance(Calendar,W608,V609,"f",FALSE)</f>
        <v>43138</v>
      </c>
      <c r="X609" s="91">
        <f>_xll.qlCalendarAdvance(Calendar,W609,NDays&amp;"D")</f>
        <v>43138</v>
      </c>
      <c r="Y609" s="92" t="e">
        <v>#N/A</v>
      </c>
      <c r="Z609" s="94" t="e">
        <v>#N/A</v>
      </c>
    </row>
    <row r="610" spans="22:26" x14ac:dyDescent="0.2">
      <c r="V610" s="123" t="str">
        <f t="shared" si="20"/>
        <v>1w</v>
      </c>
      <c r="W610" s="82">
        <f>_xll.qlCalendarAdvance(Calendar,W609,V610,"f",FALSE)</f>
        <v>43145</v>
      </c>
      <c r="X610" s="91">
        <f>_xll.qlCalendarAdvance(Calendar,W610,NDays&amp;"D")</f>
        <v>43145</v>
      </c>
      <c r="Y610" s="92" t="e">
        <v>#N/A</v>
      </c>
      <c r="Z610" s="94" t="e">
        <v>#N/A</v>
      </c>
    </row>
    <row r="611" spans="22:26" x14ac:dyDescent="0.2">
      <c r="V611" s="123" t="str">
        <f t="shared" si="20"/>
        <v>1w</v>
      </c>
      <c r="W611" s="82">
        <f>_xll.qlCalendarAdvance(Calendar,W610,V611,"f",FALSE)</f>
        <v>43152</v>
      </c>
      <c r="X611" s="91">
        <f>_xll.qlCalendarAdvance(Calendar,W611,NDays&amp;"D")</f>
        <v>43152</v>
      </c>
      <c r="Y611" s="92" t="e">
        <v>#N/A</v>
      </c>
      <c r="Z611" s="94" t="e">
        <v>#N/A</v>
      </c>
    </row>
    <row r="612" spans="22:26" x14ac:dyDescent="0.2">
      <c r="V612" s="123" t="str">
        <f t="shared" si="20"/>
        <v>1w</v>
      </c>
      <c r="W612" s="82">
        <f>_xll.qlCalendarAdvance(Calendar,W611,V612,"f",FALSE)</f>
        <v>43159</v>
      </c>
      <c r="X612" s="91">
        <f>_xll.qlCalendarAdvance(Calendar,W612,NDays&amp;"D")</f>
        <v>43159</v>
      </c>
      <c r="Y612" s="92" t="e">
        <v>#N/A</v>
      </c>
      <c r="Z612" s="94" t="e">
        <v>#N/A</v>
      </c>
    </row>
    <row r="613" spans="22:26" x14ac:dyDescent="0.2">
      <c r="V613" s="123" t="str">
        <f t="shared" si="20"/>
        <v>1w</v>
      </c>
      <c r="W613" s="82">
        <f>_xll.qlCalendarAdvance(Calendar,W612,V613,"f",FALSE)</f>
        <v>43166</v>
      </c>
      <c r="X613" s="91">
        <f>_xll.qlCalendarAdvance(Calendar,W613,NDays&amp;"D")</f>
        <v>43166</v>
      </c>
      <c r="Y613" s="92" t="e">
        <v>#N/A</v>
      </c>
      <c r="Z613" s="94" t="e">
        <v>#N/A</v>
      </c>
    </row>
    <row r="614" spans="22:26" x14ac:dyDescent="0.2">
      <c r="V614" s="123" t="str">
        <f t="shared" si="20"/>
        <v>1w</v>
      </c>
      <c r="W614" s="82">
        <f>_xll.qlCalendarAdvance(Calendar,W613,V614,"f",FALSE)</f>
        <v>43173</v>
      </c>
      <c r="X614" s="91">
        <f>_xll.qlCalendarAdvance(Calendar,W614,NDays&amp;"D")</f>
        <v>43173</v>
      </c>
      <c r="Y614" s="92" t="e">
        <v>#N/A</v>
      </c>
      <c r="Z614" s="94" t="e">
        <v>#N/A</v>
      </c>
    </row>
    <row r="615" spans="22:26" x14ac:dyDescent="0.2">
      <c r="V615" s="123" t="str">
        <f t="shared" si="20"/>
        <v>1w</v>
      </c>
      <c r="W615" s="82">
        <f>_xll.qlCalendarAdvance(Calendar,W614,V615,"f",FALSE)</f>
        <v>43180</v>
      </c>
      <c r="X615" s="91">
        <f>_xll.qlCalendarAdvance(Calendar,W615,NDays&amp;"D")</f>
        <v>43180</v>
      </c>
      <c r="Y615" s="92" t="e">
        <v>#N/A</v>
      </c>
      <c r="Z615" s="94" t="e">
        <v>#N/A</v>
      </c>
    </row>
    <row r="616" spans="22:26" x14ac:dyDescent="0.2">
      <c r="V616" s="123" t="str">
        <f t="shared" si="20"/>
        <v>1w</v>
      </c>
      <c r="W616" s="82">
        <f>_xll.qlCalendarAdvance(Calendar,W615,V616,"f",FALSE)</f>
        <v>43187</v>
      </c>
      <c r="X616" s="91">
        <f>_xll.qlCalendarAdvance(Calendar,W616,NDays&amp;"D")</f>
        <v>43187</v>
      </c>
      <c r="Y616" s="92" t="e">
        <v>#N/A</v>
      </c>
      <c r="Z616" s="94" t="e">
        <v>#N/A</v>
      </c>
    </row>
    <row r="617" spans="22:26" x14ac:dyDescent="0.2">
      <c r="V617" s="123" t="str">
        <f t="shared" si="20"/>
        <v>1w</v>
      </c>
      <c r="W617" s="82">
        <f>_xll.qlCalendarAdvance(Calendar,W616,V617,"f",FALSE)</f>
        <v>43194</v>
      </c>
      <c r="X617" s="91">
        <f>_xll.qlCalendarAdvance(Calendar,W617,NDays&amp;"D")</f>
        <v>43194</v>
      </c>
      <c r="Y617" s="92" t="e">
        <v>#N/A</v>
      </c>
      <c r="Z617" s="94" t="e">
        <v>#N/A</v>
      </c>
    </row>
    <row r="618" spans="22:26" x14ac:dyDescent="0.2">
      <c r="V618" s="123" t="str">
        <f t="shared" si="20"/>
        <v>1w</v>
      </c>
      <c r="W618" s="82">
        <f>_xll.qlCalendarAdvance(Calendar,W617,V618,"f",FALSE)</f>
        <v>43201</v>
      </c>
      <c r="X618" s="91">
        <f>_xll.qlCalendarAdvance(Calendar,W618,NDays&amp;"D")</f>
        <v>43201</v>
      </c>
      <c r="Y618" s="92" t="e">
        <v>#N/A</v>
      </c>
      <c r="Z618" s="94" t="e">
        <v>#N/A</v>
      </c>
    </row>
    <row r="619" spans="22:26" x14ac:dyDescent="0.2">
      <c r="V619" s="123" t="str">
        <f t="shared" si="20"/>
        <v>1w</v>
      </c>
      <c r="W619" s="82">
        <f>_xll.qlCalendarAdvance(Calendar,W618,V619,"f",FALSE)</f>
        <v>43208</v>
      </c>
      <c r="X619" s="91">
        <f>_xll.qlCalendarAdvance(Calendar,W619,NDays&amp;"D")</f>
        <v>43208</v>
      </c>
      <c r="Y619" s="92" t="e">
        <v>#N/A</v>
      </c>
      <c r="Z619" s="94" t="e">
        <v>#N/A</v>
      </c>
    </row>
    <row r="620" spans="22:26" x14ac:dyDescent="0.2">
      <c r="V620" s="123" t="str">
        <f t="shared" si="20"/>
        <v>1w</v>
      </c>
      <c r="W620" s="82">
        <f>_xll.qlCalendarAdvance(Calendar,W619,V620,"f",FALSE)</f>
        <v>43215</v>
      </c>
      <c r="X620" s="91">
        <f>_xll.qlCalendarAdvance(Calendar,W620,NDays&amp;"D")</f>
        <v>43215</v>
      </c>
      <c r="Y620" s="92" t="e">
        <v>#N/A</v>
      </c>
      <c r="Z620" s="94" t="e">
        <v>#N/A</v>
      </c>
    </row>
    <row r="621" spans="22:26" x14ac:dyDescent="0.2">
      <c r="V621" s="123" t="str">
        <f t="shared" si="20"/>
        <v>1w</v>
      </c>
      <c r="W621" s="82">
        <f>_xll.qlCalendarAdvance(Calendar,W620,V621,"f",FALSE)</f>
        <v>43222</v>
      </c>
      <c r="X621" s="91">
        <f>_xll.qlCalendarAdvance(Calendar,W621,NDays&amp;"D")</f>
        <v>43222</v>
      </c>
      <c r="Y621" s="92" t="e">
        <v>#N/A</v>
      </c>
      <c r="Z621" s="94" t="e">
        <v>#N/A</v>
      </c>
    </row>
    <row r="622" spans="22:26" x14ac:dyDescent="0.2">
      <c r="V622" s="123" t="str">
        <f t="shared" si="20"/>
        <v>1w</v>
      </c>
      <c r="W622" s="82">
        <f>_xll.qlCalendarAdvance(Calendar,W621,V622,"f",FALSE)</f>
        <v>43229</v>
      </c>
      <c r="X622" s="91">
        <f>_xll.qlCalendarAdvance(Calendar,W622,NDays&amp;"D")</f>
        <v>43229</v>
      </c>
      <c r="Y622" s="92" t="e">
        <v>#N/A</v>
      </c>
      <c r="Z622" s="94" t="e">
        <v>#N/A</v>
      </c>
    </row>
    <row r="623" spans="22:26" x14ac:dyDescent="0.2">
      <c r="V623" s="123" t="str">
        <f t="shared" si="20"/>
        <v>1w</v>
      </c>
      <c r="W623" s="82">
        <f>_xll.qlCalendarAdvance(Calendar,W622,V623,"f",FALSE)</f>
        <v>43236</v>
      </c>
      <c r="X623" s="91">
        <f>_xll.qlCalendarAdvance(Calendar,W623,NDays&amp;"D")</f>
        <v>43236</v>
      </c>
      <c r="Y623" s="92" t="e">
        <v>#N/A</v>
      </c>
      <c r="Z623" s="94" t="e">
        <v>#N/A</v>
      </c>
    </row>
    <row r="624" spans="22:26" x14ac:dyDescent="0.2">
      <c r="V624" s="123" t="str">
        <f t="shared" si="20"/>
        <v>1w</v>
      </c>
      <c r="W624" s="82">
        <f>_xll.qlCalendarAdvance(Calendar,W623,V624,"f",FALSE)</f>
        <v>43243</v>
      </c>
      <c r="X624" s="91">
        <f>_xll.qlCalendarAdvance(Calendar,W624,NDays&amp;"D")</f>
        <v>43243</v>
      </c>
      <c r="Y624" s="92" t="e">
        <v>#N/A</v>
      </c>
      <c r="Z624" s="94" t="e">
        <v>#N/A</v>
      </c>
    </row>
    <row r="625" spans="22:26" x14ac:dyDescent="0.2">
      <c r="V625" s="123" t="str">
        <f t="shared" si="20"/>
        <v>1w</v>
      </c>
      <c r="W625" s="82">
        <f>_xll.qlCalendarAdvance(Calendar,W624,V625,"f",FALSE)</f>
        <v>43250</v>
      </c>
      <c r="X625" s="91">
        <f>_xll.qlCalendarAdvance(Calendar,W625,NDays&amp;"D")</f>
        <v>43250</v>
      </c>
      <c r="Y625" s="92" t="e">
        <v>#N/A</v>
      </c>
      <c r="Z625" s="94" t="e">
        <v>#N/A</v>
      </c>
    </row>
    <row r="626" spans="22:26" x14ac:dyDescent="0.2">
      <c r="V626" s="123" t="str">
        <f t="shared" si="20"/>
        <v>1w</v>
      </c>
      <c r="W626" s="82">
        <f>_xll.qlCalendarAdvance(Calendar,W625,V626,"f",FALSE)</f>
        <v>43257</v>
      </c>
      <c r="X626" s="91">
        <f>_xll.qlCalendarAdvance(Calendar,W626,NDays&amp;"D")</f>
        <v>43257</v>
      </c>
      <c r="Y626" s="92" t="e">
        <v>#N/A</v>
      </c>
      <c r="Z626" s="94" t="e">
        <v>#N/A</v>
      </c>
    </row>
    <row r="627" spans="22:26" x14ac:dyDescent="0.2">
      <c r="V627" s="123" t="str">
        <f t="shared" si="20"/>
        <v>1w</v>
      </c>
      <c r="W627" s="82">
        <f>_xll.qlCalendarAdvance(Calendar,W626,V627,"f",FALSE)</f>
        <v>43264</v>
      </c>
      <c r="X627" s="91">
        <f>_xll.qlCalendarAdvance(Calendar,W627,NDays&amp;"D")</f>
        <v>43264</v>
      </c>
      <c r="Y627" s="92" t="e">
        <v>#N/A</v>
      </c>
      <c r="Z627" s="94" t="e">
        <v>#N/A</v>
      </c>
    </row>
    <row r="628" spans="22:26" x14ac:dyDescent="0.2">
      <c r="V628" s="123" t="str">
        <f t="shared" si="20"/>
        <v>1w</v>
      </c>
      <c r="W628" s="82">
        <f>_xll.qlCalendarAdvance(Calendar,W627,V628,"f",FALSE)</f>
        <v>43271</v>
      </c>
      <c r="X628" s="91">
        <f>_xll.qlCalendarAdvance(Calendar,W628,NDays&amp;"D")</f>
        <v>43271</v>
      </c>
      <c r="Y628" s="92" t="e">
        <v>#N/A</v>
      </c>
      <c r="Z628" s="94" t="e">
        <v>#N/A</v>
      </c>
    </row>
    <row r="629" spans="22:26" x14ac:dyDescent="0.2">
      <c r="V629" s="123" t="str">
        <f t="shared" si="20"/>
        <v>1w</v>
      </c>
      <c r="W629" s="82">
        <f>_xll.qlCalendarAdvance(Calendar,W628,V629,"f",FALSE)</f>
        <v>43278</v>
      </c>
      <c r="X629" s="91">
        <f>_xll.qlCalendarAdvance(Calendar,W629,NDays&amp;"D")</f>
        <v>43278</v>
      </c>
      <c r="Y629" s="92" t="e">
        <v>#N/A</v>
      </c>
      <c r="Z629" s="94" t="e">
        <v>#N/A</v>
      </c>
    </row>
    <row r="630" spans="22:26" x14ac:dyDescent="0.2">
      <c r="V630" s="123" t="str">
        <f t="shared" si="20"/>
        <v>1w</v>
      </c>
      <c r="W630" s="82">
        <f>_xll.qlCalendarAdvance(Calendar,W629,V630,"f",FALSE)</f>
        <v>43285</v>
      </c>
      <c r="X630" s="91">
        <f>_xll.qlCalendarAdvance(Calendar,W630,NDays&amp;"D")</f>
        <v>43285</v>
      </c>
      <c r="Y630" s="92" t="e">
        <v>#N/A</v>
      </c>
      <c r="Z630" s="94" t="e">
        <v>#N/A</v>
      </c>
    </row>
    <row r="631" spans="22:26" x14ac:dyDescent="0.2">
      <c r="V631" s="123" t="str">
        <f t="shared" si="20"/>
        <v>1w</v>
      </c>
      <c r="W631" s="82">
        <f>_xll.qlCalendarAdvance(Calendar,W630,V631,"f",FALSE)</f>
        <v>43292</v>
      </c>
      <c r="X631" s="91">
        <f>_xll.qlCalendarAdvance(Calendar,W631,NDays&amp;"D")</f>
        <v>43292</v>
      </c>
      <c r="Y631" s="92" t="e">
        <v>#N/A</v>
      </c>
      <c r="Z631" s="94" t="e">
        <v>#N/A</v>
      </c>
    </row>
    <row r="632" spans="22:26" x14ac:dyDescent="0.2">
      <c r="V632" s="123" t="str">
        <f t="shared" si="20"/>
        <v>1w</v>
      </c>
      <c r="W632" s="82">
        <f>_xll.qlCalendarAdvance(Calendar,W631,V632,"f",FALSE)</f>
        <v>43299</v>
      </c>
      <c r="X632" s="91">
        <f>_xll.qlCalendarAdvance(Calendar,W632,NDays&amp;"D")</f>
        <v>43299</v>
      </c>
      <c r="Y632" s="92" t="e">
        <v>#N/A</v>
      </c>
      <c r="Z632" s="94" t="e">
        <v>#N/A</v>
      </c>
    </row>
    <row r="633" spans="22:26" x14ac:dyDescent="0.2">
      <c r="V633" s="123" t="str">
        <f t="shared" si="20"/>
        <v>1w</v>
      </c>
      <c r="W633" s="82">
        <f>_xll.qlCalendarAdvance(Calendar,W632,V633,"f",FALSE)</f>
        <v>43306</v>
      </c>
      <c r="X633" s="91">
        <f>_xll.qlCalendarAdvance(Calendar,W633,NDays&amp;"D")</f>
        <v>43306</v>
      </c>
      <c r="Y633" s="92" t="e">
        <v>#N/A</v>
      </c>
      <c r="Z633" s="94" t="e">
        <v>#N/A</v>
      </c>
    </row>
    <row r="634" spans="22:26" x14ac:dyDescent="0.2">
      <c r="V634" s="123" t="str">
        <f t="shared" si="20"/>
        <v>1w</v>
      </c>
      <c r="W634" s="82">
        <f>_xll.qlCalendarAdvance(Calendar,W633,V634,"f",FALSE)</f>
        <v>43313</v>
      </c>
      <c r="X634" s="91">
        <f>_xll.qlCalendarAdvance(Calendar,W634,NDays&amp;"D")</f>
        <v>43313</v>
      </c>
      <c r="Y634" s="92" t="e">
        <v>#N/A</v>
      </c>
      <c r="Z634" s="94" t="e">
        <v>#N/A</v>
      </c>
    </row>
    <row r="635" spans="22:26" x14ac:dyDescent="0.2">
      <c r="V635" s="123" t="str">
        <f t="shared" si="20"/>
        <v>1w</v>
      </c>
      <c r="W635" s="82">
        <f>_xll.qlCalendarAdvance(Calendar,W634,V635,"f",FALSE)</f>
        <v>43320</v>
      </c>
      <c r="X635" s="91">
        <f>_xll.qlCalendarAdvance(Calendar,W635,NDays&amp;"D")</f>
        <v>43320</v>
      </c>
      <c r="Y635" s="92" t="e">
        <v>#N/A</v>
      </c>
      <c r="Z635" s="94" t="e">
        <v>#N/A</v>
      </c>
    </row>
    <row r="636" spans="22:26" x14ac:dyDescent="0.2">
      <c r="V636" s="123" t="str">
        <f t="shared" si="20"/>
        <v>1w</v>
      </c>
      <c r="W636" s="82">
        <f>_xll.qlCalendarAdvance(Calendar,W635,V636,"f",FALSE)</f>
        <v>43327</v>
      </c>
      <c r="X636" s="91">
        <f>_xll.qlCalendarAdvance(Calendar,W636,NDays&amp;"D")</f>
        <v>43327</v>
      </c>
      <c r="Y636" s="92" t="e">
        <v>#N/A</v>
      </c>
      <c r="Z636" s="94" t="e">
        <v>#N/A</v>
      </c>
    </row>
    <row r="637" spans="22:26" x14ac:dyDescent="0.2">
      <c r="V637" s="123" t="str">
        <f t="shared" si="20"/>
        <v>1w</v>
      </c>
      <c r="W637" s="82">
        <f>_xll.qlCalendarAdvance(Calendar,W636,V637,"f",FALSE)</f>
        <v>43334</v>
      </c>
      <c r="X637" s="91">
        <f>_xll.qlCalendarAdvance(Calendar,W637,NDays&amp;"D")</f>
        <v>43334</v>
      </c>
      <c r="Y637" s="92" t="e">
        <v>#N/A</v>
      </c>
      <c r="Z637" s="94" t="e">
        <v>#N/A</v>
      </c>
    </row>
    <row r="638" spans="22:26" x14ac:dyDescent="0.2">
      <c r="V638" s="123" t="str">
        <f t="shared" si="20"/>
        <v>1w</v>
      </c>
      <c r="W638" s="82">
        <f>_xll.qlCalendarAdvance(Calendar,W637,V638,"f",FALSE)</f>
        <v>43341</v>
      </c>
      <c r="X638" s="91">
        <f>_xll.qlCalendarAdvance(Calendar,W638,NDays&amp;"D")</f>
        <v>43341</v>
      </c>
      <c r="Y638" s="92" t="e">
        <v>#N/A</v>
      </c>
      <c r="Z638" s="94" t="e">
        <v>#N/A</v>
      </c>
    </row>
    <row r="639" spans="22:26" x14ac:dyDescent="0.2">
      <c r="V639" s="123" t="str">
        <f t="shared" si="20"/>
        <v>1w</v>
      </c>
      <c r="W639" s="82">
        <f>_xll.qlCalendarAdvance(Calendar,W638,V639,"f",FALSE)</f>
        <v>43348</v>
      </c>
      <c r="X639" s="91">
        <f>_xll.qlCalendarAdvance(Calendar,W639,NDays&amp;"D")</f>
        <v>43348</v>
      </c>
      <c r="Y639" s="92" t="e">
        <v>#N/A</v>
      </c>
      <c r="Z639" s="94" t="e">
        <v>#N/A</v>
      </c>
    </row>
    <row r="640" spans="22:26" x14ac:dyDescent="0.2">
      <c r="V640" s="123" t="str">
        <f t="shared" si="20"/>
        <v>1w</v>
      </c>
      <c r="W640" s="82">
        <f>_xll.qlCalendarAdvance(Calendar,W639,V640,"f",FALSE)</f>
        <v>43355</v>
      </c>
      <c r="X640" s="91">
        <f>_xll.qlCalendarAdvance(Calendar,W640,NDays&amp;"D")</f>
        <v>43355</v>
      </c>
      <c r="Y640" s="92" t="e">
        <v>#N/A</v>
      </c>
      <c r="Z640" s="94" t="e">
        <v>#N/A</v>
      </c>
    </row>
    <row r="641" spans="22:26" x14ac:dyDescent="0.2">
      <c r="V641" s="123" t="str">
        <f t="shared" si="20"/>
        <v>1w</v>
      </c>
      <c r="W641" s="82">
        <f>_xll.qlCalendarAdvance(Calendar,W640,V641,"f",FALSE)</f>
        <v>43362</v>
      </c>
      <c r="X641" s="91">
        <f>_xll.qlCalendarAdvance(Calendar,W641,NDays&amp;"D")</f>
        <v>43362</v>
      </c>
      <c r="Y641" s="92" t="e">
        <v>#N/A</v>
      </c>
      <c r="Z641" s="94" t="e">
        <v>#N/A</v>
      </c>
    </row>
    <row r="642" spans="22:26" x14ac:dyDescent="0.2">
      <c r="V642" s="123" t="str">
        <f t="shared" si="20"/>
        <v>1w</v>
      </c>
      <c r="W642" s="82">
        <f>_xll.qlCalendarAdvance(Calendar,W641,V642,"f",FALSE)</f>
        <v>43369</v>
      </c>
      <c r="X642" s="91">
        <f>_xll.qlCalendarAdvance(Calendar,W642,NDays&amp;"D")</f>
        <v>43369</v>
      </c>
      <c r="Y642" s="92" t="e">
        <v>#N/A</v>
      </c>
      <c r="Z642" s="94" t="e">
        <v>#N/A</v>
      </c>
    </row>
    <row r="643" spans="22:26" x14ac:dyDescent="0.2">
      <c r="V643" s="123" t="str">
        <f t="shared" si="20"/>
        <v>1w</v>
      </c>
      <c r="W643" s="82">
        <f>_xll.qlCalendarAdvance(Calendar,W642,V643,"f",FALSE)</f>
        <v>43376</v>
      </c>
      <c r="X643" s="91">
        <f>_xll.qlCalendarAdvance(Calendar,W643,NDays&amp;"D")</f>
        <v>43376</v>
      </c>
      <c r="Y643" s="92" t="e">
        <v>#N/A</v>
      </c>
      <c r="Z643" s="94" t="e">
        <v>#N/A</v>
      </c>
    </row>
    <row r="644" spans="22:26" x14ac:dyDescent="0.2">
      <c r="V644" s="123" t="str">
        <f t="shared" si="20"/>
        <v>1w</v>
      </c>
      <c r="W644" s="82">
        <f>_xll.qlCalendarAdvance(Calendar,W643,V644,"f",FALSE)</f>
        <v>43383</v>
      </c>
      <c r="X644" s="91">
        <f>_xll.qlCalendarAdvance(Calendar,W644,NDays&amp;"D")</f>
        <v>43383</v>
      </c>
      <c r="Y644" s="92" t="e">
        <v>#N/A</v>
      </c>
      <c r="Z644" s="94" t="e">
        <v>#N/A</v>
      </c>
    </row>
    <row r="645" spans="22:26" x14ac:dyDescent="0.2">
      <c r="V645" s="123" t="str">
        <f t="shared" si="20"/>
        <v>1w</v>
      </c>
      <c r="W645" s="82">
        <f>_xll.qlCalendarAdvance(Calendar,W644,V645,"f",FALSE)</f>
        <v>43390</v>
      </c>
      <c r="X645" s="91">
        <f>_xll.qlCalendarAdvance(Calendar,W645,NDays&amp;"D")</f>
        <v>43390</v>
      </c>
      <c r="Y645" s="92" t="e">
        <v>#N/A</v>
      </c>
      <c r="Z645" s="94" t="e">
        <v>#N/A</v>
      </c>
    </row>
    <row r="646" spans="22:26" x14ac:dyDescent="0.2">
      <c r="V646" s="123" t="str">
        <f t="shared" si="20"/>
        <v>1w</v>
      </c>
      <c r="W646" s="82">
        <f>_xll.qlCalendarAdvance(Calendar,W645,V646,"f",FALSE)</f>
        <v>43397</v>
      </c>
      <c r="X646" s="91">
        <f>_xll.qlCalendarAdvance(Calendar,W646,NDays&amp;"D")</f>
        <v>43397</v>
      </c>
      <c r="Y646" s="92" t="e">
        <v>#N/A</v>
      </c>
      <c r="Z646" s="94" t="e">
        <v>#N/A</v>
      </c>
    </row>
    <row r="647" spans="22:26" x14ac:dyDescent="0.2">
      <c r="V647" s="123" t="str">
        <f t="shared" si="20"/>
        <v>1w</v>
      </c>
      <c r="W647" s="82">
        <f>_xll.qlCalendarAdvance(Calendar,W646,V647,"f",FALSE)</f>
        <v>43404</v>
      </c>
      <c r="X647" s="91">
        <f>_xll.qlCalendarAdvance(Calendar,W647,NDays&amp;"D")</f>
        <v>43404</v>
      </c>
      <c r="Y647" s="92" t="e">
        <v>#N/A</v>
      </c>
      <c r="Z647" s="94" t="e">
        <v>#N/A</v>
      </c>
    </row>
    <row r="648" spans="22:26" x14ac:dyDescent="0.2">
      <c r="V648" s="123" t="str">
        <f t="shared" si="20"/>
        <v>1w</v>
      </c>
      <c r="W648" s="82">
        <f>_xll.qlCalendarAdvance(Calendar,W647,V648,"f",FALSE)</f>
        <v>43411</v>
      </c>
      <c r="X648" s="91">
        <f>_xll.qlCalendarAdvance(Calendar,W648,NDays&amp;"D")</f>
        <v>43411</v>
      </c>
      <c r="Y648" s="92" t="e">
        <v>#N/A</v>
      </c>
      <c r="Z648" s="94" t="e">
        <v>#N/A</v>
      </c>
    </row>
    <row r="649" spans="22:26" x14ac:dyDescent="0.2">
      <c r="V649" s="123" t="str">
        <f t="shared" si="20"/>
        <v>1w</v>
      </c>
      <c r="W649" s="82">
        <f>_xll.qlCalendarAdvance(Calendar,W648,V649,"f",FALSE)</f>
        <v>43418</v>
      </c>
      <c r="X649" s="91">
        <f>_xll.qlCalendarAdvance(Calendar,W649,NDays&amp;"D")</f>
        <v>43418</v>
      </c>
      <c r="Y649" s="92" t="e">
        <v>#N/A</v>
      </c>
      <c r="Z649" s="94" t="e">
        <v>#N/A</v>
      </c>
    </row>
    <row r="650" spans="22:26" x14ac:dyDescent="0.2">
      <c r="V650" s="123" t="str">
        <f t="shared" si="20"/>
        <v>1w</v>
      </c>
      <c r="W650" s="82">
        <f>_xll.qlCalendarAdvance(Calendar,W649,V650,"f",FALSE)</f>
        <v>43425</v>
      </c>
      <c r="X650" s="91">
        <f>_xll.qlCalendarAdvance(Calendar,W650,NDays&amp;"D")</f>
        <v>43425</v>
      </c>
      <c r="Y650" s="92" t="e">
        <v>#N/A</v>
      </c>
      <c r="Z650" s="94" t="e">
        <v>#N/A</v>
      </c>
    </row>
    <row r="651" spans="22:26" x14ac:dyDescent="0.2">
      <c r="V651" s="123" t="str">
        <f t="shared" si="20"/>
        <v>1w</v>
      </c>
      <c r="W651" s="82">
        <f>_xll.qlCalendarAdvance(Calendar,W650,V651,"f",FALSE)</f>
        <v>43432</v>
      </c>
      <c r="X651" s="91">
        <f>_xll.qlCalendarAdvance(Calendar,W651,NDays&amp;"D")</f>
        <v>43432</v>
      </c>
      <c r="Y651" s="92" t="e">
        <v>#N/A</v>
      </c>
      <c r="Z651" s="94" t="e">
        <v>#N/A</v>
      </c>
    </row>
    <row r="652" spans="22:26" x14ac:dyDescent="0.2">
      <c r="V652" s="123" t="str">
        <f t="shared" si="20"/>
        <v>1w</v>
      </c>
      <c r="W652" s="82">
        <f>_xll.qlCalendarAdvance(Calendar,W651,V652,"f",FALSE)</f>
        <v>43439</v>
      </c>
      <c r="X652" s="91">
        <f>_xll.qlCalendarAdvance(Calendar,W652,NDays&amp;"D")</f>
        <v>43439</v>
      </c>
      <c r="Y652" s="92" t="e">
        <v>#N/A</v>
      </c>
      <c r="Z652" s="94" t="e">
        <v>#N/A</v>
      </c>
    </row>
    <row r="653" spans="22:26" x14ac:dyDescent="0.2">
      <c r="V653" s="123" t="str">
        <f t="shared" si="20"/>
        <v>1w</v>
      </c>
      <c r="W653" s="82">
        <f>_xll.qlCalendarAdvance(Calendar,W652,V653,"f",FALSE)</f>
        <v>43446</v>
      </c>
      <c r="X653" s="91">
        <f>_xll.qlCalendarAdvance(Calendar,W653,NDays&amp;"D")</f>
        <v>43446</v>
      </c>
      <c r="Y653" s="92" t="e">
        <v>#N/A</v>
      </c>
      <c r="Z653" s="94" t="e">
        <v>#N/A</v>
      </c>
    </row>
    <row r="654" spans="22:26" x14ac:dyDescent="0.2">
      <c r="V654" s="123" t="str">
        <f t="shared" si="20"/>
        <v>1w</v>
      </c>
      <c r="W654" s="82">
        <f>_xll.qlCalendarAdvance(Calendar,W653,V654,"f",FALSE)</f>
        <v>43453</v>
      </c>
      <c r="X654" s="91">
        <f>_xll.qlCalendarAdvance(Calendar,W654,NDays&amp;"D")</f>
        <v>43453</v>
      </c>
      <c r="Y654" s="92" t="e">
        <v>#N/A</v>
      </c>
      <c r="Z654" s="94" t="e">
        <v>#N/A</v>
      </c>
    </row>
    <row r="655" spans="22:26" x14ac:dyDescent="0.2">
      <c r="V655" s="123" t="str">
        <f t="shared" si="20"/>
        <v>1w</v>
      </c>
      <c r="W655" s="82">
        <f>_xll.qlCalendarAdvance(Calendar,W654,V655,"f",FALSE)</f>
        <v>43461</v>
      </c>
      <c r="X655" s="91">
        <f>_xll.qlCalendarAdvance(Calendar,W655,NDays&amp;"D")</f>
        <v>43461</v>
      </c>
      <c r="Y655" s="92" t="e">
        <v>#N/A</v>
      </c>
      <c r="Z655" s="94" t="e">
        <v>#N/A</v>
      </c>
    </row>
    <row r="656" spans="22:26" x14ac:dyDescent="0.2">
      <c r="V656" s="123" t="str">
        <f t="shared" si="20"/>
        <v>1w</v>
      </c>
      <c r="W656" s="82">
        <f>_xll.qlCalendarAdvance(Calendar,W655,V656,"f",FALSE)</f>
        <v>43468</v>
      </c>
      <c r="X656" s="91">
        <f>_xll.qlCalendarAdvance(Calendar,W656,NDays&amp;"D")</f>
        <v>43468</v>
      </c>
      <c r="Y656" s="92" t="e">
        <v>#N/A</v>
      </c>
      <c r="Z656" s="94" t="e">
        <v>#N/A</v>
      </c>
    </row>
    <row r="657" spans="22:26" x14ac:dyDescent="0.2">
      <c r="V657" s="123" t="str">
        <f t="shared" si="20"/>
        <v>1w</v>
      </c>
      <c r="W657" s="82">
        <f>_xll.qlCalendarAdvance(Calendar,W656,V657,"f",FALSE)</f>
        <v>43475</v>
      </c>
      <c r="X657" s="91">
        <f>_xll.qlCalendarAdvance(Calendar,W657,NDays&amp;"D")</f>
        <v>43475</v>
      </c>
      <c r="Y657" s="92" t="e">
        <v>#N/A</v>
      </c>
      <c r="Z657" s="94" t="e">
        <v>#N/A</v>
      </c>
    </row>
    <row r="658" spans="22:26" x14ac:dyDescent="0.2">
      <c r="V658" s="123" t="str">
        <f t="shared" si="20"/>
        <v>1w</v>
      </c>
      <c r="W658" s="82">
        <f>_xll.qlCalendarAdvance(Calendar,W657,V658,"f",FALSE)</f>
        <v>43482</v>
      </c>
      <c r="X658" s="91">
        <f>_xll.qlCalendarAdvance(Calendar,W658,NDays&amp;"D")</f>
        <v>43482</v>
      </c>
      <c r="Y658" s="92" t="e">
        <v>#N/A</v>
      </c>
      <c r="Z658" s="94" t="e">
        <v>#N/A</v>
      </c>
    </row>
    <row r="659" spans="22:26" x14ac:dyDescent="0.2">
      <c r="V659" s="123" t="str">
        <f t="shared" si="20"/>
        <v>1w</v>
      </c>
      <c r="W659" s="82">
        <f>_xll.qlCalendarAdvance(Calendar,W658,V659,"f",FALSE)</f>
        <v>43489</v>
      </c>
      <c r="X659" s="91">
        <f>_xll.qlCalendarAdvance(Calendar,W659,NDays&amp;"D")</f>
        <v>43489</v>
      </c>
      <c r="Y659" s="92" t="e">
        <v>#N/A</v>
      </c>
      <c r="Z659" s="94" t="e">
        <v>#N/A</v>
      </c>
    </row>
    <row r="660" spans="22:26" x14ac:dyDescent="0.2">
      <c r="V660" s="123" t="str">
        <f t="shared" si="20"/>
        <v>1w</v>
      </c>
      <c r="W660" s="82">
        <f>_xll.qlCalendarAdvance(Calendar,W659,V660,"f",FALSE)</f>
        <v>43496</v>
      </c>
      <c r="X660" s="91">
        <f>_xll.qlCalendarAdvance(Calendar,W660,NDays&amp;"D")</f>
        <v>43496</v>
      </c>
      <c r="Y660" s="92" t="e">
        <v>#N/A</v>
      </c>
      <c r="Z660" s="94" t="e">
        <v>#N/A</v>
      </c>
    </row>
    <row r="661" spans="22:26" x14ac:dyDescent="0.2">
      <c r="V661" s="123" t="str">
        <f t="shared" ref="V661:V724" si="21">V660</f>
        <v>1w</v>
      </c>
      <c r="W661" s="82">
        <f>_xll.qlCalendarAdvance(Calendar,W660,V661,"f",FALSE)</f>
        <v>43503</v>
      </c>
      <c r="X661" s="91">
        <f>_xll.qlCalendarAdvance(Calendar,W661,NDays&amp;"D")</f>
        <v>43503</v>
      </c>
      <c r="Y661" s="92" t="e">
        <v>#N/A</v>
      </c>
      <c r="Z661" s="94" t="e">
        <v>#N/A</v>
      </c>
    </row>
    <row r="662" spans="22:26" x14ac:dyDescent="0.2">
      <c r="V662" s="123" t="str">
        <f t="shared" si="21"/>
        <v>1w</v>
      </c>
      <c r="W662" s="82">
        <f>_xll.qlCalendarAdvance(Calendar,W661,V662,"f",FALSE)</f>
        <v>43510</v>
      </c>
      <c r="X662" s="91">
        <f>_xll.qlCalendarAdvance(Calendar,W662,NDays&amp;"D")</f>
        <v>43510</v>
      </c>
      <c r="Y662" s="92" t="e">
        <v>#N/A</v>
      </c>
      <c r="Z662" s="94" t="e">
        <v>#N/A</v>
      </c>
    </row>
    <row r="663" spans="22:26" x14ac:dyDescent="0.2">
      <c r="V663" s="123" t="str">
        <f t="shared" si="21"/>
        <v>1w</v>
      </c>
      <c r="W663" s="82">
        <f>_xll.qlCalendarAdvance(Calendar,W662,V663,"f",FALSE)</f>
        <v>43517</v>
      </c>
      <c r="X663" s="91">
        <f>_xll.qlCalendarAdvance(Calendar,W663,NDays&amp;"D")</f>
        <v>43517</v>
      </c>
      <c r="Y663" s="92" t="e">
        <v>#N/A</v>
      </c>
      <c r="Z663" s="94" t="e">
        <v>#N/A</v>
      </c>
    </row>
    <row r="664" spans="22:26" x14ac:dyDescent="0.2">
      <c r="V664" s="123" t="str">
        <f t="shared" si="21"/>
        <v>1w</v>
      </c>
      <c r="W664" s="82">
        <f>_xll.qlCalendarAdvance(Calendar,W663,V664,"f",FALSE)</f>
        <v>43524</v>
      </c>
      <c r="X664" s="91">
        <f>_xll.qlCalendarAdvance(Calendar,W664,NDays&amp;"D")</f>
        <v>43524</v>
      </c>
      <c r="Y664" s="92" t="e">
        <v>#N/A</v>
      </c>
      <c r="Z664" s="94" t="e">
        <v>#N/A</v>
      </c>
    </row>
    <row r="665" spans="22:26" x14ac:dyDescent="0.2">
      <c r="V665" s="123" t="str">
        <f t="shared" si="21"/>
        <v>1w</v>
      </c>
      <c r="W665" s="82">
        <f>_xll.qlCalendarAdvance(Calendar,W664,V665,"f",FALSE)</f>
        <v>43531</v>
      </c>
      <c r="X665" s="91">
        <f>_xll.qlCalendarAdvance(Calendar,W665,NDays&amp;"D")</f>
        <v>43531</v>
      </c>
      <c r="Y665" s="92" t="e">
        <v>#N/A</v>
      </c>
      <c r="Z665" s="94" t="e">
        <v>#N/A</v>
      </c>
    </row>
    <row r="666" spans="22:26" x14ac:dyDescent="0.2">
      <c r="V666" s="123" t="str">
        <f t="shared" si="21"/>
        <v>1w</v>
      </c>
      <c r="W666" s="82">
        <f>_xll.qlCalendarAdvance(Calendar,W665,V666,"f",FALSE)</f>
        <v>43538</v>
      </c>
      <c r="X666" s="91">
        <f>_xll.qlCalendarAdvance(Calendar,W666,NDays&amp;"D")</f>
        <v>43538</v>
      </c>
      <c r="Y666" s="92" t="e">
        <v>#N/A</v>
      </c>
      <c r="Z666" s="94" t="e">
        <v>#N/A</v>
      </c>
    </row>
    <row r="667" spans="22:26" x14ac:dyDescent="0.2">
      <c r="V667" s="123" t="str">
        <f t="shared" si="21"/>
        <v>1w</v>
      </c>
      <c r="W667" s="82">
        <f>_xll.qlCalendarAdvance(Calendar,W666,V667,"f",FALSE)</f>
        <v>43545</v>
      </c>
      <c r="X667" s="91">
        <f>_xll.qlCalendarAdvance(Calendar,W667,NDays&amp;"D")</f>
        <v>43545</v>
      </c>
      <c r="Y667" s="92" t="e">
        <v>#N/A</v>
      </c>
      <c r="Z667" s="94" t="e">
        <v>#N/A</v>
      </c>
    </row>
    <row r="668" spans="22:26" x14ac:dyDescent="0.2">
      <c r="V668" s="123" t="str">
        <f t="shared" si="21"/>
        <v>1w</v>
      </c>
      <c r="W668" s="82">
        <f>_xll.qlCalendarAdvance(Calendar,W667,V668,"f",FALSE)</f>
        <v>43552</v>
      </c>
      <c r="X668" s="91">
        <f>_xll.qlCalendarAdvance(Calendar,W668,NDays&amp;"D")</f>
        <v>43552</v>
      </c>
      <c r="Y668" s="92" t="e">
        <v>#N/A</v>
      </c>
      <c r="Z668" s="94" t="e">
        <v>#N/A</v>
      </c>
    </row>
    <row r="669" spans="22:26" x14ac:dyDescent="0.2">
      <c r="V669" s="123" t="str">
        <f t="shared" si="21"/>
        <v>1w</v>
      </c>
      <c r="W669" s="82">
        <f>_xll.qlCalendarAdvance(Calendar,W668,V669,"f",FALSE)</f>
        <v>43559</v>
      </c>
      <c r="X669" s="91">
        <f>_xll.qlCalendarAdvance(Calendar,W669,NDays&amp;"D")</f>
        <v>43559</v>
      </c>
      <c r="Y669" s="92" t="e">
        <v>#N/A</v>
      </c>
      <c r="Z669" s="94" t="e">
        <v>#N/A</v>
      </c>
    </row>
    <row r="670" spans="22:26" x14ac:dyDescent="0.2">
      <c r="V670" s="123" t="str">
        <f t="shared" si="21"/>
        <v>1w</v>
      </c>
      <c r="W670" s="82">
        <f>_xll.qlCalendarAdvance(Calendar,W669,V670,"f",FALSE)</f>
        <v>43566</v>
      </c>
      <c r="X670" s="91">
        <f>_xll.qlCalendarAdvance(Calendar,W670,NDays&amp;"D")</f>
        <v>43566</v>
      </c>
      <c r="Y670" s="92" t="e">
        <v>#N/A</v>
      </c>
      <c r="Z670" s="94" t="e">
        <v>#N/A</v>
      </c>
    </row>
    <row r="671" spans="22:26" x14ac:dyDescent="0.2">
      <c r="V671" s="123" t="str">
        <f t="shared" si="21"/>
        <v>1w</v>
      </c>
      <c r="W671" s="82">
        <f>_xll.qlCalendarAdvance(Calendar,W670,V671,"f",FALSE)</f>
        <v>43573</v>
      </c>
      <c r="X671" s="91">
        <f>_xll.qlCalendarAdvance(Calendar,W671,NDays&amp;"D")</f>
        <v>43573</v>
      </c>
      <c r="Y671" s="92" t="e">
        <v>#N/A</v>
      </c>
      <c r="Z671" s="94" t="e">
        <v>#N/A</v>
      </c>
    </row>
    <row r="672" spans="22:26" x14ac:dyDescent="0.2">
      <c r="V672" s="123" t="str">
        <f t="shared" si="21"/>
        <v>1w</v>
      </c>
      <c r="W672" s="82">
        <f>_xll.qlCalendarAdvance(Calendar,W671,V672,"f",FALSE)</f>
        <v>43580</v>
      </c>
      <c r="X672" s="91">
        <f>_xll.qlCalendarAdvance(Calendar,W672,NDays&amp;"D")</f>
        <v>43580</v>
      </c>
      <c r="Y672" s="92" t="e">
        <v>#N/A</v>
      </c>
      <c r="Z672" s="94" t="e">
        <v>#N/A</v>
      </c>
    </row>
    <row r="673" spans="22:26" x14ac:dyDescent="0.2">
      <c r="V673" s="123" t="str">
        <f t="shared" si="21"/>
        <v>1w</v>
      </c>
      <c r="W673" s="82">
        <f>_xll.qlCalendarAdvance(Calendar,W672,V673,"f",FALSE)</f>
        <v>43587</v>
      </c>
      <c r="X673" s="91">
        <f>_xll.qlCalendarAdvance(Calendar,W673,NDays&amp;"D")</f>
        <v>43587</v>
      </c>
      <c r="Y673" s="92" t="e">
        <v>#N/A</v>
      </c>
      <c r="Z673" s="94" t="e">
        <v>#N/A</v>
      </c>
    </row>
    <row r="674" spans="22:26" x14ac:dyDescent="0.2">
      <c r="V674" s="123" t="str">
        <f t="shared" si="21"/>
        <v>1w</v>
      </c>
      <c r="W674" s="82">
        <f>_xll.qlCalendarAdvance(Calendar,W673,V674,"f",FALSE)</f>
        <v>43594</v>
      </c>
      <c r="X674" s="91">
        <f>_xll.qlCalendarAdvance(Calendar,W674,NDays&amp;"D")</f>
        <v>43594</v>
      </c>
      <c r="Y674" s="92" t="e">
        <v>#N/A</v>
      </c>
      <c r="Z674" s="94" t="e">
        <v>#N/A</v>
      </c>
    </row>
    <row r="675" spans="22:26" x14ac:dyDescent="0.2">
      <c r="V675" s="123" t="str">
        <f t="shared" si="21"/>
        <v>1w</v>
      </c>
      <c r="W675" s="82">
        <f>_xll.qlCalendarAdvance(Calendar,W674,V675,"f",FALSE)</f>
        <v>43601</v>
      </c>
      <c r="X675" s="91">
        <f>_xll.qlCalendarAdvance(Calendar,W675,NDays&amp;"D")</f>
        <v>43601</v>
      </c>
      <c r="Y675" s="92" t="e">
        <v>#N/A</v>
      </c>
      <c r="Z675" s="94" t="e">
        <v>#N/A</v>
      </c>
    </row>
    <row r="676" spans="22:26" x14ac:dyDescent="0.2">
      <c r="V676" s="123" t="str">
        <f t="shared" si="21"/>
        <v>1w</v>
      </c>
      <c r="W676" s="82">
        <f>_xll.qlCalendarAdvance(Calendar,W675,V676,"f",FALSE)</f>
        <v>43608</v>
      </c>
      <c r="X676" s="91">
        <f>_xll.qlCalendarAdvance(Calendar,W676,NDays&amp;"D")</f>
        <v>43608</v>
      </c>
      <c r="Y676" s="92" t="e">
        <v>#N/A</v>
      </c>
      <c r="Z676" s="94" t="e">
        <v>#N/A</v>
      </c>
    </row>
    <row r="677" spans="22:26" x14ac:dyDescent="0.2">
      <c r="V677" s="123" t="str">
        <f t="shared" si="21"/>
        <v>1w</v>
      </c>
      <c r="W677" s="82">
        <f>_xll.qlCalendarAdvance(Calendar,W676,V677,"f",FALSE)</f>
        <v>43615</v>
      </c>
      <c r="X677" s="91">
        <f>_xll.qlCalendarAdvance(Calendar,W677,NDays&amp;"D")</f>
        <v>43615</v>
      </c>
      <c r="Y677" s="92" t="e">
        <v>#N/A</v>
      </c>
      <c r="Z677" s="94" t="e">
        <v>#N/A</v>
      </c>
    </row>
    <row r="678" spans="22:26" x14ac:dyDescent="0.2">
      <c r="V678" s="123" t="str">
        <f t="shared" si="21"/>
        <v>1w</v>
      </c>
      <c r="W678" s="82">
        <f>_xll.qlCalendarAdvance(Calendar,W677,V678,"f",FALSE)</f>
        <v>43622</v>
      </c>
      <c r="X678" s="91">
        <f>_xll.qlCalendarAdvance(Calendar,W678,NDays&amp;"D")</f>
        <v>43622</v>
      </c>
      <c r="Y678" s="92" t="e">
        <v>#N/A</v>
      </c>
      <c r="Z678" s="94" t="e">
        <v>#N/A</v>
      </c>
    </row>
    <row r="679" spans="22:26" x14ac:dyDescent="0.2">
      <c r="V679" s="123" t="str">
        <f t="shared" si="21"/>
        <v>1w</v>
      </c>
      <c r="W679" s="82">
        <f>_xll.qlCalendarAdvance(Calendar,W678,V679,"f",FALSE)</f>
        <v>43629</v>
      </c>
      <c r="X679" s="91">
        <f>_xll.qlCalendarAdvance(Calendar,W679,NDays&amp;"D")</f>
        <v>43629</v>
      </c>
      <c r="Y679" s="92" t="e">
        <v>#N/A</v>
      </c>
      <c r="Z679" s="94" t="e">
        <v>#N/A</v>
      </c>
    </row>
    <row r="680" spans="22:26" x14ac:dyDescent="0.2">
      <c r="V680" s="123" t="str">
        <f t="shared" si="21"/>
        <v>1w</v>
      </c>
      <c r="W680" s="82">
        <f>_xll.qlCalendarAdvance(Calendar,W679,V680,"f",FALSE)</f>
        <v>43636</v>
      </c>
      <c r="X680" s="91">
        <f>_xll.qlCalendarAdvance(Calendar,W680,NDays&amp;"D")</f>
        <v>43636</v>
      </c>
      <c r="Y680" s="92" t="e">
        <v>#N/A</v>
      </c>
      <c r="Z680" s="94" t="e">
        <v>#N/A</v>
      </c>
    </row>
    <row r="681" spans="22:26" x14ac:dyDescent="0.2">
      <c r="V681" s="123" t="str">
        <f t="shared" si="21"/>
        <v>1w</v>
      </c>
      <c r="W681" s="82">
        <f>_xll.qlCalendarAdvance(Calendar,W680,V681,"f",FALSE)</f>
        <v>43643</v>
      </c>
      <c r="X681" s="91">
        <f>_xll.qlCalendarAdvance(Calendar,W681,NDays&amp;"D")</f>
        <v>43643</v>
      </c>
      <c r="Y681" s="92" t="e">
        <v>#N/A</v>
      </c>
      <c r="Z681" s="94" t="e">
        <v>#N/A</v>
      </c>
    </row>
    <row r="682" spans="22:26" x14ac:dyDescent="0.2">
      <c r="V682" s="123" t="str">
        <f t="shared" si="21"/>
        <v>1w</v>
      </c>
      <c r="W682" s="82">
        <f>_xll.qlCalendarAdvance(Calendar,W681,V682,"f",FALSE)</f>
        <v>43650</v>
      </c>
      <c r="X682" s="91">
        <f>_xll.qlCalendarAdvance(Calendar,W682,NDays&amp;"D")</f>
        <v>43650</v>
      </c>
      <c r="Y682" s="92" t="e">
        <v>#N/A</v>
      </c>
      <c r="Z682" s="94" t="e">
        <v>#N/A</v>
      </c>
    </row>
    <row r="683" spans="22:26" x14ac:dyDescent="0.2">
      <c r="V683" s="123" t="str">
        <f t="shared" si="21"/>
        <v>1w</v>
      </c>
      <c r="W683" s="82">
        <f>_xll.qlCalendarAdvance(Calendar,W682,V683,"f",FALSE)</f>
        <v>43657</v>
      </c>
      <c r="X683" s="91">
        <f>_xll.qlCalendarAdvance(Calendar,W683,NDays&amp;"D")</f>
        <v>43657</v>
      </c>
      <c r="Y683" s="92" t="e">
        <v>#N/A</v>
      </c>
      <c r="Z683" s="94" t="e">
        <v>#N/A</v>
      </c>
    </row>
    <row r="684" spans="22:26" x14ac:dyDescent="0.2">
      <c r="V684" s="123" t="str">
        <f t="shared" si="21"/>
        <v>1w</v>
      </c>
      <c r="W684" s="82">
        <f>_xll.qlCalendarAdvance(Calendar,W683,V684,"f",FALSE)</f>
        <v>43664</v>
      </c>
      <c r="X684" s="91">
        <f>_xll.qlCalendarAdvance(Calendar,W684,NDays&amp;"D")</f>
        <v>43664</v>
      </c>
      <c r="Y684" s="92" t="e">
        <v>#N/A</v>
      </c>
      <c r="Z684" s="94" t="e">
        <v>#N/A</v>
      </c>
    </row>
    <row r="685" spans="22:26" x14ac:dyDescent="0.2">
      <c r="V685" s="123" t="str">
        <f t="shared" si="21"/>
        <v>1w</v>
      </c>
      <c r="W685" s="82">
        <f>_xll.qlCalendarAdvance(Calendar,W684,V685,"f",FALSE)</f>
        <v>43671</v>
      </c>
      <c r="X685" s="91">
        <f>_xll.qlCalendarAdvance(Calendar,W685,NDays&amp;"D")</f>
        <v>43671</v>
      </c>
      <c r="Y685" s="92" t="e">
        <v>#N/A</v>
      </c>
      <c r="Z685" s="94" t="e">
        <v>#N/A</v>
      </c>
    </row>
    <row r="686" spans="22:26" x14ac:dyDescent="0.2">
      <c r="V686" s="123" t="str">
        <f t="shared" si="21"/>
        <v>1w</v>
      </c>
      <c r="W686" s="82">
        <f>_xll.qlCalendarAdvance(Calendar,W685,V686,"f",FALSE)</f>
        <v>43678</v>
      </c>
      <c r="X686" s="91">
        <f>_xll.qlCalendarAdvance(Calendar,W686,NDays&amp;"D")</f>
        <v>43678</v>
      </c>
      <c r="Y686" s="92" t="e">
        <v>#N/A</v>
      </c>
      <c r="Z686" s="94" t="e">
        <v>#N/A</v>
      </c>
    </row>
    <row r="687" spans="22:26" x14ac:dyDescent="0.2">
      <c r="V687" s="123" t="str">
        <f t="shared" si="21"/>
        <v>1w</v>
      </c>
      <c r="W687" s="82">
        <f>_xll.qlCalendarAdvance(Calendar,W686,V687,"f",FALSE)</f>
        <v>43685</v>
      </c>
      <c r="X687" s="91">
        <f>_xll.qlCalendarAdvance(Calendar,W687,NDays&amp;"D")</f>
        <v>43685</v>
      </c>
      <c r="Y687" s="92" t="e">
        <v>#N/A</v>
      </c>
      <c r="Z687" s="94" t="e">
        <v>#N/A</v>
      </c>
    </row>
    <row r="688" spans="22:26" x14ac:dyDescent="0.2">
      <c r="V688" s="123" t="str">
        <f t="shared" si="21"/>
        <v>1w</v>
      </c>
      <c r="W688" s="82">
        <f>_xll.qlCalendarAdvance(Calendar,W687,V688,"f",FALSE)</f>
        <v>43692</v>
      </c>
      <c r="X688" s="91">
        <f>_xll.qlCalendarAdvance(Calendar,W688,NDays&amp;"D")</f>
        <v>43692</v>
      </c>
      <c r="Y688" s="92" t="e">
        <v>#N/A</v>
      </c>
      <c r="Z688" s="94" t="e">
        <v>#N/A</v>
      </c>
    </row>
    <row r="689" spans="22:26" x14ac:dyDescent="0.2">
      <c r="V689" s="123" t="str">
        <f t="shared" si="21"/>
        <v>1w</v>
      </c>
      <c r="W689" s="82">
        <f>_xll.qlCalendarAdvance(Calendar,W688,V689,"f",FALSE)</f>
        <v>43699</v>
      </c>
      <c r="X689" s="91">
        <f>_xll.qlCalendarAdvance(Calendar,W689,NDays&amp;"D")</f>
        <v>43699</v>
      </c>
      <c r="Y689" s="92" t="e">
        <v>#N/A</v>
      </c>
      <c r="Z689" s="94" t="e">
        <v>#N/A</v>
      </c>
    </row>
    <row r="690" spans="22:26" x14ac:dyDescent="0.2">
      <c r="V690" s="123" t="str">
        <f t="shared" si="21"/>
        <v>1w</v>
      </c>
      <c r="W690" s="82">
        <f>_xll.qlCalendarAdvance(Calendar,W689,V690,"f",FALSE)</f>
        <v>43706</v>
      </c>
      <c r="X690" s="91">
        <f>_xll.qlCalendarAdvance(Calendar,W690,NDays&amp;"D")</f>
        <v>43706</v>
      </c>
      <c r="Y690" s="92" t="e">
        <v>#N/A</v>
      </c>
      <c r="Z690" s="94" t="e">
        <v>#N/A</v>
      </c>
    </row>
    <row r="691" spans="22:26" x14ac:dyDescent="0.2">
      <c r="V691" s="123" t="str">
        <f t="shared" si="21"/>
        <v>1w</v>
      </c>
      <c r="W691" s="82">
        <f>_xll.qlCalendarAdvance(Calendar,W690,V691,"f",FALSE)</f>
        <v>43713</v>
      </c>
      <c r="X691" s="91">
        <f>_xll.qlCalendarAdvance(Calendar,W691,NDays&amp;"D")</f>
        <v>43713</v>
      </c>
      <c r="Y691" s="92" t="e">
        <v>#N/A</v>
      </c>
      <c r="Z691" s="94" t="e">
        <v>#N/A</v>
      </c>
    </row>
    <row r="692" spans="22:26" x14ac:dyDescent="0.2">
      <c r="V692" s="123" t="str">
        <f t="shared" si="21"/>
        <v>1w</v>
      </c>
      <c r="W692" s="82">
        <f>_xll.qlCalendarAdvance(Calendar,W691,V692,"f",FALSE)</f>
        <v>43720</v>
      </c>
      <c r="X692" s="91">
        <f>_xll.qlCalendarAdvance(Calendar,W692,NDays&amp;"D")</f>
        <v>43720</v>
      </c>
      <c r="Y692" s="92" t="e">
        <v>#N/A</v>
      </c>
      <c r="Z692" s="94" t="e">
        <v>#N/A</v>
      </c>
    </row>
    <row r="693" spans="22:26" x14ac:dyDescent="0.2">
      <c r="V693" s="123" t="str">
        <f t="shared" si="21"/>
        <v>1w</v>
      </c>
      <c r="W693" s="82">
        <f>_xll.qlCalendarAdvance(Calendar,W692,V693,"f",FALSE)</f>
        <v>43727</v>
      </c>
      <c r="X693" s="91">
        <f>_xll.qlCalendarAdvance(Calendar,W693,NDays&amp;"D")</f>
        <v>43727</v>
      </c>
      <c r="Y693" s="92" t="e">
        <v>#N/A</v>
      </c>
      <c r="Z693" s="94" t="e">
        <v>#N/A</v>
      </c>
    </row>
    <row r="694" spans="22:26" x14ac:dyDescent="0.2">
      <c r="V694" s="123" t="str">
        <f t="shared" si="21"/>
        <v>1w</v>
      </c>
      <c r="W694" s="82">
        <f>_xll.qlCalendarAdvance(Calendar,W693,V694,"f",FALSE)</f>
        <v>43734</v>
      </c>
      <c r="X694" s="91">
        <f>_xll.qlCalendarAdvance(Calendar,W694,NDays&amp;"D")</f>
        <v>43734</v>
      </c>
      <c r="Y694" s="92" t="e">
        <v>#N/A</v>
      </c>
      <c r="Z694" s="94" t="e">
        <v>#N/A</v>
      </c>
    </row>
    <row r="695" spans="22:26" x14ac:dyDescent="0.2">
      <c r="V695" s="123" t="str">
        <f t="shared" si="21"/>
        <v>1w</v>
      </c>
      <c r="W695" s="82">
        <f>_xll.qlCalendarAdvance(Calendar,W694,V695,"f",FALSE)</f>
        <v>43741</v>
      </c>
      <c r="X695" s="91">
        <f>_xll.qlCalendarAdvance(Calendar,W695,NDays&amp;"D")</f>
        <v>43741</v>
      </c>
      <c r="Y695" s="92" t="e">
        <v>#N/A</v>
      </c>
      <c r="Z695" s="94" t="e">
        <v>#N/A</v>
      </c>
    </row>
    <row r="696" spans="22:26" x14ac:dyDescent="0.2">
      <c r="V696" s="123" t="str">
        <f t="shared" si="21"/>
        <v>1w</v>
      </c>
      <c r="W696" s="82">
        <f>_xll.qlCalendarAdvance(Calendar,W695,V696,"f",FALSE)</f>
        <v>43748</v>
      </c>
      <c r="X696" s="91">
        <f>_xll.qlCalendarAdvance(Calendar,W696,NDays&amp;"D")</f>
        <v>43748</v>
      </c>
      <c r="Y696" s="92" t="e">
        <v>#N/A</v>
      </c>
      <c r="Z696" s="94" t="e">
        <v>#N/A</v>
      </c>
    </row>
    <row r="697" spans="22:26" x14ac:dyDescent="0.2">
      <c r="V697" s="123" t="str">
        <f t="shared" si="21"/>
        <v>1w</v>
      </c>
      <c r="W697" s="82">
        <f>_xll.qlCalendarAdvance(Calendar,W696,V697,"f",FALSE)</f>
        <v>43755</v>
      </c>
      <c r="X697" s="91">
        <f>_xll.qlCalendarAdvance(Calendar,W697,NDays&amp;"D")</f>
        <v>43755</v>
      </c>
      <c r="Y697" s="92" t="e">
        <v>#N/A</v>
      </c>
      <c r="Z697" s="94" t="e">
        <v>#N/A</v>
      </c>
    </row>
    <row r="698" spans="22:26" x14ac:dyDescent="0.2">
      <c r="V698" s="123" t="str">
        <f t="shared" si="21"/>
        <v>1w</v>
      </c>
      <c r="W698" s="82">
        <f>_xll.qlCalendarAdvance(Calendar,W697,V698,"f",FALSE)</f>
        <v>43762</v>
      </c>
      <c r="X698" s="91">
        <f>_xll.qlCalendarAdvance(Calendar,W698,NDays&amp;"D")</f>
        <v>43762</v>
      </c>
      <c r="Y698" s="92" t="e">
        <v>#N/A</v>
      </c>
      <c r="Z698" s="94" t="e">
        <v>#N/A</v>
      </c>
    </row>
    <row r="699" spans="22:26" x14ac:dyDescent="0.2">
      <c r="V699" s="123" t="str">
        <f t="shared" si="21"/>
        <v>1w</v>
      </c>
      <c r="W699" s="82">
        <f>_xll.qlCalendarAdvance(Calendar,W698,V699,"f",FALSE)</f>
        <v>43769</v>
      </c>
      <c r="X699" s="91">
        <f>_xll.qlCalendarAdvance(Calendar,W699,NDays&amp;"D")</f>
        <v>43769</v>
      </c>
      <c r="Y699" s="92" t="e">
        <v>#N/A</v>
      </c>
      <c r="Z699" s="94" t="e">
        <v>#N/A</v>
      </c>
    </row>
    <row r="700" spans="22:26" x14ac:dyDescent="0.2">
      <c r="V700" s="123" t="str">
        <f t="shared" si="21"/>
        <v>1w</v>
      </c>
      <c r="W700" s="82">
        <f>_xll.qlCalendarAdvance(Calendar,W699,V700,"f",FALSE)</f>
        <v>43776</v>
      </c>
      <c r="X700" s="91">
        <f>_xll.qlCalendarAdvance(Calendar,W700,NDays&amp;"D")</f>
        <v>43776</v>
      </c>
      <c r="Y700" s="92" t="e">
        <v>#N/A</v>
      </c>
      <c r="Z700" s="94" t="e">
        <v>#N/A</v>
      </c>
    </row>
    <row r="701" spans="22:26" x14ac:dyDescent="0.2">
      <c r="V701" s="123" t="str">
        <f t="shared" si="21"/>
        <v>1w</v>
      </c>
      <c r="W701" s="82">
        <f>_xll.qlCalendarAdvance(Calendar,W700,V701,"f",FALSE)</f>
        <v>43783</v>
      </c>
      <c r="X701" s="91">
        <f>_xll.qlCalendarAdvance(Calendar,W701,NDays&amp;"D")</f>
        <v>43783</v>
      </c>
      <c r="Y701" s="92" t="e">
        <v>#N/A</v>
      </c>
      <c r="Z701" s="94" t="e">
        <v>#N/A</v>
      </c>
    </row>
    <row r="702" spans="22:26" x14ac:dyDescent="0.2">
      <c r="V702" s="123" t="str">
        <f t="shared" si="21"/>
        <v>1w</v>
      </c>
      <c r="W702" s="82">
        <f>_xll.qlCalendarAdvance(Calendar,W701,V702,"f",FALSE)</f>
        <v>43790</v>
      </c>
      <c r="X702" s="91">
        <f>_xll.qlCalendarAdvance(Calendar,W702,NDays&amp;"D")</f>
        <v>43790</v>
      </c>
      <c r="Y702" s="92" t="e">
        <v>#N/A</v>
      </c>
      <c r="Z702" s="94" t="e">
        <v>#N/A</v>
      </c>
    </row>
    <row r="703" spans="22:26" x14ac:dyDescent="0.2">
      <c r="V703" s="123" t="str">
        <f t="shared" si="21"/>
        <v>1w</v>
      </c>
      <c r="W703" s="82">
        <f>_xll.qlCalendarAdvance(Calendar,W702,V703,"f",FALSE)</f>
        <v>43797</v>
      </c>
      <c r="X703" s="91">
        <f>_xll.qlCalendarAdvance(Calendar,W703,NDays&amp;"D")</f>
        <v>43797</v>
      </c>
      <c r="Y703" s="92" t="e">
        <v>#N/A</v>
      </c>
      <c r="Z703" s="94" t="e">
        <v>#N/A</v>
      </c>
    </row>
    <row r="704" spans="22:26" x14ac:dyDescent="0.2">
      <c r="V704" s="123" t="str">
        <f t="shared" si="21"/>
        <v>1w</v>
      </c>
      <c r="W704" s="82">
        <f>_xll.qlCalendarAdvance(Calendar,W703,V704,"f",FALSE)</f>
        <v>43804</v>
      </c>
      <c r="X704" s="91">
        <f>_xll.qlCalendarAdvance(Calendar,W704,NDays&amp;"D")</f>
        <v>43804</v>
      </c>
      <c r="Y704" s="92" t="e">
        <v>#N/A</v>
      </c>
      <c r="Z704" s="94" t="e">
        <v>#N/A</v>
      </c>
    </row>
    <row r="705" spans="22:26" x14ac:dyDescent="0.2">
      <c r="V705" s="123" t="str">
        <f t="shared" si="21"/>
        <v>1w</v>
      </c>
      <c r="W705" s="82">
        <f>_xll.qlCalendarAdvance(Calendar,W704,V705,"f",FALSE)</f>
        <v>43811</v>
      </c>
      <c r="X705" s="91">
        <f>_xll.qlCalendarAdvance(Calendar,W705,NDays&amp;"D")</f>
        <v>43811</v>
      </c>
      <c r="Y705" s="92" t="e">
        <v>#N/A</v>
      </c>
      <c r="Z705" s="94" t="e">
        <v>#N/A</v>
      </c>
    </row>
    <row r="706" spans="22:26" x14ac:dyDescent="0.2">
      <c r="V706" s="123" t="str">
        <f t="shared" si="21"/>
        <v>1w</v>
      </c>
      <c r="W706" s="82">
        <f>_xll.qlCalendarAdvance(Calendar,W705,V706,"f",FALSE)</f>
        <v>43818</v>
      </c>
      <c r="X706" s="91">
        <f>_xll.qlCalendarAdvance(Calendar,W706,NDays&amp;"D")</f>
        <v>43818</v>
      </c>
      <c r="Y706" s="92" t="e">
        <v>#N/A</v>
      </c>
      <c r="Z706" s="94" t="e">
        <v>#N/A</v>
      </c>
    </row>
    <row r="707" spans="22:26" x14ac:dyDescent="0.2">
      <c r="V707" s="123" t="str">
        <f t="shared" si="21"/>
        <v>1w</v>
      </c>
      <c r="W707" s="82">
        <f>_xll.qlCalendarAdvance(Calendar,W706,V707,"f",FALSE)</f>
        <v>43826</v>
      </c>
      <c r="X707" s="91">
        <f>_xll.qlCalendarAdvance(Calendar,W707,NDays&amp;"D")</f>
        <v>43826</v>
      </c>
      <c r="Y707" s="92" t="e">
        <v>#N/A</v>
      </c>
      <c r="Z707" s="94" t="e">
        <v>#N/A</v>
      </c>
    </row>
    <row r="708" spans="22:26" x14ac:dyDescent="0.2">
      <c r="V708" s="123" t="str">
        <f t="shared" si="21"/>
        <v>1w</v>
      </c>
      <c r="W708" s="82">
        <f>_xll.qlCalendarAdvance(Calendar,W707,V708,"f",FALSE)</f>
        <v>43833</v>
      </c>
      <c r="X708" s="91">
        <f>_xll.qlCalendarAdvance(Calendar,W708,NDays&amp;"D")</f>
        <v>43833</v>
      </c>
      <c r="Y708" s="92" t="e">
        <v>#N/A</v>
      </c>
      <c r="Z708" s="94" t="e">
        <v>#N/A</v>
      </c>
    </row>
    <row r="709" spans="22:26" x14ac:dyDescent="0.2">
      <c r="V709" s="123" t="str">
        <f t="shared" si="21"/>
        <v>1w</v>
      </c>
      <c r="W709" s="82">
        <f>_xll.qlCalendarAdvance(Calendar,W708,V709,"f",FALSE)</f>
        <v>43840</v>
      </c>
      <c r="X709" s="91">
        <f>_xll.qlCalendarAdvance(Calendar,W709,NDays&amp;"D")</f>
        <v>43840</v>
      </c>
      <c r="Y709" s="92" t="e">
        <v>#N/A</v>
      </c>
      <c r="Z709" s="94" t="e">
        <v>#N/A</v>
      </c>
    </row>
    <row r="710" spans="22:26" x14ac:dyDescent="0.2">
      <c r="V710" s="123" t="str">
        <f t="shared" si="21"/>
        <v>1w</v>
      </c>
      <c r="W710" s="82">
        <f>_xll.qlCalendarAdvance(Calendar,W709,V710,"f",FALSE)</f>
        <v>43847</v>
      </c>
      <c r="X710" s="91">
        <f>_xll.qlCalendarAdvance(Calendar,W710,NDays&amp;"D")</f>
        <v>43847</v>
      </c>
      <c r="Y710" s="92" t="e">
        <v>#N/A</v>
      </c>
      <c r="Z710" s="94" t="e">
        <v>#N/A</v>
      </c>
    </row>
    <row r="711" spans="22:26" x14ac:dyDescent="0.2">
      <c r="V711" s="123" t="str">
        <f t="shared" si="21"/>
        <v>1w</v>
      </c>
      <c r="W711" s="82">
        <f>_xll.qlCalendarAdvance(Calendar,W710,V711,"f",FALSE)</f>
        <v>43854</v>
      </c>
      <c r="X711" s="91">
        <f>_xll.qlCalendarAdvance(Calendar,W711,NDays&amp;"D")</f>
        <v>43854</v>
      </c>
      <c r="Y711" s="92" t="e">
        <v>#N/A</v>
      </c>
      <c r="Z711" s="94" t="e">
        <v>#N/A</v>
      </c>
    </row>
    <row r="712" spans="22:26" x14ac:dyDescent="0.2">
      <c r="V712" s="123" t="str">
        <f t="shared" si="21"/>
        <v>1w</v>
      </c>
      <c r="W712" s="82">
        <f>_xll.qlCalendarAdvance(Calendar,W711,V712,"f",FALSE)</f>
        <v>43861</v>
      </c>
      <c r="X712" s="91">
        <f>_xll.qlCalendarAdvance(Calendar,W712,NDays&amp;"D")</f>
        <v>43861</v>
      </c>
      <c r="Y712" s="92" t="e">
        <v>#N/A</v>
      </c>
      <c r="Z712" s="94" t="e">
        <v>#N/A</v>
      </c>
    </row>
    <row r="713" spans="22:26" x14ac:dyDescent="0.2">
      <c r="V713" s="123" t="str">
        <f t="shared" si="21"/>
        <v>1w</v>
      </c>
      <c r="W713" s="82">
        <f>_xll.qlCalendarAdvance(Calendar,W712,V713,"f",FALSE)</f>
        <v>43868</v>
      </c>
      <c r="X713" s="91">
        <f>_xll.qlCalendarAdvance(Calendar,W713,NDays&amp;"D")</f>
        <v>43868</v>
      </c>
      <c r="Y713" s="92" t="e">
        <v>#N/A</v>
      </c>
      <c r="Z713" s="94" t="e">
        <v>#N/A</v>
      </c>
    </row>
    <row r="714" spans="22:26" x14ac:dyDescent="0.2">
      <c r="V714" s="123" t="str">
        <f t="shared" si="21"/>
        <v>1w</v>
      </c>
      <c r="W714" s="82">
        <f>_xll.qlCalendarAdvance(Calendar,W713,V714,"f",FALSE)</f>
        <v>43875</v>
      </c>
      <c r="X714" s="91">
        <f>_xll.qlCalendarAdvance(Calendar,W714,NDays&amp;"D")</f>
        <v>43875</v>
      </c>
      <c r="Y714" s="92" t="e">
        <v>#N/A</v>
      </c>
      <c r="Z714" s="94" t="e">
        <v>#N/A</v>
      </c>
    </row>
    <row r="715" spans="22:26" x14ac:dyDescent="0.2">
      <c r="V715" s="123" t="str">
        <f t="shared" si="21"/>
        <v>1w</v>
      </c>
      <c r="W715" s="82">
        <f>_xll.qlCalendarAdvance(Calendar,W714,V715,"f",FALSE)</f>
        <v>43882</v>
      </c>
      <c r="X715" s="91">
        <f>_xll.qlCalendarAdvance(Calendar,W715,NDays&amp;"D")</f>
        <v>43882</v>
      </c>
      <c r="Y715" s="92" t="e">
        <v>#N/A</v>
      </c>
      <c r="Z715" s="94" t="e">
        <v>#N/A</v>
      </c>
    </row>
    <row r="716" spans="22:26" x14ac:dyDescent="0.2">
      <c r="V716" s="123" t="str">
        <f t="shared" si="21"/>
        <v>1w</v>
      </c>
      <c r="W716" s="82">
        <f>_xll.qlCalendarAdvance(Calendar,W715,V716,"f",FALSE)</f>
        <v>43889</v>
      </c>
      <c r="X716" s="91">
        <f>_xll.qlCalendarAdvance(Calendar,W716,NDays&amp;"D")</f>
        <v>43889</v>
      </c>
      <c r="Y716" s="92" t="e">
        <v>#N/A</v>
      </c>
      <c r="Z716" s="94" t="e">
        <v>#N/A</v>
      </c>
    </row>
    <row r="717" spans="22:26" x14ac:dyDescent="0.2">
      <c r="V717" s="123" t="str">
        <f t="shared" si="21"/>
        <v>1w</v>
      </c>
      <c r="W717" s="82">
        <f>_xll.qlCalendarAdvance(Calendar,W716,V717,"f",FALSE)</f>
        <v>43896</v>
      </c>
      <c r="X717" s="91">
        <f>_xll.qlCalendarAdvance(Calendar,W717,NDays&amp;"D")</f>
        <v>43896</v>
      </c>
      <c r="Y717" s="92" t="e">
        <v>#N/A</v>
      </c>
      <c r="Z717" s="94" t="e">
        <v>#N/A</v>
      </c>
    </row>
    <row r="718" spans="22:26" x14ac:dyDescent="0.2">
      <c r="V718" s="123" t="str">
        <f t="shared" si="21"/>
        <v>1w</v>
      </c>
      <c r="W718" s="82">
        <f>_xll.qlCalendarAdvance(Calendar,W717,V718,"f",FALSE)</f>
        <v>43903</v>
      </c>
      <c r="X718" s="91">
        <f>_xll.qlCalendarAdvance(Calendar,W718,NDays&amp;"D")</f>
        <v>43903</v>
      </c>
      <c r="Y718" s="92" t="e">
        <v>#N/A</v>
      </c>
      <c r="Z718" s="94" t="e">
        <v>#N/A</v>
      </c>
    </row>
    <row r="719" spans="22:26" x14ac:dyDescent="0.2">
      <c r="V719" s="123" t="str">
        <f t="shared" si="21"/>
        <v>1w</v>
      </c>
      <c r="W719" s="82">
        <f>_xll.qlCalendarAdvance(Calendar,W718,V719,"f",FALSE)</f>
        <v>43910</v>
      </c>
      <c r="X719" s="91">
        <f>_xll.qlCalendarAdvance(Calendar,W719,NDays&amp;"D")</f>
        <v>43910</v>
      </c>
      <c r="Y719" s="92" t="e">
        <v>#N/A</v>
      </c>
      <c r="Z719" s="94" t="e">
        <v>#N/A</v>
      </c>
    </row>
    <row r="720" spans="22:26" x14ac:dyDescent="0.2">
      <c r="V720" s="123" t="str">
        <f t="shared" si="21"/>
        <v>1w</v>
      </c>
      <c r="W720" s="82">
        <f>_xll.qlCalendarAdvance(Calendar,W719,V720,"f",FALSE)</f>
        <v>43917</v>
      </c>
      <c r="X720" s="91">
        <f>_xll.qlCalendarAdvance(Calendar,W720,NDays&amp;"D")</f>
        <v>43917</v>
      </c>
      <c r="Y720" s="92" t="e">
        <v>#N/A</v>
      </c>
      <c r="Z720" s="94" t="e">
        <v>#N/A</v>
      </c>
    </row>
    <row r="721" spans="22:26" x14ac:dyDescent="0.2">
      <c r="V721" s="123" t="str">
        <f t="shared" si="21"/>
        <v>1w</v>
      </c>
      <c r="W721" s="82">
        <f>_xll.qlCalendarAdvance(Calendar,W720,V721,"f",FALSE)</f>
        <v>43924</v>
      </c>
      <c r="X721" s="91">
        <f>_xll.qlCalendarAdvance(Calendar,W721,NDays&amp;"D")</f>
        <v>43924</v>
      </c>
      <c r="Y721" s="92" t="e">
        <v>#N/A</v>
      </c>
      <c r="Z721" s="94" t="e">
        <v>#N/A</v>
      </c>
    </row>
    <row r="722" spans="22:26" x14ac:dyDescent="0.2">
      <c r="V722" s="123" t="str">
        <f t="shared" si="21"/>
        <v>1w</v>
      </c>
      <c r="W722" s="82">
        <f>_xll.qlCalendarAdvance(Calendar,W721,V722,"f",FALSE)</f>
        <v>43935</v>
      </c>
      <c r="X722" s="91">
        <f>_xll.qlCalendarAdvance(Calendar,W722,NDays&amp;"D")</f>
        <v>43935</v>
      </c>
      <c r="Y722" s="92" t="e">
        <v>#N/A</v>
      </c>
      <c r="Z722" s="94" t="e">
        <v>#N/A</v>
      </c>
    </row>
    <row r="723" spans="22:26" x14ac:dyDescent="0.2">
      <c r="V723" s="123" t="str">
        <f t="shared" si="21"/>
        <v>1w</v>
      </c>
      <c r="W723" s="82">
        <f>_xll.qlCalendarAdvance(Calendar,W722,V723,"f",FALSE)</f>
        <v>43942</v>
      </c>
      <c r="X723" s="91">
        <f>_xll.qlCalendarAdvance(Calendar,W723,NDays&amp;"D")</f>
        <v>43942</v>
      </c>
      <c r="Y723" s="92" t="e">
        <v>#N/A</v>
      </c>
      <c r="Z723" s="94" t="e">
        <v>#N/A</v>
      </c>
    </row>
    <row r="724" spans="22:26" x14ac:dyDescent="0.2">
      <c r="V724" s="123" t="str">
        <f t="shared" si="21"/>
        <v>1w</v>
      </c>
      <c r="W724" s="82">
        <f>_xll.qlCalendarAdvance(Calendar,W723,V724,"f",FALSE)</f>
        <v>43949</v>
      </c>
      <c r="X724" s="91">
        <f>_xll.qlCalendarAdvance(Calendar,W724,NDays&amp;"D")</f>
        <v>43949</v>
      </c>
      <c r="Y724" s="92" t="e">
        <v>#N/A</v>
      </c>
      <c r="Z724" s="94" t="e">
        <v>#N/A</v>
      </c>
    </row>
    <row r="725" spans="22:26" x14ac:dyDescent="0.2">
      <c r="V725" s="123" t="str">
        <f t="shared" ref="V725:V788" si="22">V724</f>
        <v>1w</v>
      </c>
      <c r="W725" s="82">
        <f>_xll.qlCalendarAdvance(Calendar,W724,V725,"f",FALSE)</f>
        <v>43956</v>
      </c>
      <c r="X725" s="91">
        <f>_xll.qlCalendarAdvance(Calendar,W725,NDays&amp;"D")</f>
        <v>43956</v>
      </c>
      <c r="Y725" s="92" t="e">
        <v>#N/A</v>
      </c>
      <c r="Z725" s="94" t="e">
        <v>#N/A</v>
      </c>
    </row>
    <row r="726" spans="22:26" x14ac:dyDescent="0.2">
      <c r="V726" s="123" t="str">
        <f t="shared" si="22"/>
        <v>1w</v>
      </c>
      <c r="W726" s="82">
        <f>_xll.qlCalendarAdvance(Calendar,W725,V726,"f",FALSE)</f>
        <v>43963</v>
      </c>
      <c r="X726" s="91">
        <f>_xll.qlCalendarAdvance(Calendar,W726,NDays&amp;"D")</f>
        <v>43963</v>
      </c>
      <c r="Y726" s="92" t="e">
        <v>#N/A</v>
      </c>
      <c r="Z726" s="94" t="e">
        <v>#N/A</v>
      </c>
    </row>
    <row r="727" spans="22:26" x14ac:dyDescent="0.2">
      <c r="V727" s="123" t="str">
        <f t="shared" si="22"/>
        <v>1w</v>
      </c>
      <c r="W727" s="82">
        <f>_xll.qlCalendarAdvance(Calendar,W726,V727,"f",FALSE)</f>
        <v>43970</v>
      </c>
      <c r="X727" s="91">
        <f>_xll.qlCalendarAdvance(Calendar,W727,NDays&amp;"D")</f>
        <v>43970</v>
      </c>
      <c r="Y727" s="92" t="e">
        <v>#N/A</v>
      </c>
      <c r="Z727" s="94" t="e">
        <v>#N/A</v>
      </c>
    </row>
    <row r="728" spans="22:26" x14ac:dyDescent="0.2">
      <c r="V728" s="123" t="str">
        <f t="shared" si="22"/>
        <v>1w</v>
      </c>
      <c r="W728" s="82">
        <f>_xll.qlCalendarAdvance(Calendar,W727,V728,"f",FALSE)</f>
        <v>43977</v>
      </c>
      <c r="X728" s="91">
        <f>_xll.qlCalendarAdvance(Calendar,W728,NDays&amp;"D")</f>
        <v>43977</v>
      </c>
      <c r="Y728" s="92" t="e">
        <v>#N/A</v>
      </c>
      <c r="Z728" s="94" t="e">
        <v>#N/A</v>
      </c>
    </row>
    <row r="729" spans="22:26" x14ac:dyDescent="0.2">
      <c r="V729" s="123" t="str">
        <f t="shared" si="22"/>
        <v>1w</v>
      </c>
      <c r="W729" s="82">
        <f>_xll.qlCalendarAdvance(Calendar,W728,V729,"f",FALSE)</f>
        <v>43984</v>
      </c>
      <c r="X729" s="91">
        <f>_xll.qlCalendarAdvance(Calendar,W729,NDays&amp;"D")</f>
        <v>43984</v>
      </c>
      <c r="Y729" s="92" t="e">
        <v>#N/A</v>
      </c>
      <c r="Z729" s="94" t="e">
        <v>#N/A</v>
      </c>
    </row>
    <row r="730" spans="22:26" x14ac:dyDescent="0.2">
      <c r="V730" s="123" t="str">
        <f t="shared" si="22"/>
        <v>1w</v>
      </c>
      <c r="W730" s="82">
        <f>_xll.qlCalendarAdvance(Calendar,W729,V730,"f",FALSE)</f>
        <v>43991</v>
      </c>
      <c r="X730" s="91">
        <f>_xll.qlCalendarAdvance(Calendar,W730,NDays&amp;"D")</f>
        <v>43991</v>
      </c>
      <c r="Y730" s="92" t="e">
        <v>#N/A</v>
      </c>
      <c r="Z730" s="94" t="e">
        <v>#N/A</v>
      </c>
    </row>
    <row r="731" spans="22:26" x14ac:dyDescent="0.2">
      <c r="V731" s="123" t="str">
        <f t="shared" si="22"/>
        <v>1w</v>
      </c>
      <c r="W731" s="82">
        <f>_xll.qlCalendarAdvance(Calendar,W730,V731,"f",FALSE)</f>
        <v>43998</v>
      </c>
      <c r="X731" s="91">
        <f>_xll.qlCalendarAdvance(Calendar,W731,NDays&amp;"D")</f>
        <v>43998</v>
      </c>
      <c r="Y731" s="92" t="e">
        <v>#N/A</v>
      </c>
      <c r="Z731" s="94" t="e">
        <v>#N/A</v>
      </c>
    </row>
    <row r="732" spans="22:26" x14ac:dyDescent="0.2">
      <c r="V732" s="123" t="str">
        <f t="shared" si="22"/>
        <v>1w</v>
      </c>
      <c r="W732" s="82">
        <f>_xll.qlCalendarAdvance(Calendar,W731,V732,"f",FALSE)</f>
        <v>44005</v>
      </c>
      <c r="X732" s="91">
        <f>_xll.qlCalendarAdvance(Calendar,W732,NDays&amp;"D")</f>
        <v>44005</v>
      </c>
      <c r="Y732" s="92" t="e">
        <v>#N/A</v>
      </c>
      <c r="Z732" s="94" t="e">
        <v>#N/A</v>
      </c>
    </row>
    <row r="733" spans="22:26" x14ac:dyDescent="0.2">
      <c r="V733" s="123" t="str">
        <f t="shared" si="22"/>
        <v>1w</v>
      </c>
      <c r="W733" s="82">
        <f>_xll.qlCalendarAdvance(Calendar,W732,V733,"f",FALSE)</f>
        <v>44012</v>
      </c>
      <c r="X733" s="91">
        <f>_xll.qlCalendarAdvance(Calendar,W733,NDays&amp;"D")</f>
        <v>44012</v>
      </c>
      <c r="Y733" s="92" t="e">
        <v>#N/A</v>
      </c>
      <c r="Z733" s="94" t="e">
        <v>#N/A</v>
      </c>
    </row>
    <row r="734" spans="22:26" x14ac:dyDescent="0.2">
      <c r="V734" s="123" t="str">
        <f t="shared" si="22"/>
        <v>1w</v>
      </c>
      <c r="W734" s="82">
        <f>_xll.qlCalendarAdvance(Calendar,W733,V734,"f",FALSE)</f>
        <v>44019</v>
      </c>
      <c r="X734" s="91">
        <f>_xll.qlCalendarAdvance(Calendar,W734,NDays&amp;"D")</f>
        <v>44019</v>
      </c>
      <c r="Y734" s="92" t="e">
        <v>#N/A</v>
      </c>
      <c r="Z734" s="94" t="e">
        <v>#N/A</v>
      </c>
    </row>
    <row r="735" spans="22:26" x14ac:dyDescent="0.2">
      <c r="V735" s="123" t="str">
        <f t="shared" si="22"/>
        <v>1w</v>
      </c>
      <c r="W735" s="82">
        <f>_xll.qlCalendarAdvance(Calendar,W734,V735,"f",FALSE)</f>
        <v>44026</v>
      </c>
      <c r="X735" s="91">
        <f>_xll.qlCalendarAdvance(Calendar,W735,NDays&amp;"D")</f>
        <v>44026</v>
      </c>
      <c r="Y735" s="92" t="e">
        <v>#N/A</v>
      </c>
      <c r="Z735" s="94" t="e">
        <v>#N/A</v>
      </c>
    </row>
    <row r="736" spans="22:26" x14ac:dyDescent="0.2">
      <c r="V736" s="123" t="str">
        <f t="shared" si="22"/>
        <v>1w</v>
      </c>
      <c r="W736" s="82">
        <f>_xll.qlCalendarAdvance(Calendar,W735,V736,"f",FALSE)</f>
        <v>44033</v>
      </c>
      <c r="X736" s="91">
        <f>_xll.qlCalendarAdvance(Calendar,W736,NDays&amp;"D")</f>
        <v>44033</v>
      </c>
      <c r="Y736" s="92" t="e">
        <v>#N/A</v>
      </c>
      <c r="Z736" s="94" t="e">
        <v>#N/A</v>
      </c>
    </row>
    <row r="737" spans="22:26" x14ac:dyDescent="0.2">
      <c r="V737" s="123" t="str">
        <f t="shared" si="22"/>
        <v>1w</v>
      </c>
      <c r="W737" s="82">
        <f>_xll.qlCalendarAdvance(Calendar,W736,V737,"f",FALSE)</f>
        <v>44040</v>
      </c>
      <c r="X737" s="91">
        <f>_xll.qlCalendarAdvance(Calendar,W737,NDays&amp;"D")</f>
        <v>44040</v>
      </c>
      <c r="Y737" s="92" t="e">
        <v>#N/A</v>
      </c>
      <c r="Z737" s="94" t="e">
        <v>#N/A</v>
      </c>
    </row>
    <row r="738" spans="22:26" x14ac:dyDescent="0.2">
      <c r="V738" s="123" t="str">
        <f t="shared" si="22"/>
        <v>1w</v>
      </c>
      <c r="W738" s="82">
        <f>_xll.qlCalendarAdvance(Calendar,W737,V738,"f",FALSE)</f>
        <v>44047</v>
      </c>
      <c r="X738" s="91">
        <f>_xll.qlCalendarAdvance(Calendar,W738,NDays&amp;"D")</f>
        <v>44047</v>
      </c>
      <c r="Y738" s="92" t="e">
        <v>#N/A</v>
      </c>
      <c r="Z738" s="94" t="e">
        <v>#N/A</v>
      </c>
    </row>
    <row r="739" spans="22:26" x14ac:dyDescent="0.2">
      <c r="V739" s="123" t="str">
        <f t="shared" si="22"/>
        <v>1w</v>
      </c>
      <c r="W739" s="82">
        <f>_xll.qlCalendarAdvance(Calendar,W738,V739,"f",FALSE)</f>
        <v>44054</v>
      </c>
      <c r="X739" s="91">
        <f>_xll.qlCalendarAdvance(Calendar,W739,NDays&amp;"D")</f>
        <v>44054</v>
      </c>
      <c r="Y739" s="92" t="e">
        <v>#N/A</v>
      </c>
      <c r="Z739" s="94" t="e">
        <v>#N/A</v>
      </c>
    </row>
    <row r="740" spans="22:26" x14ac:dyDescent="0.2">
      <c r="V740" s="123" t="str">
        <f t="shared" si="22"/>
        <v>1w</v>
      </c>
      <c r="W740" s="82">
        <f>_xll.qlCalendarAdvance(Calendar,W739,V740,"f",FALSE)</f>
        <v>44061</v>
      </c>
      <c r="X740" s="91">
        <f>_xll.qlCalendarAdvance(Calendar,W740,NDays&amp;"D")</f>
        <v>44061</v>
      </c>
      <c r="Y740" s="92" t="e">
        <v>#N/A</v>
      </c>
      <c r="Z740" s="94" t="e">
        <v>#N/A</v>
      </c>
    </row>
    <row r="741" spans="22:26" x14ac:dyDescent="0.2">
      <c r="V741" s="123" t="str">
        <f t="shared" si="22"/>
        <v>1w</v>
      </c>
      <c r="W741" s="82">
        <f>_xll.qlCalendarAdvance(Calendar,W740,V741,"f",FALSE)</f>
        <v>44068</v>
      </c>
      <c r="X741" s="91">
        <f>_xll.qlCalendarAdvance(Calendar,W741,NDays&amp;"D")</f>
        <v>44068</v>
      </c>
      <c r="Y741" s="92" t="e">
        <v>#N/A</v>
      </c>
      <c r="Z741" s="94" t="e">
        <v>#N/A</v>
      </c>
    </row>
    <row r="742" spans="22:26" x14ac:dyDescent="0.2">
      <c r="V742" s="123" t="str">
        <f t="shared" si="22"/>
        <v>1w</v>
      </c>
      <c r="W742" s="82">
        <f>_xll.qlCalendarAdvance(Calendar,W741,V742,"f",FALSE)</f>
        <v>44075</v>
      </c>
      <c r="X742" s="91">
        <f>_xll.qlCalendarAdvance(Calendar,W742,NDays&amp;"D")</f>
        <v>44075</v>
      </c>
      <c r="Y742" s="92" t="e">
        <v>#N/A</v>
      </c>
      <c r="Z742" s="94" t="e">
        <v>#N/A</v>
      </c>
    </row>
    <row r="743" spans="22:26" x14ac:dyDescent="0.2">
      <c r="V743" s="123" t="str">
        <f t="shared" si="22"/>
        <v>1w</v>
      </c>
      <c r="W743" s="82">
        <f>_xll.qlCalendarAdvance(Calendar,W742,V743,"f",FALSE)</f>
        <v>44082</v>
      </c>
      <c r="X743" s="91">
        <f>_xll.qlCalendarAdvance(Calendar,W743,NDays&amp;"D")</f>
        <v>44082</v>
      </c>
      <c r="Y743" s="92" t="e">
        <v>#N/A</v>
      </c>
      <c r="Z743" s="94" t="e">
        <v>#N/A</v>
      </c>
    </row>
    <row r="744" spans="22:26" x14ac:dyDescent="0.2">
      <c r="V744" s="123" t="str">
        <f t="shared" si="22"/>
        <v>1w</v>
      </c>
      <c r="W744" s="82">
        <f>_xll.qlCalendarAdvance(Calendar,W743,V744,"f",FALSE)</f>
        <v>44089</v>
      </c>
      <c r="X744" s="91">
        <f>_xll.qlCalendarAdvance(Calendar,W744,NDays&amp;"D")</f>
        <v>44089</v>
      </c>
      <c r="Y744" s="92" t="e">
        <v>#N/A</v>
      </c>
      <c r="Z744" s="94" t="e">
        <v>#N/A</v>
      </c>
    </row>
    <row r="745" spans="22:26" x14ac:dyDescent="0.2">
      <c r="V745" s="123" t="str">
        <f t="shared" si="22"/>
        <v>1w</v>
      </c>
      <c r="W745" s="82">
        <f>_xll.qlCalendarAdvance(Calendar,W744,V745,"f",FALSE)</f>
        <v>44096</v>
      </c>
      <c r="X745" s="91">
        <f>_xll.qlCalendarAdvance(Calendar,W745,NDays&amp;"D")</f>
        <v>44096</v>
      </c>
      <c r="Y745" s="92" t="e">
        <v>#N/A</v>
      </c>
      <c r="Z745" s="94" t="e">
        <v>#N/A</v>
      </c>
    </row>
    <row r="746" spans="22:26" x14ac:dyDescent="0.2">
      <c r="V746" s="123" t="str">
        <f t="shared" si="22"/>
        <v>1w</v>
      </c>
      <c r="W746" s="82">
        <f>_xll.qlCalendarAdvance(Calendar,W745,V746,"f",FALSE)</f>
        <v>44103</v>
      </c>
      <c r="X746" s="91">
        <f>_xll.qlCalendarAdvance(Calendar,W746,NDays&amp;"D")</f>
        <v>44103</v>
      </c>
      <c r="Y746" s="92" t="e">
        <v>#N/A</v>
      </c>
      <c r="Z746" s="94" t="e">
        <v>#N/A</v>
      </c>
    </row>
    <row r="747" spans="22:26" x14ac:dyDescent="0.2">
      <c r="V747" s="123" t="str">
        <f t="shared" si="22"/>
        <v>1w</v>
      </c>
      <c r="W747" s="82">
        <f>_xll.qlCalendarAdvance(Calendar,W746,V747,"f",FALSE)</f>
        <v>44110</v>
      </c>
      <c r="X747" s="91">
        <f>_xll.qlCalendarAdvance(Calendar,W747,NDays&amp;"D")</f>
        <v>44110</v>
      </c>
      <c r="Y747" s="92" t="e">
        <v>#N/A</v>
      </c>
      <c r="Z747" s="94" t="e">
        <v>#N/A</v>
      </c>
    </row>
    <row r="748" spans="22:26" x14ac:dyDescent="0.2">
      <c r="V748" s="123" t="str">
        <f t="shared" si="22"/>
        <v>1w</v>
      </c>
      <c r="W748" s="82">
        <f>_xll.qlCalendarAdvance(Calendar,W747,V748,"f",FALSE)</f>
        <v>44117</v>
      </c>
      <c r="X748" s="91">
        <f>_xll.qlCalendarAdvance(Calendar,W748,NDays&amp;"D")</f>
        <v>44117</v>
      </c>
      <c r="Y748" s="92" t="e">
        <v>#N/A</v>
      </c>
      <c r="Z748" s="94" t="e">
        <v>#N/A</v>
      </c>
    </row>
    <row r="749" spans="22:26" x14ac:dyDescent="0.2">
      <c r="V749" s="123" t="str">
        <f t="shared" si="22"/>
        <v>1w</v>
      </c>
      <c r="W749" s="82">
        <f>_xll.qlCalendarAdvance(Calendar,W748,V749,"f",FALSE)</f>
        <v>44124</v>
      </c>
      <c r="X749" s="91">
        <f>_xll.qlCalendarAdvance(Calendar,W749,NDays&amp;"D")</f>
        <v>44124</v>
      </c>
      <c r="Y749" s="92" t="e">
        <v>#N/A</v>
      </c>
      <c r="Z749" s="94" t="e">
        <v>#N/A</v>
      </c>
    </row>
    <row r="750" spans="22:26" x14ac:dyDescent="0.2">
      <c r="V750" s="123" t="str">
        <f t="shared" si="22"/>
        <v>1w</v>
      </c>
      <c r="W750" s="82">
        <f>_xll.qlCalendarAdvance(Calendar,W749,V750,"f",FALSE)</f>
        <v>44131</v>
      </c>
      <c r="X750" s="91">
        <f>_xll.qlCalendarAdvance(Calendar,W750,NDays&amp;"D")</f>
        <v>44131</v>
      </c>
      <c r="Y750" s="92" t="e">
        <v>#N/A</v>
      </c>
      <c r="Z750" s="94" t="e">
        <v>#N/A</v>
      </c>
    </row>
    <row r="751" spans="22:26" x14ac:dyDescent="0.2">
      <c r="V751" s="123" t="str">
        <f t="shared" si="22"/>
        <v>1w</v>
      </c>
      <c r="W751" s="82">
        <f>_xll.qlCalendarAdvance(Calendar,W750,V751,"f",FALSE)</f>
        <v>44138</v>
      </c>
      <c r="X751" s="91">
        <f>_xll.qlCalendarAdvance(Calendar,W751,NDays&amp;"D")</f>
        <v>44138</v>
      </c>
      <c r="Y751" s="92" t="e">
        <v>#N/A</v>
      </c>
      <c r="Z751" s="94" t="e">
        <v>#N/A</v>
      </c>
    </row>
    <row r="752" spans="22:26" x14ac:dyDescent="0.2">
      <c r="V752" s="123" t="str">
        <f t="shared" si="22"/>
        <v>1w</v>
      </c>
      <c r="W752" s="82">
        <f>_xll.qlCalendarAdvance(Calendar,W751,V752,"f",FALSE)</f>
        <v>44145</v>
      </c>
      <c r="X752" s="91">
        <f>_xll.qlCalendarAdvance(Calendar,W752,NDays&amp;"D")</f>
        <v>44145</v>
      </c>
      <c r="Y752" s="92" t="e">
        <v>#N/A</v>
      </c>
      <c r="Z752" s="94" t="e">
        <v>#N/A</v>
      </c>
    </row>
    <row r="753" spans="22:26" x14ac:dyDescent="0.2">
      <c r="V753" s="123" t="str">
        <f t="shared" si="22"/>
        <v>1w</v>
      </c>
      <c r="W753" s="82">
        <f>_xll.qlCalendarAdvance(Calendar,W752,V753,"f",FALSE)</f>
        <v>44152</v>
      </c>
      <c r="X753" s="91">
        <f>_xll.qlCalendarAdvance(Calendar,W753,NDays&amp;"D")</f>
        <v>44152</v>
      </c>
      <c r="Y753" s="92" t="e">
        <v>#N/A</v>
      </c>
      <c r="Z753" s="94" t="e">
        <v>#N/A</v>
      </c>
    </row>
    <row r="754" spans="22:26" x14ac:dyDescent="0.2">
      <c r="V754" s="123" t="str">
        <f t="shared" si="22"/>
        <v>1w</v>
      </c>
      <c r="W754" s="82">
        <f>_xll.qlCalendarAdvance(Calendar,W753,V754,"f",FALSE)</f>
        <v>44159</v>
      </c>
      <c r="X754" s="91">
        <f>_xll.qlCalendarAdvance(Calendar,W754,NDays&amp;"D")</f>
        <v>44159</v>
      </c>
      <c r="Y754" s="92" t="e">
        <v>#N/A</v>
      </c>
      <c r="Z754" s="94" t="e">
        <v>#N/A</v>
      </c>
    </row>
    <row r="755" spans="22:26" x14ac:dyDescent="0.2">
      <c r="V755" s="123" t="str">
        <f t="shared" si="22"/>
        <v>1w</v>
      </c>
      <c r="W755" s="82">
        <f>_xll.qlCalendarAdvance(Calendar,W754,V755,"f",FALSE)</f>
        <v>44166</v>
      </c>
      <c r="X755" s="91">
        <f>_xll.qlCalendarAdvance(Calendar,W755,NDays&amp;"D")</f>
        <v>44166</v>
      </c>
      <c r="Y755" s="92" t="e">
        <v>#N/A</v>
      </c>
      <c r="Z755" s="94" t="e">
        <v>#N/A</v>
      </c>
    </row>
    <row r="756" spans="22:26" x14ac:dyDescent="0.2">
      <c r="V756" s="123" t="str">
        <f t="shared" si="22"/>
        <v>1w</v>
      </c>
      <c r="W756" s="82">
        <f>_xll.qlCalendarAdvance(Calendar,W755,V756,"f",FALSE)</f>
        <v>44173</v>
      </c>
      <c r="X756" s="91">
        <f>_xll.qlCalendarAdvance(Calendar,W756,NDays&amp;"D")</f>
        <v>44173</v>
      </c>
      <c r="Y756" s="92" t="e">
        <v>#N/A</v>
      </c>
      <c r="Z756" s="94" t="e">
        <v>#N/A</v>
      </c>
    </row>
    <row r="757" spans="22:26" x14ac:dyDescent="0.2">
      <c r="V757" s="123" t="str">
        <f t="shared" si="22"/>
        <v>1w</v>
      </c>
      <c r="W757" s="82">
        <f>_xll.qlCalendarAdvance(Calendar,W756,V757,"f",FALSE)</f>
        <v>44180</v>
      </c>
      <c r="X757" s="91">
        <f>_xll.qlCalendarAdvance(Calendar,W757,NDays&amp;"D")</f>
        <v>44180</v>
      </c>
      <c r="Y757" s="92" t="e">
        <v>#N/A</v>
      </c>
      <c r="Z757" s="94" t="e">
        <v>#N/A</v>
      </c>
    </row>
    <row r="758" spans="22:26" x14ac:dyDescent="0.2">
      <c r="V758" s="123" t="str">
        <f t="shared" si="22"/>
        <v>1w</v>
      </c>
      <c r="W758" s="82">
        <f>_xll.qlCalendarAdvance(Calendar,W757,V758,"f",FALSE)</f>
        <v>44187</v>
      </c>
      <c r="X758" s="91">
        <f>_xll.qlCalendarAdvance(Calendar,W758,NDays&amp;"D")</f>
        <v>44187</v>
      </c>
      <c r="Y758" s="92" t="e">
        <v>#N/A</v>
      </c>
      <c r="Z758" s="94" t="e">
        <v>#N/A</v>
      </c>
    </row>
    <row r="759" spans="22:26" x14ac:dyDescent="0.2">
      <c r="V759" s="123" t="str">
        <f t="shared" si="22"/>
        <v>1w</v>
      </c>
      <c r="W759" s="82">
        <f>_xll.qlCalendarAdvance(Calendar,W758,V759,"f",FALSE)</f>
        <v>44194</v>
      </c>
      <c r="X759" s="91">
        <f>_xll.qlCalendarAdvance(Calendar,W759,NDays&amp;"D")</f>
        <v>44194</v>
      </c>
      <c r="Y759" s="92" t="e">
        <v>#N/A</v>
      </c>
      <c r="Z759" s="94" t="e">
        <v>#N/A</v>
      </c>
    </row>
    <row r="760" spans="22:26" x14ac:dyDescent="0.2">
      <c r="V760" s="123" t="str">
        <f t="shared" si="22"/>
        <v>1w</v>
      </c>
      <c r="W760" s="82">
        <f>_xll.qlCalendarAdvance(Calendar,W759,V760,"f",FALSE)</f>
        <v>44201</v>
      </c>
      <c r="X760" s="91">
        <f>_xll.qlCalendarAdvance(Calendar,W760,NDays&amp;"D")</f>
        <v>44201</v>
      </c>
      <c r="Y760" s="92" t="e">
        <v>#N/A</v>
      </c>
      <c r="Z760" s="94" t="e">
        <v>#N/A</v>
      </c>
    </row>
    <row r="761" spans="22:26" x14ac:dyDescent="0.2">
      <c r="V761" s="123" t="str">
        <f t="shared" si="22"/>
        <v>1w</v>
      </c>
      <c r="W761" s="82">
        <f>_xll.qlCalendarAdvance(Calendar,W760,V761,"f",FALSE)</f>
        <v>44208</v>
      </c>
      <c r="X761" s="91">
        <f>_xll.qlCalendarAdvance(Calendar,W761,NDays&amp;"D")</f>
        <v>44208</v>
      </c>
      <c r="Y761" s="92" t="e">
        <v>#N/A</v>
      </c>
      <c r="Z761" s="94" t="e">
        <v>#N/A</v>
      </c>
    </row>
    <row r="762" spans="22:26" x14ac:dyDescent="0.2">
      <c r="V762" s="123" t="str">
        <f t="shared" si="22"/>
        <v>1w</v>
      </c>
      <c r="W762" s="82">
        <f>_xll.qlCalendarAdvance(Calendar,W761,V762,"f",FALSE)</f>
        <v>44215</v>
      </c>
      <c r="X762" s="91">
        <f>_xll.qlCalendarAdvance(Calendar,W762,NDays&amp;"D")</f>
        <v>44215</v>
      </c>
      <c r="Y762" s="92" t="e">
        <v>#N/A</v>
      </c>
      <c r="Z762" s="94" t="e">
        <v>#N/A</v>
      </c>
    </row>
    <row r="763" spans="22:26" x14ac:dyDescent="0.2">
      <c r="V763" s="123" t="str">
        <f t="shared" si="22"/>
        <v>1w</v>
      </c>
      <c r="W763" s="82">
        <f>_xll.qlCalendarAdvance(Calendar,W762,V763,"f",FALSE)</f>
        <v>44222</v>
      </c>
      <c r="X763" s="91">
        <f>_xll.qlCalendarAdvance(Calendar,W763,NDays&amp;"D")</f>
        <v>44222</v>
      </c>
      <c r="Y763" s="92" t="e">
        <v>#N/A</v>
      </c>
      <c r="Z763" s="94" t="e">
        <v>#N/A</v>
      </c>
    </row>
    <row r="764" spans="22:26" x14ac:dyDescent="0.2">
      <c r="V764" s="123" t="str">
        <f t="shared" si="22"/>
        <v>1w</v>
      </c>
      <c r="W764" s="82">
        <f>_xll.qlCalendarAdvance(Calendar,W763,V764,"f",FALSE)</f>
        <v>44229</v>
      </c>
      <c r="X764" s="91">
        <f>_xll.qlCalendarAdvance(Calendar,W764,NDays&amp;"D")</f>
        <v>44229</v>
      </c>
      <c r="Y764" s="92" t="e">
        <v>#N/A</v>
      </c>
      <c r="Z764" s="94" t="e">
        <v>#N/A</v>
      </c>
    </row>
    <row r="765" spans="22:26" x14ac:dyDescent="0.2">
      <c r="V765" s="123" t="str">
        <f t="shared" si="22"/>
        <v>1w</v>
      </c>
      <c r="W765" s="82">
        <f>_xll.qlCalendarAdvance(Calendar,W764,V765,"f",FALSE)</f>
        <v>44236</v>
      </c>
      <c r="X765" s="91">
        <f>_xll.qlCalendarAdvance(Calendar,W765,NDays&amp;"D")</f>
        <v>44236</v>
      </c>
      <c r="Y765" s="92" t="e">
        <v>#N/A</v>
      </c>
      <c r="Z765" s="94" t="e">
        <v>#N/A</v>
      </c>
    </row>
    <row r="766" spans="22:26" x14ac:dyDescent="0.2">
      <c r="V766" s="123" t="str">
        <f t="shared" si="22"/>
        <v>1w</v>
      </c>
      <c r="W766" s="82">
        <f>_xll.qlCalendarAdvance(Calendar,W765,V766,"f",FALSE)</f>
        <v>44243</v>
      </c>
      <c r="X766" s="91">
        <f>_xll.qlCalendarAdvance(Calendar,W766,NDays&amp;"D")</f>
        <v>44243</v>
      </c>
      <c r="Y766" s="92" t="e">
        <v>#N/A</v>
      </c>
      <c r="Z766" s="94" t="e">
        <v>#N/A</v>
      </c>
    </row>
    <row r="767" spans="22:26" x14ac:dyDescent="0.2">
      <c r="V767" s="123" t="str">
        <f t="shared" si="22"/>
        <v>1w</v>
      </c>
      <c r="W767" s="82">
        <f>_xll.qlCalendarAdvance(Calendar,W766,V767,"f",FALSE)</f>
        <v>44250</v>
      </c>
      <c r="X767" s="91">
        <f>_xll.qlCalendarAdvance(Calendar,W767,NDays&amp;"D")</f>
        <v>44250</v>
      </c>
      <c r="Y767" s="92" t="e">
        <v>#N/A</v>
      </c>
      <c r="Z767" s="94" t="e">
        <v>#N/A</v>
      </c>
    </row>
    <row r="768" spans="22:26" x14ac:dyDescent="0.2">
      <c r="V768" s="123" t="str">
        <f t="shared" si="22"/>
        <v>1w</v>
      </c>
      <c r="W768" s="82">
        <f>_xll.qlCalendarAdvance(Calendar,W767,V768,"f",FALSE)</f>
        <v>44257</v>
      </c>
      <c r="X768" s="91">
        <f>_xll.qlCalendarAdvance(Calendar,W768,NDays&amp;"D")</f>
        <v>44257</v>
      </c>
      <c r="Y768" s="92" t="e">
        <v>#N/A</v>
      </c>
      <c r="Z768" s="94" t="e">
        <v>#N/A</v>
      </c>
    </row>
    <row r="769" spans="22:26" x14ac:dyDescent="0.2">
      <c r="V769" s="123" t="str">
        <f t="shared" si="22"/>
        <v>1w</v>
      </c>
      <c r="W769" s="82">
        <f>_xll.qlCalendarAdvance(Calendar,W768,V769,"f",FALSE)</f>
        <v>44264</v>
      </c>
      <c r="X769" s="91">
        <f>_xll.qlCalendarAdvance(Calendar,W769,NDays&amp;"D")</f>
        <v>44264</v>
      </c>
      <c r="Y769" s="92" t="e">
        <v>#N/A</v>
      </c>
      <c r="Z769" s="94" t="e">
        <v>#N/A</v>
      </c>
    </row>
    <row r="770" spans="22:26" x14ac:dyDescent="0.2">
      <c r="V770" s="123" t="str">
        <f t="shared" si="22"/>
        <v>1w</v>
      </c>
      <c r="W770" s="82">
        <f>_xll.qlCalendarAdvance(Calendar,W769,V770,"f",FALSE)</f>
        <v>44271</v>
      </c>
      <c r="X770" s="91">
        <f>_xll.qlCalendarAdvance(Calendar,W770,NDays&amp;"D")</f>
        <v>44271</v>
      </c>
      <c r="Y770" s="92" t="e">
        <v>#N/A</v>
      </c>
      <c r="Z770" s="94" t="e">
        <v>#N/A</v>
      </c>
    </row>
    <row r="771" spans="22:26" x14ac:dyDescent="0.2">
      <c r="V771" s="123" t="str">
        <f t="shared" si="22"/>
        <v>1w</v>
      </c>
      <c r="W771" s="82">
        <f>_xll.qlCalendarAdvance(Calendar,W770,V771,"f",FALSE)</f>
        <v>44278</v>
      </c>
      <c r="X771" s="91">
        <f>_xll.qlCalendarAdvance(Calendar,W771,NDays&amp;"D")</f>
        <v>44278</v>
      </c>
      <c r="Y771" s="92" t="e">
        <v>#N/A</v>
      </c>
      <c r="Z771" s="94" t="e">
        <v>#N/A</v>
      </c>
    </row>
    <row r="772" spans="22:26" x14ac:dyDescent="0.2">
      <c r="V772" s="123" t="str">
        <f t="shared" si="22"/>
        <v>1w</v>
      </c>
      <c r="W772" s="82">
        <f>_xll.qlCalendarAdvance(Calendar,W771,V772,"f",FALSE)</f>
        <v>44285</v>
      </c>
      <c r="X772" s="91">
        <f>_xll.qlCalendarAdvance(Calendar,W772,NDays&amp;"D")</f>
        <v>44285</v>
      </c>
      <c r="Y772" s="92" t="e">
        <v>#N/A</v>
      </c>
      <c r="Z772" s="94" t="e">
        <v>#N/A</v>
      </c>
    </row>
    <row r="773" spans="22:26" x14ac:dyDescent="0.2">
      <c r="V773" s="123" t="str">
        <f t="shared" si="22"/>
        <v>1w</v>
      </c>
      <c r="W773" s="82">
        <f>_xll.qlCalendarAdvance(Calendar,W772,V773,"f",FALSE)</f>
        <v>44292</v>
      </c>
      <c r="X773" s="91">
        <f>_xll.qlCalendarAdvance(Calendar,W773,NDays&amp;"D")</f>
        <v>44292</v>
      </c>
      <c r="Y773" s="92" t="e">
        <v>#N/A</v>
      </c>
      <c r="Z773" s="94" t="e">
        <v>#N/A</v>
      </c>
    </row>
    <row r="774" spans="22:26" x14ac:dyDescent="0.2">
      <c r="V774" s="123" t="str">
        <f t="shared" si="22"/>
        <v>1w</v>
      </c>
      <c r="W774" s="82">
        <f>_xll.qlCalendarAdvance(Calendar,W773,V774,"f",FALSE)</f>
        <v>44299</v>
      </c>
      <c r="X774" s="91">
        <f>_xll.qlCalendarAdvance(Calendar,W774,NDays&amp;"D")</f>
        <v>44299</v>
      </c>
      <c r="Y774" s="92" t="e">
        <v>#N/A</v>
      </c>
      <c r="Z774" s="94" t="e">
        <v>#N/A</v>
      </c>
    </row>
    <row r="775" spans="22:26" x14ac:dyDescent="0.2">
      <c r="V775" s="123" t="str">
        <f t="shared" si="22"/>
        <v>1w</v>
      </c>
      <c r="W775" s="82">
        <f>_xll.qlCalendarAdvance(Calendar,W774,V775,"f",FALSE)</f>
        <v>44306</v>
      </c>
      <c r="X775" s="91">
        <f>_xll.qlCalendarAdvance(Calendar,W775,NDays&amp;"D")</f>
        <v>44306</v>
      </c>
      <c r="Y775" s="92" t="e">
        <v>#N/A</v>
      </c>
      <c r="Z775" s="94" t="e">
        <v>#N/A</v>
      </c>
    </row>
    <row r="776" spans="22:26" x14ac:dyDescent="0.2">
      <c r="V776" s="123" t="str">
        <f t="shared" si="22"/>
        <v>1w</v>
      </c>
      <c r="W776" s="82">
        <f>_xll.qlCalendarAdvance(Calendar,W775,V776,"f",FALSE)</f>
        <v>44313</v>
      </c>
      <c r="X776" s="91">
        <f>_xll.qlCalendarAdvance(Calendar,W776,NDays&amp;"D")</f>
        <v>44313</v>
      </c>
      <c r="Y776" s="92" t="e">
        <v>#N/A</v>
      </c>
      <c r="Z776" s="94" t="e">
        <v>#N/A</v>
      </c>
    </row>
    <row r="777" spans="22:26" x14ac:dyDescent="0.2">
      <c r="V777" s="123" t="str">
        <f t="shared" si="22"/>
        <v>1w</v>
      </c>
      <c r="W777" s="82">
        <f>_xll.qlCalendarAdvance(Calendar,W776,V777,"f",FALSE)</f>
        <v>44320</v>
      </c>
      <c r="X777" s="91">
        <f>_xll.qlCalendarAdvance(Calendar,W777,NDays&amp;"D")</f>
        <v>44320</v>
      </c>
      <c r="Y777" s="92" t="e">
        <v>#N/A</v>
      </c>
      <c r="Z777" s="94" t="e">
        <v>#N/A</v>
      </c>
    </row>
    <row r="778" spans="22:26" x14ac:dyDescent="0.2">
      <c r="V778" s="123" t="str">
        <f t="shared" si="22"/>
        <v>1w</v>
      </c>
      <c r="W778" s="82">
        <f>_xll.qlCalendarAdvance(Calendar,W777,V778,"f",FALSE)</f>
        <v>44327</v>
      </c>
      <c r="X778" s="91">
        <f>_xll.qlCalendarAdvance(Calendar,W778,NDays&amp;"D")</f>
        <v>44327</v>
      </c>
      <c r="Y778" s="92" t="e">
        <v>#N/A</v>
      </c>
      <c r="Z778" s="94" t="e">
        <v>#N/A</v>
      </c>
    </row>
    <row r="779" spans="22:26" x14ac:dyDescent="0.2">
      <c r="V779" s="123" t="str">
        <f t="shared" si="22"/>
        <v>1w</v>
      </c>
      <c r="W779" s="82">
        <f>_xll.qlCalendarAdvance(Calendar,W778,V779,"f",FALSE)</f>
        <v>44334</v>
      </c>
      <c r="X779" s="91">
        <f>_xll.qlCalendarAdvance(Calendar,W779,NDays&amp;"D")</f>
        <v>44334</v>
      </c>
      <c r="Y779" s="92" t="e">
        <v>#N/A</v>
      </c>
      <c r="Z779" s="94" t="e">
        <v>#N/A</v>
      </c>
    </row>
    <row r="780" spans="22:26" x14ac:dyDescent="0.2">
      <c r="V780" s="123" t="str">
        <f t="shared" si="22"/>
        <v>1w</v>
      </c>
      <c r="W780" s="82">
        <f>_xll.qlCalendarAdvance(Calendar,W779,V780,"f",FALSE)</f>
        <v>44341</v>
      </c>
      <c r="X780" s="91">
        <f>_xll.qlCalendarAdvance(Calendar,W780,NDays&amp;"D")</f>
        <v>44341</v>
      </c>
      <c r="Y780" s="92" t="e">
        <v>#N/A</v>
      </c>
      <c r="Z780" s="94" t="e">
        <v>#N/A</v>
      </c>
    </row>
    <row r="781" spans="22:26" x14ac:dyDescent="0.2">
      <c r="V781" s="123" t="str">
        <f t="shared" si="22"/>
        <v>1w</v>
      </c>
      <c r="W781" s="82">
        <f>_xll.qlCalendarAdvance(Calendar,W780,V781,"f",FALSE)</f>
        <v>44348</v>
      </c>
      <c r="X781" s="91">
        <f>_xll.qlCalendarAdvance(Calendar,W781,NDays&amp;"D")</f>
        <v>44348</v>
      </c>
      <c r="Y781" s="92" t="e">
        <v>#N/A</v>
      </c>
      <c r="Z781" s="94" t="e">
        <v>#N/A</v>
      </c>
    </row>
    <row r="782" spans="22:26" x14ac:dyDescent="0.2">
      <c r="V782" s="123" t="str">
        <f t="shared" si="22"/>
        <v>1w</v>
      </c>
      <c r="W782" s="82">
        <f>_xll.qlCalendarAdvance(Calendar,W781,V782,"f",FALSE)</f>
        <v>44355</v>
      </c>
      <c r="X782" s="91">
        <f>_xll.qlCalendarAdvance(Calendar,W782,NDays&amp;"D")</f>
        <v>44355</v>
      </c>
      <c r="Y782" s="92" t="e">
        <v>#N/A</v>
      </c>
      <c r="Z782" s="94" t="e">
        <v>#N/A</v>
      </c>
    </row>
    <row r="783" spans="22:26" x14ac:dyDescent="0.2">
      <c r="V783" s="123" t="str">
        <f t="shared" si="22"/>
        <v>1w</v>
      </c>
      <c r="W783" s="82">
        <f>_xll.qlCalendarAdvance(Calendar,W782,V783,"f",FALSE)</f>
        <v>44362</v>
      </c>
      <c r="X783" s="91">
        <f>_xll.qlCalendarAdvance(Calendar,W783,NDays&amp;"D")</f>
        <v>44362</v>
      </c>
      <c r="Y783" s="92" t="e">
        <v>#N/A</v>
      </c>
      <c r="Z783" s="94" t="e">
        <v>#N/A</v>
      </c>
    </row>
    <row r="784" spans="22:26" x14ac:dyDescent="0.2">
      <c r="V784" s="123" t="str">
        <f t="shared" si="22"/>
        <v>1w</v>
      </c>
      <c r="W784" s="82">
        <f>_xll.qlCalendarAdvance(Calendar,W783,V784,"f",FALSE)</f>
        <v>44369</v>
      </c>
      <c r="X784" s="91">
        <f>_xll.qlCalendarAdvance(Calendar,W784,NDays&amp;"D")</f>
        <v>44369</v>
      </c>
      <c r="Y784" s="92" t="e">
        <v>#N/A</v>
      </c>
      <c r="Z784" s="94" t="e">
        <v>#N/A</v>
      </c>
    </row>
    <row r="785" spans="22:26" x14ac:dyDescent="0.2">
      <c r="V785" s="123" t="str">
        <f t="shared" si="22"/>
        <v>1w</v>
      </c>
      <c r="W785" s="82">
        <f>_xll.qlCalendarAdvance(Calendar,W784,V785,"f",FALSE)</f>
        <v>44376</v>
      </c>
      <c r="X785" s="91">
        <f>_xll.qlCalendarAdvance(Calendar,W785,NDays&amp;"D")</f>
        <v>44376</v>
      </c>
      <c r="Y785" s="92" t="e">
        <v>#N/A</v>
      </c>
      <c r="Z785" s="94" t="e">
        <v>#N/A</v>
      </c>
    </row>
    <row r="786" spans="22:26" x14ac:dyDescent="0.2">
      <c r="V786" s="123" t="str">
        <f t="shared" si="22"/>
        <v>1w</v>
      </c>
      <c r="W786" s="82">
        <f>_xll.qlCalendarAdvance(Calendar,W785,V786,"f",FALSE)</f>
        <v>44383</v>
      </c>
      <c r="X786" s="91">
        <f>_xll.qlCalendarAdvance(Calendar,W786,NDays&amp;"D")</f>
        <v>44383</v>
      </c>
      <c r="Y786" s="92" t="e">
        <v>#N/A</v>
      </c>
      <c r="Z786" s="94" t="e">
        <v>#N/A</v>
      </c>
    </row>
    <row r="787" spans="22:26" x14ac:dyDescent="0.2">
      <c r="V787" s="123" t="str">
        <f t="shared" si="22"/>
        <v>1w</v>
      </c>
      <c r="W787" s="82">
        <f>_xll.qlCalendarAdvance(Calendar,W786,V787,"f",FALSE)</f>
        <v>44390</v>
      </c>
      <c r="X787" s="91">
        <f>_xll.qlCalendarAdvance(Calendar,W787,NDays&amp;"D")</f>
        <v>44390</v>
      </c>
      <c r="Y787" s="92" t="e">
        <v>#N/A</v>
      </c>
      <c r="Z787" s="94" t="e">
        <v>#N/A</v>
      </c>
    </row>
    <row r="788" spans="22:26" x14ac:dyDescent="0.2">
      <c r="V788" s="123" t="str">
        <f t="shared" si="22"/>
        <v>1w</v>
      </c>
      <c r="W788" s="82">
        <f>_xll.qlCalendarAdvance(Calendar,W787,V788,"f",FALSE)</f>
        <v>44397</v>
      </c>
      <c r="X788" s="91">
        <f>_xll.qlCalendarAdvance(Calendar,W788,NDays&amp;"D")</f>
        <v>44397</v>
      </c>
      <c r="Y788" s="92" t="e">
        <v>#N/A</v>
      </c>
      <c r="Z788" s="94" t="e">
        <v>#N/A</v>
      </c>
    </row>
    <row r="789" spans="22:26" x14ac:dyDescent="0.2">
      <c r="V789" s="123" t="str">
        <f t="shared" ref="V789:V852" si="23">V788</f>
        <v>1w</v>
      </c>
      <c r="W789" s="82">
        <f>_xll.qlCalendarAdvance(Calendar,W788,V789,"f",FALSE)</f>
        <v>44404</v>
      </c>
      <c r="X789" s="91">
        <f>_xll.qlCalendarAdvance(Calendar,W789,NDays&amp;"D")</f>
        <v>44404</v>
      </c>
      <c r="Y789" s="92" t="e">
        <v>#N/A</v>
      </c>
      <c r="Z789" s="94" t="e">
        <v>#N/A</v>
      </c>
    </row>
    <row r="790" spans="22:26" x14ac:dyDescent="0.2">
      <c r="V790" s="123" t="str">
        <f t="shared" si="23"/>
        <v>1w</v>
      </c>
      <c r="W790" s="82">
        <f>_xll.qlCalendarAdvance(Calendar,W789,V790,"f",FALSE)</f>
        <v>44411</v>
      </c>
      <c r="X790" s="91">
        <f>_xll.qlCalendarAdvance(Calendar,W790,NDays&amp;"D")</f>
        <v>44411</v>
      </c>
      <c r="Y790" s="92" t="e">
        <v>#N/A</v>
      </c>
      <c r="Z790" s="94" t="e">
        <v>#N/A</v>
      </c>
    </row>
    <row r="791" spans="22:26" x14ac:dyDescent="0.2">
      <c r="V791" s="123" t="str">
        <f t="shared" si="23"/>
        <v>1w</v>
      </c>
      <c r="W791" s="82">
        <f>_xll.qlCalendarAdvance(Calendar,W790,V791,"f",FALSE)</f>
        <v>44418</v>
      </c>
      <c r="X791" s="91">
        <f>_xll.qlCalendarAdvance(Calendar,W791,NDays&amp;"D")</f>
        <v>44418</v>
      </c>
      <c r="Y791" s="92" t="e">
        <v>#N/A</v>
      </c>
      <c r="Z791" s="94" t="e">
        <v>#N/A</v>
      </c>
    </row>
    <row r="792" spans="22:26" x14ac:dyDescent="0.2">
      <c r="V792" s="123" t="str">
        <f t="shared" si="23"/>
        <v>1w</v>
      </c>
      <c r="W792" s="82">
        <f>_xll.qlCalendarAdvance(Calendar,W791,V792,"f",FALSE)</f>
        <v>44425</v>
      </c>
      <c r="X792" s="91">
        <f>_xll.qlCalendarAdvance(Calendar,W792,NDays&amp;"D")</f>
        <v>44425</v>
      </c>
      <c r="Y792" s="92" t="e">
        <v>#N/A</v>
      </c>
      <c r="Z792" s="94" t="e">
        <v>#N/A</v>
      </c>
    </row>
    <row r="793" spans="22:26" x14ac:dyDescent="0.2">
      <c r="V793" s="123" t="str">
        <f t="shared" si="23"/>
        <v>1w</v>
      </c>
      <c r="W793" s="82">
        <f>_xll.qlCalendarAdvance(Calendar,W792,V793,"f",FALSE)</f>
        <v>44432</v>
      </c>
      <c r="X793" s="91">
        <f>_xll.qlCalendarAdvance(Calendar,W793,NDays&amp;"D")</f>
        <v>44432</v>
      </c>
      <c r="Y793" s="92" t="e">
        <v>#N/A</v>
      </c>
      <c r="Z793" s="94" t="e">
        <v>#N/A</v>
      </c>
    </row>
    <row r="794" spans="22:26" x14ac:dyDescent="0.2">
      <c r="V794" s="123" t="str">
        <f t="shared" si="23"/>
        <v>1w</v>
      </c>
      <c r="W794" s="82">
        <f>_xll.qlCalendarAdvance(Calendar,W793,V794,"f",FALSE)</f>
        <v>44439</v>
      </c>
      <c r="X794" s="91">
        <f>_xll.qlCalendarAdvance(Calendar,W794,NDays&amp;"D")</f>
        <v>44439</v>
      </c>
      <c r="Y794" s="92" t="e">
        <v>#N/A</v>
      </c>
      <c r="Z794" s="94" t="e">
        <v>#N/A</v>
      </c>
    </row>
    <row r="795" spans="22:26" x14ac:dyDescent="0.2">
      <c r="V795" s="123" t="str">
        <f t="shared" si="23"/>
        <v>1w</v>
      </c>
      <c r="W795" s="82">
        <f>_xll.qlCalendarAdvance(Calendar,W794,V795,"f",FALSE)</f>
        <v>44446</v>
      </c>
      <c r="X795" s="91">
        <f>_xll.qlCalendarAdvance(Calendar,W795,NDays&amp;"D")</f>
        <v>44446</v>
      </c>
      <c r="Y795" s="92" t="e">
        <v>#N/A</v>
      </c>
      <c r="Z795" s="94" t="e">
        <v>#N/A</v>
      </c>
    </row>
    <row r="796" spans="22:26" x14ac:dyDescent="0.2">
      <c r="V796" s="123" t="str">
        <f t="shared" si="23"/>
        <v>1w</v>
      </c>
      <c r="W796" s="82">
        <f>_xll.qlCalendarAdvance(Calendar,W795,V796,"f",FALSE)</f>
        <v>44453</v>
      </c>
      <c r="X796" s="91">
        <f>_xll.qlCalendarAdvance(Calendar,W796,NDays&amp;"D")</f>
        <v>44453</v>
      </c>
      <c r="Y796" s="92" t="e">
        <v>#N/A</v>
      </c>
      <c r="Z796" s="94" t="e">
        <v>#N/A</v>
      </c>
    </row>
    <row r="797" spans="22:26" x14ac:dyDescent="0.2">
      <c r="V797" s="123" t="str">
        <f t="shared" si="23"/>
        <v>1w</v>
      </c>
      <c r="W797" s="82">
        <f>_xll.qlCalendarAdvance(Calendar,W796,V797,"f",FALSE)</f>
        <v>44460</v>
      </c>
      <c r="X797" s="91">
        <f>_xll.qlCalendarAdvance(Calendar,W797,NDays&amp;"D")</f>
        <v>44460</v>
      </c>
      <c r="Y797" s="92" t="e">
        <v>#N/A</v>
      </c>
      <c r="Z797" s="94" t="e">
        <v>#N/A</v>
      </c>
    </row>
    <row r="798" spans="22:26" x14ac:dyDescent="0.2">
      <c r="V798" s="123" t="str">
        <f t="shared" si="23"/>
        <v>1w</v>
      </c>
      <c r="W798" s="82">
        <f>_xll.qlCalendarAdvance(Calendar,W797,V798,"f",FALSE)</f>
        <v>44467</v>
      </c>
      <c r="X798" s="91">
        <f>_xll.qlCalendarAdvance(Calendar,W798,NDays&amp;"D")</f>
        <v>44467</v>
      </c>
      <c r="Y798" s="92" t="e">
        <v>#N/A</v>
      </c>
      <c r="Z798" s="94" t="e">
        <v>#N/A</v>
      </c>
    </row>
    <row r="799" spans="22:26" x14ac:dyDescent="0.2">
      <c r="V799" s="123" t="str">
        <f t="shared" si="23"/>
        <v>1w</v>
      </c>
      <c r="W799" s="82">
        <f>_xll.qlCalendarAdvance(Calendar,W798,V799,"f",FALSE)</f>
        <v>44474</v>
      </c>
      <c r="X799" s="91">
        <f>_xll.qlCalendarAdvance(Calendar,W799,NDays&amp;"D")</f>
        <v>44474</v>
      </c>
      <c r="Y799" s="92" t="e">
        <v>#N/A</v>
      </c>
      <c r="Z799" s="94" t="e">
        <v>#N/A</v>
      </c>
    </row>
    <row r="800" spans="22:26" x14ac:dyDescent="0.2">
      <c r="V800" s="123" t="str">
        <f t="shared" si="23"/>
        <v>1w</v>
      </c>
      <c r="W800" s="82">
        <f>_xll.qlCalendarAdvance(Calendar,W799,V800,"f",FALSE)</f>
        <v>44481</v>
      </c>
      <c r="X800" s="91">
        <f>_xll.qlCalendarAdvance(Calendar,W800,NDays&amp;"D")</f>
        <v>44481</v>
      </c>
      <c r="Y800" s="92" t="e">
        <v>#N/A</v>
      </c>
      <c r="Z800" s="94" t="e">
        <v>#N/A</v>
      </c>
    </row>
    <row r="801" spans="22:26" x14ac:dyDescent="0.2">
      <c r="V801" s="123" t="str">
        <f t="shared" si="23"/>
        <v>1w</v>
      </c>
      <c r="W801" s="82">
        <f>_xll.qlCalendarAdvance(Calendar,W800,V801,"f",FALSE)</f>
        <v>44488</v>
      </c>
      <c r="X801" s="91">
        <f>_xll.qlCalendarAdvance(Calendar,W801,NDays&amp;"D")</f>
        <v>44488</v>
      </c>
      <c r="Y801" s="92" t="e">
        <v>#N/A</v>
      </c>
      <c r="Z801" s="94" t="e">
        <v>#N/A</v>
      </c>
    </row>
    <row r="802" spans="22:26" x14ac:dyDescent="0.2">
      <c r="V802" s="123" t="str">
        <f t="shared" si="23"/>
        <v>1w</v>
      </c>
      <c r="W802" s="82">
        <f>_xll.qlCalendarAdvance(Calendar,W801,V802,"f",FALSE)</f>
        <v>44495</v>
      </c>
      <c r="X802" s="91">
        <f>_xll.qlCalendarAdvance(Calendar,W802,NDays&amp;"D")</f>
        <v>44495</v>
      </c>
      <c r="Y802" s="92" t="e">
        <v>#N/A</v>
      </c>
      <c r="Z802" s="94" t="e">
        <v>#N/A</v>
      </c>
    </row>
    <row r="803" spans="22:26" x14ac:dyDescent="0.2">
      <c r="V803" s="123" t="str">
        <f t="shared" si="23"/>
        <v>1w</v>
      </c>
      <c r="W803" s="82">
        <f>_xll.qlCalendarAdvance(Calendar,W802,V803,"f",FALSE)</f>
        <v>44502</v>
      </c>
      <c r="X803" s="91">
        <f>_xll.qlCalendarAdvance(Calendar,W803,NDays&amp;"D")</f>
        <v>44502</v>
      </c>
      <c r="Y803" s="92" t="e">
        <v>#N/A</v>
      </c>
      <c r="Z803" s="94" t="e">
        <v>#N/A</v>
      </c>
    </row>
    <row r="804" spans="22:26" x14ac:dyDescent="0.2">
      <c r="V804" s="123" t="str">
        <f t="shared" si="23"/>
        <v>1w</v>
      </c>
      <c r="W804" s="82">
        <f>_xll.qlCalendarAdvance(Calendar,W803,V804,"f",FALSE)</f>
        <v>44509</v>
      </c>
      <c r="X804" s="91">
        <f>_xll.qlCalendarAdvance(Calendar,W804,NDays&amp;"D")</f>
        <v>44509</v>
      </c>
      <c r="Y804" s="92" t="e">
        <v>#N/A</v>
      </c>
      <c r="Z804" s="94" t="e">
        <v>#N/A</v>
      </c>
    </row>
    <row r="805" spans="22:26" x14ac:dyDescent="0.2">
      <c r="V805" s="123" t="str">
        <f t="shared" si="23"/>
        <v>1w</v>
      </c>
      <c r="W805" s="82">
        <f>_xll.qlCalendarAdvance(Calendar,W804,V805,"f",FALSE)</f>
        <v>44516</v>
      </c>
      <c r="X805" s="91">
        <f>_xll.qlCalendarAdvance(Calendar,W805,NDays&amp;"D")</f>
        <v>44516</v>
      </c>
      <c r="Y805" s="92" t="e">
        <v>#N/A</v>
      </c>
      <c r="Z805" s="94" t="e">
        <v>#N/A</v>
      </c>
    </row>
    <row r="806" spans="22:26" x14ac:dyDescent="0.2">
      <c r="V806" s="123" t="str">
        <f t="shared" si="23"/>
        <v>1w</v>
      </c>
      <c r="W806" s="82">
        <f>_xll.qlCalendarAdvance(Calendar,W805,V806,"f",FALSE)</f>
        <v>44523</v>
      </c>
      <c r="X806" s="91">
        <f>_xll.qlCalendarAdvance(Calendar,W806,NDays&amp;"D")</f>
        <v>44523</v>
      </c>
      <c r="Y806" s="92" t="e">
        <v>#N/A</v>
      </c>
      <c r="Z806" s="94" t="e">
        <v>#N/A</v>
      </c>
    </row>
    <row r="807" spans="22:26" x14ac:dyDescent="0.2">
      <c r="V807" s="123" t="str">
        <f t="shared" si="23"/>
        <v>1w</v>
      </c>
      <c r="W807" s="82">
        <f>_xll.qlCalendarAdvance(Calendar,W806,V807,"f",FALSE)</f>
        <v>44530</v>
      </c>
      <c r="X807" s="91">
        <f>_xll.qlCalendarAdvance(Calendar,W807,NDays&amp;"D")</f>
        <v>44530</v>
      </c>
      <c r="Y807" s="92" t="e">
        <v>#N/A</v>
      </c>
      <c r="Z807" s="94" t="e">
        <v>#N/A</v>
      </c>
    </row>
    <row r="808" spans="22:26" x14ac:dyDescent="0.2">
      <c r="V808" s="123" t="str">
        <f t="shared" si="23"/>
        <v>1w</v>
      </c>
      <c r="W808" s="82">
        <f>_xll.qlCalendarAdvance(Calendar,W807,V808,"f",FALSE)</f>
        <v>44537</v>
      </c>
      <c r="X808" s="91">
        <f>_xll.qlCalendarAdvance(Calendar,W808,NDays&amp;"D")</f>
        <v>44537</v>
      </c>
      <c r="Y808" s="92" t="e">
        <v>#N/A</v>
      </c>
      <c r="Z808" s="94" t="e">
        <v>#N/A</v>
      </c>
    </row>
    <row r="809" spans="22:26" x14ac:dyDescent="0.2">
      <c r="V809" s="123" t="str">
        <f t="shared" si="23"/>
        <v>1w</v>
      </c>
      <c r="W809" s="82">
        <f>_xll.qlCalendarAdvance(Calendar,W808,V809,"f",FALSE)</f>
        <v>44544</v>
      </c>
      <c r="X809" s="91">
        <f>_xll.qlCalendarAdvance(Calendar,W809,NDays&amp;"D")</f>
        <v>44544</v>
      </c>
      <c r="Y809" s="92" t="e">
        <v>#N/A</v>
      </c>
      <c r="Z809" s="94" t="e">
        <v>#N/A</v>
      </c>
    </row>
    <row r="810" spans="22:26" x14ac:dyDescent="0.2">
      <c r="V810" s="123" t="str">
        <f t="shared" si="23"/>
        <v>1w</v>
      </c>
      <c r="W810" s="82">
        <f>_xll.qlCalendarAdvance(Calendar,W809,V810,"f",FALSE)</f>
        <v>44551</v>
      </c>
      <c r="X810" s="91">
        <f>_xll.qlCalendarAdvance(Calendar,W810,NDays&amp;"D")</f>
        <v>44551</v>
      </c>
      <c r="Y810" s="92" t="e">
        <v>#N/A</v>
      </c>
      <c r="Z810" s="94" t="e">
        <v>#N/A</v>
      </c>
    </row>
    <row r="811" spans="22:26" x14ac:dyDescent="0.2">
      <c r="V811" s="123" t="str">
        <f t="shared" si="23"/>
        <v>1w</v>
      </c>
      <c r="W811" s="82">
        <f>_xll.qlCalendarAdvance(Calendar,W810,V811,"f",FALSE)</f>
        <v>44558</v>
      </c>
      <c r="X811" s="91">
        <f>_xll.qlCalendarAdvance(Calendar,W811,NDays&amp;"D")</f>
        <v>44558</v>
      </c>
      <c r="Y811" s="92" t="e">
        <v>#N/A</v>
      </c>
      <c r="Z811" s="94" t="e">
        <v>#N/A</v>
      </c>
    </row>
    <row r="812" spans="22:26" x14ac:dyDescent="0.2">
      <c r="V812" s="123" t="str">
        <f t="shared" si="23"/>
        <v>1w</v>
      </c>
      <c r="W812" s="82">
        <f>_xll.qlCalendarAdvance(Calendar,W811,V812,"f",FALSE)</f>
        <v>44565</v>
      </c>
      <c r="X812" s="91">
        <f>_xll.qlCalendarAdvance(Calendar,W812,NDays&amp;"D")</f>
        <v>44565</v>
      </c>
      <c r="Y812" s="92" t="e">
        <v>#N/A</v>
      </c>
      <c r="Z812" s="94" t="e">
        <v>#N/A</v>
      </c>
    </row>
    <row r="813" spans="22:26" x14ac:dyDescent="0.2">
      <c r="V813" s="123" t="str">
        <f t="shared" si="23"/>
        <v>1w</v>
      </c>
      <c r="W813" s="82">
        <f>_xll.qlCalendarAdvance(Calendar,W812,V813,"f",FALSE)</f>
        <v>44572</v>
      </c>
      <c r="X813" s="91">
        <f>_xll.qlCalendarAdvance(Calendar,W813,NDays&amp;"D")</f>
        <v>44572</v>
      </c>
      <c r="Y813" s="92" t="e">
        <v>#N/A</v>
      </c>
      <c r="Z813" s="94" t="e">
        <v>#N/A</v>
      </c>
    </row>
    <row r="814" spans="22:26" x14ac:dyDescent="0.2">
      <c r="V814" s="123" t="str">
        <f t="shared" si="23"/>
        <v>1w</v>
      </c>
      <c r="W814" s="82">
        <f>_xll.qlCalendarAdvance(Calendar,W813,V814,"f",FALSE)</f>
        <v>44579</v>
      </c>
      <c r="X814" s="91">
        <f>_xll.qlCalendarAdvance(Calendar,W814,NDays&amp;"D")</f>
        <v>44579</v>
      </c>
      <c r="Y814" s="92" t="e">
        <v>#N/A</v>
      </c>
      <c r="Z814" s="94" t="e">
        <v>#N/A</v>
      </c>
    </row>
    <row r="815" spans="22:26" x14ac:dyDescent="0.2">
      <c r="V815" s="123" t="str">
        <f t="shared" si="23"/>
        <v>1w</v>
      </c>
      <c r="W815" s="82">
        <f>_xll.qlCalendarAdvance(Calendar,W814,V815,"f",FALSE)</f>
        <v>44586</v>
      </c>
      <c r="X815" s="91">
        <f>_xll.qlCalendarAdvance(Calendar,W815,NDays&amp;"D")</f>
        <v>44586</v>
      </c>
      <c r="Y815" s="92" t="e">
        <v>#N/A</v>
      </c>
      <c r="Z815" s="94" t="e">
        <v>#N/A</v>
      </c>
    </row>
    <row r="816" spans="22:26" x14ac:dyDescent="0.2">
      <c r="V816" s="123" t="str">
        <f t="shared" si="23"/>
        <v>1w</v>
      </c>
      <c r="W816" s="82">
        <f>_xll.qlCalendarAdvance(Calendar,W815,V816,"f",FALSE)</f>
        <v>44593</v>
      </c>
      <c r="X816" s="91">
        <f>_xll.qlCalendarAdvance(Calendar,W816,NDays&amp;"D")</f>
        <v>44593</v>
      </c>
      <c r="Y816" s="92" t="e">
        <v>#N/A</v>
      </c>
      <c r="Z816" s="94" t="e">
        <v>#N/A</v>
      </c>
    </row>
    <row r="817" spans="22:26" x14ac:dyDescent="0.2">
      <c r="V817" s="123" t="str">
        <f t="shared" si="23"/>
        <v>1w</v>
      </c>
      <c r="W817" s="82">
        <f>_xll.qlCalendarAdvance(Calendar,W816,V817,"f",FALSE)</f>
        <v>44600</v>
      </c>
      <c r="X817" s="91">
        <f>_xll.qlCalendarAdvance(Calendar,W817,NDays&amp;"D")</f>
        <v>44600</v>
      </c>
      <c r="Y817" s="92" t="e">
        <v>#N/A</v>
      </c>
      <c r="Z817" s="94" t="e">
        <v>#N/A</v>
      </c>
    </row>
    <row r="818" spans="22:26" x14ac:dyDescent="0.2">
      <c r="V818" s="123" t="str">
        <f t="shared" si="23"/>
        <v>1w</v>
      </c>
      <c r="W818" s="82">
        <f>_xll.qlCalendarAdvance(Calendar,W817,V818,"f",FALSE)</f>
        <v>44607</v>
      </c>
      <c r="X818" s="91">
        <f>_xll.qlCalendarAdvance(Calendar,W818,NDays&amp;"D")</f>
        <v>44607</v>
      </c>
      <c r="Y818" s="92" t="e">
        <v>#N/A</v>
      </c>
      <c r="Z818" s="94" t="e">
        <v>#N/A</v>
      </c>
    </row>
    <row r="819" spans="22:26" x14ac:dyDescent="0.2">
      <c r="V819" s="123" t="str">
        <f t="shared" si="23"/>
        <v>1w</v>
      </c>
      <c r="W819" s="82">
        <f>_xll.qlCalendarAdvance(Calendar,W818,V819,"f",FALSE)</f>
        <v>44614</v>
      </c>
      <c r="X819" s="91">
        <f>_xll.qlCalendarAdvance(Calendar,W819,NDays&amp;"D")</f>
        <v>44614</v>
      </c>
      <c r="Y819" s="92" t="e">
        <v>#N/A</v>
      </c>
      <c r="Z819" s="94" t="e">
        <v>#N/A</v>
      </c>
    </row>
    <row r="820" spans="22:26" x14ac:dyDescent="0.2">
      <c r="V820" s="123" t="str">
        <f t="shared" si="23"/>
        <v>1w</v>
      </c>
      <c r="W820" s="82">
        <f>_xll.qlCalendarAdvance(Calendar,W819,V820,"f",FALSE)</f>
        <v>44621</v>
      </c>
      <c r="X820" s="91">
        <f>_xll.qlCalendarAdvance(Calendar,W820,NDays&amp;"D")</f>
        <v>44621</v>
      </c>
      <c r="Y820" s="92" t="e">
        <v>#N/A</v>
      </c>
      <c r="Z820" s="94" t="e">
        <v>#N/A</v>
      </c>
    </row>
    <row r="821" spans="22:26" x14ac:dyDescent="0.2">
      <c r="V821" s="123" t="str">
        <f t="shared" si="23"/>
        <v>1w</v>
      </c>
      <c r="W821" s="82">
        <f>_xll.qlCalendarAdvance(Calendar,W820,V821,"f",FALSE)</f>
        <v>44628</v>
      </c>
      <c r="X821" s="91">
        <f>_xll.qlCalendarAdvance(Calendar,W821,NDays&amp;"D")</f>
        <v>44628</v>
      </c>
      <c r="Y821" s="92" t="e">
        <v>#N/A</v>
      </c>
      <c r="Z821" s="94" t="e">
        <v>#N/A</v>
      </c>
    </row>
    <row r="822" spans="22:26" x14ac:dyDescent="0.2">
      <c r="V822" s="123" t="str">
        <f t="shared" si="23"/>
        <v>1w</v>
      </c>
      <c r="W822" s="82">
        <f>_xll.qlCalendarAdvance(Calendar,W821,V822,"f",FALSE)</f>
        <v>44635</v>
      </c>
      <c r="X822" s="91">
        <f>_xll.qlCalendarAdvance(Calendar,W822,NDays&amp;"D")</f>
        <v>44635</v>
      </c>
      <c r="Y822" s="92" t="e">
        <v>#N/A</v>
      </c>
      <c r="Z822" s="94" t="e">
        <v>#N/A</v>
      </c>
    </row>
    <row r="823" spans="22:26" x14ac:dyDescent="0.2">
      <c r="V823" s="123" t="str">
        <f t="shared" si="23"/>
        <v>1w</v>
      </c>
      <c r="W823" s="82">
        <f>_xll.qlCalendarAdvance(Calendar,W822,V823,"f",FALSE)</f>
        <v>44642</v>
      </c>
      <c r="X823" s="91">
        <f>_xll.qlCalendarAdvance(Calendar,W823,NDays&amp;"D")</f>
        <v>44642</v>
      </c>
      <c r="Y823" s="92" t="e">
        <v>#N/A</v>
      </c>
      <c r="Z823" s="94" t="e">
        <v>#N/A</v>
      </c>
    </row>
    <row r="824" spans="22:26" x14ac:dyDescent="0.2">
      <c r="V824" s="123" t="str">
        <f t="shared" si="23"/>
        <v>1w</v>
      </c>
      <c r="W824" s="82">
        <f>_xll.qlCalendarAdvance(Calendar,W823,V824,"f",FALSE)</f>
        <v>44649</v>
      </c>
      <c r="X824" s="91">
        <f>_xll.qlCalendarAdvance(Calendar,W824,NDays&amp;"D")</f>
        <v>44649</v>
      </c>
      <c r="Y824" s="92" t="e">
        <v>#N/A</v>
      </c>
      <c r="Z824" s="94" t="e">
        <v>#N/A</v>
      </c>
    </row>
    <row r="825" spans="22:26" x14ac:dyDescent="0.2">
      <c r="V825" s="123" t="str">
        <f t="shared" si="23"/>
        <v>1w</v>
      </c>
      <c r="W825" s="82">
        <f>_xll.qlCalendarAdvance(Calendar,W824,V825,"f",FALSE)</f>
        <v>44656</v>
      </c>
      <c r="X825" s="91">
        <f>_xll.qlCalendarAdvance(Calendar,W825,NDays&amp;"D")</f>
        <v>44656</v>
      </c>
      <c r="Y825" s="92" t="e">
        <v>#N/A</v>
      </c>
      <c r="Z825" s="94" t="e">
        <v>#N/A</v>
      </c>
    </row>
    <row r="826" spans="22:26" x14ac:dyDescent="0.2">
      <c r="V826" s="123" t="str">
        <f t="shared" si="23"/>
        <v>1w</v>
      </c>
      <c r="W826" s="82">
        <f>_xll.qlCalendarAdvance(Calendar,W825,V826,"f",FALSE)</f>
        <v>44663</v>
      </c>
      <c r="X826" s="91">
        <f>_xll.qlCalendarAdvance(Calendar,W826,NDays&amp;"D")</f>
        <v>44663</v>
      </c>
      <c r="Y826" s="92" t="e">
        <v>#N/A</v>
      </c>
      <c r="Z826" s="94" t="e">
        <v>#N/A</v>
      </c>
    </row>
    <row r="827" spans="22:26" x14ac:dyDescent="0.2">
      <c r="V827" s="123" t="str">
        <f t="shared" si="23"/>
        <v>1w</v>
      </c>
      <c r="W827" s="82">
        <f>_xll.qlCalendarAdvance(Calendar,W826,V827,"f",FALSE)</f>
        <v>44670</v>
      </c>
      <c r="X827" s="91">
        <f>_xll.qlCalendarAdvance(Calendar,W827,NDays&amp;"D")</f>
        <v>44670</v>
      </c>
      <c r="Y827" s="92" t="e">
        <v>#N/A</v>
      </c>
      <c r="Z827" s="94" t="e">
        <v>#N/A</v>
      </c>
    </row>
    <row r="828" spans="22:26" x14ac:dyDescent="0.2">
      <c r="V828" s="123" t="str">
        <f t="shared" si="23"/>
        <v>1w</v>
      </c>
      <c r="W828" s="82">
        <f>_xll.qlCalendarAdvance(Calendar,W827,V828,"f",FALSE)</f>
        <v>44677</v>
      </c>
      <c r="X828" s="91">
        <f>_xll.qlCalendarAdvance(Calendar,W828,NDays&amp;"D")</f>
        <v>44677</v>
      </c>
      <c r="Y828" s="92" t="e">
        <v>#N/A</v>
      </c>
      <c r="Z828" s="94" t="e">
        <v>#N/A</v>
      </c>
    </row>
    <row r="829" spans="22:26" x14ac:dyDescent="0.2">
      <c r="V829" s="123" t="str">
        <f t="shared" si="23"/>
        <v>1w</v>
      </c>
      <c r="W829" s="82">
        <f>_xll.qlCalendarAdvance(Calendar,W828,V829,"f",FALSE)</f>
        <v>44684</v>
      </c>
      <c r="X829" s="91">
        <f>_xll.qlCalendarAdvance(Calendar,W829,NDays&amp;"D")</f>
        <v>44684</v>
      </c>
      <c r="Y829" s="92" t="e">
        <v>#N/A</v>
      </c>
      <c r="Z829" s="94" t="e">
        <v>#N/A</v>
      </c>
    </row>
    <row r="830" spans="22:26" x14ac:dyDescent="0.2">
      <c r="V830" s="123" t="str">
        <f t="shared" si="23"/>
        <v>1w</v>
      </c>
      <c r="W830" s="82">
        <f>_xll.qlCalendarAdvance(Calendar,W829,V830,"f",FALSE)</f>
        <v>44691</v>
      </c>
      <c r="X830" s="91">
        <f>_xll.qlCalendarAdvance(Calendar,W830,NDays&amp;"D")</f>
        <v>44691</v>
      </c>
      <c r="Y830" s="92" t="e">
        <v>#N/A</v>
      </c>
      <c r="Z830" s="94" t="e">
        <v>#N/A</v>
      </c>
    </row>
    <row r="831" spans="22:26" x14ac:dyDescent="0.2">
      <c r="V831" s="123" t="str">
        <f t="shared" si="23"/>
        <v>1w</v>
      </c>
      <c r="W831" s="82">
        <f>_xll.qlCalendarAdvance(Calendar,W830,V831,"f",FALSE)</f>
        <v>44698</v>
      </c>
      <c r="X831" s="91">
        <f>_xll.qlCalendarAdvance(Calendar,W831,NDays&amp;"D")</f>
        <v>44698</v>
      </c>
      <c r="Y831" s="92" t="e">
        <v>#N/A</v>
      </c>
      <c r="Z831" s="94" t="e">
        <v>#N/A</v>
      </c>
    </row>
    <row r="832" spans="22:26" x14ac:dyDescent="0.2">
      <c r="V832" s="123" t="str">
        <f t="shared" si="23"/>
        <v>1w</v>
      </c>
      <c r="W832" s="82">
        <f>_xll.qlCalendarAdvance(Calendar,W831,V832,"f",FALSE)</f>
        <v>44705</v>
      </c>
      <c r="X832" s="91">
        <f>_xll.qlCalendarAdvance(Calendar,W832,NDays&amp;"D")</f>
        <v>44705</v>
      </c>
      <c r="Y832" s="92" t="e">
        <v>#N/A</v>
      </c>
      <c r="Z832" s="94" t="e">
        <v>#N/A</v>
      </c>
    </row>
    <row r="833" spans="22:26" x14ac:dyDescent="0.2">
      <c r="V833" s="123" t="str">
        <f t="shared" si="23"/>
        <v>1w</v>
      </c>
      <c r="W833" s="82">
        <f>_xll.qlCalendarAdvance(Calendar,W832,V833,"f",FALSE)</f>
        <v>44712</v>
      </c>
      <c r="X833" s="91">
        <f>_xll.qlCalendarAdvance(Calendar,W833,NDays&amp;"D")</f>
        <v>44712</v>
      </c>
      <c r="Y833" s="92" t="e">
        <v>#N/A</v>
      </c>
      <c r="Z833" s="94" t="e">
        <v>#N/A</v>
      </c>
    </row>
    <row r="834" spans="22:26" x14ac:dyDescent="0.2">
      <c r="V834" s="123" t="str">
        <f t="shared" si="23"/>
        <v>1w</v>
      </c>
      <c r="W834" s="82">
        <f>_xll.qlCalendarAdvance(Calendar,W833,V834,"f",FALSE)</f>
        <v>44719</v>
      </c>
      <c r="X834" s="91">
        <f>_xll.qlCalendarAdvance(Calendar,W834,NDays&amp;"D")</f>
        <v>44719</v>
      </c>
      <c r="Y834" s="92" t="e">
        <v>#N/A</v>
      </c>
      <c r="Z834" s="94" t="e">
        <v>#N/A</v>
      </c>
    </row>
    <row r="835" spans="22:26" x14ac:dyDescent="0.2">
      <c r="V835" s="123" t="str">
        <f t="shared" si="23"/>
        <v>1w</v>
      </c>
      <c r="W835" s="82">
        <f>_xll.qlCalendarAdvance(Calendar,W834,V835,"f",FALSE)</f>
        <v>44726</v>
      </c>
      <c r="X835" s="91">
        <f>_xll.qlCalendarAdvance(Calendar,W835,NDays&amp;"D")</f>
        <v>44726</v>
      </c>
      <c r="Y835" s="92" t="e">
        <v>#N/A</v>
      </c>
      <c r="Z835" s="94" t="e">
        <v>#N/A</v>
      </c>
    </row>
    <row r="836" spans="22:26" x14ac:dyDescent="0.2">
      <c r="V836" s="123" t="str">
        <f t="shared" si="23"/>
        <v>1w</v>
      </c>
      <c r="W836" s="82">
        <f>_xll.qlCalendarAdvance(Calendar,W835,V836,"f",FALSE)</f>
        <v>44733</v>
      </c>
      <c r="X836" s="91">
        <f>_xll.qlCalendarAdvance(Calendar,W836,NDays&amp;"D")</f>
        <v>44733</v>
      </c>
      <c r="Y836" s="92" t="e">
        <v>#N/A</v>
      </c>
      <c r="Z836" s="94" t="e">
        <v>#N/A</v>
      </c>
    </row>
    <row r="837" spans="22:26" x14ac:dyDescent="0.2">
      <c r="V837" s="123" t="str">
        <f t="shared" si="23"/>
        <v>1w</v>
      </c>
      <c r="W837" s="82">
        <f>_xll.qlCalendarAdvance(Calendar,W836,V837,"f",FALSE)</f>
        <v>44740</v>
      </c>
      <c r="X837" s="91">
        <f>_xll.qlCalendarAdvance(Calendar,W837,NDays&amp;"D")</f>
        <v>44740</v>
      </c>
      <c r="Y837" s="92" t="e">
        <v>#N/A</v>
      </c>
      <c r="Z837" s="94" t="e">
        <v>#N/A</v>
      </c>
    </row>
    <row r="838" spans="22:26" x14ac:dyDescent="0.2">
      <c r="V838" s="123" t="str">
        <f t="shared" si="23"/>
        <v>1w</v>
      </c>
      <c r="W838" s="82">
        <f>_xll.qlCalendarAdvance(Calendar,W837,V838,"f",FALSE)</f>
        <v>44747</v>
      </c>
      <c r="X838" s="91">
        <f>_xll.qlCalendarAdvance(Calendar,W838,NDays&amp;"D")</f>
        <v>44747</v>
      </c>
      <c r="Y838" s="92" t="e">
        <v>#N/A</v>
      </c>
      <c r="Z838" s="94" t="e">
        <v>#N/A</v>
      </c>
    </row>
    <row r="839" spans="22:26" x14ac:dyDescent="0.2">
      <c r="V839" s="123" t="str">
        <f t="shared" si="23"/>
        <v>1w</v>
      </c>
      <c r="W839" s="82">
        <f>_xll.qlCalendarAdvance(Calendar,W838,V839,"f",FALSE)</f>
        <v>44754</v>
      </c>
      <c r="X839" s="91">
        <f>_xll.qlCalendarAdvance(Calendar,W839,NDays&amp;"D")</f>
        <v>44754</v>
      </c>
      <c r="Y839" s="92" t="e">
        <v>#N/A</v>
      </c>
      <c r="Z839" s="94" t="e">
        <v>#N/A</v>
      </c>
    </row>
    <row r="840" spans="22:26" x14ac:dyDescent="0.2">
      <c r="V840" s="123" t="str">
        <f t="shared" si="23"/>
        <v>1w</v>
      </c>
      <c r="W840" s="82">
        <f>_xll.qlCalendarAdvance(Calendar,W839,V840,"f",FALSE)</f>
        <v>44761</v>
      </c>
      <c r="X840" s="91">
        <f>_xll.qlCalendarAdvance(Calendar,W840,NDays&amp;"D")</f>
        <v>44761</v>
      </c>
      <c r="Y840" s="92" t="e">
        <v>#N/A</v>
      </c>
      <c r="Z840" s="94" t="e">
        <v>#N/A</v>
      </c>
    </row>
    <row r="841" spans="22:26" x14ac:dyDescent="0.2">
      <c r="V841" s="123" t="str">
        <f t="shared" si="23"/>
        <v>1w</v>
      </c>
      <c r="W841" s="82">
        <f>_xll.qlCalendarAdvance(Calendar,W840,V841,"f",FALSE)</f>
        <v>44768</v>
      </c>
      <c r="X841" s="91">
        <f>_xll.qlCalendarAdvance(Calendar,W841,NDays&amp;"D")</f>
        <v>44768</v>
      </c>
      <c r="Y841" s="92" t="e">
        <v>#N/A</v>
      </c>
      <c r="Z841" s="94" t="e">
        <v>#N/A</v>
      </c>
    </row>
    <row r="842" spans="22:26" x14ac:dyDescent="0.2">
      <c r="V842" s="123" t="str">
        <f t="shared" si="23"/>
        <v>1w</v>
      </c>
      <c r="W842" s="82">
        <f>_xll.qlCalendarAdvance(Calendar,W841,V842,"f",FALSE)</f>
        <v>44775</v>
      </c>
      <c r="X842" s="91">
        <f>_xll.qlCalendarAdvance(Calendar,W842,NDays&amp;"D")</f>
        <v>44775</v>
      </c>
      <c r="Y842" s="92" t="e">
        <v>#N/A</v>
      </c>
      <c r="Z842" s="94" t="e">
        <v>#N/A</v>
      </c>
    </row>
    <row r="843" spans="22:26" x14ac:dyDescent="0.2">
      <c r="V843" s="123" t="str">
        <f t="shared" si="23"/>
        <v>1w</v>
      </c>
      <c r="W843" s="82">
        <f>_xll.qlCalendarAdvance(Calendar,W842,V843,"f",FALSE)</f>
        <v>44782</v>
      </c>
      <c r="X843" s="91">
        <f>_xll.qlCalendarAdvance(Calendar,W843,NDays&amp;"D")</f>
        <v>44782</v>
      </c>
      <c r="Y843" s="92" t="e">
        <v>#N/A</v>
      </c>
      <c r="Z843" s="94" t="e">
        <v>#N/A</v>
      </c>
    </row>
    <row r="844" spans="22:26" x14ac:dyDescent="0.2">
      <c r="V844" s="123" t="str">
        <f t="shared" si="23"/>
        <v>1w</v>
      </c>
      <c r="W844" s="82">
        <f>_xll.qlCalendarAdvance(Calendar,W843,V844,"f",FALSE)</f>
        <v>44789</v>
      </c>
      <c r="X844" s="91">
        <f>_xll.qlCalendarAdvance(Calendar,W844,NDays&amp;"D")</f>
        <v>44789</v>
      </c>
      <c r="Y844" s="92" t="e">
        <v>#N/A</v>
      </c>
      <c r="Z844" s="94" t="e">
        <v>#N/A</v>
      </c>
    </row>
    <row r="845" spans="22:26" x14ac:dyDescent="0.2">
      <c r="V845" s="123" t="str">
        <f t="shared" si="23"/>
        <v>1w</v>
      </c>
      <c r="W845" s="82">
        <f>_xll.qlCalendarAdvance(Calendar,W844,V845,"f",FALSE)</f>
        <v>44796</v>
      </c>
      <c r="X845" s="91">
        <f>_xll.qlCalendarAdvance(Calendar,W845,NDays&amp;"D")</f>
        <v>44796</v>
      </c>
      <c r="Y845" s="92" t="e">
        <v>#N/A</v>
      </c>
      <c r="Z845" s="94" t="e">
        <v>#N/A</v>
      </c>
    </row>
    <row r="846" spans="22:26" x14ac:dyDescent="0.2">
      <c r="V846" s="123" t="str">
        <f t="shared" si="23"/>
        <v>1w</v>
      </c>
      <c r="W846" s="82">
        <f>_xll.qlCalendarAdvance(Calendar,W845,V846,"f",FALSE)</f>
        <v>44803</v>
      </c>
      <c r="X846" s="91">
        <f>_xll.qlCalendarAdvance(Calendar,W846,NDays&amp;"D")</f>
        <v>44803</v>
      </c>
      <c r="Y846" s="92" t="e">
        <v>#N/A</v>
      </c>
      <c r="Z846" s="94" t="e">
        <v>#N/A</v>
      </c>
    </row>
    <row r="847" spans="22:26" x14ac:dyDescent="0.2">
      <c r="V847" s="123" t="str">
        <f t="shared" si="23"/>
        <v>1w</v>
      </c>
      <c r="W847" s="82">
        <f>_xll.qlCalendarAdvance(Calendar,W846,V847,"f",FALSE)</f>
        <v>44810</v>
      </c>
      <c r="X847" s="91">
        <f>_xll.qlCalendarAdvance(Calendar,W847,NDays&amp;"D")</f>
        <v>44810</v>
      </c>
      <c r="Y847" s="92" t="e">
        <v>#N/A</v>
      </c>
      <c r="Z847" s="94" t="e">
        <v>#N/A</v>
      </c>
    </row>
    <row r="848" spans="22:26" x14ac:dyDescent="0.2">
      <c r="V848" s="123" t="str">
        <f t="shared" si="23"/>
        <v>1w</v>
      </c>
      <c r="W848" s="82">
        <f>_xll.qlCalendarAdvance(Calendar,W847,V848,"f",FALSE)</f>
        <v>44817</v>
      </c>
      <c r="X848" s="91">
        <f>_xll.qlCalendarAdvance(Calendar,W848,NDays&amp;"D")</f>
        <v>44817</v>
      </c>
      <c r="Y848" s="92" t="e">
        <v>#N/A</v>
      </c>
      <c r="Z848" s="94" t="e">
        <v>#N/A</v>
      </c>
    </row>
    <row r="849" spans="22:26" x14ac:dyDescent="0.2">
      <c r="V849" s="123" t="str">
        <f t="shared" si="23"/>
        <v>1w</v>
      </c>
      <c r="W849" s="82">
        <f>_xll.qlCalendarAdvance(Calendar,W848,V849,"f",FALSE)</f>
        <v>44824</v>
      </c>
      <c r="X849" s="91">
        <f>_xll.qlCalendarAdvance(Calendar,W849,NDays&amp;"D")</f>
        <v>44824</v>
      </c>
      <c r="Y849" s="92" t="e">
        <v>#N/A</v>
      </c>
      <c r="Z849" s="94" t="e">
        <v>#N/A</v>
      </c>
    </row>
    <row r="850" spans="22:26" x14ac:dyDescent="0.2">
      <c r="V850" s="123" t="str">
        <f t="shared" si="23"/>
        <v>1w</v>
      </c>
      <c r="W850" s="82">
        <f>_xll.qlCalendarAdvance(Calendar,W849,V850,"f",FALSE)</f>
        <v>44831</v>
      </c>
      <c r="X850" s="91">
        <f>_xll.qlCalendarAdvance(Calendar,W850,NDays&amp;"D")</f>
        <v>44831</v>
      </c>
      <c r="Y850" s="92" t="e">
        <v>#N/A</v>
      </c>
      <c r="Z850" s="94" t="e">
        <v>#N/A</v>
      </c>
    </row>
    <row r="851" spans="22:26" x14ac:dyDescent="0.2">
      <c r="V851" s="123" t="str">
        <f t="shared" si="23"/>
        <v>1w</v>
      </c>
      <c r="W851" s="82">
        <f>_xll.qlCalendarAdvance(Calendar,W850,V851,"f",FALSE)</f>
        <v>44838</v>
      </c>
      <c r="X851" s="91">
        <f>_xll.qlCalendarAdvance(Calendar,W851,NDays&amp;"D")</f>
        <v>44838</v>
      </c>
      <c r="Y851" s="92" t="e">
        <v>#N/A</v>
      </c>
      <c r="Z851" s="94" t="e">
        <v>#N/A</v>
      </c>
    </row>
    <row r="852" spans="22:26" x14ac:dyDescent="0.2">
      <c r="V852" s="123" t="str">
        <f t="shared" si="23"/>
        <v>1w</v>
      </c>
      <c r="W852" s="82">
        <f>_xll.qlCalendarAdvance(Calendar,W851,V852,"f",FALSE)</f>
        <v>44845</v>
      </c>
      <c r="X852" s="91">
        <f>_xll.qlCalendarAdvance(Calendar,W852,NDays&amp;"D")</f>
        <v>44845</v>
      </c>
      <c r="Y852" s="92" t="e">
        <v>#N/A</v>
      </c>
      <c r="Z852" s="94" t="e">
        <v>#N/A</v>
      </c>
    </row>
    <row r="853" spans="22:26" x14ac:dyDescent="0.2">
      <c r="V853" s="123" t="str">
        <f t="shared" ref="V853:V916" si="24">V852</f>
        <v>1w</v>
      </c>
      <c r="W853" s="82">
        <f>_xll.qlCalendarAdvance(Calendar,W852,V853,"f",FALSE)</f>
        <v>44852</v>
      </c>
      <c r="X853" s="91">
        <f>_xll.qlCalendarAdvance(Calendar,W853,NDays&amp;"D")</f>
        <v>44852</v>
      </c>
      <c r="Y853" s="92" t="e">
        <v>#N/A</v>
      </c>
      <c r="Z853" s="94" t="e">
        <v>#N/A</v>
      </c>
    </row>
    <row r="854" spans="22:26" x14ac:dyDescent="0.2">
      <c r="V854" s="123" t="str">
        <f t="shared" si="24"/>
        <v>1w</v>
      </c>
      <c r="W854" s="82">
        <f>_xll.qlCalendarAdvance(Calendar,W853,V854,"f",FALSE)</f>
        <v>44859</v>
      </c>
      <c r="X854" s="91">
        <f>_xll.qlCalendarAdvance(Calendar,W854,NDays&amp;"D")</f>
        <v>44859</v>
      </c>
      <c r="Y854" s="92" t="e">
        <v>#N/A</v>
      </c>
      <c r="Z854" s="94" t="e">
        <v>#N/A</v>
      </c>
    </row>
    <row r="855" spans="22:26" x14ac:dyDescent="0.2">
      <c r="V855" s="123" t="str">
        <f t="shared" si="24"/>
        <v>1w</v>
      </c>
      <c r="W855" s="82">
        <f>_xll.qlCalendarAdvance(Calendar,W854,V855,"f",FALSE)</f>
        <v>44866</v>
      </c>
      <c r="X855" s="91">
        <f>_xll.qlCalendarAdvance(Calendar,W855,NDays&amp;"D")</f>
        <v>44866</v>
      </c>
      <c r="Y855" s="92" t="e">
        <v>#N/A</v>
      </c>
      <c r="Z855" s="94" t="e">
        <v>#N/A</v>
      </c>
    </row>
    <row r="856" spans="22:26" x14ac:dyDescent="0.2">
      <c r="V856" s="123" t="str">
        <f t="shared" si="24"/>
        <v>1w</v>
      </c>
      <c r="W856" s="82">
        <f>_xll.qlCalendarAdvance(Calendar,W855,V856,"f",FALSE)</f>
        <v>44873</v>
      </c>
      <c r="X856" s="91">
        <f>_xll.qlCalendarAdvance(Calendar,W856,NDays&amp;"D")</f>
        <v>44873</v>
      </c>
      <c r="Y856" s="92" t="e">
        <v>#N/A</v>
      </c>
      <c r="Z856" s="94" t="e">
        <v>#N/A</v>
      </c>
    </row>
    <row r="857" spans="22:26" x14ac:dyDescent="0.2">
      <c r="V857" s="123" t="str">
        <f t="shared" si="24"/>
        <v>1w</v>
      </c>
      <c r="W857" s="82">
        <f>_xll.qlCalendarAdvance(Calendar,W856,V857,"f",FALSE)</f>
        <v>44880</v>
      </c>
      <c r="X857" s="91">
        <f>_xll.qlCalendarAdvance(Calendar,W857,NDays&amp;"D")</f>
        <v>44880</v>
      </c>
      <c r="Y857" s="92" t="e">
        <v>#N/A</v>
      </c>
      <c r="Z857" s="94" t="e">
        <v>#N/A</v>
      </c>
    </row>
    <row r="858" spans="22:26" x14ac:dyDescent="0.2">
      <c r="V858" s="123" t="str">
        <f t="shared" si="24"/>
        <v>1w</v>
      </c>
      <c r="W858" s="82">
        <f>_xll.qlCalendarAdvance(Calendar,W857,V858,"f",FALSE)</f>
        <v>44887</v>
      </c>
      <c r="X858" s="91">
        <f>_xll.qlCalendarAdvance(Calendar,W858,NDays&amp;"D")</f>
        <v>44887</v>
      </c>
      <c r="Y858" s="92" t="e">
        <v>#N/A</v>
      </c>
      <c r="Z858" s="94" t="e">
        <v>#N/A</v>
      </c>
    </row>
    <row r="859" spans="22:26" x14ac:dyDescent="0.2">
      <c r="V859" s="123" t="str">
        <f t="shared" si="24"/>
        <v>1w</v>
      </c>
      <c r="W859" s="82">
        <f>_xll.qlCalendarAdvance(Calendar,W858,V859,"f",FALSE)</f>
        <v>44894</v>
      </c>
      <c r="X859" s="91">
        <f>_xll.qlCalendarAdvance(Calendar,W859,NDays&amp;"D")</f>
        <v>44894</v>
      </c>
      <c r="Y859" s="92" t="e">
        <v>#N/A</v>
      </c>
      <c r="Z859" s="94" t="e">
        <v>#N/A</v>
      </c>
    </row>
    <row r="860" spans="22:26" x14ac:dyDescent="0.2">
      <c r="V860" s="123" t="str">
        <f t="shared" si="24"/>
        <v>1w</v>
      </c>
      <c r="W860" s="82">
        <f>_xll.qlCalendarAdvance(Calendar,W859,V860,"f",FALSE)</f>
        <v>44901</v>
      </c>
      <c r="X860" s="91">
        <f>_xll.qlCalendarAdvance(Calendar,W860,NDays&amp;"D")</f>
        <v>44901</v>
      </c>
      <c r="Y860" s="92" t="e">
        <v>#N/A</v>
      </c>
      <c r="Z860" s="94" t="e">
        <v>#N/A</v>
      </c>
    </row>
    <row r="861" spans="22:26" x14ac:dyDescent="0.2">
      <c r="V861" s="123" t="str">
        <f t="shared" si="24"/>
        <v>1w</v>
      </c>
      <c r="W861" s="82">
        <f>_xll.qlCalendarAdvance(Calendar,W860,V861,"f",FALSE)</f>
        <v>44908</v>
      </c>
      <c r="X861" s="91">
        <f>_xll.qlCalendarAdvance(Calendar,W861,NDays&amp;"D")</f>
        <v>44908</v>
      </c>
      <c r="Y861" s="92" t="e">
        <v>#N/A</v>
      </c>
      <c r="Z861" s="94" t="e">
        <v>#N/A</v>
      </c>
    </row>
    <row r="862" spans="22:26" x14ac:dyDescent="0.2">
      <c r="V862" s="123" t="str">
        <f t="shared" si="24"/>
        <v>1w</v>
      </c>
      <c r="W862" s="82">
        <f>_xll.qlCalendarAdvance(Calendar,W861,V862,"f",FALSE)</f>
        <v>44915</v>
      </c>
      <c r="X862" s="91">
        <f>_xll.qlCalendarAdvance(Calendar,W862,NDays&amp;"D")</f>
        <v>44915</v>
      </c>
      <c r="Y862" s="92" t="e">
        <v>#N/A</v>
      </c>
      <c r="Z862" s="94" t="e">
        <v>#N/A</v>
      </c>
    </row>
    <row r="863" spans="22:26" x14ac:dyDescent="0.2">
      <c r="V863" s="123" t="str">
        <f t="shared" si="24"/>
        <v>1w</v>
      </c>
      <c r="W863" s="82">
        <f>_xll.qlCalendarAdvance(Calendar,W862,V863,"f",FALSE)</f>
        <v>44922</v>
      </c>
      <c r="X863" s="91">
        <f>_xll.qlCalendarAdvance(Calendar,W863,NDays&amp;"D")</f>
        <v>44922</v>
      </c>
      <c r="Y863" s="92" t="e">
        <v>#N/A</v>
      </c>
      <c r="Z863" s="94" t="e">
        <v>#N/A</v>
      </c>
    </row>
    <row r="864" spans="22:26" x14ac:dyDescent="0.2">
      <c r="V864" s="123" t="str">
        <f t="shared" si="24"/>
        <v>1w</v>
      </c>
      <c r="W864" s="82">
        <f>_xll.qlCalendarAdvance(Calendar,W863,V864,"f",FALSE)</f>
        <v>44929</v>
      </c>
      <c r="X864" s="91">
        <f>_xll.qlCalendarAdvance(Calendar,W864,NDays&amp;"D")</f>
        <v>44929</v>
      </c>
      <c r="Y864" s="92" t="e">
        <v>#N/A</v>
      </c>
      <c r="Z864" s="94" t="e">
        <v>#N/A</v>
      </c>
    </row>
    <row r="865" spans="22:26" x14ac:dyDescent="0.2">
      <c r="V865" s="123" t="str">
        <f t="shared" si="24"/>
        <v>1w</v>
      </c>
      <c r="W865" s="82">
        <f>_xll.qlCalendarAdvance(Calendar,W864,V865,"f",FALSE)</f>
        <v>44936</v>
      </c>
      <c r="X865" s="91">
        <f>_xll.qlCalendarAdvance(Calendar,W865,NDays&amp;"D")</f>
        <v>44936</v>
      </c>
      <c r="Y865" s="92" t="e">
        <v>#N/A</v>
      </c>
      <c r="Z865" s="94" t="e">
        <v>#N/A</v>
      </c>
    </row>
    <row r="866" spans="22:26" x14ac:dyDescent="0.2">
      <c r="V866" s="123" t="str">
        <f t="shared" si="24"/>
        <v>1w</v>
      </c>
      <c r="W866" s="82">
        <f>_xll.qlCalendarAdvance(Calendar,W865,V866,"f",FALSE)</f>
        <v>44943</v>
      </c>
      <c r="X866" s="91">
        <f>_xll.qlCalendarAdvance(Calendar,W866,NDays&amp;"D")</f>
        <v>44943</v>
      </c>
      <c r="Y866" s="92" t="e">
        <v>#N/A</v>
      </c>
      <c r="Z866" s="94" t="e">
        <v>#N/A</v>
      </c>
    </row>
    <row r="867" spans="22:26" x14ac:dyDescent="0.2">
      <c r="V867" s="123" t="str">
        <f t="shared" si="24"/>
        <v>1w</v>
      </c>
      <c r="W867" s="82">
        <f>_xll.qlCalendarAdvance(Calendar,W866,V867,"f",FALSE)</f>
        <v>44950</v>
      </c>
      <c r="X867" s="91">
        <f>_xll.qlCalendarAdvance(Calendar,W867,NDays&amp;"D")</f>
        <v>44950</v>
      </c>
      <c r="Y867" s="92" t="e">
        <v>#N/A</v>
      </c>
      <c r="Z867" s="94" t="e">
        <v>#N/A</v>
      </c>
    </row>
    <row r="868" spans="22:26" x14ac:dyDescent="0.2">
      <c r="V868" s="123" t="str">
        <f t="shared" si="24"/>
        <v>1w</v>
      </c>
      <c r="W868" s="82">
        <f>_xll.qlCalendarAdvance(Calendar,W867,V868,"f",FALSE)</f>
        <v>44957</v>
      </c>
      <c r="X868" s="91">
        <f>_xll.qlCalendarAdvance(Calendar,W868,NDays&amp;"D")</f>
        <v>44957</v>
      </c>
      <c r="Y868" s="92" t="e">
        <v>#N/A</v>
      </c>
      <c r="Z868" s="94" t="e">
        <v>#N/A</v>
      </c>
    </row>
    <row r="869" spans="22:26" x14ac:dyDescent="0.2">
      <c r="V869" s="123" t="str">
        <f t="shared" si="24"/>
        <v>1w</v>
      </c>
      <c r="W869" s="82">
        <f>_xll.qlCalendarAdvance(Calendar,W868,V869,"f",FALSE)</f>
        <v>44964</v>
      </c>
      <c r="X869" s="91">
        <f>_xll.qlCalendarAdvance(Calendar,W869,NDays&amp;"D")</f>
        <v>44964</v>
      </c>
      <c r="Y869" s="92" t="e">
        <v>#N/A</v>
      </c>
      <c r="Z869" s="94" t="e">
        <v>#N/A</v>
      </c>
    </row>
    <row r="870" spans="22:26" x14ac:dyDescent="0.2">
      <c r="V870" s="123" t="str">
        <f t="shared" si="24"/>
        <v>1w</v>
      </c>
      <c r="W870" s="82">
        <f>_xll.qlCalendarAdvance(Calendar,W869,V870,"f",FALSE)</f>
        <v>44971</v>
      </c>
      <c r="X870" s="91">
        <f>_xll.qlCalendarAdvance(Calendar,W870,NDays&amp;"D")</f>
        <v>44971</v>
      </c>
      <c r="Y870" s="92" t="e">
        <v>#N/A</v>
      </c>
      <c r="Z870" s="94" t="e">
        <v>#N/A</v>
      </c>
    </row>
    <row r="871" spans="22:26" x14ac:dyDescent="0.2">
      <c r="V871" s="123" t="str">
        <f t="shared" si="24"/>
        <v>1w</v>
      </c>
      <c r="W871" s="82">
        <f>_xll.qlCalendarAdvance(Calendar,W870,V871,"f",FALSE)</f>
        <v>44978</v>
      </c>
      <c r="X871" s="91">
        <f>_xll.qlCalendarAdvance(Calendar,W871,NDays&amp;"D")</f>
        <v>44978</v>
      </c>
      <c r="Y871" s="92" t="e">
        <v>#N/A</v>
      </c>
      <c r="Z871" s="94" t="e">
        <v>#N/A</v>
      </c>
    </row>
    <row r="872" spans="22:26" x14ac:dyDescent="0.2">
      <c r="V872" s="123" t="str">
        <f t="shared" si="24"/>
        <v>1w</v>
      </c>
      <c r="W872" s="82">
        <f>_xll.qlCalendarAdvance(Calendar,W871,V872,"f",FALSE)</f>
        <v>44985</v>
      </c>
      <c r="X872" s="91">
        <f>_xll.qlCalendarAdvance(Calendar,W872,NDays&amp;"D")</f>
        <v>44985</v>
      </c>
      <c r="Y872" s="92" t="e">
        <v>#N/A</v>
      </c>
      <c r="Z872" s="94" t="e">
        <v>#N/A</v>
      </c>
    </row>
    <row r="873" spans="22:26" x14ac:dyDescent="0.2">
      <c r="V873" s="123" t="str">
        <f t="shared" si="24"/>
        <v>1w</v>
      </c>
      <c r="W873" s="82">
        <f>_xll.qlCalendarAdvance(Calendar,W872,V873,"f",FALSE)</f>
        <v>44992</v>
      </c>
      <c r="X873" s="91">
        <f>_xll.qlCalendarAdvance(Calendar,W873,NDays&amp;"D")</f>
        <v>44992</v>
      </c>
      <c r="Y873" s="92" t="e">
        <v>#N/A</v>
      </c>
      <c r="Z873" s="94" t="e">
        <v>#N/A</v>
      </c>
    </row>
    <row r="874" spans="22:26" x14ac:dyDescent="0.2">
      <c r="V874" s="123" t="str">
        <f t="shared" si="24"/>
        <v>1w</v>
      </c>
      <c r="W874" s="82">
        <f>_xll.qlCalendarAdvance(Calendar,W873,V874,"f",FALSE)</f>
        <v>44999</v>
      </c>
      <c r="X874" s="91">
        <f>_xll.qlCalendarAdvance(Calendar,W874,NDays&amp;"D")</f>
        <v>44999</v>
      </c>
      <c r="Y874" s="92" t="e">
        <v>#N/A</v>
      </c>
      <c r="Z874" s="94" t="e">
        <v>#N/A</v>
      </c>
    </row>
    <row r="875" spans="22:26" x14ac:dyDescent="0.2">
      <c r="V875" s="123" t="str">
        <f t="shared" si="24"/>
        <v>1w</v>
      </c>
      <c r="W875" s="82">
        <f>_xll.qlCalendarAdvance(Calendar,W874,V875,"f",FALSE)</f>
        <v>45006</v>
      </c>
      <c r="X875" s="91">
        <f>_xll.qlCalendarAdvance(Calendar,W875,NDays&amp;"D")</f>
        <v>45006</v>
      </c>
      <c r="Y875" s="92" t="e">
        <v>#N/A</v>
      </c>
      <c r="Z875" s="94" t="e">
        <v>#N/A</v>
      </c>
    </row>
    <row r="876" spans="22:26" x14ac:dyDescent="0.2">
      <c r="V876" s="123" t="str">
        <f t="shared" si="24"/>
        <v>1w</v>
      </c>
      <c r="W876" s="82">
        <f>_xll.qlCalendarAdvance(Calendar,W875,V876,"f",FALSE)</f>
        <v>45013</v>
      </c>
      <c r="X876" s="91">
        <f>_xll.qlCalendarAdvance(Calendar,W876,NDays&amp;"D")</f>
        <v>45013</v>
      </c>
      <c r="Y876" s="92" t="e">
        <v>#N/A</v>
      </c>
      <c r="Z876" s="94" t="e">
        <v>#N/A</v>
      </c>
    </row>
    <row r="877" spans="22:26" x14ac:dyDescent="0.2">
      <c r="V877" s="123" t="str">
        <f t="shared" si="24"/>
        <v>1w</v>
      </c>
      <c r="W877" s="82">
        <f>_xll.qlCalendarAdvance(Calendar,W876,V877,"f",FALSE)</f>
        <v>45020</v>
      </c>
      <c r="X877" s="91">
        <f>_xll.qlCalendarAdvance(Calendar,W877,NDays&amp;"D")</f>
        <v>45020</v>
      </c>
      <c r="Y877" s="92" t="e">
        <v>#N/A</v>
      </c>
      <c r="Z877" s="94" t="e">
        <v>#N/A</v>
      </c>
    </row>
    <row r="878" spans="22:26" x14ac:dyDescent="0.2">
      <c r="V878" s="123" t="str">
        <f t="shared" si="24"/>
        <v>1w</v>
      </c>
      <c r="W878" s="82">
        <f>_xll.qlCalendarAdvance(Calendar,W877,V878,"f",FALSE)</f>
        <v>45027</v>
      </c>
      <c r="X878" s="91">
        <f>_xll.qlCalendarAdvance(Calendar,W878,NDays&amp;"D")</f>
        <v>45027</v>
      </c>
      <c r="Y878" s="92" t="e">
        <v>#N/A</v>
      </c>
      <c r="Z878" s="94" t="e">
        <v>#N/A</v>
      </c>
    </row>
    <row r="879" spans="22:26" x14ac:dyDescent="0.2">
      <c r="V879" s="123" t="str">
        <f t="shared" si="24"/>
        <v>1w</v>
      </c>
      <c r="W879" s="82">
        <f>_xll.qlCalendarAdvance(Calendar,W878,V879,"f",FALSE)</f>
        <v>45034</v>
      </c>
      <c r="X879" s="91">
        <f>_xll.qlCalendarAdvance(Calendar,W879,NDays&amp;"D")</f>
        <v>45034</v>
      </c>
      <c r="Y879" s="92" t="e">
        <v>#N/A</v>
      </c>
      <c r="Z879" s="94" t="e">
        <v>#N/A</v>
      </c>
    </row>
    <row r="880" spans="22:26" x14ac:dyDescent="0.2">
      <c r="V880" s="123" t="str">
        <f t="shared" si="24"/>
        <v>1w</v>
      </c>
      <c r="W880" s="82">
        <f>_xll.qlCalendarAdvance(Calendar,W879,V880,"f",FALSE)</f>
        <v>45041</v>
      </c>
      <c r="X880" s="91">
        <f>_xll.qlCalendarAdvance(Calendar,W880,NDays&amp;"D")</f>
        <v>45041</v>
      </c>
      <c r="Y880" s="92" t="e">
        <v>#N/A</v>
      </c>
      <c r="Z880" s="94" t="e">
        <v>#N/A</v>
      </c>
    </row>
    <row r="881" spans="22:26" x14ac:dyDescent="0.2">
      <c r="V881" s="123" t="str">
        <f t="shared" si="24"/>
        <v>1w</v>
      </c>
      <c r="W881" s="82">
        <f>_xll.qlCalendarAdvance(Calendar,W880,V881,"f",FALSE)</f>
        <v>45048</v>
      </c>
      <c r="X881" s="91">
        <f>_xll.qlCalendarAdvance(Calendar,W881,NDays&amp;"D")</f>
        <v>45048</v>
      </c>
      <c r="Y881" s="92" t="e">
        <v>#N/A</v>
      </c>
      <c r="Z881" s="94" t="e">
        <v>#N/A</v>
      </c>
    </row>
    <row r="882" spans="22:26" x14ac:dyDescent="0.2">
      <c r="V882" s="123" t="str">
        <f t="shared" si="24"/>
        <v>1w</v>
      </c>
      <c r="W882" s="82">
        <f>_xll.qlCalendarAdvance(Calendar,W881,V882,"f",FALSE)</f>
        <v>45055</v>
      </c>
      <c r="X882" s="91">
        <f>_xll.qlCalendarAdvance(Calendar,W882,NDays&amp;"D")</f>
        <v>45055</v>
      </c>
      <c r="Y882" s="92" t="e">
        <v>#N/A</v>
      </c>
      <c r="Z882" s="94" t="e">
        <v>#N/A</v>
      </c>
    </row>
    <row r="883" spans="22:26" x14ac:dyDescent="0.2">
      <c r="V883" s="123" t="str">
        <f t="shared" si="24"/>
        <v>1w</v>
      </c>
      <c r="W883" s="82">
        <f>_xll.qlCalendarAdvance(Calendar,W882,V883,"f",FALSE)</f>
        <v>45062</v>
      </c>
      <c r="X883" s="91">
        <f>_xll.qlCalendarAdvance(Calendar,W883,NDays&amp;"D")</f>
        <v>45062</v>
      </c>
      <c r="Y883" s="92" t="e">
        <v>#N/A</v>
      </c>
      <c r="Z883" s="94" t="e">
        <v>#N/A</v>
      </c>
    </row>
    <row r="884" spans="22:26" x14ac:dyDescent="0.2">
      <c r="V884" s="123" t="str">
        <f t="shared" si="24"/>
        <v>1w</v>
      </c>
      <c r="W884" s="82">
        <f>_xll.qlCalendarAdvance(Calendar,W883,V884,"f",FALSE)</f>
        <v>45069</v>
      </c>
      <c r="X884" s="91">
        <f>_xll.qlCalendarAdvance(Calendar,W884,NDays&amp;"D")</f>
        <v>45069</v>
      </c>
      <c r="Y884" s="92" t="e">
        <v>#N/A</v>
      </c>
      <c r="Z884" s="94" t="e">
        <v>#N/A</v>
      </c>
    </row>
    <row r="885" spans="22:26" x14ac:dyDescent="0.2">
      <c r="V885" s="123" t="str">
        <f t="shared" si="24"/>
        <v>1w</v>
      </c>
      <c r="W885" s="82">
        <f>_xll.qlCalendarAdvance(Calendar,W884,V885,"f",FALSE)</f>
        <v>45076</v>
      </c>
      <c r="X885" s="91">
        <f>_xll.qlCalendarAdvance(Calendar,W885,NDays&amp;"D")</f>
        <v>45076</v>
      </c>
      <c r="Y885" s="92" t="e">
        <v>#N/A</v>
      </c>
      <c r="Z885" s="94" t="e">
        <v>#N/A</v>
      </c>
    </row>
    <row r="886" spans="22:26" x14ac:dyDescent="0.2">
      <c r="V886" s="123" t="str">
        <f t="shared" si="24"/>
        <v>1w</v>
      </c>
      <c r="W886" s="82">
        <f>_xll.qlCalendarAdvance(Calendar,W885,V886,"f",FALSE)</f>
        <v>45083</v>
      </c>
      <c r="X886" s="91">
        <f>_xll.qlCalendarAdvance(Calendar,W886,NDays&amp;"D")</f>
        <v>45083</v>
      </c>
      <c r="Y886" s="92" t="e">
        <v>#N/A</v>
      </c>
      <c r="Z886" s="94" t="e">
        <v>#N/A</v>
      </c>
    </row>
    <row r="887" spans="22:26" x14ac:dyDescent="0.2">
      <c r="V887" s="123" t="str">
        <f t="shared" si="24"/>
        <v>1w</v>
      </c>
      <c r="W887" s="82">
        <f>_xll.qlCalendarAdvance(Calendar,W886,V887,"f",FALSE)</f>
        <v>45090</v>
      </c>
      <c r="X887" s="91">
        <f>_xll.qlCalendarAdvance(Calendar,W887,NDays&amp;"D")</f>
        <v>45090</v>
      </c>
      <c r="Y887" s="92" t="e">
        <v>#N/A</v>
      </c>
      <c r="Z887" s="94" t="e">
        <v>#N/A</v>
      </c>
    </row>
    <row r="888" spans="22:26" x14ac:dyDescent="0.2">
      <c r="V888" s="123" t="str">
        <f t="shared" si="24"/>
        <v>1w</v>
      </c>
      <c r="W888" s="82">
        <f>_xll.qlCalendarAdvance(Calendar,W887,V888,"f",FALSE)</f>
        <v>45097</v>
      </c>
      <c r="X888" s="91">
        <f>_xll.qlCalendarAdvance(Calendar,W888,NDays&amp;"D")</f>
        <v>45097</v>
      </c>
      <c r="Y888" s="92" t="e">
        <v>#N/A</v>
      </c>
      <c r="Z888" s="94" t="e">
        <v>#N/A</v>
      </c>
    </row>
    <row r="889" spans="22:26" x14ac:dyDescent="0.2">
      <c r="V889" s="123" t="str">
        <f t="shared" si="24"/>
        <v>1w</v>
      </c>
      <c r="W889" s="82">
        <f>_xll.qlCalendarAdvance(Calendar,W888,V889,"f",FALSE)</f>
        <v>45104</v>
      </c>
      <c r="X889" s="91">
        <f>_xll.qlCalendarAdvance(Calendar,W889,NDays&amp;"D")</f>
        <v>45104</v>
      </c>
      <c r="Y889" s="92" t="e">
        <v>#N/A</v>
      </c>
      <c r="Z889" s="94" t="e">
        <v>#N/A</v>
      </c>
    </row>
    <row r="890" spans="22:26" x14ac:dyDescent="0.2">
      <c r="V890" s="123" t="str">
        <f t="shared" si="24"/>
        <v>1w</v>
      </c>
      <c r="W890" s="82">
        <f>_xll.qlCalendarAdvance(Calendar,W889,V890,"f",FALSE)</f>
        <v>45111</v>
      </c>
      <c r="X890" s="91">
        <f>_xll.qlCalendarAdvance(Calendar,W890,NDays&amp;"D")</f>
        <v>45111</v>
      </c>
      <c r="Y890" s="92" t="e">
        <v>#N/A</v>
      </c>
      <c r="Z890" s="94" t="e">
        <v>#N/A</v>
      </c>
    </row>
    <row r="891" spans="22:26" x14ac:dyDescent="0.2">
      <c r="V891" s="123" t="str">
        <f t="shared" si="24"/>
        <v>1w</v>
      </c>
      <c r="W891" s="82">
        <f>_xll.qlCalendarAdvance(Calendar,W890,V891,"f",FALSE)</f>
        <v>45118</v>
      </c>
      <c r="X891" s="91">
        <f>_xll.qlCalendarAdvance(Calendar,W891,NDays&amp;"D")</f>
        <v>45118</v>
      </c>
      <c r="Y891" s="92" t="e">
        <v>#N/A</v>
      </c>
      <c r="Z891" s="94" t="e">
        <v>#N/A</v>
      </c>
    </row>
    <row r="892" spans="22:26" x14ac:dyDescent="0.2">
      <c r="V892" s="123" t="str">
        <f t="shared" si="24"/>
        <v>1w</v>
      </c>
      <c r="W892" s="82">
        <f>_xll.qlCalendarAdvance(Calendar,W891,V892,"f",FALSE)</f>
        <v>45125</v>
      </c>
      <c r="X892" s="91">
        <f>_xll.qlCalendarAdvance(Calendar,W892,NDays&amp;"D")</f>
        <v>45125</v>
      </c>
      <c r="Y892" s="92" t="e">
        <v>#N/A</v>
      </c>
      <c r="Z892" s="94" t="e">
        <v>#N/A</v>
      </c>
    </row>
    <row r="893" spans="22:26" x14ac:dyDescent="0.2">
      <c r="V893" s="123" t="str">
        <f t="shared" si="24"/>
        <v>1w</v>
      </c>
      <c r="W893" s="82">
        <f>_xll.qlCalendarAdvance(Calendar,W892,V893,"f",FALSE)</f>
        <v>45132</v>
      </c>
      <c r="X893" s="91">
        <f>_xll.qlCalendarAdvance(Calendar,W893,NDays&amp;"D")</f>
        <v>45132</v>
      </c>
      <c r="Y893" s="92" t="e">
        <v>#N/A</v>
      </c>
      <c r="Z893" s="94" t="e">
        <v>#N/A</v>
      </c>
    </row>
    <row r="894" spans="22:26" x14ac:dyDescent="0.2">
      <c r="V894" s="123" t="str">
        <f t="shared" si="24"/>
        <v>1w</v>
      </c>
      <c r="W894" s="82">
        <f>_xll.qlCalendarAdvance(Calendar,W893,V894,"f",FALSE)</f>
        <v>45139</v>
      </c>
      <c r="X894" s="91">
        <f>_xll.qlCalendarAdvance(Calendar,W894,NDays&amp;"D")</f>
        <v>45139</v>
      </c>
      <c r="Y894" s="92" t="e">
        <v>#N/A</v>
      </c>
      <c r="Z894" s="94" t="e">
        <v>#N/A</v>
      </c>
    </row>
    <row r="895" spans="22:26" x14ac:dyDescent="0.2">
      <c r="V895" s="123" t="str">
        <f t="shared" si="24"/>
        <v>1w</v>
      </c>
      <c r="W895" s="82">
        <f>_xll.qlCalendarAdvance(Calendar,W894,V895,"f",FALSE)</f>
        <v>45146</v>
      </c>
      <c r="X895" s="91">
        <f>_xll.qlCalendarAdvance(Calendar,W895,NDays&amp;"D")</f>
        <v>45146</v>
      </c>
      <c r="Y895" s="92" t="e">
        <v>#N/A</v>
      </c>
      <c r="Z895" s="94" t="e">
        <v>#N/A</v>
      </c>
    </row>
    <row r="896" spans="22:26" x14ac:dyDescent="0.2">
      <c r="V896" s="123" t="str">
        <f t="shared" si="24"/>
        <v>1w</v>
      </c>
      <c r="W896" s="82">
        <f>_xll.qlCalendarAdvance(Calendar,W895,V896,"f",FALSE)</f>
        <v>45153</v>
      </c>
      <c r="X896" s="91">
        <f>_xll.qlCalendarAdvance(Calendar,W896,NDays&amp;"D")</f>
        <v>45153</v>
      </c>
      <c r="Y896" s="92" t="e">
        <v>#N/A</v>
      </c>
      <c r="Z896" s="94" t="e">
        <v>#N/A</v>
      </c>
    </row>
    <row r="897" spans="22:26" x14ac:dyDescent="0.2">
      <c r="V897" s="123" t="str">
        <f t="shared" si="24"/>
        <v>1w</v>
      </c>
      <c r="W897" s="82">
        <f>_xll.qlCalendarAdvance(Calendar,W896,V897,"f",FALSE)</f>
        <v>45160</v>
      </c>
      <c r="X897" s="91">
        <f>_xll.qlCalendarAdvance(Calendar,W897,NDays&amp;"D")</f>
        <v>45160</v>
      </c>
      <c r="Y897" s="92" t="e">
        <v>#N/A</v>
      </c>
      <c r="Z897" s="94" t="e">
        <v>#N/A</v>
      </c>
    </row>
    <row r="898" spans="22:26" x14ac:dyDescent="0.2">
      <c r="V898" s="123" t="str">
        <f t="shared" si="24"/>
        <v>1w</v>
      </c>
      <c r="W898" s="82">
        <f>_xll.qlCalendarAdvance(Calendar,W897,V898,"f",FALSE)</f>
        <v>45167</v>
      </c>
      <c r="X898" s="91">
        <f>_xll.qlCalendarAdvance(Calendar,W898,NDays&amp;"D")</f>
        <v>45167</v>
      </c>
      <c r="Y898" s="92" t="e">
        <v>#N/A</v>
      </c>
      <c r="Z898" s="94" t="e">
        <v>#N/A</v>
      </c>
    </row>
    <row r="899" spans="22:26" x14ac:dyDescent="0.2">
      <c r="V899" s="123" t="str">
        <f t="shared" si="24"/>
        <v>1w</v>
      </c>
      <c r="W899" s="82">
        <f>_xll.qlCalendarAdvance(Calendar,W898,V899,"f",FALSE)</f>
        <v>45174</v>
      </c>
      <c r="X899" s="91">
        <f>_xll.qlCalendarAdvance(Calendar,W899,NDays&amp;"D")</f>
        <v>45174</v>
      </c>
      <c r="Y899" s="92" t="e">
        <v>#N/A</v>
      </c>
      <c r="Z899" s="94" t="e">
        <v>#N/A</v>
      </c>
    </row>
    <row r="900" spans="22:26" x14ac:dyDescent="0.2">
      <c r="V900" s="123" t="str">
        <f t="shared" si="24"/>
        <v>1w</v>
      </c>
      <c r="W900" s="82">
        <f>_xll.qlCalendarAdvance(Calendar,W899,V900,"f",FALSE)</f>
        <v>45181</v>
      </c>
      <c r="X900" s="91">
        <f>_xll.qlCalendarAdvance(Calendar,W900,NDays&amp;"D")</f>
        <v>45181</v>
      </c>
      <c r="Y900" s="92" t="e">
        <v>#N/A</v>
      </c>
      <c r="Z900" s="94" t="e">
        <v>#N/A</v>
      </c>
    </row>
    <row r="901" spans="22:26" x14ac:dyDescent="0.2">
      <c r="V901" s="123" t="str">
        <f t="shared" si="24"/>
        <v>1w</v>
      </c>
      <c r="W901" s="82">
        <f>_xll.qlCalendarAdvance(Calendar,W900,V901,"f",FALSE)</f>
        <v>45188</v>
      </c>
      <c r="X901" s="91">
        <f>_xll.qlCalendarAdvance(Calendar,W901,NDays&amp;"D")</f>
        <v>45188</v>
      </c>
      <c r="Y901" s="92" t="e">
        <v>#N/A</v>
      </c>
      <c r="Z901" s="94" t="e">
        <v>#N/A</v>
      </c>
    </row>
    <row r="902" spans="22:26" x14ac:dyDescent="0.2">
      <c r="V902" s="123" t="str">
        <f t="shared" si="24"/>
        <v>1w</v>
      </c>
      <c r="W902" s="82">
        <f>_xll.qlCalendarAdvance(Calendar,W901,V902,"f",FALSE)</f>
        <v>45195</v>
      </c>
      <c r="X902" s="91">
        <f>_xll.qlCalendarAdvance(Calendar,W902,NDays&amp;"D")</f>
        <v>45195</v>
      </c>
      <c r="Y902" s="92" t="e">
        <v>#N/A</v>
      </c>
      <c r="Z902" s="94" t="e">
        <v>#N/A</v>
      </c>
    </row>
    <row r="903" spans="22:26" x14ac:dyDescent="0.2">
      <c r="V903" s="123" t="str">
        <f t="shared" si="24"/>
        <v>1w</v>
      </c>
      <c r="W903" s="82">
        <f>_xll.qlCalendarAdvance(Calendar,W902,V903,"f",FALSE)</f>
        <v>45202</v>
      </c>
      <c r="X903" s="91">
        <f>_xll.qlCalendarAdvance(Calendar,W903,NDays&amp;"D")</f>
        <v>45202</v>
      </c>
      <c r="Y903" s="92" t="e">
        <v>#N/A</v>
      </c>
      <c r="Z903" s="94" t="e">
        <v>#N/A</v>
      </c>
    </row>
    <row r="904" spans="22:26" x14ac:dyDescent="0.2">
      <c r="V904" s="123" t="str">
        <f t="shared" si="24"/>
        <v>1w</v>
      </c>
      <c r="W904" s="82">
        <f>_xll.qlCalendarAdvance(Calendar,W903,V904,"f",FALSE)</f>
        <v>45209</v>
      </c>
      <c r="X904" s="91">
        <f>_xll.qlCalendarAdvance(Calendar,W904,NDays&amp;"D")</f>
        <v>45209</v>
      </c>
      <c r="Y904" s="92" t="e">
        <v>#N/A</v>
      </c>
      <c r="Z904" s="94" t="e">
        <v>#N/A</v>
      </c>
    </row>
    <row r="905" spans="22:26" x14ac:dyDescent="0.2">
      <c r="V905" s="123" t="str">
        <f t="shared" si="24"/>
        <v>1w</v>
      </c>
      <c r="W905" s="82">
        <f>_xll.qlCalendarAdvance(Calendar,W904,V905,"f",FALSE)</f>
        <v>45216</v>
      </c>
      <c r="X905" s="91">
        <f>_xll.qlCalendarAdvance(Calendar,W905,NDays&amp;"D")</f>
        <v>45216</v>
      </c>
      <c r="Y905" s="92" t="e">
        <v>#N/A</v>
      </c>
      <c r="Z905" s="94" t="e">
        <v>#N/A</v>
      </c>
    </row>
    <row r="906" spans="22:26" x14ac:dyDescent="0.2">
      <c r="V906" s="123" t="str">
        <f t="shared" si="24"/>
        <v>1w</v>
      </c>
      <c r="W906" s="82">
        <f>_xll.qlCalendarAdvance(Calendar,W905,V906,"f",FALSE)</f>
        <v>45223</v>
      </c>
      <c r="X906" s="91">
        <f>_xll.qlCalendarAdvance(Calendar,W906,NDays&amp;"D")</f>
        <v>45223</v>
      </c>
      <c r="Y906" s="92" t="e">
        <v>#N/A</v>
      </c>
      <c r="Z906" s="94" t="e">
        <v>#N/A</v>
      </c>
    </row>
    <row r="907" spans="22:26" x14ac:dyDescent="0.2">
      <c r="V907" s="123" t="str">
        <f t="shared" si="24"/>
        <v>1w</v>
      </c>
      <c r="W907" s="82">
        <f>_xll.qlCalendarAdvance(Calendar,W906,V907,"f",FALSE)</f>
        <v>45230</v>
      </c>
      <c r="X907" s="91">
        <f>_xll.qlCalendarAdvance(Calendar,W907,NDays&amp;"D")</f>
        <v>45230</v>
      </c>
      <c r="Y907" s="92" t="e">
        <v>#N/A</v>
      </c>
      <c r="Z907" s="94" t="e">
        <v>#N/A</v>
      </c>
    </row>
    <row r="908" spans="22:26" x14ac:dyDescent="0.2">
      <c r="V908" s="123" t="str">
        <f t="shared" si="24"/>
        <v>1w</v>
      </c>
      <c r="W908" s="82">
        <f>_xll.qlCalendarAdvance(Calendar,W907,V908,"f",FALSE)</f>
        <v>45237</v>
      </c>
      <c r="X908" s="91">
        <f>_xll.qlCalendarAdvance(Calendar,W908,NDays&amp;"D")</f>
        <v>45237</v>
      </c>
      <c r="Y908" s="92" t="e">
        <v>#N/A</v>
      </c>
      <c r="Z908" s="94" t="e">
        <v>#N/A</v>
      </c>
    </row>
    <row r="909" spans="22:26" x14ac:dyDescent="0.2">
      <c r="V909" s="123" t="str">
        <f t="shared" si="24"/>
        <v>1w</v>
      </c>
      <c r="W909" s="82">
        <f>_xll.qlCalendarAdvance(Calendar,W908,V909,"f",FALSE)</f>
        <v>45244</v>
      </c>
      <c r="X909" s="91">
        <f>_xll.qlCalendarAdvance(Calendar,W909,NDays&amp;"D")</f>
        <v>45244</v>
      </c>
      <c r="Y909" s="92" t="e">
        <v>#N/A</v>
      </c>
      <c r="Z909" s="94" t="e">
        <v>#N/A</v>
      </c>
    </row>
    <row r="910" spans="22:26" x14ac:dyDescent="0.2">
      <c r="V910" s="123" t="str">
        <f t="shared" si="24"/>
        <v>1w</v>
      </c>
      <c r="W910" s="82">
        <f>_xll.qlCalendarAdvance(Calendar,W909,V910,"f",FALSE)</f>
        <v>45251</v>
      </c>
      <c r="X910" s="91">
        <f>_xll.qlCalendarAdvance(Calendar,W910,NDays&amp;"D")</f>
        <v>45251</v>
      </c>
      <c r="Y910" s="92" t="e">
        <v>#N/A</v>
      </c>
      <c r="Z910" s="94" t="e">
        <v>#N/A</v>
      </c>
    </row>
    <row r="911" spans="22:26" x14ac:dyDescent="0.2">
      <c r="V911" s="123" t="str">
        <f t="shared" si="24"/>
        <v>1w</v>
      </c>
      <c r="W911" s="82">
        <f>_xll.qlCalendarAdvance(Calendar,W910,V911,"f",FALSE)</f>
        <v>45258</v>
      </c>
      <c r="X911" s="91">
        <f>_xll.qlCalendarAdvance(Calendar,W911,NDays&amp;"D")</f>
        <v>45258</v>
      </c>
      <c r="Y911" s="92" t="e">
        <v>#N/A</v>
      </c>
      <c r="Z911" s="94" t="e">
        <v>#N/A</v>
      </c>
    </row>
    <row r="912" spans="22:26" x14ac:dyDescent="0.2">
      <c r="V912" s="123" t="str">
        <f t="shared" si="24"/>
        <v>1w</v>
      </c>
      <c r="W912" s="82">
        <f>_xll.qlCalendarAdvance(Calendar,W911,V912,"f",FALSE)</f>
        <v>45265</v>
      </c>
      <c r="X912" s="91">
        <f>_xll.qlCalendarAdvance(Calendar,W912,NDays&amp;"D")</f>
        <v>45265</v>
      </c>
      <c r="Y912" s="92" t="e">
        <v>#N/A</v>
      </c>
      <c r="Z912" s="94" t="e">
        <v>#N/A</v>
      </c>
    </row>
    <row r="913" spans="22:26" x14ac:dyDescent="0.2">
      <c r="V913" s="123" t="str">
        <f t="shared" si="24"/>
        <v>1w</v>
      </c>
      <c r="W913" s="82">
        <f>_xll.qlCalendarAdvance(Calendar,W912,V913,"f",FALSE)</f>
        <v>45272</v>
      </c>
      <c r="X913" s="91">
        <f>_xll.qlCalendarAdvance(Calendar,W913,NDays&amp;"D")</f>
        <v>45272</v>
      </c>
      <c r="Y913" s="92" t="e">
        <v>#N/A</v>
      </c>
      <c r="Z913" s="94" t="e">
        <v>#N/A</v>
      </c>
    </row>
    <row r="914" spans="22:26" x14ac:dyDescent="0.2">
      <c r="V914" s="123" t="str">
        <f t="shared" si="24"/>
        <v>1w</v>
      </c>
      <c r="W914" s="82">
        <f>_xll.qlCalendarAdvance(Calendar,W913,V914,"f",FALSE)</f>
        <v>45279</v>
      </c>
      <c r="X914" s="91">
        <f>_xll.qlCalendarAdvance(Calendar,W914,NDays&amp;"D")</f>
        <v>45279</v>
      </c>
      <c r="Y914" s="92" t="e">
        <v>#N/A</v>
      </c>
      <c r="Z914" s="94" t="e">
        <v>#N/A</v>
      </c>
    </row>
    <row r="915" spans="22:26" x14ac:dyDescent="0.2">
      <c r="V915" s="123" t="str">
        <f t="shared" si="24"/>
        <v>1w</v>
      </c>
      <c r="W915" s="82">
        <f>_xll.qlCalendarAdvance(Calendar,W914,V915,"f",FALSE)</f>
        <v>45287</v>
      </c>
      <c r="X915" s="91">
        <f>_xll.qlCalendarAdvance(Calendar,W915,NDays&amp;"D")</f>
        <v>45287</v>
      </c>
      <c r="Y915" s="92" t="e">
        <v>#N/A</v>
      </c>
      <c r="Z915" s="94" t="e">
        <v>#N/A</v>
      </c>
    </row>
    <row r="916" spans="22:26" x14ac:dyDescent="0.2">
      <c r="V916" s="123" t="str">
        <f t="shared" si="24"/>
        <v>1w</v>
      </c>
      <c r="W916" s="82">
        <f>_xll.qlCalendarAdvance(Calendar,W915,V916,"f",FALSE)</f>
        <v>45294</v>
      </c>
      <c r="X916" s="91">
        <f>_xll.qlCalendarAdvance(Calendar,W916,NDays&amp;"D")</f>
        <v>45294</v>
      </c>
      <c r="Y916" s="92" t="e">
        <v>#N/A</v>
      </c>
      <c r="Z916" s="94" t="e">
        <v>#N/A</v>
      </c>
    </row>
    <row r="917" spans="22:26" x14ac:dyDescent="0.2">
      <c r="V917" s="123" t="str">
        <f t="shared" ref="V917:V980" si="25">V916</f>
        <v>1w</v>
      </c>
      <c r="W917" s="82">
        <f>_xll.qlCalendarAdvance(Calendar,W916,V917,"f",FALSE)</f>
        <v>45301</v>
      </c>
      <c r="X917" s="91">
        <f>_xll.qlCalendarAdvance(Calendar,W917,NDays&amp;"D")</f>
        <v>45301</v>
      </c>
      <c r="Y917" s="92" t="e">
        <v>#N/A</v>
      </c>
      <c r="Z917" s="94" t="e">
        <v>#N/A</v>
      </c>
    </row>
    <row r="918" spans="22:26" x14ac:dyDescent="0.2">
      <c r="V918" s="123" t="str">
        <f t="shared" si="25"/>
        <v>1w</v>
      </c>
      <c r="W918" s="82">
        <f>_xll.qlCalendarAdvance(Calendar,W917,V918,"f",FALSE)</f>
        <v>45308</v>
      </c>
      <c r="X918" s="91">
        <f>_xll.qlCalendarAdvance(Calendar,W918,NDays&amp;"D")</f>
        <v>45308</v>
      </c>
      <c r="Y918" s="92" t="e">
        <v>#N/A</v>
      </c>
      <c r="Z918" s="94" t="e">
        <v>#N/A</v>
      </c>
    </row>
    <row r="919" spans="22:26" x14ac:dyDescent="0.2">
      <c r="V919" s="123" t="str">
        <f t="shared" si="25"/>
        <v>1w</v>
      </c>
      <c r="W919" s="82">
        <f>_xll.qlCalendarAdvance(Calendar,W918,V919,"f",FALSE)</f>
        <v>45315</v>
      </c>
      <c r="X919" s="91">
        <f>_xll.qlCalendarAdvance(Calendar,W919,NDays&amp;"D")</f>
        <v>45315</v>
      </c>
      <c r="Y919" s="92" t="e">
        <v>#N/A</v>
      </c>
      <c r="Z919" s="94" t="e">
        <v>#N/A</v>
      </c>
    </row>
    <row r="920" spans="22:26" x14ac:dyDescent="0.2">
      <c r="V920" s="123" t="str">
        <f t="shared" si="25"/>
        <v>1w</v>
      </c>
      <c r="W920" s="82">
        <f>_xll.qlCalendarAdvance(Calendar,W919,V920,"f",FALSE)</f>
        <v>45322</v>
      </c>
      <c r="X920" s="91">
        <f>_xll.qlCalendarAdvance(Calendar,W920,NDays&amp;"D")</f>
        <v>45322</v>
      </c>
      <c r="Y920" s="92" t="e">
        <v>#N/A</v>
      </c>
      <c r="Z920" s="94" t="e">
        <v>#N/A</v>
      </c>
    </row>
    <row r="921" spans="22:26" x14ac:dyDescent="0.2">
      <c r="V921" s="123" t="str">
        <f t="shared" si="25"/>
        <v>1w</v>
      </c>
      <c r="W921" s="82">
        <f>_xll.qlCalendarAdvance(Calendar,W920,V921,"f",FALSE)</f>
        <v>45329</v>
      </c>
      <c r="X921" s="91">
        <f>_xll.qlCalendarAdvance(Calendar,W921,NDays&amp;"D")</f>
        <v>45329</v>
      </c>
      <c r="Y921" s="92" t="e">
        <v>#N/A</v>
      </c>
      <c r="Z921" s="94" t="e">
        <v>#N/A</v>
      </c>
    </row>
    <row r="922" spans="22:26" x14ac:dyDescent="0.2">
      <c r="V922" s="123" t="str">
        <f t="shared" si="25"/>
        <v>1w</v>
      </c>
      <c r="W922" s="82">
        <f>_xll.qlCalendarAdvance(Calendar,W921,V922,"f",FALSE)</f>
        <v>45336</v>
      </c>
      <c r="X922" s="91">
        <f>_xll.qlCalendarAdvance(Calendar,W922,NDays&amp;"D")</f>
        <v>45336</v>
      </c>
      <c r="Y922" s="92" t="e">
        <v>#N/A</v>
      </c>
      <c r="Z922" s="94" t="e">
        <v>#N/A</v>
      </c>
    </row>
    <row r="923" spans="22:26" x14ac:dyDescent="0.2">
      <c r="V923" s="123" t="str">
        <f t="shared" si="25"/>
        <v>1w</v>
      </c>
      <c r="W923" s="82">
        <f>_xll.qlCalendarAdvance(Calendar,W922,V923,"f",FALSE)</f>
        <v>45343</v>
      </c>
      <c r="X923" s="91">
        <f>_xll.qlCalendarAdvance(Calendar,W923,NDays&amp;"D")</f>
        <v>45343</v>
      </c>
      <c r="Y923" s="92" t="e">
        <v>#N/A</v>
      </c>
      <c r="Z923" s="94" t="e">
        <v>#N/A</v>
      </c>
    </row>
    <row r="924" spans="22:26" x14ac:dyDescent="0.2">
      <c r="V924" s="123" t="str">
        <f t="shared" si="25"/>
        <v>1w</v>
      </c>
      <c r="W924" s="82">
        <f>_xll.qlCalendarAdvance(Calendar,W923,V924,"f",FALSE)</f>
        <v>45350</v>
      </c>
      <c r="X924" s="91">
        <f>_xll.qlCalendarAdvance(Calendar,W924,NDays&amp;"D")</f>
        <v>45350</v>
      </c>
      <c r="Y924" s="92" t="e">
        <v>#N/A</v>
      </c>
      <c r="Z924" s="94" t="e">
        <v>#N/A</v>
      </c>
    </row>
    <row r="925" spans="22:26" x14ac:dyDescent="0.2">
      <c r="V925" s="123" t="str">
        <f t="shared" si="25"/>
        <v>1w</v>
      </c>
      <c r="W925" s="82">
        <f>_xll.qlCalendarAdvance(Calendar,W924,V925,"f",FALSE)</f>
        <v>45357</v>
      </c>
      <c r="X925" s="91">
        <f>_xll.qlCalendarAdvance(Calendar,W925,NDays&amp;"D")</f>
        <v>45357</v>
      </c>
      <c r="Y925" s="92" t="e">
        <v>#N/A</v>
      </c>
      <c r="Z925" s="94" t="e">
        <v>#N/A</v>
      </c>
    </row>
    <row r="926" spans="22:26" x14ac:dyDescent="0.2">
      <c r="V926" s="123" t="str">
        <f t="shared" si="25"/>
        <v>1w</v>
      </c>
      <c r="W926" s="82">
        <f>_xll.qlCalendarAdvance(Calendar,W925,V926,"f",FALSE)</f>
        <v>45364</v>
      </c>
      <c r="X926" s="91">
        <f>_xll.qlCalendarAdvance(Calendar,W926,NDays&amp;"D")</f>
        <v>45364</v>
      </c>
      <c r="Y926" s="92" t="e">
        <v>#N/A</v>
      </c>
      <c r="Z926" s="94" t="e">
        <v>#N/A</v>
      </c>
    </row>
    <row r="927" spans="22:26" x14ac:dyDescent="0.2">
      <c r="V927" s="123" t="str">
        <f t="shared" si="25"/>
        <v>1w</v>
      </c>
      <c r="W927" s="82">
        <f>_xll.qlCalendarAdvance(Calendar,W926,V927,"f",FALSE)</f>
        <v>45371</v>
      </c>
      <c r="X927" s="91">
        <f>_xll.qlCalendarAdvance(Calendar,W927,NDays&amp;"D")</f>
        <v>45371</v>
      </c>
      <c r="Y927" s="92" t="e">
        <v>#N/A</v>
      </c>
      <c r="Z927" s="94" t="e">
        <v>#N/A</v>
      </c>
    </row>
    <row r="928" spans="22:26" x14ac:dyDescent="0.2">
      <c r="V928" s="123" t="str">
        <f t="shared" si="25"/>
        <v>1w</v>
      </c>
      <c r="W928" s="82">
        <f>_xll.qlCalendarAdvance(Calendar,W927,V928,"f",FALSE)</f>
        <v>45378</v>
      </c>
      <c r="X928" s="91">
        <f>_xll.qlCalendarAdvance(Calendar,W928,NDays&amp;"D")</f>
        <v>45378</v>
      </c>
      <c r="Y928" s="92" t="e">
        <v>#N/A</v>
      </c>
      <c r="Z928" s="94" t="e">
        <v>#N/A</v>
      </c>
    </row>
    <row r="929" spans="22:26" x14ac:dyDescent="0.2">
      <c r="V929" s="123" t="str">
        <f t="shared" si="25"/>
        <v>1w</v>
      </c>
      <c r="W929" s="82">
        <f>_xll.qlCalendarAdvance(Calendar,W928,V929,"f",FALSE)</f>
        <v>45385</v>
      </c>
      <c r="X929" s="91">
        <f>_xll.qlCalendarAdvance(Calendar,W929,NDays&amp;"D")</f>
        <v>45385</v>
      </c>
      <c r="Y929" s="92" t="e">
        <v>#N/A</v>
      </c>
      <c r="Z929" s="94" t="e">
        <v>#N/A</v>
      </c>
    </row>
    <row r="930" spans="22:26" x14ac:dyDescent="0.2">
      <c r="V930" s="123" t="str">
        <f t="shared" si="25"/>
        <v>1w</v>
      </c>
      <c r="W930" s="82">
        <f>_xll.qlCalendarAdvance(Calendar,W929,V930,"f",FALSE)</f>
        <v>45392</v>
      </c>
      <c r="X930" s="91">
        <f>_xll.qlCalendarAdvance(Calendar,W930,NDays&amp;"D")</f>
        <v>45392</v>
      </c>
      <c r="Y930" s="92" t="e">
        <v>#N/A</v>
      </c>
      <c r="Z930" s="94" t="e">
        <v>#N/A</v>
      </c>
    </row>
    <row r="931" spans="22:26" x14ac:dyDescent="0.2">
      <c r="V931" s="123" t="str">
        <f t="shared" si="25"/>
        <v>1w</v>
      </c>
      <c r="W931" s="82">
        <f>_xll.qlCalendarAdvance(Calendar,W930,V931,"f",FALSE)</f>
        <v>45399</v>
      </c>
      <c r="X931" s="91">
        <f>_xll.qlCalendarAdvance(Calendar,W931,NDays&amp;"D")</f>
        <v>45399</v>
      </c>
      <c r="Y931" s="92" t="e">
        <v>#N/A</v>
      </c>
      <c r="Z931" s="94" t="e">
        <v>#N/A</v>
      </c>
    </row>
    <row r="932" spans="22:26" x14ac:dyDescent="0.2">
      <c r="V932" s="123" t="str">
        <f t="shared" si="25"/>
        <v>1w</v>
      </c>
      <c r="W932" s="82">
        <f>_xll.qlCalendarAdvance(Calendar,W931,V932,"f",FALSE)</f>
        <v>45406</v>
      </c>
      <c r="X932" s="91">
        <f>_xll.qlCalendarAdvance(Calendar,W932,NDays&amp;"D")</f>
        <v>45406</v>
      </c>
      <c r="Y932" s="92" t="e">
        <v>#N/A</v>
      </c>
      <c r="Z932" s="94" t="e">
        <v>#N/A</v>
      </c>
    </row>
    <row r="933" spans="22:26" x14ac:dyDescent="0.2">
      <c r="V933" s="123" t="str">
        <f t="shared" si="25"/>
        <v>1w</v>
      </c>
      <c r="W933" s="82">
        <f>_xll.qlCalendarAdvance(Calendar,W932,V933,"f",FALSE)</f>
        <v>45414</v>
      </c>
      <c r="X933" s="91">
        <f>_xll.qlCalendarAdvance(Calendar,W933,NDays&amp;"D")</f>
        <v>45414</v>
      </c>
      <c r="Y933" s="92" t="e">
        <v>#N/A</v>
      </c>
      <c r="Z933" s="94" t="e">
        <v>#N/A</v>
      </c>
    </row>
    <row r="934" spans="22:26" x14ac:dyDescent="0.2">
      <c r="V934" s="123" t="str">
        <f t="shared" si="25"/>
        <v>1w</v>
      </c>
      <c r="W934" s="82">
        <f>_xll.qlCalendarAdvance(Calendar,W933,V934,"f",FALSE)</f>
        <v>45421</v>
      </c>
      <c r="X934" s="91">
        <f>_xll.qlCalendarAdvance(Calendar,W934,NDays&amp;"D")</f>
        <v>45421</v>
      </c>
      <c r="Y934" s="92" t="e">
        <v>#N/A</v>
      </c>
      <c r="Z934" s="94" t="e">
        <v>#N/A</v>
      </c>
    </row>
    <row r="935" spans="22:26" x14ac:dyDescent="0.2">
      <c r="V935" s="123" t="str">
        <f t="shared" si="25"/>
        <v>1w</v>
      </c>
      <c r="W935" s="82">
        <f>_xll.qlCalendarAdvance(Calendar,W934,V935,"f",FALSE)</f>
        <v>45428</v>
      </c>
      <c r="X935" s="91">
        <f>_xll.qlCalendarAdvance(Calendar,W935,NDays&amp;"D")</f>
        <v>45428</v>
      </c>
      <c r="Y935" s="92" t="e">
        <v>#N/A</v>
      </c>
      <c r="Z935" s="94" t="e">
        <v>#N/A</v>
      </c>
    </row>
    <row r="936" spans="22:26" x14ac:dyDescent="0.2">
      <c r="V936" s="123" t="str">
        <f t="shared" si="25"/>
        <v>1w</v>
      </c>
      <c r="W936" s="82">
        <f>_xll.qlCalendarAdvance(Calendar,W935,V936,"f",FALSE)</f>
        <v>45435</v>
      </c>
      <c r="X936" s="91">
        <f>_xll.qlCalendarAdvance(Calendar,W936,NDays&amp;"D")</f>
        <v>45435</v>
      </c>
      <c r="Y936" s="92" t="e">
        <v>#N/A</v>
      </c>
      <c r="Z936" s="94" t="e">
        <v>#N/A</v>
      </c>
    </row>
    <row r="937" spans="22:26" x14ac:dyDescent="0.2">
      <c r="V937" s="123" t="str">
        <f t="shared" si="25"/>
        <v>1w</v>
      </c>
      <c r="W937" s="82">
        <f>_xll.qlCalendarAdvance(Calendar,W936,V937,"f",FALSE)</f>
        <v>45442</v>
      </c>
      <c r="X937" s="91">
        <f>_xll.qlCalendarAdvance(Calendar,W937,NDays&amp;"D")</f>
        <v>45442</v>
      </c>
      <c r="Y937" s="92" t="e">
        <v>#N/A</v>
      </c>
      <c r="Z937" s="94" t="e">
        <v>#N/A</v>
      </c>
    </row>
    <row r="938" spans="22:26" x14ac:dyDescent="0.2">
      <c r="V938" s="123" t="str">
        <f t="shared" si="25"/>
        <v>1w</v>
      </c>
      <c r="W938" s="82">
        <f>_xll.qlCalendarAdvance(Calendar,W937,V938,"f",FALSE)</f>
        <v>45449</v>
      </c>
      <c r="X938" s="91">
        <f>_xll.qlCalendarAdvance(Calendar,W938,NDays&amp;"D")</f>
        <v>45449</v>
      </c>
      <c r="Y938" s="92" t="e">
        <v>#N/A</v>
      </c>
      <c r="Z938" s="94" t="e">
        <v>#N/A</v>
      </c>
    </row>
    <row r="939" spans="22:26" x14ac:dyDescent="0.2">
      <c r="V939" s="123" t="str">
        <f t="shared" si="25"/>
        <v>1w</v>
      </c>
      <c r="W939" s="82">
        <f>_xll.qlCalendarAdvance(Calendar,W938,V939,"f",FALSE)</f>
        <v>45456</v>
      </c>
      <c r="X939" s="91">
        <f>_xll.qlCalendarAdvance(Calendar,W939,NDays&amp;"D")</f>
        <v>45456</v>
      </c>
      <c r="Y939" s="92" t="e">
        <v>#N/A</v>
      </c>
      <c r="Z939" s="94" t="e">
        <v>#N/A</v>
      </c>
    </row>
    <row r="940" spans="22:26" x14ac:dyDescent="0.2">
      <c r="V940" s="123" t="str">
        <f t="shared" si="25"/>
        <v>1w</v>
      </c>
      <c r="W940" s="82">
        <f>_xll.qlCalendarAdvance(Calendar,W939,V940,"f",FALSE)</f>
        <v>45463</v>
      </c>
      <c r="X940" s="91">
        <f>_xll.qlCalendarAdvance(Calendar,W940,NDays&amp;"D")</f>
        <v>45463</v>
      </c>
      <c r="Y940" s="92" t="e">
        <v>#N/A</v>
      </c>
      <c r="Z940" s="94" t="e">
        <v>#N/A</v>
      </c>
    </row>
    <row r="941" spans="22:26" x14ac:dyDescent="0.2">
      <c r="V941" s="123" t="str">
        <f t="shared" si="25"/>
        <v>1w</v>
      </c>
      <c r="W941" s="82">
        <f>_xll.qlCalendarAdvance(Calendar,W940,V941,"f",FALSE)</f>
        <v>45470</v>
      </c>
      <c r="X941" s="91">
        <f>_xll.qlCalendarAdvance(Calendar,W941,NDays&amp;"D")</f>
        <v>45470</v>
      </c>
      <c r="Y941" s="92" t="e">
        <v>#N/A</v>
      </c>
      <c r="Z941" s="94" t="e">
        <v>#N/A</v>
      </c>
    </row>
    <row r="942" spans="22:26" x14ac:dyDescent="0.2">
      <c r="V942" s="123" t="str">
        <f t="shared" si="25"/>
        <v>1w</v>
      </c>
      <c r="W942" s="82">
        <f>_xll.qlCalendarAdvance(Calendar,W941,V942,"f",FALSE)</f>
        <v>45477</v>
      </c>
      <c r="X942" s="91">
        <f>_xll.qlCalendarAdvance(Calendar,W942,NDays&amp;"D")</f>
        <v>45477</v>
      </c>
      <c r="Y942" s="92" t="e">
        <v>#N/A</v>
      </c>
      <c r="Z942" s="94" t="e">
        <v>#N/A</v>
      </c>
    </row>
    <row r="943" spans="22:26" x14ac:dyDescent="0.2">
      <c r="V943" s="123" t="str">
        <f t="shared" si="25"/>
        <v>1w</v>
      </c>
      <c r="W943" s="82">
        <f>_xll.qlCalendarAdvance(Calendar,W942,V943,"f",FALSE)</f>
        <v>45484</v>
      </c>
      <c r="X943" s="91">
        <f>_xll.qlCalendarAdvance(Calendar,W943,NDays&amp;"D")</f>
        <v>45484</v>
      </c>
      <c r="Y943" s="92" t="e">
        <v>#N/A</v>
      </c>
      <c r="Z943" s="94" t="e">
        <v>#N/A</v>
      </c>
    </row>
    <row r="944" spans="22:26" x14ac:dyDescent="0.2">
      <c r="V944" s="123" t="str">
        <f t="shared" si="25"/>
        <v>1w</v>
      </c>
      <c r="W944" s="82">
        <f>_xll.qlCalendarAdvance(Calendar,W943,V944,"f",FALSE)</f>
        <v>45491</v>
      </c>
      <c r="X944" s="91">
        <f>_xll.qlCalendarAdvance(Calendar,W944,NDays&amp;"D")</f>
        <v>45491</v>
      </c>
      <c r="Y944" s="92" t="e">
        <v>#N/A</v>
      </c>
      <c r="Z944" s="94" t="e">
        <v>#N/A</v>
      </c>
    </row>
    <row r="945" spans="22:26" x14ac:dyDescent="0.2">
      <c r="V945" s="123" t="str">
        <f t="shared" si="25"/>
        <v>1w</v>
      </c>
      <c r="W945" s="82">
        <f>_xll.qlCalendarAdvance(Calendar,W944,V945,"f",FALSE)</f>
        <v>45498</v>
      </c>
      <c r="X945" s="91">
        <f>_xll.qlCalendarAdvance(Calendar,W945,NDays&amp;"D")</f>
        <v>45498</v>
      </c>
      <c r="Y945" s="92" t="e">
        <v>#N/A</v>
      </c>
      <c r="Z945" s="94" t="e">
        <v>#N/A</v>
      </c>
    </row>
    <row r="946" spans="22:26" x14ac:dyDescent="0.2">
      <c r="V946" s="123" t="str">
        <f t="shared" si="25"/>
        <v>1w</v>
      </c>
      <c r="W946" s="82">
        <f>_xll.qlCalendarAdvance(Calendar,W945,V946,"f",FALSE)</f>
        <v>45505</v>
      </c>
      <c r="X946" s="91">
        <f>_xll.qlCalendarAdvance(Calendar,W946,NDays&amp;"D")</f>
        <v>45505</v>
      </c>
      <c r="Y946" s="92" t="e">
        <v>#N/A</v>
      </c>
      <c r="Z946" s="94" t="e">
        <v>#N/A</v>
      </c>
    </row>
    <row r="947" spans="22:26" x14ac:dyDescent="0.2">
      <c r="V947" s="123" t="str">
        <f t="shared" si="25"/>
        <v>1w</v>
      </c>
      <c r="W947" s="82">
        <f>_xll.qlCalendarAdvance(Calendar,W946,V947,"f",FALSE)</f>
        <v>45512</v>
      </c>
      <c r="X947" s="91">
        <f>_xll.qlCalendarAdvance(Calendar,W947,NDays&amp;"D")</f>
        <v>45512</v>
      </c>
      <c r="Y947" s="92" t="e">
        <v>#N/A</v>
      </c>
      <c r="Z947" s="94" t="e">
        <v>#N/A</v>
      </c>
    </row>
    <row r="948" spans="22:26" x14ac:dyDescent="0.2">
      <c r="V948" s="123" t="str">
        <f t="shared" si="25"/>
        <v>1w</v>
      </c>
      <c r="W948" s="82">
        <f>_xll.qlCalendarAdvance(Calendar,W947,V948,"f",FALSE)</f>
        <v>45519</v>
      </c>
      <c r="X948" s="91">
        <f>_xll.qlCalendarAdvance(Calendar,W948,NDays&amp;"D")</f>
        <v>45519</v>
      </c>
      <c r="Y948" s="92" t="e">
        <v>#N/A</v>
      </c>
      <c r="Z948" s="94" t="e">
        <v>#N/A</v>
      </c>
    </row>
    <row r="949" spans="22:26" x14ac:dyDescent="0.2">
      <c r="V949" s="123" t="str">
        <f t="shared" si="25"/>
        <v>1w</v>
      </c>
      <c r="W949" s="82">
        <f>_xll.qlCalendarAdvance(Calendar,W948,V949,"f",FALSE)</f>
        <v>45526</v>
      </c>
      <c r="X949" s="91">
        <f>_xll.qlCalendarAdvance(Calendar,W949,NDays&amp;"D")</f>
        <v>45526</v>
      </c>
      <c r="Y949" s="92" t="e">
        <v>#N/A</v>
      </c>
      <c r="Z949" s="94" t="e">
        <v>#N/A</v>
      </c>
    </row>
    <row r="950" spans="22:26" x14ac:dyDescent="0.2">
      <c r="V950" s="123" t="str">
        <f t="shared" si="25"/>
        <v>1w</v>
      </c>
      <c r="W950" s="82">
        <f>_xll.qlCalendarAdvance(Calendar,W949,V950,"f",FALSE)</f>
        <v>45533</v>
      </c>
      <c r="X950" s="91">
        <f>_xll.qlCalendarAdvance(Calendar,W950,NDays&amp;"D")</f>
        <v>45533</v>
      </c>
      <c r="Y950" s="92" t="e">
        <v>#N/A</v>
      </c>
      <c r="Z950" s="94" t="e">
        <v>#N/A</v>
      </c>
    </row>
    <row r="951" spans="22:26" x14ac:dyDescent="0.2">
      <c r="V951" s="123" t="str">
        <f t="shared" si="25"/>
        <v>1w</v>
      </c>
      <c r="W951" s="82">
        <f>_xll.qlCalendarAdvance(Calendar,W950,V951,"f",FALSE)</f>
        <v>45540</v>
      </c>
      <c r="X951" s="91">
        <f>_xll.qlCalendarAdvance(Calendar,W951,NDays&amp;"D")</f>
        <v>45540</v>
      </c>
      <c r="Y951" s="92" t="e">
        <v>#N/A</v>
      </c>
      <c r="Z951" s="94" t="e">
        <v>#N/A</v>
      </c>
    </row>
    <row r="952" spans="22:26" x14ac:dyDescent="0.2">
      <c r="V952" s="123" t="str">
        <f t="shared" si="25"/>
        <v>1w</v>
      </c>
      <c r="W952" s="82">
        <f>_xll.qlCalendarAdvance(Calendar,W951,V952,"f",FALSE)</f>
        <v>45547</v>
      </c>
      <c r="X952" s="91">
        <f>_xll.qlCalendarAdvance(Calendar,W952,NDays&amp;"D")</f>
        <v>45547</v>
      </c>
      <c r="Y952" s="92" t="e">
        <v>#N/A</v>
      </c>
      <c r="Z952" s="94" t="e">
        <v>#N/A</v>
      </c>
    </row>
    <row r="953" spans="22:26" x14ac:dyDescent="0.2">
      <c r="V953" s="123" t="str">
        <f t="shared" si="25"/>
        <v>1w</v>
      </c>
      <c r="W953" s="82">
        <f>_xll.qlCalendarAdvance(Calendar,W952,V953,"f",FALSE)</f>
        <v>45554</v>
      </c>
      <c r="X953" s="91">
        <f>_xll.qlCalendarAdvance(Calendar,W953,NDays&amp;"D")</f>
        <v>45554</v>
      </c>
      <c r="Y953" s="92" t="e">
        <v>#N/A</v>
      </c>
      <c r="Z953" s="94" t="e">
        <v>#N/A</v>
      </c>
    </row>
    <row r="954" spans="22:26" x14ac:dyDescent="0.2">
      <c r="V954" s="123" t="str">
        <f t="shared" si="25"/>
        <v>1w</v>
      </c>
      <c r="W954" s="82">
        <f>_xll.qlCalendarAdvance(Calendar,W953,V954,"f",FALSE)</f>
        <v>45561</v>
      </c>
      <c r="X954" s="91">
        <f>_xll.qlCalendarAdvance(Calendar,W954,NDays&amp;"D")</f>
        <v>45561</v>
      </c>
      <c r="Y954" s="92" t="e">
        <v>#N/A</v>
      </c>
      <c r="Z954" s="94" t="e">
        <v>#N/A</v>
      </c>
    </row>
    <row r="955" spans="22:26" x14ac:dyDescent="0.2">
      <c r="V955" s="123" t="str">
        <f t="shared" si="25"/>
        <v>1w</v>
      </c>
      <c r="W955" s="82">
        <f>_xll.qlCalendarAdvance(Calendar,W954,V955,"f",FALSE)</f>
        <v>45568</v>
      </c>
      <c r="X955" s="91">
        <f>_xll.qlCalendarAdvance(Calendar,W955,NDays&amp;"D")</f>
        <v>45568</v>
      </c>
      <c r="Y955" s="92" t="e">
        <v>#N/A</v>
      </c>
      <c r="Z955" s="94" t="e">
        <v>#N/A</v>
      </c>
    </row>
    <row r="956" spans="22:26" x14ac:dyDescent="0.2">
      <c r="V956" s="123" t="str">
        <f t="shared" si="25"/>
        <v>1w</v>
      </c>
      <c r="W956" s="82">
        <f>_xll.qlCalendarAdvance(Calendar,W955,V956,"f",FALSE)</f>
        <v>45575</v>
      </c>
      <c r="X956" s="91">
        <f>_xll.qlCalendarAdvance(Calendar,W956,NDays&amp;"D")</f>
        <v>45575</v>
      </c>
      <c r="Y956" s="92" t="e">
        <v>#N/A</v>
      </c>
      <c r="Z956" s="94" t="e">
        <v>#N/A</v>
      </c>
    </row>
    <row r="957" spans="22:26" x14ac:dyDescent="0.2">
      <c r="V957" s="123" t="str">
        <f t="shared" si="25"/>
        <v>1w</v>
      </c>
      <c r="W957" s="82">
        <f>_xll.qlCalendarAdvance(Calendar,W956,V957,"f",FALSE)</f>
        <v>45582</v>
      </c>
      <c r="X957" s="91">
        <f>_xll.qlCalendarAdvance(Calendar,W957,NDays&amp;"D")</f>
        <v>45582</v>
      </c>
      <c r="Y957" s="92" t="e">
        <v>#N/A</v>
      </c>
      <c r="Z957" s="94" t="e">
        <v>#N/A</v>
      </c>
    </row>
    <row r="958" spans="22:26" x14ac:dyDescent="0.2">
      <c r="V958" s="123" t="str">
        <f t="shared" si="25"/>
        <v>1w</v>
      </c>
      <c r="W958" s="82">
        <f>_xll.qlCalendarAdvance(Calendar,W957,V958,"f",FALSE)</f>
        <v>45589</v>
      </c>
      <c r="X958" s="91">
        <f>_xll.qlCalendarAdvance(Calendar,W958,NDays&amp;"D")</f>
        <v>45589</v>
      </c>
      <c r="Y958" s="92" t="e">
        <v>#N/A</v>
      </c>
      <c r="Z958" s="94" t="e">
        <v>#N/A</v>
      </c>
    </row>
    <row r="959" spans="22:26" x14ac:dyDescent="0.2">
      <c r="V959" s="123" t="str">
        <f t="shared" si="25"/>
        <v>1w</v>
      </c>
      <c r="W959" s="82">
        <f>_xll.qlCalendarAdvance(Calendar,W958,V959,"f",FALSE)</f>
        <v>45596</v>
      </c>
      <c r="X959" s="91">
        <f>_xll.qlCalendarAdvance(Calendar,W959,NDays&amp;"D")</f>
        <v>45596</v>
      </c>
      <c r="Y959" s="92" t="e">
        <v>#N/A</v>
      </c>
      <c r="Z959" s="94" t="e">
        <v>#N/A</v>
      </c>
    </row>
    <row r="960" spans="22:26" x14ac:dyDescent="0.2">
      <c r="V960" s="123" t="str">
        <f t="shared" si="25"/>
        <v>1w</v>
      </c>
      <c r="W960" s="82">
        <f>_xll.qlCalendarAdvance(Calendar,W959,V960,"f",FALSE)</f>
        <v>45603</v>
      </c>
      <c r="X960" s="91">
        <f>_xll.qlCalendarAdvance(Calendar,W960,NDays&amp;"D")</f>
        <v>45603</v>
      </c>
      <c r="Y960" s="92" t="e">
        <v>#N/A</v>
      </c>
      <c r="Z960" s="94" t="e">
        <v>#N/A</v>
      </c>
    </row>
    <row r="961" spans="22:26" x14ac:dyDescent="0.2">
      <c r="V961" s="123" t="str">
        <f t="shared" si="25"/>
        <v>1w</v>
      </c>
      <c r="W961" s="82">
        <f>_xll.qlCalendarAdvance(Calendar,W960,V961,"f",FALSE)</f>
        <v>45610</v>
      </c>
      <c r="X961" s="91">
        <f>_xll.qlCalendarAdvance(Calendar,W961,NDays&amp;"D")</f>
        <v>45610</v>
      </c>
      <c r="Y961" s="92" t="e">
        <v>#N/A</v>
      </c>
      <c r="Z961" s="94" t="e">
        <v>#N/A</v>
      </c>
    </row>
    <row r="962" spans="22:26" x14ac:dyDescent="0.2">
      <c r="V962" s="123" t="str">
        <f t="shared" si="25"/>
        <v>1w</v>
      </c>
      <c r="W962" s="82">
        <f>_xll.qlCalendarAdvance(Calendar,W961,V962,"f",FALSE)</f>
        <v>45617</v>
      </c>
      <c r="X962" s="91">
        <f>_xll.qlCalendarAdvance(Calendar,W962,NDays&amp;"D")</f>
        <v>45617</v>
      </c>
      <c r="Y962" s="92" t="e">
        <v>#N/A</v>
      </c>
      <c r="Z962" s="94" t="e">
        <v>#N/A</v>
      </c>
    </row>
    <row r="963" spans="22:26" x14ac:dyDescent="0.2">
      <c r="V963" s="123" t="str">
        <f t="shared" si="25"/>
        <v>1w</v>
      </c>
      <c r="W963" s="82">
        <f>_xll.qlCalendarAdvance(Calendar,W962,V963,"f",FALSE)</f>
        <v>45624</v>
      </c>
      <c r="X963" s="91">
        <f>_xll.qlCalendarAdvance(Calendar,W963,NDays&amp;"D")</f>
        <v>45624</v>
      </c>
      <c r="Y963" s="92" t="e">
        <v>#N/A</v>
      </c>
      <c r="Z963" s="94" t="e">
        <v>#N/A</v>
      </c>
    </row>
    <row r="964" spans="22:26" x14ac:dyDescent="0.2">
      <c r="V964" s="123" t="str">
        <f t="shared" si="25"/>
        <v>1w</v>
      </c>
      <c r="W964" s="82">
        <f>_xll.qlCalendarAdvance(Calendar,W963,V964,"f",FALSE)</f>
        <v>45631</v>
      </c>
      <c r="X964" s="91">
        <f>_xll.qlCalendarAdvance(Calendar,W964,NDays&amp;"D")</f>
        <v>45631</v>
      </c>
      <c r="Y964" s="92" t="e">
        <v>#N/A</v>
      </c>
      <c r="Z964" s="94" t="e">
        <v>#N/A</v>
      </c>
    </row>
    <row r="965" spans="22:26" x14ac:dyDescent="0.2">
      <c r="V965" s="123" t="str">
        <f t="shared" si="25"/>
        <v>1w</v>
      </c>
      <c r="W965" s="82">
        <f>_xll.qlCalendarAdvance(Calendar,W964,V965,"f",FALSE)</f>
        <v>45638</v>
      </c>
      <c r="X965" s="91">
        <f>_xll.qlCalendarAdvance(Calendar,W965,NDays&amp;"D")</f>
        <v>45638</v>
      </c>
      <c r="Y965" s="92" t="e">
        <v>#N/A</v>
      </c>
      <c r="Z965" s="94" t="e">
        <v>#N/A</v>
      </c>
    </row>
    <row r="966" spans="22:26" x14ac:dyDescent="0.2">
      <c r="V966" s="123" t="str">
        <f t="shared" si="25"/>
        <v>1w</v>
      </c>
      <c r="W966" s="82">
        <f>_xll.qlCalendarAdvance(Calendar,W965,V966,"f",FALSE)</f>
        <v>45645</v>
      </c>
      <c r="X966" s="91">
        <f>_xll.qlCalendarAdvance(Calendar,W966,NDays&amp;"D")</f>
        <v>45645</v>
      </c>
      <c r="Y966" s="92" t="e">
        <v>#N/A</v>
      </c>
      <c r="Z966" s="94" t="e">
        <v>#N/A</v>
      </c>
    </row>
    <row r="967" spans="22:26" x14ac:dyDescent="0.2">
      <c r="V967" s="123" t="str">
        <f t="shared" si="25"/>
        <v>1w</v>
      </c>
      <c r="W967" s="82">
        <f>_xll.qlCalendarAdvance(Calendar,W966,V967,"f",FALSE)</f>
        <v>45653</v>
      </c>
      <c r="X967" s="91">
        <f>_xll.qlCalendarAdvance(Calendar,W967,NDays&amp;"D")</f>
        <v>45653</v>
      </c>
      <c r="Y967" s="92" t="e">
        <v>#N/A</v>
      </c>
      <c r="Z967" s="94" t="e">
        <v>#N/A</v>
      </c>
    </row>
    <row r="968" spans="22:26" x14ac:dyDescent="0.2">
      <c r="V968" s="123" t="str">
        <f t="shared" si="25"/>
        <v>1w</v>
      </c>
      <c r="W968" s="82">
        <f>_xll.qlCalendarAdvance(Calendar,W967,V968,"f",FALSE)</f>
        <v>45660</v>
      </c>
      <c r="X968" s="91">
        <f>_xll.qlCalendarAdvance(Calendar,W968,NDays&amp;"D")</f>
        <v>45660</v>
      </c>
      <c r="Y968" s="92" t="e">
        <v>#N/A</v>
      </c>
      <c r="Z968" s="94" t="e">
        <v>#N/A</v>
      </c>
    </row>
    <row r="969" spans="22:26" x14ac:dyDescent="0.2">
      <c r="V969" s="123" t="str">
        <f t="shared" si="25"/>
        <v>1w</v>
      </c>
      <c r="W969" s="82">
        <f>_xll.qlCalendarAdvance(Calendar,W968,V969,"f",FALSE)</f>
        <v>45667</v>
      </c>
      <c r="X969" s="91">
        <f>_xll.qlCalendarAdvance(Calendar,W969,NDays&amp;"D")</f>
        <v>45667</v>
      </c>
      <c r="Y969" s="92" t="e">
        <v>#N/A</v>
      </c>
      <c r="Z969" s="94" t="e">
        <v>#N/A</v>
      </c>
    </row>
    <row r="970" spans="22:26" x14ac:dyDescent="0.2">
      <c r="V970" s="123" t="str">
        <f t="shared" si="25"/>
        <v>1w</v>
      </c>
      <c r="W970" s="82">
        <f>_xll.qlCalendarAdvance(Calendar,W969,V970,"f",FALSE)</f>
        <v>45674</v>
      </c>
      <c r="X970" s="91">
        <f>_xll.qlCalendarAdvance(Calendar,W970,NDays&amp;"D")</f>
        <v>45674</v>
      </c>
      <c r="Y970" s="92" t="e">
        <v>#N/A</v>
      </c>
      <c r="Z970" s="94" t="e">
        <v>#N/A</v>
      </c>
    </row>
    <row r="971" spans="22:26" x14ac:dyDescent="0.2">
      <c r="V971" s="123" t="str">
        <f t="shared" si="25"/>
        <v>1w</v>
      </c>
      <c r="W971" s="82">
        <f>_xll.qlCalendarAdvance(Calendar,W970,V971,"f",FALSE)</f>
        <v>45681</v>
      </c>
      <c r="X971" s="91">
        <f>_xll.qlCalendarAdvance(Calendar,W971,NDays&amp;"D")</f>
        <v>45681</v>
      </c>
      <c r="Y971" s="92" t="e">
        <v>#N/A</v>
      </c>
      <c r="Z971" s="94" t="e">
        <v>#N/A</v>
      </c>
    </row>
    <row r="972" spans="22:26" x14ac:dyDescent="0.2">
      <c r="V972" s="123" t="str">
        <f t="shared" si="25"/>
        <v>1w</v>
      </c>
      <c r="W972" s="82">
        <f>_xll.qlCalendarAdvance(Calendar,W971,V972,"f",FALSE)</f>
        <v>45688</v>
      </c>
      <c r="X972" s="91">
        <f>_xll.qlCalendarAdvance(Calendar,W972,NDays&amp;"D")</f>
        <v>45688</v>
      </c>
      <c r="Y972" s="92" t="e">
        <v>#N/A</v>
      </c>
      <c r="Z972" s="94" t="e">
        <v>#N/A</v>
      </c>
    </row>
    <row r="973" spans="22:26" x14ac:dyDescent="0.2">
      <c r="V973" s="123" t="str">
        <f t="shared" si="25"/>
        <v>1w</v>
      </c>
      <c r="W973" s="82">
        <f>_xll.qlCalendarAdvance(Calendar,W972,V973,"f",FALSE)</f>
        <v>45695</v>
      </c>
      <c r="X973" s="91">
        <f>_xll.qlCalendarAdvance(Calendar,W973,NDays&amp;"D")</f>
        <v>45695</v>
      </c>
      <c r="Y973" s="92" t="e">
        <v>#N/A</v>
      </c>
      <c r="Z973" s="94" t="e">
        <v>#N/A</v>
      </c>
    </row>
    <row r="974" spans="22:26" x14ac:dyDescent="0.2">
      <c r="V974" s="123" t="str">
        <f t="shared" si="25"/>
        <v>1w</v>
      </c>
      <c r="W974" s="82">
        <f>_xll.qlCalendarAdvance(Calendar,W973,V974,"f",FALSE)</f>
        <v>45702</v>
      </c>
      <c r="X974" s="91">
        <f>_xll.qlCalendarAdvance(Calendar,W974,NDays&amp;"D")</f>
        <v>45702</v>
      </c>
      <c r="Y974" s="92" t="e">
        <v>#N/A</v>
      </c>
      <c r="Z974" s="94" t="e">
        <v>#N/A</v>
      </c>
    </row>
    <row r="975" spans="22:26" x14ac:dyDescent="0.2">
      <c r="V975" s="123" t="str">
        <f t="shared" si="25"/>
        <v>1w</v>
      </c>
      <c r="W975" s="82">
        <f>_xll.qlCalendarAdvance(Calendar,W974,V975,"f",FALSE)</f>
        <v>45709</v>
      </c>
      <c r="X975" s="91">
        <f>_xll.qlCalendarAdvance(Calendar,W975,NDays&amp;"D")</f>
        <v>45709</v>
      </c>
      <c r="Y975" s="92" t="e">
        <v>#N/A</v>
      </c>
      <c r="Z975" s="94" t="e">
        <v>#N/A</v>
      </c>
    </row>
    <row r="976" spans="22:26" x14ac:dyDescent="0.2">
      <c r="V976" s="123" t="str">
        <f t="shared" si="25"/>
        <v>1w</v>
      </c>
      <c r="W976" s="82">
        <f>_xll.qlCalendarAdvance(Calendar,W975,V976,"f",FALSE)</f>
        <v>45716</v>
      </c>
      <c r="X976" s="91">
        <f>_xll.qlCalendarAdvance(Calendar,W976,NDays&amp;"D")</f>
        <v>45716</v>
      </c>
      <c r="Y976" s="92" t="e">
        <v>#N/A</v>
      </c>
      <c r="Z976" s="94" t="e">
        <v>#N/A</v>
      </c>
    </row>
    <row r="977" spans="22:26" x14ac:dyDescent="0.2">
      <c r="V977" s="123" t="str">
        <f t="shared" si="25"/>
        <v>1w</v>
      </c>
      <c r="W977" s="82">
        <f>_xll.qlCalendarAdvance(Calendar,W976,V977,"f",FALSE)</f>
        <v>45723</v>
      </c>
      <c r="X977" s="91">
        <f>_xll.qlCalendarAdvance(Calendar,W977,NDays&amp;"D")</f>
        <v>45723</v>
      </c>
      <c r="Y977" s="92" t="e">
        <v>#N/A</v>
      </c>
      <c r="Z977" s="94" t="e">
        <v>#N/A</v>
      </c>
    </row>
    <row r="978" spans="22:26" x14ac:dyDescent="0.2">
      <c r="V978" s="123" t="str">
        <f t="shared" si="25"/>
        <v>1w</v>
      </c>
      <c r="W978" s="82">
        <f>_xll.qlCalendarAdvance(Calendar,W977,V978,"f",FALSE)</f>
        <v>45730</v>
      </c>
      <c r="X978" s="91">
        <f>_xll.qlCalendarAdvance(Calendar,W978,NDays&amp;"D")</f>
        <v>45730</v>
      </c>
      <c r="Y978" s="92" t="e">
        <v>#N/A</v>
      </c>
      <c r="Z978" s="94" t="e">
        <v>#N/A</v>
      </c>
    </row>
    <row r="979" spans="22:26" x14ac:dyDescent="0.2">
      <c r="V979" s="123" t="str">
        <f t="shared" si="25"/>
        <v>1w</v>
      </c>
      <c r="W979" s="82">
        <f>_xll.qlCalendarAdvance(Calendar,W978,V979,"f",FALSE)</f>
        <v>45737</v>
      </c>
      <c r="X979" s="91">
        <f>_xll.qlCalendarAdvance(Calendar,W979,NDays&amp;"D")</f>
        <v>45737</v>
      </c>
      <c r="Y979" s="92" t="e">
        <v>#N/A</v>
      </c>
      <c r="Z979" s="94" t="e">
        <v>#N/A</v>
      </c>
    </row>
    <row r="980" spans="22:26" x14ac:dyDescent="0.2">
      <c r="V980" s="123" t="str">
        <f t="shared" si="25"/>
        <v>1w</v>
      </c>
      <c r="W980" s="82">
        <f>_xll.qlCalendarAdvance(Calendar,W979,V980,"f",FALSE)</f>
        <v>45744</v>
      </c>
      <c r="X980" s="91">
        <f>_xll.qlCalendarAdvance(Calendar,W980,NDays&amp;"D")</f>
        <v>45744</v>
      </c>
      <c r="Y980" s="92" t="e">
        <v>#N/A</v>
      </c>
      <c r="Z980" s="94" t="e">
        <v>#N/A</v>
      </c>
    </row>
    <row r="981" spans="22:26" x14ac:dyDescent="0.2">
      <c r="V981" s="123" t="str">
        <f t="shared" ref="V981:V1044" si="26">V980</f>
        <v>1w</v>
      </c>
      <c r="W981" s="82">
        <f>_xll.qlCalendarAdvance(Calendar,W980,V981,"f",FALSE)</f>
        <v>45751</v>
      </c>
      <c r="X981" s="91">
        <f>_xll.qlCalendarAdvance(Calendar,W981,NDays&amp;"D")</f>
        <v>45751</v>
      </c>
      <c r="Y981" s="92" t="e">
        <v>#N/A</v>
      </c>
      <c r="Z981" s="94" t="e">
        <v>#N/A</v>
      </c>
    </row>
    <row r="982" spans="22:26" x14ac:dyDescent="0.2">
      <c r="V982" s="123" t="str">
        <f t="shared" si="26"/>
        <v>1w</v>
      </c>
      <c r="W982" s="82">
        <f>_xll.qlCalendarAdvance(Calendar,W981,V982,"f",FALSE)</f>
        <v>45758</v>
      </c>
      <c r="X982" s="91">
        <f>_xll.qlCalendarAdvance(Calendar,W982,NDays&amp;"D")</f>
        <v>45758</v>
      </c>
      <c r="Y982" s="92" t="e">
        <v>#N/A</v>
      </c>
      <c r="Z982" s="94" t="e">
        <v>#N/A</v>
      </c>
    </row>
    <row r="983" spans="22:26" x14ac:dyDescent="0.2">
      <c r="V983" s="123" t="str">
        <f t="shared" si="26"/>
        <v>1w</v>
      </c>
      <c r="W983" s="82">
        <f>_xll.qlCalendarAdvance(Calendar,W982,V983,"f",FALSE)</f>
        <v>45769</v>
      </c>
      <c r="X983" s="91">
        <f>_xll.qlCalendarAdvance(Calendar,W983,NDays&amp;"D")</f>
        <v>45769</v>
      </c>
      <c r="Y983" s="92" t="e">
        <v>#N/A</v>
      </c>
      <c r="Z983" s="94" t="e">
        <v>#N/A</v>
      </c>
    </row>
    <row r="984" spans="22:26" x14ac:dyDescent="0.2">
      <c r="V984" s="123" t="str">
        <f t="shared" si="26"/>
        <v>1w</v>
      </c>
      <c r="W984" s="82">
        <f>_xll.qlCalendarAdvance(Calendar,W983,V984,"f",FALSE)</f>
        <v>45776</v>
      </c>
      <c r="X984" s="91">
        <f>_xll.qlCalendarAdvance(Calendar,W984,NDays&amp;"D")</f>
        <v>45776</v>
      </c>
      <c r="Y984" s="92" t="e">
        <v>#N/A</v>
      </c>
      <c r="Z984" s="94" t="e">
        <v>#N/A</v>
      </c>
    </row>
    <row r="985" spans="22:26" x14ac:dyDescent="0.2">
      <c r="V985" s="123" t="str">
        <f t="shared" si="26"/>
        <v>1w</v>
      </c>
      <c r="W985" s="82">
        <f>_xll.qlCalendarAdvance(Calendar,W984,V985,"f",FALSE)</f>
        <v>45783</v>
      </c>
      <c r="X985" s="91">
        <f>_xll.qlCalendarAdvance(Calendar,W985,NDays&amp;"D")</f>
        <v>45783</v>
      </c>
      <c r="Y985" s="92" t="e">
        <v>#N/A</v>
      </c>
      <c r="Z985" s="94" t="e">
        <v>#N/A</v>
      </c>
    </row>
    <row r="986" spans="22:26" x14ac:dyDescent="0.2">
      <c r="V986" s="123" t="str">
        <f t="shared" si="26"/>
        <v>1w</v>
      </c>
      <c r="W986" s="82">
        <f>_xll.qlCalendarAdvance(Calendar,W985,V986,"f",FALSE)</f>
        <v>45790</v>
      </c>
      <c r="X986" s="91">
        <f>_xll.qlCalendarAdvance(Calendar,W986,NDays&amp;"D")</f>
        <v>45790</v>
      </c>
      <c r="Y986" s="92" t="e">
        <v>#N/A</v>
      </c>
      <c r="Z986" s="94" t="e">
        <v>#N/A</v>
      </c>
    </row>
    <row r="987" spans="22:26" x14ac:dyDescent="0.2">
      <c r="V987" s="123" t="str">
        <f t="shared" si="26"/>
        <v>1w</v>
      </c>
      <c r="W987" s="82">
        <f>_xll.qlCalendarAdvance(Calendar,W986,V987,"f",FALSE)</f>
        <v>45797</v>
      </c>
      <c r="X987" s="91">
        <f>_xll.qlCalendarAdvance(Calendar,W987,NDays&amp;"D")</f>
        <v>45797</v>
      </c>
      <c r="Y987" s="92" t="e">
        <v>#N/A</v>
      </c>
      <c r="Z987" s="94" t="e">
        <v>#N/A</v>
      </c>
    </row>
    <row r="988" spans="22:26" x14ac:dyDescent="0.2">
      <c r="V988" s="123" t="str">
        <f t="shared" si="26"/>
        <v>1w</v>
      </c>
      <c r="W988" s="82">
        <f>_xll.qlCalendarAdvance(Calendar,W987,V988,"f",FALSE)</f>
        <v>45804</v>
      </c>
      <c r="X988" s="91">
        <f>_xll.qlCalendarAdvance(Calendar,W988,NDays&amp;"D")</f>
        <v>45804</v>
      </c>
      <c r="Y988" s="92" t="e">
        <v>#N/A</v>
      </c>
      <c r="Z988" s="94" t="e">
        <v>#N/A</v>
      </c>
    </row>
    <row r="989" spans="22:26" x14ac:dyDescent="0.2">
      <c r="V989" s="123" t="str">
        <f t="shared" si="26"/>
        <v>1w</v>
      </c>
      <c r="W989" s="82">
        <f>_xll.qlCalendarAdvance(Calendar,W988,V989,"f",FALSE)</f>
        <v>45811</v>
      </c>
      <c r="X989" s="91">
        <f>_xll.qlCalendarAdvance(Calendar,W989,NDays&amp;"D")</f>
        <v>45811</v>
      </c>
      <c r="Y989" s="92" t="e">
        <v>#N/A</v>
      </c>
      <c r="Z989" s="94" t="e">
        <v>#N/A</v>
      </c>
    </row>
    <row r="990" spans="22:26" x14ac:dyDescent="0.2">
      <c r="V990" s="123" t="str">
        <f t="shared" si="26"/>
        <v>1w</v>
      </c>
      <c r="W990" s="82">
        <f>_xll.qlCalendarAdvance(Calendar,W989,V990,"f",FALSE)</f>
        <v>45818</v>
      </c>
      <c r="X990" s="91">
        <f>_xll.qlCalendarAdvance(Calendar,W990,NDays&amp;"D")</f>
        <v>45818</v>
      </c>
      <c r="Y990" s="92" t="e">
        <v>#N/A</v>
      </c>
      <c r="Z990" s="94" t="e">
        <v>#N/A</v>
      </c>
    </row>
    <row r="991" spans="22:26" x14ac:dyDescent="0.2">
      <c r="V991" s="123" t="str">
        <f t="shared" si="26"/>
        <v>1w</v>
      </c>
      <c r="W991" s="82">
        <f>_xll.qlCalendarAdvance(Calendar,W990,V991,"f",FALSE)</f>
        <v>45825</v>
      </c>
      <c r="X991" s="91">
        <f>_xll.qlCalendarAdvance(Calendar,W991,NDays&amp;"D")</f>
        <v>45825</v>
      </c>
      <c r="Y991" s="92" t="e">
        <v>#N/A</v>
      </c>
      <c r="Z991" s="94" t="e">
        <v>#N/A</v>
      </c>
    </row>
    <row r="992" spans="22:26" x14ac:dyDescent="0.2">
      <c r="V992" s="123" t="str">
        <f t="shared" si="26"/>
        <v>1w</v>
      </c>
      <c r="W992" s="82">
        <f>_xll.qlCalendarAdvance(Calendar,W991,V992,"f",FALSE)</f>
        <v>45832</v>
      </c>
      <c r="X992" s="91">
        <f>_xll.qlCalendarAdvance(Calendar,W992,NDays&amp;"D")</f>
        <v>45832</v>
      </c>
      <c r="Y992" s="92" t="e">
        <v>#N/A</v>
      </c>
      <c r="Z992" s="94" t="e">
        <v>#N/A</v>
      </c>
    </row>
    <row r="993" spans="22:26" x14ac:dyDescent="0.2">
      <c r="V993" s="123" t="str">
        <f t="shared" si="26"/>
        <v>1w</v>
      </c>
      <c r="W993" s="82">
        <f>_xll.qlCalendarAdvance(Calendar,W992,V993,"f",FALSE)</f>
        <v>45840</v>
      </c>
      <c r="X993" s="91">
        <f>_xll.qlCalendarAdvance(Calendar,W993,NDays&amp;"D")</f>
        <v>45840</v>
      </c>
      <c r="Y993" s="92" t="e">
        <v>#N/A</v>
      </c>
      <c r="Z993" s="94" t="e">
        <v>#N/A</v>
      </c>
    </row>
    <row r="994" spans="22:26" x14ac:dyDescent="0.2">
      <c r="V994" s="123" t="str">
        <f t="shared" si="26"/>
        <v>1w</v>
      </c>
      <c r="W994" s="82">
        <f>_xll.qlCalendarAdvance(Calendar,W993,V994,"f",FALSE)</f>
        <v>45847</v>
      </c>
      <c r="X994" s="91">
        <f>_xll.qlCalendarAdvance(Calendar,W994,NDays&amp;"D")</f>
        <v>45847</v>
      </c>
      <c r="Y994" s="92" t="e">
        <v>#N/A</v>
      </c>
      <c r="Z994" s="94" t="e">
        <v>#N/A</v>
      </c>
    </row>
    <row r="995" spans="22:26" x14ac:dyDescent="0.2">
      <c r="V995" s="123" t="str">
        <f t="shared" si="26"/>
        <v>1w</v>
      </c>
      <c r="W995" s="82">
        <f>_xll.qlCalendarAdvance(Calendar,W994,V995,"f",FALSE)</f>
        <v>45854</v>
      </c>
      <c r="X995" s="91">
        <f>_xll.qlCalendarAdvance(Calendar,W995,NDays&amp;"D")</f>
        <v>45854</v>
      </c>
      <c r="Y995" s="92" t="e">
        <v>#N/A</v>
      </c>
      <c r="Z995" s="94" t="e">
        <v>#N/A</v>
      </c>
    </row>
    <row r="996" spans="22:26" x14ac:dyDescent="0.2">
      <c r="V996" s="123" t="str">
        <f t="shared" si="26"/>
        <v>1w</v>
      </c>
      <c r="W996" s="82">
        <f>_xll.qlCalendarAdvance(Calendar,W995,V996,"f",FALSE)</f>
        <v>45861</v>
      </c>
      <c r="X996" s="91">
        <f>_xll.qlCalendarAdvance(Calendar,W996,NDays&amp;"D")</f>
        <v>45861</v>
      </c>
      <c r="Y996" s="92" t="e">
        <v>#N/A</v>
      </c>
      <c r="Z996" s="94" t="e">
        <v>#N/A</v>
      </c>
    </row>
    <row r="997" spans="22:26" x14ac:dyDescent="0.2">
      <c r="V997" s="123" t="str">
        <f t="shared" si="26"/>
        <v>1w</v>
      </c>
      <c r="W997" s="82">
        <f>_xll.qlCalendarAdvance(Calendar,W996,V997,"f",FALSE)</f>
        <v>45868</v>
      </c>
      <c r="X997" s="91">
        <f>_xll.qlCalendarAdvance(Calendar,W997,NDays&amp;"D")</f>
        <v>45868</v>
      </c>
      <c r="Y997" s="92" t="e">
        <v>#N/A</v>
      </c>
      <c r="Z997" s="94" t="e">
        <v>#N/A</v>
      </c>
    </row>
    <row r="998" spans="22:26" x14ac:dyDescent="0.2">
      <c r="V998" s="123" t="str">
        <f t="shared" si="26"/>
        <v>1w</v>
      </c>
      <c r="W998" s="82">
        <f>_xll.qlCalendarAdvance(Calendar,W997,V998,"f",FALSE)</f>
        <v>45875</v>
      </c>
      <c r="X998" s="91">
        <f>_xll.qlCalendarAdvance(Calendar,W998,NDays&amp;"D")</f>
        <v>45875</v>
      </c>
      <c r="Y998" s="92" t="e">
        <v>#N/A</v>
      </c>
      <c r="Z998" s="94" t="e">
        <v>#N/A</v>
      </c>
    </row>
    <row r="999" spans="22:26" x14ac:dyDescent="0.2">
      <c r="V999" s="123" t="str">
        <f t="shared" si="26"/>
        <v>1w</v>
      </c>
      <c r="W999" s="82">
        <f>_xll.qlCalendarAdvance(Calendar,W998,V999,"f",FALSE)</f>
        <v>45882</v>
      </c>
      <c r="X999" s="91">
        <f>_xll.qlCalendarAdvance(Calendar,W999,NDays&amp;"D")</f>
        <v>45882</v>
      </c>
      <c r="Y999" s="92" t="e">
        <v>#N/A</v>
      </c>
      <c r="Z999" s="94" t="e">
        <v>#N/A</v>
      </c>
    </row>
    <row r="1000" spans="22:26" x14ac:dyDescent="0.2">
      <c r="V1000" s="123" t="str">
        <f t="shared" si="26"/>
        <v>1w</v>
      </c>
      <c r="W1000" s="82">
        <f>_xll.qlCalendarAdvance(Calendar,W999,V1000,"f",FALSE)</f>
        <v>45889</v>
      </c>
      <c r="X1000" s="91">
        <f>_xll.qlCalendarAdvance(Calendar,W1000,NDays&amp;"D")</f>
        <v>45889</v>
      </c>
      <c r="Y1000" s="92" t="e">
        <v>#N/A</v>
      </c>
      <c r="Z1000" s="94" t="e">
        <v>#N/A</v>
      </c>
    </row>
    <row r="1001" spans="22:26" x14ac:dyDescent="0.2">
      <c r="V1001" s="123" t="str">
        <f t="shared" si="26"/>
        <v>1w</v>
      </c>
      <c r="W1001" s="82">
        <f>_xll.qlCalendarAdvance(Calendar,W1000,V1001,"f",FALSE)</f>
        <v>45896</v>
      </c>
      <c r="X1001" s="91">
        <f>_xll.qlCalendarAdvance(Calendar,W1001,NDays&amp;"D")</f>
        <v>45896</v>
      </c>
      <c r="Y1001" s="92" t="e">
        <v>#N/A</v>
      </c>
      <c r="Z1001" s="94" t="e">
        <v>#N/A</v>
      </c>
    </row>
    <row r="1002" spans="22:26" x14ac:dyDescent="0.2">
      <c r="V1002" s="123" t="str">
        <f t="shared" si="26"/>
        <v>1w</v>
      </c>
      <c r="W1002" s="82">
        <f>_xll.qlCalendarAdvance(Calendar,W1001,V1002,"f",FALSE)</f>
        <v>45903</v>
      </c>
      <c r="X1002" s="91">
        <f>_xll.qlCalendarAdvance(Calendar,W1002,NDays&amp;"D")</f>
        <v>45903</v>
      </c>
      <c r="Y1002" s="92" t="e">
        <v>#N/A</v>
      </c>
      <c r="Z1002" s="94" t="e">
        <v>#N/A</v>
      </c>
    </row>
    <row r="1003" spans="22:26" x14ac:dyDescent="0.2">
      <c r="V1003" s="123" t="str">
        <f t="shared" si="26"/>
        <v>1w</v>
      </c>
      <c r="W1003" s="82">
        <f>_xll.qlCalendarAdvance(Calendar,W1002,V1003,"f",FALSE)</f>
        <v>45910</v>
      </c>
      <c r="X1003" s="91">
        <f>_xll.qlCalendarAdvance(Calendar,W1003,NDays&amp;"D")</f>
        <v>45910</v>
      </c>
      <c r="Y1003" s="92" t="e">
        <v>#N/A</v>
      </c>
      <c r="Z1003" s="94" t="e">
        <v>#N/A</v>
      </c>
    </row>
    <row r="1004" spans="22:26" x14ac:dyDescent="0.2">
      <c r="V1004" s="123" t="str">
        <f t="shared" si="26"/>
        <v>1w</v>
      </c>
      <c r="W1004" s="82">
        <f>_xll.qlCalendarAdvance(Calendar,W1003,V1004,"f",FALSE)</f>
        <v>45917</v>
      </c>
      <c r="X1004" s="91">
        <f>_xll.qlCalendarAdvance(Calendar,W1004,NDays&amp;"D")</f>
        <v>45917</v>
      </c>
      <c r="Y1004" s="92" t="e">
        <v>#N/A</v>
      </c>
      <c r="Z1004" s="94" t="e">
        <v>#N/A</v>
      </c>
    </row>
    <row r="1005" spans="22:26" x14ac:dyDescent="0.2">
      <c r="V1005" s="123" t="str">
        <f t="shared" si="26"/>
        <v>1w</v>
      </c>
      <c r="W1005" s="82">
        <f>_xll.qlCalendarAdvance(Calendar,W1004,V1005,"f",FALSE)</f>
        <v>45924</v>
      </c>
      <c r="X1005" s="91">
        <f>_xll.qlCalendarAdvance(Calendar,W1005,NDays&amp;"D")</f>
        <v>45924</v>
      </c>
      <c r="Y1005" s="92" t="e">
        <v>#N/A</v>
      </c>
      <c r="Z1005" s="94" t="e">
        <v>#N/A</v>
      </c>
    </row>
    <row r="1006" spans="22:26" x14ac:dyDescent="0.2">
      <c r="V1006" s="123" t="str">
        <f t="shared" si="26"/>
        <v>1w</v>
      </c>
      <c r="W1006" s="82">
        <f>_xll.qlCalendarAdvance(Calendar,W1005,V1006,"f",FALSE)</f>
        <v>45932</v>
      </c>
      <c r="X1006" s="91">
        <f>_xll.qlCalendarAdvance(Calendar,W1006,NDays&amp;"D")</f>
        <v>45932</v>
      </c>
      <c r="Y1006" s="92" t="e">
        <v>#N/A</v>
      </c>
      <c r="Z1006" s="94" t="e">
        <v>#N/A</v>
      </c>
    </row>
    <row r="1007" spans="22:26" x14ac:dyDescent="0.2">
      <c r="V1007" s="123" t="str">
        <f t="shared" si="26"/>
        <v>1w</v>
      </c>
      <c r="W1007" s="82">
        <f>_xll.qlCalendarAdvance(Calendar,W1006,V1007,"f",FALSE)</f>
        <v>45939</v>
      </c>
      <c r="X1007" s="91">
        <f>_xll.qlCalendarAdvance(Calendar,W1007,NDays&amp;"D")</f>
        <v>45939</v>
      </c>
      <c r="Y1007" s="92" t="e">
        <v>#N/A</v>
      </c>
      <c r="Z1007" s="94" t="e">
        <v>#N/A</v>
      </c>
    </row>
    <row r="1008" spans="22:26" x14ac:dyDescent="0.2">
      <c r="V1008" s="123" t="str">
        <f t="shared" si="26"/>
        <v>1w</v>
      </c>
      <c r="W1008" s="82">
        <f>_xll.qlCalendarAdvance(Calendar,W1007,V1008,"f",FALSE)</f>
        <v>45946</v>
      </c>
      <c r="X1008" s="91">
        <f>_xll.qlCalendarAdvance(Calendar,W1008,NDays&amp;"D")</f>
        <v>45946</v>
      </c>
      <c r="Y1008" s="92" t="e">
        <v>#N/A</v>
      </c>
      <c r="Z1008" s="94" t="e">
        <v>#N/A</v>
      </c>
    </row>
    <row r="1009" spans="22:26" x14ac:dyDescent="0.2">
      <c r="V1009" s="123" t="str">
        <f t="shared" si="26"/>
        <v>1w</v>
      </c>
      <c r="W1009" s="82">
        <f>_xll.qlCalendarAdvance(Calendar,W1008,V1009,"f",FALSE)</f>
        <v>45953</v>
      </c>
      <c r="X1009" s="91">
        <f>_xll.qlCalendarAdvance(Calendar,W1009,NDays&amp;"D")</f>
        <v>45953</v>
      </c>
      <c r="Y1009" s="92" t="e">
        <v>#N/A</v>
      </c>
      <c r="Z1009" s="94" t="e">
        <v>#N/A</v>
      </c>
    </row>
    <row r="1010" spans="22:26" x14ac:dyDescent="0.2">
      <c r="V1010" s="123" t="str">
        <f t="shared" si="26"/>
        <v>1w</v>
      </c>
      <c r="W1010" s="82">
        <f>_xll.qlCalendarAdvance(Calendar,W1009,V1010,"f",FALSE)</f>
        <v>45960</v>
      </c>
      <c r="X1010" s="91">
        <f>_xll.qlCalendarAdvance(Calendar,W1010,NDays&amp;"D")</f>
        <v>45960</v>
      </c>
      <c r="Y1010" s="92" t="e">
        <v>#N/A</v>
      </c>
      <c r="Z1010" s="94" t="e">
        <v>#N/A</v>
      </c>
    </row>
    <row r="1011" spans="22:26" x14ac:dyDescent="0.2">
      <c r="V1011" s="123" t="str">
        <f t="shared" si="26"/>
        <v>1w</v>
      </c>
      <c r="W1011" s="82">
        <f>_xll.qlCalendarAdvance(Calendar,W1010,V1011,"f",FALSE)</f>
        <v>45967</v>
      </c>
      <c r="X1011" s="91">
        <f>_xll.qlCalendarAdvance(Calendar,W1011,NDays&amp;"D")</f>
        <v>45967</v>
      </c>
      <c r="Y1011" s="92" t="e">
        <v>#N/A</v>
      </c>
      <c r="Z1011" s="94" t="e">
        <v>#N/A</v>
      </c>
    </row>
    <row r="1012" spans="22:26" x14ac:dyDescent="0.2">
      <c r="V1012" s="123" t="str">
        <f t="shared" si="26"/>
        <v>1w</v>
      </c>
      <c r="W1012" s="82">
        <f>_xll.qlCalendarAdvance(Calendar,W1011,V1012,"f",FALSE)</f>
        <v>45974</v>
      </c>
      <c r="X1012" s="91">
        <f>_xll.qlCalendarAdvance(Calendar,W1012,NDays&amp;"D")</f>
        <v>45974</v>
      </c>
      <c r="Y1012" s="92" t="e">
        <v>#N/A</v>
      </c>
      <c r="Z1012" s="94" t="e">
        <v>#N/A</v>
      </c>
    </row>
    <row r="1013" spans="22:26" x14ac:dyDescent="0.2">
      <c r="V1013" s="123" t="str">
        <f t="shared" si="26"/>
        <v>1w</v>
      </c>
      <c r="W1013" s="82">
        <f>_xll.qlCalendarAdvance(Calendar,W1012,V1013,"f",FALSE)</f>
        <v>45981</v>
      </c>
      <c r="X1013" s="91">
        <f>_xll.qlCalendarAdvance(Calendar,W1013,NDays&amp;"D")</f>
        <v>45981</v>
      </c>
      <c r="Y1013" s="92" t="e">
        <v>#N/A</v>
      </c>
      <c r="Z1013" s="94" t="e">
        <v>#N/A</v>
      </c>
    </row>
    <row r="1014" spans="22:26" x14ac:dyDescent="0.2">
      <c r="V1014" s="123" t="str">
        <f t="shared" si="26"/>
        <v>1w</v>
      </c>
      <c r="W1014" s="82">
        <f>_xll.qlCalendarAdvance(Calendar,W1013,V1014,"f",FALSE)</f>
        <v>45988</v>
      </c>
      <c r="X1014" s="91">
        <f>_xll.qlCalendarAdvance(Calendar,W1014,NDays&amp;"D")</f>
        <v>45988</v>
      </c>
      <c r="Y1014" s="92" t="e">
        <v>#N/A</v>
      </c>
      <c r="Z1014" s="94" t="e">
        <v>#N/A</v>
      </c>
    </row>
    <row r="1015" spans="22:26" x14ac:dyDescent="0.2">
      <c r="V1015" s="123" t="str">
        <f t="shared" si="26"/>
        <v>1w</v>
      </c>
      <c r="W1015" s="82">
        <f>_xll.qlCalendarAdvance(Calendar,W1014,V1015,"f",FALSE)</f>
        <v>45995</v>
      </c>
      <c r="X1015" s="91">
        <f>_xll.qlCalendarAdvance(Calendar,W1015,NDays&amp;"D")</f>
        <v>45995</v>
      </c>
      <c r="Y1015" s="92" t="e">
        <v>#N/A</v>
      </c>
      <c r="Z1015" s="94" t="e">
        <v>#N/A</v>
      </c>
    </row>
    <row r="1016" spans="22:26" x14ac:dyDescent="0.2">
      <c r="V1016" s="123" t="str">
        <f t="shared" si="26"/>
        <v>1w</v>
      </c>
      <c r="W1016" s="82">
        <f>_xll.qlCalendarAdvance(Calendar,W1015,V1016,"f",FALSE)</f>
        <v>46002</v>
      </c>
      <c r="X1016" s="91">
        <f>_xll.qlCalendarAdvance(Calendar,W1016,NDays&amp;"D")</f>
        <v>46002</v>
      </c>
      <c r="Y1016" s="92" t="e">
        <v>#N/A</v>
      </c>
      <c r="Z1016" s="94" t="e">
        <v>#N/A</v>
      </c>
    </row>
    <row r="1017" spans="22:26" x14ac:dyDescent="0.2">
      <c r="V1017" s="123" t="str">
        <f t="shared" si="26"/>
        <v>1w</v>
      </c>
      <c r="W1017" s="82">
        <f>_xll.qlCalendarAdvance(Calendar,W1016,V1017,"f",FALSE)</f>
        <v>46009</v>
      </c>
      <c r="X1017" s="91">
        <f>_xll.qlCalendarAdvance(Calendar,W1017,NDays&amp;"D")</f>
        <v>46009</v>
      </c>
      <c r="Y1017" s="92" t="e">
        <v>#N/A</v>
      </c>
      <c r="Z1017" s="94" t="e">
        <v>#N/A</v>
      </c>
    </row>
    <row r="1018" spans="22:26" x14ac:dyDescent="0.2">
      <c r="V1018" s="123" t="str">
        <f t="shared" si="26"/>
        <v>1w</v>
      </c>
      <c r="W1018" s="82">
        <f>_xll.qlCalendarAdvance(Calendar,W1017,V1018,"f",FALSE)</f>
        <v>46020</v>
      </c>
      <c r="X1018" s="91">
        <f>_xll.qlCalendarAdvance(Calendar,W1018,NDays&amp;"D")</f>
        <v>46020</v>
      </c>
      <c r="Y1018" s="92" t="e">
        <v>#N/A</v>
      </c>
      <c r="Z1018" s="94" t="e">
        <v>#N/A</v>
      </c>
    </row>
    <row r="1019" spans="22:26" x14ac:dyDescent="0.2">
      <c r="V1019" s="123" t="str">
        <f t="shared" si="26"/>
        <v>1w</v>
      </c>
      <c r="W1019" s="82">
        <f>_xll.qlCalendarAdvance(Calendar,W1018,V1019,"f",FALSE)</f>
        <v>46027</v>
      </c>
      <c r="X1019" s="91">
        <f>_xll.qlCalendarAdvance(Calendar,W1019,NDays&amp;"D")</f>
        <v>46027</v>
      </c>
      <c r="Y1019" s="92" t="e">
        <v>#N/A</v>
      </c>
      <c r="Z1019" s="94" t="e">
        <v>#N/A</v>
      </c>
    </row>
    <row r="1020" spans="22:26" x14ac:dyDescent="0.2">
      <c r="V1020" s="123" t="str">
        <f t="shared" si="26"/>
        <v>1w</v>
      </c>
      <c r="W1020" s="82">
        <f>_xll.qlCalendarAdvance(Calendar,W1019,V1020,"f",FALSE)</f>
        <v>46034</v>
      </c>
      <c r="X1020" s="91">
        <f>_xll.qlCalendarAdvance(Calendar,W1020,NDays&amp;"D")</f>
        <v>46034</v>
      </c>
      <c r="Y1020" s="92" t="e">
        <v>#N/A</v>
      </c>
      <c r="Z1020" s="94" t="e">
        <v>#N/A</v>
      </c>
    </row>
    <row r="1021" spans="22:26" x14ac:dyDescent="0.2">
      <c r="V1021" s="123" t="str">
        <f t="shared" si="26"/>
        <v>1w</v>
      </c>
      <c r="W1021" s="82">
        <f>_xll.qlCalendarAdvance(Calendar,W1020,V1021,"f",FALSE)</f>
        <v>46041</v>
      </c>
      <c r="X1021" s="91">
        <f>_xll.qlCalendarAdvance(Calendar,W1021,NDays&amp;"D")</f>
        <v>46041</v>
      </c>
      <c r="Y1021" s="92" t="e">
        <v>#N/A</v>
      </c>
      <c r="Z1021" s="94" t="e">
        <v>#N/A</v>
      </c>
    </row>
    <row r="1022" spans="22:26" x14ac:dyDescent="0.2">
      <c r="V1022" s="123" t="str">
        <f t="shared" si="26"/>
        <v>1w</v>
      </c>
      <c r="W1022" s="82">
        <f>_xll.qlCalendarAdvance(Calendar,W1021,V1022,"f",FALSE)</f>
        <v>46048</v>
      </c>
      <c r="X1022" s="91">
        <f>_xll.qlCalendarAdvance(Calendar,W1022,NDays&amp;"D")</f>
        <v>46048</v>
      </c>
      <c r="Y1022" s="92" t="e">
        <v>#N/A</v>
      </c>
      <c r="Z1022" s="94" t="e">
        <v>#N/A</v>
      </c>
    </row>
    <row r="1023" spans="22:26" x14ac:dyDescent="0.2">
      <c r="V1023" s="123" t="str">
        <f t="shared" si="26"/>
        <v>1w</v>
      </c>
      <c r="W1023" s="82">
        <f>_xll.qlCalendarAdvance(Calendar,W1022,V1023,"f",FALSE)</f>
        <v>46055</v>
      </c>
      <c r="X1023" s="91">
        <f>_xll.qlCalendarAdvance(Calendar,W1023,NDays&amp;"D")</f>
        <v>46055</v>
      </c>
      <c r="Y1023" s="92" t="e">
        <v>#N/A</v>
      </c>
      <c r="Z1023" s="94" t="e">
        <v>#N/A</v>
      </c>
    </row>
    <row r="1024" spans="22:26" x14ac:dyDescent="0.2">
      <c r="V1024" s="123" t="str">
        <f t="shared" si="26"/>
        <v>1w</v>
      </c>
      <c r="W1024" s="82">
        <f>_xll.qlCalendarAdvance(Calendar,W1023,V1024,"f",FALSE)</f>
        <v>46062</v>
      </c>
      <c r="X1024" s="91">
        <f>_xll.qlCalendarAdvance(Calendar,W1024,NDays&amp;"D")</f>
        <v>46062</v>
      </c>
      <c r="Y1024" s="92" t="e">
        <v>#N/A</v>
      </c>
      <c r="Z1024" s="94" t="e">
        <v>#N/A</v>
      </c>
    </row>
    <row r="1025" spans="22:26" x14ac:dyDescent="0.2">
      <c r="V1025" s="123" t="str">
        <f t="shared" si="26"/>
        <v>1w</v>
      </c>
      <c r="W1025" s="82">
        <f>_xll.qlCalendarAdvance(Calendar,W1024,V1025,"f",FALSE)</f>
        <v>46069</v>
      </c>
      <c r="X1025" s="91">
        <f>_xll.qlCalendarAdvance(Calendar,W1025,NDays&amp;"D")</f>
        <v>46069</v>
      </c>
      <c r="Y1025" s="92" t="e">
        <v>#N/A</v>
      </c>
      <c r="Z1025" s="94" t="e">
        <v>#N/A</v>
      </c>
    </row>
    <row r="1026" spans="22:26" x14ac:dyDescent="0.2">
      <c r="V1026" s="123" t="str">
        <f t="shared" si="26"/>
        <v>1w</v>
      </c>
      <c r="W1026" s="82">
        <f>_xll.qlCalendarAdvance(Calendar,W1025,V1026,"f",FALSE)</f>
        <v>46076</v>
      </c>
      <c r="X1026" s="91">
        <f>_xll.qlCalendarAdvance(Calendar,W1026,NDays&amp;"D")</f>
        <v>46076</v>
      </c>
      <c r="Y1026" s="92" t="e">
        <v>#N/A</v>
      </c>
      <c r="Z1026" s="94" t="e">
        <v>#N/A</v>
      </c>
    </row>
    <row r="1027" spans="22:26" x14ac:dyDescent="0.2">
      <c r="V1027" s="123" t="str">
        <f t="shared" si="26"/>
        <v>1w</v>
      </c>
      <c r="W1027" s="82">
        <f>_xll.qlCalendarAdvance(Calendar,W1026,V1027,"f",FALSE)</f>
        <v>46083</v>
      </c>
      <c r="X1027" s="91">
        <f>_xll.qlCalendarAdvance(Calendar,W1027,NDays&amp;"D")</f>
        <v>46083</v>
      </c>
      <c r="Y1027" s="92" t="e">
        <v>#N/A</v>
      </c>
      <c r="Z1027" s="94" t="e">
        <v>#N/A</v>
      </c>
    </row>
    <row r="1028" spans="22:26" x14ac:dyDescent="0.2">
      <c r="V1028" s="123" t="str">
        <f t="shared" si="26"/>
        <v>1w</v>
      </c>
      <c r="W1028" s="82">
        <f>_xll.qlCalendarAdvance(Calendar,W1027,V1028,"f",FALSE)</f>
        <v>46090</v>
      </c>
      <c r="X1028" s="91">
        <f>_xll.qlCalendarAdvance(Calendar,W1028,NDays&amp;"D")</f>
        <v>46090</v>
      </c>
      <c r="Y1028" s="92" t="e">
        <v>#N/A</v>
      </c>
      <c r="Z1028" s="94" t="e">
        <v>#N/A</v>
      </c>
    </row>
    <row r="1029" spans="22:26" x14ac:dyDescent="0.2">
      <c r="V1029" s="123" t="str">
        <f t="shared" si="26"/>
        <v>1w</v>
      </c>
      <c r="W1029" s="82">
        <f>_xll.qlCalendarAdvance(Calendar,W1028,V1029,"f",FALSE)</f>
        <v>46097</v>
      </c>
      <c r="X1029" s="91">
        <f>_xll.qlCalendarAdvance(Calendar,W1029,NDays&amp;"D")</f>
        <v>46097</v>
      </c>
      <c r="Y1029" s="92" t="e">
        <v>#N/A</v>
      </c>
      <c r="Z1029" s="94" t="e">
        <v>#N/A</v>
      </c>
    </row>
    <row r="1030" spans="22:26" x14ac:dyDescent="0.2">
      <c r="V1030" s="123" t="str">
        <f t="shared" si="26"/>
        <v>1w</v>
      </c>
      <c r="W1030" s="82">
        <f>_xll.qlCalendarAdvance(Calendar,W1029,V1030,"f",FALSE)</f>
        <v>46104</v>
      </c>
      <c r="X1030" s="91">
        <f>_xll.qlCalendarAdvance(Calendar,W1030,NDays&amp;"D")</f>
        <v>46104</v>
      </c>
      <c r="Y1030" s="92" t="e">
        <v>#N/A</v>
      </c>
      <c r="Z1030" s="94" t="e">
        <v>#N/A</v>
      </c>
    </row>
    <row r="1031" spans="22:26" x14ac:dyDescent="0.2">
      <c r="V1031" s="123" t="str">
        <f t="shared" si="26"/>
        <v>1w</v>
      </c>
      <c r="W1031" s="82">
        <f>_xll.qlCalendarAdvance(Calendar,W1030,V1031,"f",FALSE)</f>
        <v>46111</v>
      </c>
      <c r="X1031" s="91">
        <f>_xll.qlCalendarAdvance(Calendar,W1031,NDays&amp;"D")</f>
        <v>46111</v>
      </c>
      <c r="Y1031" s="92" t="e">
        <v>#N/A</v>
      </c>
      <c r="Z1031" s="94" t="e">
        <v>#N/A</v>
      </c>
    </row>
    <row r="1032" spans="22:26" x14ac:dyDescent="0.2">
      <c r="V1032" s="123" t="str">
        <f t="shared" si="26"/>
        <v>1w</v>
      </c>
      <c r="W1032" s="82">
        <f>_xll.qlCalendarAdvance(Calendar,W1031,V1032,"f",FALSE)</f>
        <v>46119</v>
      </c>
      <c r="X1032" s="91">
        <f>_xll.qlCalendarAdvance(Calendar,W1032,NDays&amp;"D")</f>
        <v>46119</v>
      </c>
      <c r="Y1032" s="92" t="e">
        <v>#N/A</v>
      </c>
      <c r="Z1032" s="94" t="e">
        <v>#N/A</v>
      </c>
    </row>
    <row r="1033" spans="22:26" x14ac:dyDescent="0.2">
      <c r="V1033" s="123" t="str">
        <f t="shared" si="26"/>
        <v>1w</v>
      </c>
      <c r="W1033" s="82">
        <f>_xll.qlCalendarAdvance(Calendar,W1032,V1033,"f",FALSE)</f>
        <v>46126</v>
      </c>
      <c r="X1033" s="91">
        <f>_xll.qlCalendarAdvance(Calendar,W1033,NDays&amp;"D")</f>
        <v>46126</v>
      </c>
      <c r="Y1033" s="92" t="e">
        <v>#N/A</v>
      </c>
      <c r="Z1033" s="94" t="e">
        <v>#N/A</v>
      </c>
    </row>
    <row r="1034" spans="22:26" x14ac:dyDescent="0.2">
      <c r="V1034" s="123" t="str">
        <f t="shared" si="26"/>
        <v>1w</v>
      </c>
      <c r="W1034" s="82">
        <f>_xll.qlCalendarAdvance(Calendar,W1033,V1034,"f",FALSE)</f>
        <v>46133</v>
      </c>
      <c r="X1034" s="91">
        <f>_xll.qlCalendarAdvance(Calendar,W1034,NDays&amp;"D")</f>
        <v>46133</v>
      </c>
      <c r="Y1034" s="92" t="e">
        <v>#N/A</v>
      </c>
      <c r="Z1034" s="94" t="e">
        <v>#N/A</v>
      </c>
    </row>
    <row r="1035" spans="22:26" x14ac:dyDescent="0.2">
      <c r="V1035" s="123" t="str">
        <f t="shared" si="26"/>
        <v>1w</v>
      </c>
      <c r="W1035" s="82">
        <f>_xll.qlCalendarAdvance(Calendar,W1034,V1035,"f",FALSE)</f>
        <v>46140</v>
      </c>
      <c r="X1035" s="91">
        <f>_xll.qlCalendarAdvance(Calendar,W1035,NDays&amp;"D")</f>
        <v>46140</v>
      </c>
      <c r="Y1035" s="92" t="e">
        <v>#N/A</v>
      </c>
      <c r="Z1035" s="94" t="e">
        <v>#N/A</v>
      </c>
    </row>
    <row r="1036" spans="22:26" x14ac:dyDescent="0.2">
      <c r="V1036" s="123" t="str">
        <f t="shared" si="26"/>
        <v>1w</v>
      </c>
      <c r="W1036" s="82">
        <f>_xll.qlCalendarAdvance(Calendar,W1035,V1036,"f",FALSE)</f>
        <v>46147</v>
      </c>
      <c r="X1036" s="91">
        <f>_xll.qlCalendarAdvance(Calendar,W1036,NDays&amp;"D")</f>
        <v>46147</v>
      </c>
      <c r="Y1036" s="92" t="e">
        <v>#N/A</v>
      </c>
      <c r="Z1036" s="94" t="e">
        <v>#N/A</v>
      </c>
    </row>
    <row r="1037" spans="22:26" x14ac:dyDescent="0.2">
      <c r="V1037" s="123" t="str">
        <f t="shared" si="26"/>
        <v>1w</v>
      </c>
      <c r="W1037" s="82">
        <f>_xll.qlCalendarAdvance(Calendar,W1036,V1037,"f",FALSE)</f>
        <v>46154</v>
      </c>
      <c r="X1037" s="91">
        <f>_xll.qlCalendarAdvance(Calendar,W1037,NDays&amp;"D")</f>
        <v>46154</v>
      </c>
      <c r="Y1037" s="92" t="e">
        <v>#N/A</v>
      </c>
      <c r="Z1037" s="94" t="e">
        <v>#N/A</v>
      </c>
    </row>
    <row r="1038" spans="22:26" x14ac:dyDescent="0.2">
      <c r="V1038" s="123" t="str">
        <f t="shared" si="26"/>
        <v>1w</v>
      </c>
      <c r="W1038" s="82">
        <f>_xll.qlCalendarAdvance(Calendar,W1037,V1038,"f",FALSE)</f>
        <v>46161</v>
      </c>
      <c r="X1038" s="91">
        <f>_xll.qlCalendarAdvance(Calendar,W1038,NDays&amp;"D")</f>
        <v>46161</v>
      </c>
      <c r="Y1038" s="92" t="e">
        <v>#N/A</v>
      </c>
      <c r="Z1038" s="94" t="e">
        <v>#N/A</v>
      </c>
    </row>
    <row r="1039" spans="22:26" x14ac:dyDescent="0.2">
      <c r="V1039" s="123" t="str">
        <f t="shared" si="26"/>
        <v>1w</v>
      </c>
      <c r="W1039" s="82">
        <f>_xll.qlCalendarAdvance(Calendar,W1038,V1039,"f",FALSE)</f>
        <v>46168</v>
      </c>
      <c r="X1039" s="91">
        <f>_xll.qlCalendarAdvance(Calendar,W1039,NDays&amp;"D")</f>
        <v>46168</v>
      </c>
      <c r="Y1039" s="92" t="e">
        <v>#N/A</v>
      </c>
      <c r="Z1039" s="94" t="e">
        <v>#N/A</v>
      </c>
    </row>
    <row r="1040" spans="22:26" x14ac:dyDescent="0.2">
      <c r="V1040" s="123" t="str">
        <f t="shared" si="26"/>
        <v>1w</v>
      </c>
      <c r="W1040" s="82">
        <f>_xll.qlCalendarAdvance(Calendar,W1039,V1040,"f",FALSE)</f>
        <v>46175</v>
      </c>
      <c r="X1040" s="91">
        <f>_xll.qlCalendarAdvance(Calendar,W1040,NDays&amp;"D")</f>
        <v>46175</v>
      </c>
      <c r="Y1040" s="92" t="e">
        <v>#N/A</v>
      </c>
      <c r="Z1040" s="94" t="e">
        <v>#N/A</v>
      </c>
    </row>
    <row r="1041" spans="22:26" x14ac:dyDescent="0.2">
      <c r="V1041" s="123" t="str">
        <f t="shared" si="26"/>
        <v>1w</v>
      </c>
      <c r="W1041" s="82">
        <f>_xll.qlCalendarAdvance(Calendar,W1040,V1041,"f",FALSE)</f>
        <v>46182</v>
      </c>
      <c r="X1041" s="91">
        <f>_xll.qlCalendarAdvance(Calendar,W1041,NDays&amp;"D")</f>
        <v>46182</v>
      </c>
      <c r="Y1041" s="92" t="e">
        <v>#N/A</v>
      </c>
      <c r="Z1041" s="94" t="e">
        <v>#N/A</v>
      </c>
    </row>
    <row r="1042" spans="22:26" x14ac:dyDescent="0.2">
      <c r="V1042" s="123" t="str">
        <f t="shared" si="26"/>
        <v>1w</v>
      </c>
      <c r="W1042" s="82">
        <f>_xll.qlCalendarAdvance(Calendar,W1041,V1042,"f",FALSE)</f>
        <v>46189</v>
      </c>
      <c r="X1042" s="91">
        <f>_xll.qlCalendarAdvance(Calendar,W1042,NDays&amp;"D")</f>
        <v>46189</v>
      </c>
      <c r="Y1042" s="92" t="e">
        <v>#N/A</v>
      </c>
      <c r="Z1042" s="94" t="e">
        <v>#N/A</v>
      </c>
    </row>
    <row r="1043" spans="22:26" x14ac:dyDescent="0.2">
      <c r="V1043" s="123" t="str">
        <f t="shared" si="26"/>
        <v>1w</v>
      </c>
      <c r="W1043" s="82">
        <f>_xll.qlCalendarAdvance(Calendar,W1042,V1043,"f",FALSE)</f>
        <v>46196</v>
      </c>
      <c r="X1043" s="91">
        <f>_xll.qlCalendarAdvance(Calendar,W1043,NDays&amp;"D")</f>
        <v>46196</v>
      </c>
      <c r="Y1043" s="92" t="e">
        <v>#N/A</v>
      </c>
      <c r="Z1043" s="94" t="e">
        <v>#N/A</v>
      </c>
    </row>
    <row r="1044" spans="22:26" x14ac:dyDescent="0.2">
      <c r="V1044" s="123" t="str">
        <f t="shared" si="26"/>
        <v>1w</v>
      </c>
      <c r="W1044" s="82">
        <f>_xll.qlCalendarAdvance(Calendar,W1043,V1044,"f",FALSE)</f>
        <v>46203</v>
      </c>
      <c r="X1044" s="91">
        <f>_xll.qlCalendarAdvance(Calendar,W1044,NDays&amp;"D")</f>
        <v>46203</v>
      </c>
      <c r="Y1044" s="92" t="e">
        <v>#N/A</v>
      </c>
      <c r="Z1044" s="94" t="e">
        <v>#N/A</v>
      </c>
    </row>
    <row r="1045" spans="22:26" x14ac:dyDescent="0.2">
      <c r="V1045" s="123" t="str">
        <f t="shared" ref="V1045:V1108" si="27">V1044</f>
        <v>1w</v>
      </c>
      <c r="W1045" s="82">
        <f>_xll.qlCalendarAdvance(Calendar,W1044,V1045,"f",FALSE)</f>
        <v>46210</v>
      </c>
      <c r="X1045" s="91">
        <f>_xll.qlCalendarAdvance(Calendar,W1045,NDays&amp;"D")</f>
        <v>46210</v>
      </c>
      <c r="Y1045" s="92" t="e">
        <v>#N/A</v>
      </c>
      <c r="Z1045" s="94" t="e">
        <v>#N/A</v>
      </c>
    </row>
    <row r="1046" spans="22:26" x14ac:dyDescent="0.2">
      <c r="V1046" s="123" t="str">
        <f t="shared" si="27"/>
        <v>1w</v>
      </c>
      <c r="W1046" s="82">
        <f>_xll.qlCalendarAdvance(Calendar,W1045,V1046,"f",FALSE)</f>
        <v>46217</v>
      </c>
      <c r="X1046" s="91">
        <f>_xll.qlCalendarAdvance(Calendar,W1046,NDays&amp;"D")</f>
        <v>46217</v>
      </c>
      <c r="Y1046" s="92" t="e">
        <v>#N/A</v>
      </c>
      <c r="Z1046" s="94" t="e">
        <v>#N/A</v>
      </c>
    </row>
    <row r="1047" spans="22:26" x14ac:dyDescent="0.2">
      <c r="V1047" s="123" t="str">
        <f t="shared" si="27"/>
        <v>1w</v>
      </c>
      <c r="W1047" s="82">
        <f>_xll.qlCalendarAdvance(Calendar,W1046,V1047,"f",FALSE)</f>
        <v>46224</v>
      </c>
      <c r="X1047" s="91">
        <f>_xll.qlCalendarAdvance(Calendar,W1047,NDays&amp;"D")</f>
        <v>46224</v>
      </c>
      <c r="Y1047" s="92" t="e">
        <v>#N/A</v>
      </c>
      <c r="Z1047" s="94" t="e">
        <v>#N/A</v>
      </c>
    </row>
    <row r="1048" spans="22:26" x14ac:dyDescent="0.2">
      <c r="V1048" s="123" t="str">
        <f t="shared" si="27"/>
        <v>1w</v>
      </c>
      <c r="W1048" s="82">
        <f>_xll.qlCalendarAdvance(Calendar,W1047,V1048,"f",FALSE)</f>
        <v>46231</v>
      </c>
      <c r="X1048" s="91">
        <f>_xll.qlCalendarAdvance(Calendar,W1048,NDays&amp;"D")</f>
        <v>46231</v>
      </c>
      <c r="Y1048" s="92" t="e">
        <v>#N/A</v>
      </c>
      <c r="Z1048" s="94" t="e">
        <v>#N/A</v>
      </c>
    </row>
    <row r="1049" spans="22:26" x14ac:dyDescent="0.2">
      <c r="V1049" s="123" t="str">
        <f t="shared" si="27"/>
        <v>1w</v>
      </c>
      <c r="W1049" s="82">
        <f>_xll.qlCalendarAdvance(Calendar,W1048,V1049,"f",FALSE)</f>
        <v>46238</v>
      </c>
      <c r="X1049" s="91">
        <f>_xll.qlCalendarAdvance(Calendar,W1049,NDays&amp;"D")</f>
        <v>46238</v>
      </c>
      <c r="Y1049" s="92" t="e">
        <v>#N/A</v>
      </c>
      <c r="Z1049" s="94" t="e">
        <v>#N/A</v>
      </c>
    </row>
    <row r="1050" spans="22:26" x14ac:dyDescent="0.2">
      <c r="V1050" s="123" t="str">
        <f t="shared" si="27"/>
        <v>1w</v>
      </c>
      <c r="W1050" s="82">
        <f>_xll.qlCalendarAdvance(Calendar,W1049,V1050,"f",FALSE)</f>
        <v>46245</v>
      </c>
      <c r="X1050" s="91">
        <f>_xll.qlCalendarAdvance(Calendar,W1050,NDays&amp;"D")</f>
        <v>46245</v>
      </c>
      <c r="Y1050" s="92" t="e">
        <v>#N/A</v>
      </c>
      <c r="Z1050" s="94" t="e">
        <v>#N/A</v>
      </c>
    </row>
    <row r="1051" spans="22:26" x14ac:dyDescent="0.2">
      <c r="V1051" s="123" t="str">
        <f t="shared" si="27"/>
        <v>1w</v>
      </c>
      <c r="W1051" s="82">
        <f>_xll.qlCalendarAdvance(Calendar,W1050,V1051,"f",FALSE)</f>
        <v>46252</v>
      </c>
      <c r="X1051" s="91">
        <f>_xll.qlCalendarAdvance(Calendar,W1051,NDays&amp;"D")</f>
        <v>46252</v>
      </c>
      <c r="Y1051" s="92" t="e">
        <v>#N/A</v>
      </c>
      <c r="Z1051" s="94" t="e">
        <v>#N/A</v>
      </c>
    </row>
    <row r="1052" spans="22:26" x14ac:dyDescent="0.2">
      <c r="V1052" s="123" t="str">
        <f t="shared" si="27"/>
        <v>1w</v>
      </c>
      <c r="W1052" s="82">
        <f>_xll.qlCalendarAdvance(Calendar,W1051,V1052,"f",FALSE)</f>
        <v>46259</v>
      </c>
      <c r="X1052" s="91">
        <f>_xll.qlCalendarAdvance(Calendar,W1052,NDays&amp;"D")</f>
        <v>46259</v>
      </c>
      <c r="Y1052" s="92" t="e">
        <v>#N/A</v>
      </c>
      <c r="Z1052" s="94" t="e">
        <v>#N/A</v>
      </c>
    </row>
    <row r="1053" spans="22:26" x14ac:dyDescent="0.2">
      <c r="V1053" s="123" t="str">
        <f t="shared" si="27"/>
        <v>1w</v>
      </c>
      <c r="W1053" s="82">
        <f>_xll.qlCalendarAdvance(Calendar,W1052,V1053,"f",FALSE)</f>
        <v>46266</v>
      </c>
      <c r="X1053" s="91">
        <f>_xll.qlCalendarAdvance(Calendar,W1053,NDays&amp;"D")</f>
        <v>46266</v>
      </c>
      <c r="Y1053" s="92" t="e">
        <v>#N/A</v>
      </c>
      <c r="Z1053" s="94" t="e">
        <v>#N/A</v>
      </c>
    </row>
    <row r="1054" spans="22:26" x14ac:dyDescent="0.2">
      <c r="V1054" s="123" t="str">
        <f t="shared" si="27"/>
        <v>1w</v>
      </c>
      <c r="W1054" s="82">
        <f>_xll.qlCalendarAdvance(Calendar,W1053,V1054,"f",FALSE)</f>
        <v>46273</v>
      </c>
      <c r="X1054" s="91">
        <f>_xll.qlCalendarAdvance(Calendar,W1054,NDays&amp;"D")</f>
        <v>46273</v>
      </c>
      <c r="Y1054" s="92" t="e">
        <v>#N/A</v>
      </c>
      <c r="Z1054" s="94" t="e">
        <v>#N/A</v>
      </c>
    </row>
    <row r="1055" spans="22:26" x14ac:dyDescent="0.2">
      <c r="V1055" s="123" t="str">
        <f t="shared" si="27"/>
        <v>1w</v>
      </c>
      <c r="W1055" s="82">
        <f>_xll.qlCalendarAdvance(Calendar,W1054,V1055,"f",FALSE)</f>
        <v>46280</v>
      </c>
      <c r="X1055" s="91">
        <f>_xll.qlCalendarAdvance(Calendar,W1055,NDays&amp;"D")</f>
        <v>46280</v>
      </c>
      <c r="Y1055" s="92" t="e">
        <v>#N/A</v>
      </c>
      <c r="Z1055" s="94" t="e">
        <v>#N/A</v>
      </c>
    </row>
    <row r="1056" spans="22:26" x14ac:dyDescent="0.2">
      <c r="V1056" s="123" t="str">
        <f t="shared" si="27"/>
        <v>1w</v>
      </c>
      <c r="W1056" s="82">
        <f>_xll.qlCalendarAdvance(Calendar,W1055,V1056,"f",FALSE)</f>
        <v>46287</v>
      </c>
      <c r="X1056" s="91">
        <f>_xll.qlCalendarAdvance(Calendar,W1056,NDays&amp;"D")</f>
        <v>46287</v>
      </c>
      <c r="Y1056" s="92" t="e">
        <v>#N/A</v>
      </c>
      <c r="Z1056" s="94" t="e">
        <v>#N/A</v>
      </c>
    </row>
    <row r="1057" spans="22:26" x14ac:dyDescent="0.2">
      <c r="V1057" s="123" t="str">
        <f t="shared" si="27"/>
        <v>1w</v>
      </c>
      <c r="W1057" s="82">
        <f>_xll.qlCalendarAdvance(Calendar,W1056,V1057,"f",FALSE)</f>
        <v>46294</v>
      </c>
      <c r="X1057" s="91">
        <f>_xll.qlCalendarAdvance(Calendar,W1057,NDays&amp;"D")</f>
        <v>46294</v>
      </c>
      <c r="Y1057" s="92" t="e">
        <v>#N/A</v>
      </c>
      <c r="Z1057" s="94" t="e">
        <v>#N/A</v>
      </c>
    </row>
    <row r="1058" spans="22:26" x14ac:dyDescent="0.2">
      <c r="V1058" s="123" t="str">
        <f t="shared" si="27"/>
        <v>1w</v>
      </c>
      <c r="W1058" s="82">
        <f>_xll.qlCalendarAdvance(Calendar,W1057,V1058,"f",FALSE)</f>
        <v>46301</v>
      </c>
      <c r="X1058" s="91">
        <f>_xll.qlCalendarAdvance(Calendar,W1058,NDays&amp;"D")</f>
        <v>46301</v>
      </c>
      <c r="Y1058" s="92" t="e">
        <v>#N/A</v>
      </c>
      <c r="Z1058" s="94" t="e">
        <v>#N/A</v>
      </c>
    </row>
    <row r="1059" spans="22:26" x14ac:dyDescent="0.2">
      <c r="V1059" s="123" t="str">
        <f t="shared" si="27"/>
        <v>1w</v>
      </c>
      <c r="W1059" s="82">
        <f>_xll.qlCalendarAdvance(Calendar,W1058,V1059,"f",FALSE)</f>
        <v>46308</v>
      </c>
      <c r="X1059" s="91">
        <f>_xll.qlCalendarAdvance(Calendar,W1059,NDays&amp;"D")</f>
        <v>46308</v>
      </c>
      <c r="Y1059" s="92" t="e">
        <v>#N/A</v>
      </c>
      <c r="Z1059" s="94" t="e">
        <v>#N/A</v>
      </c>
    </row>
    <row r="1060" spans="22:26" x14ac:dyDescent="0.2">
      <c r="V1060" s="123" t="str">
        <f t="shared" si="27"/>
        <v>1w</v>
      </c>
      <c r="W1060" s="82">
        <f>_xll.qlCalendarAdvance(Calendar,W1059,V1060,"f",FALSE)</f>
        <v>46315</v>
      </c>
      <c r="X1060" s="91">
        <f>_xll.qlCalendarAdvance(Calendar,W1060,NDays&amp;"D")</f>
        <v>46315</v>
      </c>
      <c r="Y1060" s="92" t="e">
        <v>#N/A</v>
      </c>
      <c r="Z1060" s="94" t="e">
        <v>#N/A</v>
      </c>
    </row>
    <row r="1061" spans="22:26" x14ac:dyDescent="0.2">
      <c r="V1061" s="123" t="str">
        <f t="shared" si="27"/>
        <v>1w</v>
      </c>
      <c r="W1061" s="82">
        <f>_xll.qlCalendarAdvance(Calendar,W1060,V1061,"f",FALSE)</f>
        <v>46322</v>
      </c>
      <c r="X1061" s="91">
        <f>_xll.qlCalendarAdvance(Calendar,W1061,NDays&amp;"D")</f>
        <v>46322</v>
      </c>
      <c r="Y1061" s="92" t="e">
        <v>#N/A</v>
      </c>
      <c r="Z1061" s="94" t="e">
        <v>#N/A</v>
      </c>
    </row>
    <row r="1062" spans="22:26" x14ac:dyDescent="0.2">
      <c r="V1062" s="123" t="str">
        <f t="shared" si="27"/>
        <v>1w</v>
      </c>
      <c r="W1062" s="82">
        <f>_xll.qlCalendarAdvance(Calendar,W1061,V1062,"f",FALSE)</f>
        <v>46329</v>
      </c>
      <c r="X1062" s="91">
        <f>_xll.qlCalendarAdvance(Calendar,W1062,NDays&amp;"D")</f>
        <v>46329</v>
      </c>
      <c r="Y1062" s="92" t="e">
        <v>#N/A</v>
      </c>
      <c r="Z1062" s="94" t="e">
        <v>#N/A</v>
      </c>
    </row>
    <row r="1063" spans="22:26" x14ac:dyDescent="0.2">
      <c r="V1063" s="123" t="str">
        <f t="shared" si="27"/>
        <v>1w</v>
      </c>
      <c r="W1063" s="82">
        <f>_xll.qlCalendarAdvance(Calendar,W1062,V1063,"f",FALSE)</f>
        <v>46336</v>
      </c>
      <c r="X1063" s="91">
        <f>_xll.qlCalendarAdvance(Calendar,W1063,NDays&amp;"D")</f>
        <v>46336</v>
      </c>
      <c r="Y1063" s="92" t="e">
        <v>#N/A</v>
      </c>
      <c r="Z1063" s="94" t="e">
        <v>#N/A</v>
      </c>
    </row>
    <row r="1064" spans="22:26" x14ac:dyDescent="0.2">
      <c r="V1064" s="123" t="str">
        <f t="shared" si="27"/>
        <v>1w</v>
      </c>
      <c r="W1064" s="82">
        <f>_xll.qlCalendarAdvance(Calendar,W1063,V1064,"f",FALSE)</f>
        <v>46343</v>
      </c>
      <c r="X1064" s="91">
        <f>_xll.qlCalendarAdvance(Calendar,W1064,NDays&amp;"D")</f>
        <v>46343</v>
      </c>
      <c r="Y1064" s="92" t="e">
        <v>#N/A</v>
      </c>
      <c r="Z1064" s="94" t="e">
        <v>#N/A</v>
      </c>
    </row>
    <row r="1065" spans="22:26" x14ac:dyDescent="0.2">
      <c r="V1065" s="123" t="str">
        <f t="shared" si="27"/>
        <v>1w</v>
      </c>
      <c r="W1065" s="82">
        <f>_xll.qlCalendarAdvance(Calendar,W1064,V1065,"f",FALSE)</f>
        <v>46350</v>
      </c>
      <c r="X1065" s="91">
        <f>_xll.qlCalendarAdvance(Calendar,W1065,NDays&amp;"D")</f>
        <v>46350</v>
      </c>
      <c r="Y1065" s="92" t="e">
        <v>#N/A</v>
      </c>
      <c r="Z1065" s="94" t="e">
        <v>#N/A</v>
      </c>
    </row>
    <row r="1066" spans="22:26" x14ac:dyDescent="0.2">
      <c r="V1066" s="123" t="str">
        <f t="shared" si="27"/>
        <v>1w</v>
      </c>
      <c r="W1066" s="82">
        <f>_xll.qlCalendarAdvance(Calendar,W1065,V1066,"f",FALSE)</f>
        <v>46357</v>
      </c>
      <c r="X1066" s="91">
        <f>_xll.qlCalendarAdvance(Calendar,W1066,NDays&amp;"D")</f>
        <v>46357</v>
      </c>
      <c r="Y1066" s="92" t="e">
        <v>#N/A</v>
      </c>
      <c r="Z1066" s="94" t="e">
        <v>#N/A</v>
      </c>
    </row>
    <row r="1067" spans="22:26" x14ac:dyDescent="0.2">
      <c r="V1067" s="123" t="str">
        <f t="shared" si="27"/>
        <v>1w</v>
      </c>
      <c r="W1067" s="82">
        <f>_xll.qlCalendarAdvance(Calendar,W1066,V1067,"f",FALSE)</f>
        <v>46364</v>
      </c>
      <c r="X1067" s="91">
        <f>_xll.qlCalendarAdvance(Calendar,W1067,NDays&amp;"D")</f>
        <v>46364</v>
      </c>
      <c r="Y1067" s="92" t="e">
        <v>#N/A</v>
      </c>
      <c r="Z1067" s="94" t="e">
        <v>#N/A</v>
      </c>
    </row>
    <row r="1068" spans="22:26" x14ac:dyDescent="0.2">
      <c r="V1068" s="123" t="str">
        <f t="shared" si="27"/>
        <v>1w</v>
      </c>
      <c r="W1068" s="82">
        <f>_xll.qlCalendarAdvance(Calendar,W1067,V1068,"f",FALSE)</f>
        <v>46371</v>
      </c>
      <c r="X1068" s="91">
        <f>_xll.qlCalendarAdvance(Calendar,W1068,NDays&amp;"D")</f>
        <v>46371</v>
      </c>
      <c r="Y1068" s="92" t="e">
        <v>#N/A</v>
      </c>
      <c r="Z1068" s="94" t="e">
        <v>#N/A</v>
      </c>
    </row>
    <row r="1069" spans="22:26" x14ac:dyDescent="0.2">
      <c r="V1069" s="123" t="str">
        <f t="shared" si="27"/>
        <v>1w</v>
      </c>
      <c r="W1069" s="82">
        <f>_xll.qlCalendarAdvance(Calendar,W1068,V1069,"f",FALSE)</f>
        <v>46378</v>
      </c>
      <c r="X1069" s="91">
        <f>_xll.qlCalendarAdvance(Calendar,W1069,NDays&amp;"D")</f>
        <v>46378</v>
      </c>
      <c r="Y1069" s="92" t="e">
        <v>#N/A</v>
      </c>
      <c r="Z1069" s="94" t="e">
        <v>#N/A</v>
      </c>
    </row>
    <row r="1070" spans="22:26" x14ac:dyDescent="0.2">
      <c r="V1070" s="123" t="str">
        <f t="shared" si="27"/>
        <v>1w</v>
      </c>
      <c r="W1070" s="82">
        <f>_xll.qlCalendarAdvance(Calendar,W1069,V1070,"f",FALSE)</f>
        <v>46385</v>
      </c>
      <c r="X1070" s="91">
        <f>_xll.qlCalendarAdvance(Calendar,W1070,NDays&amp;"D")</f>
        <v>46385</v>
      </c>
      <c r="Y1070" s="92" t="e">
        <v>#N/A</v>
      </c>
      <c r="Z1070" s="94" t="e">
        <v>#N/A</v>
      </c>
    </row>
    <row r="1071" spans="22:26" x14ac:dyDescent="0.2">
      <c r="V1071" s="123" t="str">
        <f t="shared" si="27"/>
        <v>1w</v>
      </c>
      <c r="W1071" s="82">
        <f>_xll.qlCalendarAdvance(Calendar,W1070,V1071,"f",FALSE)</f>
        <v>46392</v>
      </c>
      <c r="X1071" s="91">
        <f>_xll.qlCalendarAdvance(Calendar,W1071,NDays&amp;"D")</f>
        <v>46392</v>
      </c>
      <c r="Y1071" s="92" t="e">
        <v>#N/A</v>
      </c>
      <c r="Z1071" s="94" t="e">
        <v>#N/A</v>
      </c>
    </row>
    <row r="1072" spans="22:26" x14ac:dyDescent="0.2">
      <c r="V1072" s="123" t="str">
        <f t="shared" si="27"/>
        <v>1w</v>
      </c>
      <c r="W1072" s="82">
        <f>_xll.qlCalendarAdvance(Calendar,W1071,V1072,"f",FALSE)</f>
        <v>46399</v>
      </c>
      <c r="X1072" s="91">
        <f>_xll.qlCalendarAdvance(Calendar,W1072,NDays&amp;"D")</f>
        <v>46399</v>
      </c>
      <c r="Y1072" s="92" t="e">
        <v>#N/A</v>
      </c>
      <c r="Z1072" s="94" t="e">
        <v>#N/A</v>
      </c>
    </row>
    <row r="1073" spans="22:26" x14ac:dyDescent="0.2">
      <c r="V1073" s="123" t="str">
        <f t="shared" si="27"/>
        <v>1w</v>
      </c>
      <c r="W1073" s="82">
        <f>_xll.qlCalendarAdvance(Calendar,W1072,V1073,"f",FALSE)</f>
        <v>46406</v>
      </c>
      <c r="X1073" s="91">
        <f>_xll.qlCalendarAdvance(Calendar,W1073,NDays&amp;"D")</f>
        <v>46406</v>
      </c>
      <c r="Y1073" s="92" t="e">
        <v>#N/A</v>
      </c>
      <c r="Z1073" s="94" t="e">
        <v>#N/A</v>
      </c>
    </row>
    <row r="1074" spans="22:26" x14ac:dyDescent="0.2">
      <c r="V1074" s="123" t="str">
        <f t="shared" si="27"/>
        <v>1w</v>
      </c>
      <c r="W1074" s="82">
        <f>_xll.qlCalendarAdvance(Calendar,W1073,V1074,"f",FALSE)</f>
        <v>46413</v>
      </c>
      <c r="X1074" s="91">
        <f>_xll.qlCalendarAdvance(Calendar,W1074,NDays&amp;"D")</f>
        <v>46413</v>
      </c>
      <c r="Y1074" s="92" t="e">
        <v>#N/A</v>
      </c>
      <c r="Z1074" s="94" t="e">
        <v>#N/A</v>
      </c>
    </row>
    <row r="1075" spans="22:26" x14ac:dyDescent="0.2">
      <c r="V1075" s="123" t="str">
        <f t="shared" si="27"/>
        <v>1w</v>
      </c>
      <c r="W1075" s="82">
        <f>_xll.qlCalendarAdvance(Calendar,W1074,V1075,"f",FALSE)</f>
        <v>46420</v>
      </c>
      <c r="X1075" s="91">
        <f>_xll.qlCalendarAdvance(Calendar,W1075,NDays&amp;"D")</f>
        <v>46420</v>
      </c>
      <c r="Y1075" s="92" t="e">
        <v>#N/A</v>
      </c>
      <c r="Z1075" s="94" t="e">
        <v>#N/A</v>
      </c>
    </row>
    <row r="1076" spans="22:26" x14ac:dyDescent="0.2">
      <c r="V1076" s="123" t="str">
        <f t="shared" si="27"/>
        <v>1w</v>
      </c>
      <c r="W1076" s="82">
        <f>_xll.qlCalendarAdvance(Calendar,W1075,V1076,"f",FALSE)</f>
        <v>46427</v>
      </c>
      <c r="X1076" s="91">
        <f>_xll.qlCalendarAdvance(Calendar,W1076,NDays&amp;"D")</f>
        <v>46427</v>
      </c>
      <c r="Y1076" s="92" t="e">
        <v>#N/A</v>
      </c>
      <c r="Z1076" s="94" t="e">
        <v>#N/A</v>
      </c>
    </row>
    <row r="1077" spans="22:26" x14ac:dyDescent="0.2">
      <c r="V1077" s="123" t="str">
        <f t="shared" si="27"/>
        <v>1w</v>
      </c>
      <c r="W1077" s="82">
        <f>_xll.qlCalendarAdvance(Calendar,W1076,V1077,"f",FALSE)</f>
        <v>46434</v>
      </c>
      <c r="X1077" s="91">
        <f>_xll.qlCalendarAdvance(Calendar,W1077,NDays&amp;"D")</f>
        <v>46434</v>
      </c>
      <c r="Y1077" s="92" t="e">
        <v>#N/A</v>
      </c>
      <c r="Z1077" s="94" t="e">
        <v>#N/A</v>
      </c>
    </row>
    <row r="1078" spans="22:26" x14ac:dyDescent="0.2">
      <c r="V1078" s="123" t="str">
        <f t="shared" si="27"/>
        <v>1w</v>
      </c>
      <c r="W1078" s="82">
        <f>_xll.qlCalendarAdvance(Calendar,W1077,V1078,"f",FALSE)</f>
        <v>46441</v>
      </c>
      <c r="X1078" s="91">
        <f>_xll.qlCalendarAdvance(Calendar,W1078,NDays&amp;"D")</f>
        <v>46441</v>
      </c>
      <c r="Y1078" s="92" t="e">
        <v>#N/A</v>
      </c>
      <c r="Z1078" s="94" t="e">
        <v>#N/A</v>
      </c>
    </row>
    <row r="1079" spans="22:26" x14ac:dyDescent="0.2">
      <c r="V1079" s="123" t="str">
        <f t="shared" si="27"/>
        <v>1w</v>
      </c>
      <c r="W1079" s="82">
        <f>_xll.qlCalendarAdvance(Calendar,W1078,V1079,"f",FALSE)</f>
        <v>46448</v>
      </c>
      <c r="X1079" s="91">
        <f>_xll.qlCalendarAdvance(Calendar,W1079,NDays&amp;"D")</f>
        <v>46448</v>
      </c>
      <c r="Y1079" s="92" t="e">
        <v>#N/A</v>
      </c>
      <c r="Z1079" s="94" t="e">
        <v>#N/A</v>
      </c>
    </row>
    <row r="1080" spans="22:26" x14ac:dyDescent="0.2">
      <c r="V1080" s="123" t="str">
        <f t="shared" si="27"/>
        <v>1w</v>
      </c>
      <c r="W1080" s="82">
        <f>_xll.qlCalendarAdvance(Calendar,W1079,V1080,"f",FALSE)</f>
        <v>46455</v>
      </c>
      <c r="X1080" s="91">
        <f>_xll.qlCalendarAdvance(Calendar,W1080,NDays&amp;"D")</f>
        <v>46455</v>
      </c>
      <c r="Y1080" s="92" t="e">
        <v>#N/A</v>
      </c>
      <c r="Z1080" s="94" t="e">
        <v>#N/A</v>
      </c>
    </row>
    <row r="1081" spans="22:26" x14ac:dyDescent="0.2">
      <c r="V1081" s="123" t="str">
        <f t="shared" si="27"/>
        <v>1w</v>
      </c>
      <c r="W1081" s="82">
        <f>_xll.qlCalendarAdvance(Calendar,W1080,V1081,"f",FALSE)</f>
        <v>46462</v>
      </c>
      <c r="X1081" s="91">
        <f>_xll.qlCalendarAdvance(Calendar,W1081,NDays&amp;"D")</f>
        <v>46462</v>
      </c>
      <c r="Y1081" s="92" t="e">
        <v>#N/A</v>
      </c>
      <c r="Z1081" s="94" t="e">
        <v>#N/A</v>
      </c>
    </row>
    <row r="1082" spans="22:26" x14ac:dyDescent="0.2">
      <c r="V1082" s="123" t="str">
        <f t="shared" si="27"/>
        <v>1w</v>
      </c>
      <c r="W1082" s="82">
        <f>_xll.qlCalendarAdvance(Calendar,W1081,V1082,"f",FALSE)</f>
        <v>46469</v>
      </c>
      <c r="X1082" s="91">
        <f>_xll.qlCalendarAdvance(Calendar,W1082,NDays&amp;"D")</f>
        <v>46469</v>
      </c>
      <c r="Y1082" s="92" t="e">
        <v>#N/A</v>
      </c>
      <c r="Z1082" s="94" t="e">
        <v>#N/A</v>
      </c>
    </row>
    <row r="1083" spans="22:26" x14ac:dyDescent="0.2">
      <c r="V1083" s="123" t="str">
        <f t="shared" si="27"/>
        <v>1w</v>
      </c>
      <c r="W1083" s="82">
        <f>_xll.qlCalendarAdvance(Calendar,W1082,V1083,"f",FALSE)</f>
        <v>46476</v>
      </c>
      <c r="X1083" s="91">
        <f>_xll.qlCalendarAdvance(Calendar,W1083,NDays&amp;"D")</f>
        <v>46476</v>
      </c>
      <c r="Y1083" s="92" t="e">
        <v>#N/A</v>
      </c>
      <c r="Z1083" s="94" t="e">
        <v>#N/A</v>
      </c>
    </row>
    <row r="1084" spans="22:26" x14ac:dyDescent="0.2">
      <c r="V1084" s="123" t="str">
        <f t="shared" si="27"/>
        <v>1w</v>
      </c>
      <c r="W1084" s="82">
        <f>_xll.qlCalendarAdvance(Calendar,W1083,V1084,"f",FALSE)</f>
        <v>46483</v>
      </c>
      <c r="X1084" s="91">
        <f>_xll.qlCalendarAdvance(Calendar,W1084,NDays&amp;"D")</f>
        <v>46483</v>
      </c>
      <c r="Y1084" s="92" t="e">
        <v>#N/A</v>
      </c>
      <c r="Z1084" s="94" t="e">
        <v>#N/A</v>
      </c>
    </row>
    <row r="1085" spans="22:26" x14ac:dyDescent="0.2">
      <c r="V1085" s="123" t="str">
        <f t="shared" si="27"/>
        <v>1w</v>
      </c>
      <c r="W1085" s="82">
        <f>_xll.qlCalendarAdvance(Calendar,W1084,V1085,"f",FALSE)</f>
        <v>46490</v>
      </c>
      <c r="X1085" s="91">
        <f>_xll.qlCalendarAdvance(Calendar,W1085,NDays&amp;"D")</f>
        <v>46490</v>
      </c>
      <c r="Y1085" s="92" t="e">
        <v>#N/A</v>
      </c>
      <c r="Z1085" s="94" t="e">
        <v>#N/A</v>
      </c>
    </row>
    <row r="1086" spans="22:26" x14ac:dyDescent="0.2">
      <c r="V1086" s="123" t="str">
        <f t="shared" si="27"/>
        <v>1w</v>
      </c>
      <c r="W1086" s="82">
        <f>_xll.qlCalendarAdvance(Calendar,W1085,V1086,"f",FALSE)</f>
        <v>46497</v>
      </c>
      <c r="X1086" s="91">
        <f>_xll.qlCalendarAdvance(Calendar,W1086,NDays&amp;"D")</f>
        <v>46497</v>
      </c>
      <c r="Y1086" s="92" t="e">
        <v>#N/A</v>
      </c>
      <c r="Z1086" s="94" t="e">
        <v>#N/A</v>
      </c>
    </row>
    <row r="1087" spans="22:26" x14ac:dyDescent="0.2">
      <c r="V1087" s="123" t="str">
        <f t="shared" si="27"/>
        <v>1w</v>
      </c>
      <c r="W1087" s="82">
        <f>_xll.qlCalendarAdvance(Calendar,W1086,V1087,"f",FALSE)</f>
        <v>46504</v>
      </c>
      <c r="X1087" s="91">
        <f>_xll.qlCalendarAdvance(Calendar,W1087,NDays&amp;"D")</f>
        <v>46504</v>
      </c>
      <c r="Y1087" s="92" t="e">
        <v>#N/A</v>
      </c>
      <c r="Z1087" s="94" t="e">
        <v>#N/A</v>
      </c>
    </row>
    <row r="1088" spans="22:26" x14ac:dyDescent="0.2">
      <c r="V1088" s="123" t="str">
        <f t="shared" si="27"/>
        <v>1w</v>
      </c>
      <c r="W1088" s="82">
        <f>_xll.qlCalendarAdvance(Calendar,W1087,V1088,"f",FALSE)</f>
        <v>46511</v>
      </c>
      <c r="X1088" s="91">
        <f>_xll.qlCalendarAdvance(Calendar,W1088,NDays&amp;"D")</f>
        <v>46511</v>
      </c>
      <c r="Y1088" s="92" t="e">
        <v>#N/A</v>
      </c>
      <c r="Z1088" s="94" t="e">
        <v>#N/A</v>
      </c>
    </row>
    <row r="1089" spans="22:26" x14ac:dyDescent="0.2">
      <c r="V1089" s="123" t="str">
        <f t="shared" si="27"/>
        <v>1w</v>
      </c>
      <c r="W1089" s="82">
        <f>_xll.qlCalendarAdvance(Calendar,W1088,V1089,"f",FALSE)</f>
        <v>46518</v>
      </c>
      <c r="X1089" s="91">
        <f>_xll.qlCalendarAdvance(Calendar,W1089,NDays&amp;"D")</f>
        <v>46518</v>
      </c>
      <c r="Y1089" s="92" t="e">
        <v>#N/A</v>
      </c>
      <c r="Z1089" s="94" t="e">
        <v>#N/A</v>
      </c>
    </row>
    <row r="1090" spans="22:26" x14ac:dyDescent="0.2">
      <c r="V1090" s="123" t="str">
        <f t="shared" si="27"/>
        <v>1w</v>
      </c>
      <c r="W1090" s="82">
        <f>_xll.qlCalendarAdvance(Calendar,W1089,V1090,"f",FALSE)</f>
        <v>46525</v>
      </c>
      <c r="X1090" s="91">
        <f>_xll.qlCalendarAdvance(Calendar,W1090,NDays&amp;"D")</f>
        <v>46525</v>
      </c>
      <c r="Y1090" s="92" t="e">
        <v>#N/A</v>
      </c>
      <c r="Z1090" s="94" t="e">
        <v>#N/A</v>
      </c>
    </row>
    <row r="1091" spans="22:26" x14ac:dyDescent="0.2">
      <c r="V1091" s="123" t="str">
        <f t="shared" si="27"/>
        <v>1w</v>
      </c>
      <c r="W1091" s="82">
        <f>_xll.qlCalendarAdvance(Calendar,W1090,V1091,"f",FALSE)</f>
        <v>46532</v>
      </c>
      <c r="X1091" s="91">
        <f>_xll.qlCalendarAdvance(Calendar,W1091,NDays&amp;"D")</f>
        <v>46532</v>
      </c>
      <c r="Y1091" s="92" t="e">
        <v>#N/A</v>
      </c>
      <c r="Z1091" s="94" t="e">
        <v>#N/A</v>
      </c>
    </row>
    <row r="1092" spans="22:26" x14ac:dyDescent="0.2">
      <c r="V1092" s="123" t="str">
        <f t="shared" si="27"/>
        <v>1w</v>
      </c>
      <c r="W1092" s="82">
        <f>_xll.qlCalendarAdvance(Calendar,W1091,V1092,"f",FALSE)</f>
        <v>46539</v>
      </c>
      <c r="X1092" s="91">
        <f>_xll.qlCalendarAdvance(Calendar,W1092,NDays&amp;"D")</f>
        <v>46539</v>
      </c>
      <c r="Y1092" s="92" t="e">
        <v>#N/A</v>
      </c>
      <c r="Z1092" s="94" t="e">
        <v>#N/A</v>
      </c>
    </row>
    <row r="1093" spans="22:26" x14ac:dyDescent="0.2">
      <c r="V1093" s="123" t="str">
        <f t="shared" si="27"/>
        <v>1w</v>
      </c>
      <c r="W1093" s="82">
        <f>_xll.qlCalendarAdvance(Calendar,W1092,V1093,"f",FALSE)</f>
        <v>46546</v>
      </c>
      <c r="X1093" s="91">
        <f>_xll.qlCalendarAdvance(Calendar,W1093,NDays&amp;"D")</f>
        <v>46546</v>
      </c>
      <c r="Y1093" s="92" t="e">
        <v>#N/A</v>
      </c>
      <c r="Z1093" s="94" t="e">
        <v>#N/A</v>
      </c>
    </row>
    <row r="1094" spans="22:26" x14ac:dyDescent="0.2">
      <c r="V1094" s="123" t="str">
        <f t="shared" si="27"/>
        <v>1w</v>
      </c>
      <c r="W1094" s="82">
        <f>_xll.qlCalendarAdvance(Calendar,W1093,V1094,"f",FALSE)</f>
        <v>46553</v>
      </c>
      <c r="X1094" s="91">
        <f>_xll.qlCalendarAdvance(Calendar,W1094,NDays&amp;"D")</f>
        <v>46553</v>
      </c>
      <c r="Y1094" s="92" t="e">
        <v>#N/A</v>
      </c>
      <c r="Z1094" s="94" t="e">
        <v>#N/A</v>
      </c>
    </row>
    <row r="1095" spans="22:26" x14ac:dyDescent="0.2">
      <c r="V1095" s="123" t="str">
        <f t="shared" si="27"/>
        <v>1w</v>
      </c>
      <c r="W1095" s="82">
        <f>_xll.qlCalendarAdvance(Calendar,W1094,V1095,"f",FALSE)</f>
        <v>46560</v>
      </c>
      <c r="X1095" s="91">
        <f>_xll.qlCalendarAdvance(Calendar,W1095,NDays&amp;"D")</f>
        <v>46560</v>
      </c>
      <c r="Y1095" s="92" t="e">
        <v>#N/A</v>
      </c>
      <c r="Z1095" s="94" t="e">
        <v>#N/A</v>
      </c>
    </row>
    <row r="1096" spans="22:26" x14ac:dyDescent="0.2">
      <c r="V1096" s="123" t="str">
        <f t="shared" si="27"/>
        <v>1w</v>
      </c>
      <c r="W1096" s="82">
        <f>_xll.qlCalendarAdvance(Calendar,W1095,V1096,"f",FALSE)</f>
        <v>46567</v>
      </c>
      <c r="X1096" s="91">
        <f>_xll.qlCalendarAdvance(Calendar,W1096,NDays&amp;"D")</f>
        <v>46567</v>
      </c>
      <c r="Y1096" s="92" t="e">
        <v>#N/A</v>
      </c>
      <c r="Z1096" s="94" t="e">
        <v>#N/A</v>
      </c>
    </row>
    <row r="1097" spans="22:26" x14ac:dyDescent="0.2">
      <c r="V1097" s="123" t="str">
        <f t="shared" si="27"/>
        <v>1w</v>
      </c>
      <c r="W1097" s="82">
        <f>_xll.qlCalendarAdvance(Calendar,W1096,V1097,"f",FALSE)</f>
        <v>46574</v>
      </c>
      <c r="X1097" s="91">
        <f>_xll.qlCalendarAdvance(Calendar,W1097,NDays&amp;"D")</f>
        <v>46574</v>
      </c>
      <c r="Y1097" s="92" t="e">
        <v>#N/A</v>
      </c>
      <c r="Z1097" s="94" t="e">
        <v>#N/A</v>
      </c>
    </row>
    <row r="1098" spans="22:26" x14ac:dyDescent="0.2">
      <c r="V1098" s="123" t="str">
        <f t="shared" si="27"/>
        <v>1w</v>
      </c>
      <c r="W1098" s="82">
        <f>_xll.qlCalendarAdvance(Calendar,W1097,V1098,"f",FALSE)</f>
        <v>46581</v>
      </c>
      <c r="X1098" s="91">
        <f>_xll.qlCalendarAdvance(Calendar,W1098,NDays&amp;"D")</f>
        <v>46581</v>
      </c>
      <c r="Y1098" s="92" t="e">
        <v>#N/A</v>
      </c>
      <c r="Z1098" s="94" t="e">
        <v>#N/A</v>
      </c>
    </row>
    <row r="1099" spans="22:26" x14ac:dyDescent="0.2">
      <c r="V1099" s="123" t="str">
        <f t="shared" si="27"/>
        <v>1w</v>
      </c>
      <c r="W1099" s="82">
        <f>_xll.qlCalendarAdvance(Calendar,W1098,V1099,"f",FALSE)</f>
        <v>46588</v>
      </c>
      <c r="X1099" s="91">
        <f>_xll.qlCalendarAdvance(Calendar,W1099,NDays&amp;"D")</f>
        <v>46588</v>
      </c>
      <c r="Y1099" s="92" t="e">
        <v>#N/A</v>
      </c>
      <c r="Z1099" s="94" t="e">
        <v>#N/A</v>
      </c>
    </row>
    <row r="1100" spans="22:26" x14ac:dyDescent="0.2">
      <c r="V1100" s="123" t="str">
        <f t="shared" si="27"/>
        <v>1w</v>
      </c>
      <c r="W1100" s="82">
        <f>_xll.qlCalendarAdvance(Calendar,W1099,V1100,"f",FALSE)</f>
        <v>46595</v>
      </c>
      <c r="X1100" s="91">
        <f>_xll.qlCalendarAdvance(Calendar,W1100,NDays&amp;"D")</f>
        <v>46595</v>
      </c>
      <c r="Y1100" s="92" t="e">
        <v>#N/A</v>
      </c>
      <c r="Z1100" s="94" t="e">
        <v>#N/A</v>
      </c>
    </row>
    <row r="1101" spans="22:26" x14ac:dyDescent="0.2">
      <c r="V1101" s="123" t="str">
        <f t="shared" si="27"/>
        <v>1w</v>
      </c>
      <c r="W1101" s="82">
        <f>_xll.qlCalendarAdvance(Calendar,W1100,V1101,"f",FALSE)</f>
        <v>46602</v>
      </c>
      <c r="X1101" s="91">
        <f>_xll.qlCalendarAdvance(Calendar,W1101,NDays&amp;"D")</f>
        <v>46602</v>
      </c>
      <c r="Y1101" s="92" t="e">
        <v>#N/A</v>
      </c>
      <c r="Z1101" s="94" t="e">
        <v>#N/A</v>
      </c>
    </row>
    <row r="1102" spans="22:26" x14ac:dyDescent="0.2">
      <c r="V1102" s="123" t="str">
        <f t="shared" si="27"/>
        <v>1w</v>
      </c>
      <c r="W1102" s="82">
        <f>_xll.qlCalendarAdvance(Calendar,W1101,V1102,"f",FALSE)</f>
        <v>46609</v>
      </c>
      <c r="X1102" s="91">
        <f>_xll.qlCalendarAdvance(Calendar,W1102,NDays&amp;"D")</f>
        <v>46609</v>
      </c>
      <c r="Y1102" s="92" t="e">
        <v>#N/A</v>
      </c>
      <c r="Z1102" s="94" t="e">
        <v>#N/A</v>
      </c>
    </row>
    <row r="1103" spans="22:26" x14ac:dyDescent="0.2">
      <c r="V1103" s="123" t="str">
        <f t="shared" si="27"/>
        <v>1w</v>
      </c>
      <c r="W1103" s="82">
        <f>_xll.qlCalendarAdvance(Calendar,W1102,V1103,"f",FALSE)</f>
        <v>46616</v>
      </c>
      <c r="X1103" s="91">
        <f>_xll.qlCalendarAdvance(Calendar,W1103,NDays&amp;"D")</f>
        <v>46616</v>
      </c>
      <c r="Y1103" s="92" t="e">
        <v>#N/A</v>
      </c>
      <c r="Z1103" s="94" t="e">
        <v>#N/A</v>
      </c>
    </row>
    <row r="1104" spans="22:26" x14ac:dyDescent="0.2">
      <c r="V1104" s="123" t="str">
        <f t="shared" si="27"/>
        <v>1w</v>
      </c>
      <c r="W1104" s="82">
        <f>_xll.qlCalendarAdvance(Calendar,W1103,V1104,"f",FALSE)</f>
        <v>46623</v>
      </c>
      <c r="X1104" s="91">
        <f>_xll.qlCalendarAdvance(Calendar,W1104,NDays&amp;"D")</f>
        <v>46623</v>
      </c>
      <c r="Y1104" s="92" t="e">
        <v>#N/A</v>
      </c>
      <c r="Z1104" s="94" t="e">
        <v>#N/A</v>
      </c>
    </row>
    <row r="1105" spans="22:26" x14ac:dyDescent="0.2">
      <c r="V1105" s="123" t="str">
        <f t="shared" si="27"/>
        <v>1w</v>
      </c>
      <c r="W1105" s="82">
        <f>_xll.qlCalendarAdvance(Calendar,W1104,V1105,"f",FALSE)</f>
        <v>46630</v>
      </c>
      <c r="X1105" s="91">
        <f>_xll.qlCalendarAdvance(Calendar,W1105,NDays&amp;"D")</f>
        <v>46630</v>
      </c>
      <c r="Y1105" s="92" t="e">
        <v>#N/A</v>
      </c>
      <c r="Z1105" s="94" t="e">
        <v>#N/A</v>
      </c>
    </row>
    <row r="1106" spans="22:26" x14ac:dyDescent="0.2">
      <c r="V1106" s="123" t="str">
        <f t="shared" si="27"/>
        <v>1w</v>
      </c>
      <c r="W1106" s="82">
        <f>_xll.qlCalendarAdvance(Calendar,W1105,V1106,"f",FALSE)</f>
        <v>46637</v>
      </c>
      <c r="X1106" s="91">
        <f>_xll.qlCalendarAdvance(Calendar,W1106,NDays&amp;"D")</f>
        <v>46637</v>
      </c>
      <c r="Y1106" s="92" t="e">
        <v>#N/A</v>
      </c>
      <c r="Z1106" s="94" t="e">
        <v>#N/A</v>
      </c>
    </row>
    <row r="1107" spans="22:26" x14ac:dyDescent="0.2">
      <c r="V1107" s="123" t="str">
        <f t="shared" si="27"/>
        <v>1w</v>
      </c>
      <c r="W1107" s="82">
        <f>_xll.qlCalendarAdvance(Calendar,W1106,V1107,"f",FALSE)</f>
        <v>46644</v>
      </c>
      <c r="X1107" s="91">
        <f>_xll.qlCalendarAdvance(Calendar,W1107,NDays&amp;"D")</f>
        <v>46644</v>
      </c>
      <c r="Y1107" s="92" t="e">
        <v>#N/A</v>
      </c>
      <c r="Z1107" s="94" t="e">
        <v>#N/A</v>
      </c>
    </row>
    <row r="1108" spans="22:26" x14ac:dyDescent="0.2">
      <c r="V1108" s="123" t="str">
        <f t="shared" si="27"/>
        <v>1w</v>
      </c>
      <c r="W1108" s="82">
        <f>_xll.qlCalendarAdvance(Calendar,W1107,V1108,"f",FALSE)</f>
        <v>46651</v>
      </c>
      <c r="X1108" s="91">
        <f>_xll.qlCalendarAdvance(Calendar,W1108,NDays&amp;"D")</f>
        <v>46651</v>
      </c>
      <c r="Y1108" s="92" t="e">
        <v>#N/A</v>
      </c>
      <c r="Z1108" s="94" t="e">
        <v>#N/A</v>
      </c>
    </row>
    <row r="1109" spans="22:26" x14ac:dyDescent="0.2">
      <c r="V1109" s="123" t="str">
        <f t="shared" ref="V1109:V1172" si="28">V1108</f>
        <v>1w</v>
      </c>
      <c r="W1109" s="82">
        <f>_xll.qlCalendarAdvance(Calendar,W1108,V1109,"f",FALSE)</f>
        <v>46658</v>
      </c>
      <c r="X1109" s="91">
        <f>_xll.qlCalendarAdvance(Calendar,W1109,NDays&amp;"D")</f>
        <v>46658</v>
      </c>
      <c r="Y1109" s="92" t="e">
        <v>#N/A</v>
      </c>
      <c r="Z1109" s="94" t="e">
        <v>#N/A</v>
      </c>
    </row>
    <row r="1110" spans="22:26" x14ac:dyDescent="0.2">
      <c r="V1110" s="123" t="str">
        <f t="shared" si="28"/>
        <v>1w</v>
      </c>
      <c r="W1110" s="82">
        <f>_xll.qlCalendarAdvance(Calendar,W1109,V1110,"f",FALSE)</f>
        <v>46665</v>
      </c>
      <c r="X1110" s="91">
        <f>_xll.qlCalendarAdvance(Calendar,W1110,NDays&amp;"D")</f>
        <v>46665</v>
      </c>
      <c r="Y1110" s="92" t="e">
        <v>#N/A</v>
      </c>
      <c r="Z1110" s="94" t="e">
        <v>#N/A</v>
      </c>
    </row>
    <row r="1111" spans="22:26" x14ac:dyDescent="0.2">
      <c r="V1111" s="123" t="str">
        <f t="shared" si="28"/>
        <v>1w</v>
      </c>
      <c r="W1111" s="82">
        <f>_xll.qlCalendarAdvance(Calendar,W1110,V1111,"f",FALSE)</f>
        <v>46672</v>
      </c>
      <c r="X1111" s="91">
        <f>_xll.qlCalendarAdvance(Calendar,W1111,NDays&amp;"D")</f>
        <v>46672</v>
      </c>
      <c r="Y1111" s="92" t="e">
        <v>#N/A</v>
      </c>
      <c r="Z1111" s="94" t="e">
        <v>#N/A</v>
      </c>
    </row>
    <row r="1112" spans="22:26" x14ac:dyDescent="0.2">
      <c r="V1112" s="123" t="str">
        <f t="shared" si="28"/>
        <v>1w</v>
      </c>
      <c r="W1112" s="82">
        <f>_xll.qlCalendarAdvance(Calendar,W1111,V1112,"f",FALSE)</f>
        <v>46679</v>
      </c>
      <c r="X1112" s="91">
        <f>_xll.qlCalendarAdvance(Calendar,W1112,NDays&amp;"D")</f>
        <v>46679</v>
      </c>
      <c r="Y1112" s="92" t="e">
        <v>#N/A</v>
      </c>
      <c r="Z1112" s="94" t="e">
        <v>#N/A</v>
      </c>
    </row>
    <row r="1113" spans="22:26" x14ac:dyDescent="0.2">
      <c r="V1113" s="123" t="str">
        <f t="shared" si="28"/>
        <v>1w</v>
      </c>
      <c r="W1113" s="82">
        <f>_xll.qlCalendarAdvance(Calendar,W1112,V1113,"f",FALSE)</f>
        <v>46686</v>
      </c>
      <c r="X1113" s="91">
        <f>_xll.qlCalendarAdvance(Calendar,W1113,NDays&amp;"D")</f>
        <v>46686</v>
      </c>
      <c r="Y1113" s="92" t="e">
        <v>#N/A</v>
      </c>
      <c r="Z1113" s="94" t="e">
        <v>#N/A</v>
      </c>
    </row>
    <row r="1114" spans="22:26" x14ac:dyDescent="0.2">
      <c r="V1114" s="123" t="str">
        <f t="shared" si="28"/>
        <v>1w</v>
      </c>
      <c r="W1114" s="82">
        <f>_xll.qlCalendarAdvance(Calendar,W1113,V1114,"f",FALSE)</f>
        <v>46693</v>
      </c>
      <c r="X1114" s="91">
        <f>_xll.qlCalendarAdvance(Calendar,W1114,NDays&amp;"D")</f>
        <v>46693</v>
      </c>
      <c r="Y1114" s="92" t="e">
        <v>#N/A</v>
      </c>
      <c r="Z1114" s="94" t="e">
        <v>#N/A</v>
      </c>
    </row>
    <row r="1115" spans="22:26" x14ac:dyDescent="0.2">
      <c r="V1115" s="123" t="str">
        <f t="shared" si="28"/>
        <v>1w</v>
      </c>
      <c r="W1115" s="82">
        <f>_xll.qlCalendarAdvance(Calendar,W1114,V1115,"f",FALSE)</f>
        <v>46700</v>
      </c>
      <c r="X1115" s="91">
        <f>_xll.qlCalendarAdvance(Calendar,W1115,NDays&amp;"D")</f>
        <v>46700</v>
      </c>
      <c r="Y1115" s="92" t="e">
        <v>#N/A</v>
      </c>
      <c r="Z1115" s="94" t="e">
        <v>#N/A</v>
      </c>
    </row>
    <row r="1116" spans="22:26" x14ac:dyDescent="0.2">
      <c r="V1116" s="123" t="str">
        <f t="shared" si="28"/>
        <v>1w</v>
      </c>
      <c r="W1116" s="82">
        <f>_xll.qlCalendarAdvance(Calendar,W1115,V1116,"f",FALSE)</f>
        <v>46707</v>
      </c>
      <c r="X1116" s="91">
        <f>_xll.qlCalendarAdvance(Calendar,W1116,NDays&amp;"D")</f>
        <v>46707</v>
      </c>
      <c r="Y1116" s="92" t="e">
        <v>#N/A</v>
      </c>
      <c r="Z1116" s="94" t="e">
        <v>#N/A</v>
      </c>
    </row>
    <row r="1117" spans="22:26" x14ac:dyDescent="0.2">
      <c r="V1117" s="123" t="str">
        <f t="shared" si="28"/>
        <v>1w</v>
      </c>
      <c r="W1117" s="82">
        <f>_xll.qlCalendarAdvance(Calendar,W1116,V1117,"f",FALSE)</f>
        <v>46714</v>
      </c>
      <c r="X1117" s="91">
        <f>_xll.qlCalendarAdvance(Calendar,W1117,NDays&amp;"D")</f>
        <v>46714</v>
      </c>
      <c r="Y1117" s="92" t="e">
        <v>#N/A</v>
      </c>
      <c r="Z1117" s="94" t="e">
        <v>#N/A</v>
      </c>
    </row>
    <row r="1118" spans="22:26" x14ac:dyDescent="0.2">
      <c r="V1118" s="123" t="str">
        <f t="shared" si="28"/>
        <v>1w</v>
      </c>
      <c r="W1118" s="82">
        <f>_xll.qlCalendarAdvance(Calendar,W1117,V1118,"f",FALSE)</f>
        <v>46721</v>
      </c>
      <c r="X1118" s="91">
        <f>_xll.qlCalendarAdvance(Calendar,W1118,NDays&amp;"D")</f>
        <v>46721</v>
      </c>
      <c r="Y1118" s="92" t="e">
        <v>#N/A</v>
      </c>
      <c r="Z1118" s="94" t="e">
        <v>#N/A</v>
      </c>
    </row>
    <row r="1119" spans="22:26" x14ac:dyDescent="0.2">
      <c r="V1119" s="123" t="str">
        <f t="shared" si="28"/>
        <v>1w</v>
      </c>
      <c r="W1119" s="82">
        <f>_xll.qlCalendarAdvance(Calendar,W1118,V1119,"f",FALSE)</f>
        <v>46728</v>
      </c>
      <c r="X1119" s="91">
        <f>_xll.qlCalendarAdvance(Calendar,W1119,NDays&amp;"D")</f>
        <v>46728</v>
      </c>
      <c r="Y1119" s="92" t="e">
        <v>#N/A</v>
      </c>
      <c r="Z1119" s="94" t="e">
        <v>#N/A</v>
      </c>
    </row>
    <row r="1120" spans="22:26" x14ac:dyDescent="0.2">
      <c r="V1120" s="123" t="str">
        <f t="shared" si="28"/>
        <v>1w</v>
      </c>
      <c r="W1120" s="82">
        <f>_xll.qlCalendarAdvance(Calendar,W1119,V1120,"f",FALSE)</f>
        <v>46735</v>
      </c>
      <c r="X1120" s="91">
        <f>_xll.qlCalendarAdvance(Calendar,W1120,NDays&amp;"D")</f>
        <v>46735</v>
      </c>
      <c r="Y1120" s="92" t="e">
        <v>#N/A</v>
      </c>
      <c r="Z1120" s="94" t="e">
        <v>#N/A</v>
      </c>
    </row>
    <row r="1121" spans="22:26" x14ac:dyDescent="0.2">
      <c r="V1121" s="123" t="str">
        <f t="shared" si="28"/>
        <v>1w</v>
      </c>
      <c r="W1121" s="82">
        <f>_xll.qlCalendarAdvance(Calendar,W1120,V1121,"f",FALSE)</f>
        <v>46742</v>
      </c>
      <c r="X1121" s="91">
        <f>_xll.qlCalendarAdvance(Calendar,W1121,NDays&amp;"D")</f>
        <v>46742</v>
      </c>
      <c r="Y1121" s="92" t="e">
        <v>#N/A</v>
      </c>
      <c r="Z1121" s="94" t="e">
        <v>#N/A</v>
      </c>
    </row>
    <row r="1122" spans="22:26" x14ac:dyDescent="0.2">
      <c r="V1122" s="123" t="str">
        <f t="shared" si="28"/>
        <v>1w</v>
      </c>
      <c r="W1122" s="82">
        <f>_xll.qlCalendarAdvance(Calendar,W1121,V1122,"f",FALSE)</f>
        <v>46749</v>
      </c>
      <c r="X1122" s="91">
        <f>_xll.qlCalendarAdvance(Calendar,W1122,NDays&amp;"D")</f>
        <v>46749</v>
      </c>
      <c r="Y1122" s="92" t="e">
        <v>#N/A</v>
      </c>
      <c r="Z1122" s="94" t="e">
        <v>#N/A</v>
      </c>
    </row>
    <row r="1123" spans="22:26" x14ac:dyDescent="0.2">
      <c r="V1123" s="123" t="str">
        <f t="shared" si="28"/>
        <v>1w</v>
      </c>
      <c r="W1123" s="82">
        <f>_xll.qlCalendarAdvance(Calendar,W1122,V1123,"f",FALSE)</f>
        <v>46756</v>
      </c>
      <c r="X1123" s="91">
        <f>_xll.qlCalendarAdvance(Calendar,W1123,NDays&amp;"D")</f>
        <v>46756</v>
      </c>
      <c r="Y1123" s="92" t="e">
        <v>#N/A</v>
      </c>
      <c r="Z1123" s="94" t="e">
        <v>#N/A</v>
      </c>
    </row>
    <row r="1124" spans="22:26" x14ac:dyDescent="0.2">
      <c r="V1124" s="123" t="str">
        <f t="shared" si="28"/>
        <v>1w</v>
      </c>
      <c r="W1124" s="82">
        <f>_xll.qlCalendarAdvance(Calendar,W1123,V1124,"f",FALSE)</f>
        <v>46763</v>
      </c>
      <c r="X1124" s="91">
        <f>_xll.qlCalendarAdvance(Calendar,W1124,NDays&amp;"D")</f>
        <v>46763</v>
      </c>
      <c r="Y1124" s="92" t="e">
        <v>#N/A</v>
      </c>
      <c r="Z1124" s="94" t="e">
        <v>#N/A</v>
      </c>
    </row>
    <row r="1125" spans="22:26" x14ac:dyDescent="0.2">
      <c r="V1125" s="123" t="str">
        <f t="shared" si="28"/>
        <v>1w</v>
      </c>
      <c r="W1125" s="82">
        <f>_xll.qlCalendarAdvance(Calendar,W1124,V1125,"f",FALSE)</f>
        <v>46770</v>
      </c>
      <c r="X1125" s="91">
        <f>_xll.qlCalendarAdvance(Calendar,W1125,NDays&amp;"D")</f>
        <v>46770</v>
      </c>
      <c r="Y1125" s="92" t="e">
        <v>#N/A</v>
      </c>
      <c r="Z1125" s="94" t="e">
        <v>#N/A</v>
      </c>
    </row>
    <row r="1126" spans="22:26" x14ac:dyDescent="0.2">
      <c r="V1126" s="123" t="str">
        <f t="shared" si="28"/>
        <v>1w</v>
      </c>
      <c r="W1126" s="82">
        <f>_xll.qlCalendarAdvance(Calendar,W1125,V1126,"f",FALSE)</f>
        <v>46777</v>
      </c>
      <c r="X1126" s="91">
        <f>_xll.qlCalendarAdvance(Calendar,W1126,NDays&amp;"D")</f>
        <v>46777</v>
      </c>
      <c r="Y1126" s="92" t="e">
        <v>#N/A</v>
      </c>
      <c r="Z1126" s="94" t="e">
        <v>#N/A</v>
      </c>
    </row>
    <row r="1127" spans="22:26" x14ac:dyDescent="0.2">
      <c r="V1127" s="123" t="str">
        <f t="shared" si="28"/>
        <v>1w</v>
      </c>
      <c r="W1127" s="82">
        <f>_xll.qlCalendarAdvance(Calendar,W1126,V1127,"f",FALSE)</f>
        <v>46784</v>
      </c>
      <c r="X1127" s="91">
        <f>_xll.qlCalendarAdvance(Calendar,W1127,NDays&amp;"D")</f>
        <v>46784</v>
      </c>
      <c r="Y1127" s="92" t="e">
        <v>#N/A</v>
      </c>
      <c r="Z1127" s="94" t="e">
        <v>#N/A</v>
      </c>
    </row>
    <row r="1128" spans="22:26" x14ac:dyDescent="0.2">
      <c r="V1128" s="123" t="str">
        <f t="shared" si="28"/>
        <v>1w</v>
      </c>
      <c r="W1128" s="82">
        <f>_xll.qlCalendarAdvance(Calendar,W1127,V1128,"f",FALSE)</f>
        <v>46791</v>
      </c>
      <c r="X1128" s="91">
        <f>_xll.qlCalendarAdvance(Calendar,W1128,NDays&amp;"D")</f>
        <v>46791</v>
      </c>
      <c r="Y1128" s="92" t="e">
        <v>#N/A</v>
      </c>
      <c r="Z1128" s="94" t="e">
        <v>#N/A</v>
      </c>
    </row>
    <row r="1129" spans="22:26" x14ac:dyDescent="0.2">
      <c r="V1129" s="123" t="str">
        <f t="shared" si="28"/>
        <v>1w</v>
      </c>
      <c r="W1129" s="82">
        <f>_xll.qlCalendarAdvance(Calendar,W1128,V1129,"f",FALSE)</f>
        <v>46798</v>
      </c>
      <c r="X1129" s="91">
        <f>_xll.qlCalendarAdvance(Calendar,W1129,NDays&amp;"D")</f>
        <v>46798</v>
      </c>
      <c r="Y1129" s="92" t="e">
        <v>#N/A</v>
      </c>
      <c r="Z1129" s="94" t="e">
        <v>#N/A</v>
      </c>
    </row>
    <row r="1130" spans="22:26" x14ac:dyDescent="0.2">
      <c r="V1130" s="123" t="str">
        <f t="shared" si="28"/>
        <v>1w</v>
      </c>
      <c r="W1130" s="82">
        <f>_xll.qlCalendarAdvance(Calendar,W1129,V1130,"f",FALSE)</f>
        <v>46805</v>
      </c>
      <c r="X1130" s="91">
        <f>_xll.qlCalendarAdvance(Calendar,W1130,NDays&amp;"D")</f>
        <v>46805</v>
      </c>
      <c r="Y1130" s="92" t="e">
        <v>#N/A</v>
      </c>
      <c r="Z1130" s="94" t="e">
        <v>#N/A</v>
      </c>
    </row>
    <row r="1131" spans="22:26" x14ac:dyDescent="0.2">
      <c r="V1131" s="123" t="str">
        <f t="shared" si="28"/>
        <v>1w</v>
      </c>
      <c r="W1131" s="82">
        <f>_xll.qlCalendarAdvance(Calendar,W1130,V1131,"f",FALSE)</f>
        <v>46812</v>
      </c>
      <c r="X1131" s="91">
        <f>_xll.qlCalendarAdvance(Calendar,W1131,NDays&amp;"D")</f>
        <v>46812</v>
      </c>
      <c r="Y1131" s="92" t="e">
        <v>#N/A</v>
      </c>
      <c r="Z1131" s="94" t="e">
        <v>#N/A</v>
      </c>
    </row>
    <row r="1132" spans="22:26" x14ac:dyDescent="0.2">
      <c r="V1132" s="123" t="str">
        <f t="shared" si="28"/>
        <v>1w</v>
      </c>
      <c r="W1132" s="82">
        <f>_xll.qlCalendarAdvance(Calendar,W1131,V1132,"f",FALSE)</f>
        <v>46819</v>
      </c>
      <c r="X1132" s="91">
        <f>_xll.qlCalendarAdvance(Calendar,W1132,NDays&amp;"D")</f>
        <v>46819</v>
      </c>
      <c r="Y1132" s="92" t="e">
        <v>#N/A</v>
      </c>
      <c r="Z1132" s="94" t="e">
        <v>#N/A</v>
      </c>
    </row>
    <row r="1133" spans="22:26" x14ac:dyDescent="0.2">
      <c r="V1133" s="123" t="str">
        <f t="shared" si="28"/>
        <v>1w</v>
      </c>
      <c r="W1133" s="82">
        <f>_xll.qlCalendarAdvance(Calendar,W1132,V1133,"f",FALSE)</f>
        <v>46826</v>
      </c>
      <c r="X1133" s="91">
        <f>_xll.qlCalendarAdvance(Calendar,W1133,NDays&amp;"D")</f>
        <v>46826</v>
      </c>
      <c r="Y1133" s="92" t="e">
        <v>#N/A</v>
      </c>
      <c r="Z1133" s="94" t="e">
        <v>#N/A</v>
      </c>
    </row>
    <row r="1134" spans="22:26" x14ac:dyDescent="0.2">
      <c r="V1134" s="123" t="str">
        <f t="shared" si="28"/>
        <v>1w</v>
      </c>
      <c r="W1134" s="82">
        <f>_xll.qlCalendarAdvance(Calendar,W1133,V1134,"f",FALSE)</f>
        <v>46833</v>
      </c>
      <c r="X1134" s="91">
        <f>_xll.qlCalendarAdvance(Calendar,W1134,NDays&amp;"D")</f>
        <v>46833</v>
      </c>
      <c r="Y1134" s="92" t="e">
        <v>#N/A</v>
      </c>
      <c r="Z1134" s="94" t="e">
        <v>#N/A</v>
      </c>
    </row>
    <row r="1135" spans="22:26" x14ac:dyDescent="0.2">
      <c r="V1135" s="123" t="str">
        <f t="shared" si="28"/>
        <v>1w</v>
      </c>
      <c r="W1135" s="82">
        <f>_xll.qlCalendarAdvance(Calendar,W1134,V1135,"f",FALSE)</f>
        <v>46840</v>
      </c>
      <c r="X1135" s="91">
        <f>_xll.qlCalendarAdvance(Calendar,W1135,NDays&amp;"D")</f>
        <v>46840</v>
      </c>
      <c r="Y1135" s="92" t="e">
        <v>#N/A</v>
      </c>
      <c r="Z1135" s="94" t="e">
        <v>#N/A</v>
      </c>
    </row>
    <row r="1136" spans="22:26" x14ac:dyDescent="0.2">
      <c r="V1136" s="123" t="str">
        <f t="shared" si="28"/>
        <v>1w</v>
      </c>
      <c r="W1136" s="82">
        <f>_xll.qlCalendarAdvance(Calendar,W1135,V1136,"f",FALSE)</f>
        <v>46847</v>
      </c>
      <c r="X1136" s="91">
        <f>_xll.qlCalendarAdvance(Calendar,W1136,NDays&amp;"D")</f>
        <v>46847</v>
      </c>
      <c r="Y1136" s="92" t="e">
        <v>#N/A</v>
      </c>
      <c r="Z1136" s="94" t="e">
        <v>#N/A</v>
      </c>
    </row>
    <row r="1137" spans="22:26" x14ac:dyDescent="0.2">
      <c r="V1137" s="123" t="str">
        <f t="shared" si="28"/>
        <v>1w</v>
      </c>
      <c r="W1137" s="82">
        <f>_xll.qlCalendarAdvance(Calendar,W1136,V1137,"f",FALSE)</f>
        <v>46854</v>
      </c>
      <c r="X1137" s="91">
        <f>_xll.qlCalendarAdvance(Calendar,W1137,NDays&amp;"D")</f>
        <v>46854</v>
      </c>
      <c r="Y1137" s="92" t="e">
        <v>#N/A</v>
      </c>
      <c r="Z1137" s="94" t="e">
        <v>#N/A</v>
      </c>
    </row>
    <row r="1138" spans="22:26" x14ac:dyDescent="0.2">
      <c r="V1138" s="123" t="str">
        <f t="shared" si="28"/>
        <v>1w</v>
      </c>
      <c r="W1138" s="82">
        <f>_xll.qlCalendarAdvance(Calendar,W1137,V1138,"f",FALSE)</f>
        <v>46861</v>
      </c>
      <c r="X1138" s="91">
        <f>_xll.qlCalendarAdvance(Calendar,W1138,NDays&amp;"D")</f>
        <v>46861</v>
      </c>
      <c r="Y1138" s="92" t="e">
        <v>#N/A</v>
      </c>
      <c r="Z1138" s="94" t="e">
        <v>#N/A</v>
      </c>
    </row>
    <row r="1139" spans="22:26" x14ac:dyDescent="0.2">
      <c r="V1139" s="123" t="str">
        <f t="shared" si="28"/>
        <v>1w</v>
      </c>
      <c r="W1139" s="82">
        <f>_xll.qlCalendarAdvance(Calendar,W1138,V1139,"f",FALSE)</f>
        <v>46868</v>
      </c>
      <c r="X1139" s="91">
        <f>_xll.qlCalendarAdvance(Calendar,W1139,NDays&amp;"D")</f>
        <v>46868</v>
      </c>
      <c r="Y1139" s="92" t="e">
        <v>#N/A</v>
      </c>
      <c r="Z1139" s="94" t="e">
        <v>#N/A</v>
      </c>
    </row>
    <row r="1140" spans="22:26" x14ac:dyDescent="0.2">
      <c r="V1140" s="123" t="str">
        <f t="shared" si="28"/>
        <v>1w</v>
      </c>
      <c r="W1140" s="82">
        <f>_xll.qlCalendarAdvance(Calendar,W1139,V1140,"f",FALSE)</f>
        <v>46875</v>
      </c>
      <c r="X1140" s="91">
        <f>_xll.qlCalendarAdvance(Calendar,W1140,NDays&amp;"D")</f>
        <v>46875</v>
      </c>
      <c r="Y1140" s="92" t="e">
        <v>#N/A</v>
      </c>
      <c r="Z1140" s="94" t="e">
        <v>#N/A</v>
      </c>
    </row>
    <row r="1141" spans="22:26" x14ac:dyDescent="0.2">
      <c r="V1141" s="123" t="str">
        <f t="shared" si="28"/>
        <v>1w</v>
      </c>
      <c r="W1141" s="82">
        <f>_xll.qlCalendarAdvance(Calendar,W1140,V1141,"f",FALSE)</f>
        <v>46882</v>
      </c>
      <c r="X1141" s="91">
        <f>_xll.qlCalendarAdvance(Calendar,W1141,NDays&amp;"D")</f>
        <v>46882</v>
      </c>
      <c r="Y1141" s="92" t="e">
        <v>#N/A</v>
      </c>
      <c r="Z1141" s="94" t="e">
        <v>#N/A</v>
      </c>
    </row>
    <row r="1142" spans="22:26" x14ac:dyDescent="0.2">
      <c r="V1142" s="123" t="str">
        <f t="shared" si="28"/>
        <v>1w</v>
      </c>
      <c r="W1142" s="82">
        <f>_xll.qlCalendarAdvance(Calendar,W1141,V1142,"f",FALSE)</f>
        <v>46889</v>
      </c>
      <c r="X1142" s="91">
        <f>_xll.qlCalendarAdvance(Calendar,W1142,NDays&amp;"D")</f>
        <v>46889</v>
      </c>
      <c r="Y1142" s="92" t="e">
        <v>#N/A</v>
      </c>
      <c r="Z1142" s="94" t="e">
        <v>#N/A</v>
      </c>
    </row>
    <row r="1143" spans="22:26" x14ac:dyDescent="0.2">
      <c r="V1143" s="123" t="str">
        <f t="shared" si="28"/>
        <v>1w</v>
      </c>
      <c r="W1143" s="82">
        <f>_xll.qlCalendarAdvance(Calendar,W1142,V1143,"f",FALSE)</f>
        <v>46896</v>
      </c>
      <c r="X1143" s="91">
        <f>_xll.qlCalendarAdvance(Calendar,W1143,NDays&amp;"D")</f>
        <v>46896</v>
      </c>
      <c r="Y1143" s="92" t="e">
        <v>#N/A</v>
      </c>
      <c r="Z1143" s="94" t="e">
        <v>#N/A</v>
      </c>
    </row>
    <row r="1144" spans="22:26" x14ac:dyDescent="0.2">
      <c r="V1144" s="123" t="str">
        <f t="shared" si="28"/>
        <v>1w</v>
      </c>
      <c r="W1144" s="82">
        <f>_xll.qlCalendarAdvance(Calendar,W1143,V1144,"f",FALSE)</f>
        <v>46903</v>
      </c>
      <c r="X1144" s="91">
        <f>_xll.qlCalendarAdvance(Calendar,W1144,NDays&amp;"D")</f>
        <v>46903</v>
      </c>
      <c r="Y1144" s="92" t="e">
        <v>#N/A</v>
      </c>
      <c r="Z1144" s="94" t="e">
        <v>#N/A</v>
      </c>
    </row>
    <row r="1145" spans="22:26" x14ac:dyDescent="0.2">
      <c r="V1145" s="123" t="str">
        <f t="shared" si="28"/>
        <v>1w</v>
      </c>
      <c r="W1145" s="82">
        <f>_xll.qlCalendarAdvance(Calendar,W1144,V1145,"f",FALSE)</f>
        <v>46910</v>
      </c>
      <c r="X1145" s="91">
        <f>_xll.qlCalendarAdvance(Calendar,W1145,NDays&amp;"D")</f>
        <v>46910</v>
      </c>
      <c r="Y1145" s="92" t="e">
        <v>#N/A</v>
      </c>
      <c r="Z1145" s="94" t="e">
        <v>#N/A</v>
      </c>
    </row>
    <row r="1146" spans="22:26" x14ac:dyDescent="0.2">
      <c r="V1146" s="123" t="str">
        <f t="shared" si="28"/>
        <v>1w</v>
      </c>
      <c r="W1146" s="82">
        <f>_xll.qlCalendarAdvance(Calendar,W1145,V1146,"f",FALSE)</f>
        <v>46917</v>
      </c>
      <c r="X1146" s="91">
        <f>_xll.qlCalendarAdvance(Calendar,W1146,NDays&amp;"D")</f>
        <v>46917</v>
      </c>
      <c r="Y1146" s="92" t="e">
        <v>#N/A</v>
      </c>
      <c r="Z1146" s="94" t="e">
        <v>#N/A</v>
      </c>
    </row>
    <row r="1147" spans="22:26" x14ac:dyDescent="0.2">
      <c r="V1147" s="123" t="str">
        <f t="shared" si="28"/>
        <v>1w</v>
      </c>
      <c r="W1147" s="82">
        <f>_xll.qlCalendarAdvance(Calendar,W1146,V1147,"f",FALSE)</f>
        <v>46924</v>
      </c>
      <c r="X1147" s="91">
        <f>_xll.qlCalendarAdvance(Calendar,W1147,NDays&amp;"D")</f>
        <v>46924</v>
      </c>
      <c r="Y1147" s="92" t="e">
        <v>#N/A</v>
      </c>
      <c r="Z1147" s="94" t="e">
        <v>#N/A</v>
      </c>
    </row>
    <row r="1148" spans="22:26" x14ac:dyDescent="0.2">
      <c r="V1148" s="123" t="str">
        <f t="shared" si="28"/>
        <v>1w</v>
      </c>
      <c r="W1148" s="82">
        <f>_xll.qlCalendarAdvance(Calendar,W1147,V1148,"f",FALSE)</f>
        <v>46931</v>
      </c>
      <c r="X1148" s="91">
        <f>_xll.qlCalendarAdvance(Calendar,W1148,NDays&amp;"D")</f>
        <v>46931</v>
      </c>
      <c r="Y1148" s="92" t="e">
        <v>#N/A</v>
      </c>
      <c r="Z1148" s="94" t="e">
        <v>#N/A</v>
      </c>
    </row>
    <row r="1149" spans="22:26" x14ac:dyDescent="0.2">
      <c r="V1149" s="123" t="str">
        <f t="shared" si="28"/>
        <v>1w</v>
      </c>
      <c r="W1149" s="82">
        <f>_xll.qlCalendarAdvance(Calendar,W1148,V1149,"f",FALSE)</f>
        <v>46938</v>
      </c>
      <c r="X1149" s="91">
        <f>_xll.qlCalendarAdvance(Calendar,W1149,NDays&amp;"D")</f>
        <v>46938</v>
      </c>
      <c r="Y1149" s="92" t="e">
        <v>#N/A</v>
      </c>
      <c r="Z1149" s="94" t="e">
        <v>#N/A</v>
      </c>
    </row>
    <row r="1150" spans="22:26" x14ac:dyDescent="0.2">
      <c r="V1150" s="123" t="str">
        <f t="shared" si="28"/>
        <v>1w</v>
      </c>
      <c r="W1150" s="82">
        <f>_xll.qlCalendarAdvance(Calendar,W1149,V1150,"f",FALSE)</f>
        <v>46945</v>
      </c>
      <c r="X1150" s="91">
        <f>_xll.qlCalendarAdvance(Calendar,W1150,NDays&amp;"D")</f>
        <v>46945</v>
      </c>
      <c r="Y1150" s="92" t="e">
        <v>#N/A</v>
      </c>
      <c r="Z1150" s="94" t="e">
        <v>#N/A</v>
      </c>
    </row>
    <row r="1151" spans="22:26" x14ac:dyDescent="0.2">
      <c r="V1151" s="123" t="str">
        <f t="shared" si="28"/>
        <v>1w</v>
      </c>
      <c r="W1151" s="82">
        <f>_xll.qlCalendarAdvance(Calendar,W1150,V1151,"f",FALSE)</f>
        <v>46952</v>
      </c>
      <c r="X1151" s="91">
        <f>_xll.qlCalendarAdvance(Calendar,W1151,NDays&amp;"D")</f>
        <v>46952</v>
      </c>
      <c r="Y1151" s="92" t="e">
        <v>#N/A</v>
      </c>
      <c r="Z1151" s="94" t="e">
        <v>#N/A</v>
      </c>
    </row>
    <row r="1152" spans="22:26" x14ac:dyDescent="0.2">
      <c r="V1152" s="123" t="str">
        <f t="shared" si="28"/>
        <v>1w</v>
      </c>
      <c r="W1152" s="82">
        <f>_xll.qlCalendarAdvance(Calendar,W1151,V1152,"f",FALSE)</f>
        <v>46959</v>
      </c>
      <c r="X1152" s="91">
        <f>_xll.qlCalendarAdvance(Calendar,W1152,NDays&amp;"D")</f>
        <v>46959</v>
      </c>
      <c r="Y1152" s="92" t="e">
        <v>#N/A</v>
      </c>
      <c r="Z1152" s="94" t="e">
        <v>#N/A</v>
      </c>
    </row>
    <row r="1153" spans="22:26" x14ac:dyDescent="0.2">
      <c r="V1153" s="123" t="str">
        <f t="shared" si="28"/>
        <v>1w</v>
      </c>
      <c r="W1153" s="82">
        <f>_xll.qlCalendarAdvance(Calendar,W1152,V1153,"f",FALSE)</f>
        <v>46966</v>
      </c>
      <c r="X1153" s="91">
        <f>_xll.qlCalendarAdvance(Calendar,W1153,NDays&amp;"D")</f>
        <v>46966</v>
      </c>
      <c r="Y1153" s="92" t="e">
        <v>#N/A</v>
      </c>
      <c r="Z1153" s="94" t="e">
        <v>#N/A</v>
      </c>
    </row>
    <row r="1154" spans="22:26" x14ac:dyDescent="0.2">
      <c r="V1154" s="123" t="str">
        <f t="shared" si="28"/>
        <v>1w</v>
      </c>
      <c r="W1154" s="82">
        <f>_xll.qlCalendarAdvance(Calendar,W1153,V1154,"f",FALSE)</f>
        <v>46973</v>
      </c>
      <c r="X1154" s="91">
        <f>_xll.qlCalendarAdvance(Calendar,W1154,NDays&amp;"D")</f>
        <v>46973</v>
      </c>
      <c r="Y1154" s="92" t="e">
        <v>#N/A</v>
      </c>
      <c r="Z1154" s="94" t="e">
        <v>#N/A</v>
      </c>
    </row>
    <row r="1155" spans="22:26" x14ac:dyDescent="0.2">
      <c r="V1155" s="123" t="str">
        <f t="shared" si="28"/>
        <v>1w</v>
      </c>
      <c r="W1155" s="82">
        <f>_xll.qlCalendarAdvance(Calendar,W1154,V1155,"f",FALSE)</f>
        <v>46980</v>
      </c>
      <c r="X1155" s="91">
        <f>_xll.qlCalendarAdvance(Calendar,W1155,NDays&amp;"D")</f>
        <v>46980</v>
      </c>
      <c r="Y1155" s="92" t="e">
        <v>#N/A</v>
      </c>
      <c r="Z1155" s="94" t="e">
        <v>#N/A</v>
      </c>
    </row>
    <row r="1156" spans="22:26" x14ac:dyDescent="0.2">
      <c r="V1156" s="123" t="str">
        <f t="shared" si="28"/>
        <v>1w</v>
      </c>
      <c r="W1156" s="82">
        <f>_xll.qlCalendarAdvance(Calendar,W1155,V1156,"f",FALSE)</f>
        <v>46987</v>
      </c>
      <c r="X1156" s="91">
        <f>_xll.qlCalendarAdvance(Calendar,W1156,NDays&amp;"D")</f>
        <v>46987</v>
      </c>
      <c r="Y1156" s="92" t="e">
        <v>#N/A</v>
      </c>
      <c r="Z1156" s="94" t="e">
        <v>#N/A</v>
      </c>
    </row>
    <row r="1157" spans="22:26" x14ac:dyDescent="0.2">
      <c r="V1157" s="123" t="str">
        <f t="shared" si="28"/>
        <v>1w</v>
      </c>
      <c r="W1157" s="82">
        <f>_xll.qlCalendarAdvance(Calendar,W1156,V1157,"f",FALSE)</f>
        <v>46994</v>
      </c>
      <c r="X1157" s="91">
        <f>_xll.qlCalendarAdvance(Calendar,W1157,NDays&amp;"D")</f>
        <v>46994</v>
      </c>
      <c r="Y1157" s="92" t="e">
        <v>#N/A</v>
      </c>
      <c r="Z1157" s="94" t="e">
        <v>#N/A</v>
      </c>
    </row>
    <row r="1158" spans="22:26" x14ac:dyDescent="0.2">
      <c r="V1158" s="123" t="str">
        <f t="shared" si="28"/>
        <v>1w</v>
      </c>
      <c r="W1158" s="82">
        <f>_xll.qlCalendarAdvance(Calendar,W1157,V1158,"f",FALSE)</f>
        <v>47001</v>
      </c>
      <c r="X1158" s="91">
        <f>_xll.qlCalendarAdvance(Calendar,W1158,NDays&amp;"D")</f>
        <v>47001</v>
      </c>
      <c r="Y1158" s="92" t="e">
        <v>#N/A</v>
      </c>
      <c r="Z1158" s="94" t="e">
        <v>#N/A</v>
      </c>
    </row>
    <row r="1159" spans="22:26" x14ac:dyDescent="0.2">
      <c r="V1159" s="123" t="str">
        <f t="shared" si="28"/>
        <v>1w</v>
      </c>
      <c r="W1159" s="82">
        <f>_xll.qlCalendarAdvance(Calendar,W1158,V1159,"f",FALSE)</f>
        <v>47008</v>
      </c>
      <c r="X1159" s="91">
        <f>_xll.qlCalendarAdvance(Calendar,W1159,NDays&amp;"D")</f>
        <v>47008</v>
      </c>
      <c r="Y1159" s="92" t="e">
        <v>#N/A</v>
      </c>
      <c r="Z1159" s="94" t="e">
        <v>#N/A</v>
      </c>
    </row>
    <row r="1160" spans="22:26" x14ac:dyDescent="0.2">
      <c r="V1160" s="123" t="str">
        <f t="shared" si="28"/>
        <v>1w</v>
      </c>
      <c r="W1160" s="82">
        <f>_xll.qlCalendarAdvance(Calendar,W1159,V1160,"f",FALSE)</f>
        <v>47015</v>
      </c>
      <c r="X1160" s="91">
        <f>_xll.qlCalendarAdvance(Calendar,W1160,NDays&amp;"D")</f>
        <v>47015</v>
      </c>
      <c r="Y1160" s="92" t="e">
        <v>#N/A</v>
      </c>
      <c r="Z1160" s="94" t="e">
        <v>#N/A</v>
      </c>
    </row>
    <row r="1161" spans="22:26" x14ac:dyDescent="0.2">
      <c r="V1161" s="123" t="str">
        <f t="shared" si="28"/>
        <v>1w</v>
      </c>
      <c r="W1161" s="82">
        <f>_xll.qlCalendarAdvance(Calendar,W1160,V1161,"f",FALSE)</f>
        <v>47022</v>
      </c>
      <c r="X1161" s="91">
        <f>_xll.qlCalendarAdvance(Calendar,W1161,NDays&amp;"D")</f>
        <v>47022</v>
      </c>
      <c r="Y1161" s="92" t="e">
        <v>#N/A</v>
      </c>
      <c r="Z1161" s="94" t="e">
        <v>#N/A</v>
      </c>
    </row>
    <row r="1162" spans="22:26" x14ac:dyDescent="0.2">
      <c r="V1162" s="123" t="str">
        <f t="shared" si="28"/>
        <v>1w</v>
      </c>
      <c r="W1162" s="82">
        <f>_xll.qlCalendarAdvance(Calendar,W1161,V1162,"f",FALSE)</f>
        <v>47029</v>
      </c>
      <c r="X1162" s="91">
        <f>_xll.qlCalendarAdvance(Calendar,W1162,NDays&amp;"D")</f>
        <v>47029</v>
      </c>
      <c r="Y1162" s="92" t="e">
        <v>#N/A</v>
      </c>
      <c r="Z1162" s="94" t="e">
        <v>#N/A</v>
      </c>
    </row>
    <row r="1163" spans="22:26" x14ac:dyDescent="0.2">
      <c r="V1163" s="123" t="str">
        <f t="shared" si="28"/>
        <v>1w</v>
      </c>
      <c r="W1163" s="82">
        <f>_xll.qlCalendarAdvance(Calendar,W1162,V1163,"f",FALSE)</f>
        <v>47036</v>
      </c>
      <c r="X1163" s="91">
        <f>_xll.qlCalendarAdvance(Calendar,W1163,NDays&amp;"D")</f>
        <v>47036</v>
      </c>
      <c r="Y1163" s="92" t="e">
        <v>#N/A</v>
      </c>
      <c r="Z1163" s="94" t="e">
        <v>#N/A</v>
      </c>
    </row>
    <row r="1164" spans="22:26" x14ac:dyDescent="0.2">
      <c r="V1164" s="123" t="str">
        <f t="shared" si="28"/>
        <v>1w</v>
      </c>
      <c r="W1164" s="82">
        <f>_xll.qlCalendarAdvance(Calendar,W1163,V1164,"f",FALSE)</f>
        <v>47043</v>
      </c>
      <c r="X1164" s="91">
        <f>_xll.qlCalendarAdvance(Calendar,W1164,NDays&amp;"D")</f>
        <v>47043</v>
      </c>
      <c r="Y1164" s="92" t="e">
        <v>#N/A</v>
      </c>
      <c r="Z1164" s="94" t="e">
        <v>#N/A</v>
      </c>
    </row>
    <row r="1165" spans="22:26" x14ac:dyDescent="0.2">
      <c r="V1165" s="123" t="str">
        <f t="shared" si="28"/>
        <v>1w</v>
      </c>
      <c r="W1165" s="82">
        <f>_xll.qlCalendarAdvance(Calendar,W1164,V1165,"f",FALSE)</f>
        <v>47050</v>
      </c>
      <c r="X1165" s="91">
        <f>_xll.qlCalendarAdvance(Calendar,W1165,NDays&amp;"D")</f>
        <v>47050</v>
      </c>
      <c r="Y1165" s="92" t="e">
        <v>#N/A</v>
      </c>
      <c r="Z1165" s="94" t="e">
        <v>#N/A</v>
      </c>
    </row>
    <row r="1166" spans="22:26" x14ac:dyDescent="0.2">
      <c r="V1166" s="123" t="str">
        <f t="shared" si="28"/>
        <v>1w</v>
      </c>
      <c r="W1166" s="82">
        <f>_xll.qlCalendarAdvance(Calendar,W1165,V1166,"f",FALSE)</f>
        <v>47057</v>
      </c>
      <c r="X1166" s="91">
        <f>_xll.qlCalendarAdvance(Calendar,W1166,NDays&amp;"D")</f>
        <v>47057</v>
      </c>
      <c r="Y1166" s="92" t="e">
        <v>#N/A</v>
      </c>
      <c r="Z1166" s="94" t="e">
        <v>#N/A</v>
      </c>
    </row>
    <row r="1167" spans="22:26" x14ac:dyDescent="0.2">
      <c r="V1167" s="123" t="str">
        <f t="shared" si="28"/>
        <v>1w</v>
      </c>
      <c r="W1167" s="82">
        <f>_xll.qlCalendarAdvance(Calendar,W1166,V1167,"f",FALSE)</f>
        <v>47064</v>
      </c>
      <c r="X1167" s="91">
        <f>_xll.qlCalendarAdvance(Calendar,W1167,NDays&amp;"D")</f>
        <v>47064</v>
      </c>
      <c r="Y1167" s="92" t="e">
        <v>#N/A</v>
      </c>
      <c r="Z1167" s="94" t="e">
        <v>#N/A</v>
      </c>
    </row>
    <row r="1168" spans="22:26" x14ac:dyDescent="0.2">
      <c r="V1168" s="123" t="str">
        <f t="shared" si="28"/>
        <v>1w</v>
      </c>
      <c r="W1168" s="82">
        <f>_xll.qlCalendarAdvance(Calendar,W1167,V1168,"f",FALSE)</f>
        <v>47071</v>
      </c>
      <c r="X1168" s="91">
        <f>_xll.qlCalendarAdvance(Calendar,W1168,NDays&amp;"D")</f>
        <v>47071</v>
      </c>
      <c r="Y1168" s="92" t="e">
        <v>#N/A</v>
      </c>
      <c r="Z1168" s="94" t="e">
        <v>#N/A</v>
      </c>
    </row>
    <row r="1169" spans="22:26" x14ac:dyDescent="0.2">
      <c r="V1169" s="123" t="str">
        <f t="shared" si="28"/>
        <v>1w</v>
      </c>
      <c r="W1169" s="82">
        <f>_xll.qlCalendarAdvance(Calendar,W1168,V1169,"f",FALSE)</f>
        <v>47078</v>
      </c>
      <c r="X1169" s="91">
        <f>_xll.qlCalendarAdvance(Calendar,W1169,NDays&amp;"D")</f>
        <v>47078</v>
      </c>
      <c r="Y1169" s="92" t="e">
        <v>#N/A</v>
      </c>
      <c r="Z1169" s="94" t="e">
        <v>#N/A</v>
      </c>
    </row>
    <row r="1170" spans="22:26" x14ac:dyDescent="0.2">
      <c r="V1170" s="123" t="str">
        <f t="shared" si="28"/>
        <v>1w</v>
      </c>
      <c r="W1170" s="82">
        <f>_xll.qlCalendarAdvance(Calendar,W1169,V1170,"f",FALSE)</f>
        <v>47085</v>
      </c>
      <c r="X1170" s="91">
        <f>_xll.qlCalendarAdvance(Calendar,W1170,NDays&amp;"D")</f>
        <v>47085</v>
      </c>
      <c r="Y1170" s="92" t="e">
        <v>#N/A</v>
      </c>
      <c r="Z1170" s="94" t="e">
        <v>#N/A</v>
      </c>
    </row>
    <row r="1171" spans="22:26" x14ac:dyDescent="0.2">
      <c r="V1171" s="123" t="str">
        <f t="shared" si="28"/>
        <v>1w</v>
      </c>
      <c r="W1171" s="82">
        <f>_xll.qlCalendarAdvance(Calendar,W1170,V1171,"f",FALSE)</f>
        <v>47092</v>
      </c>
      <c r="X1171" s="91">
        <f>_xll.qlCalendarAdvance(Calendar,W1171,NDays&amp;"D")</f>
        <v>47092</v>
      </c>
      <c r="Y1171" s="92" t="e">
        <v>#N/A</v>
      </c>
      <c r="Z1171" s="94" t="e">
        <v>#N/A</v>
      </c>
    </row>
    <row r="1172" spans="22:26" x14ac:dyDescent="0.2">
      <c r="V1172" s="123" t="str">
        <f t="shared" si="28"/>
        <v>1w</v>
      </c>
      <c r="W1172" s="82">
        <f>_xll.qlCalendarAdvance(Calendar,W1171,V1172,"f",FALSE)</f>
        <v>47099</v>
      </c>
      <c r="X1172" s="91">
        <f>_xll.qlCalendarAdvance(Calendar,W1172,NDays&amp;"D")</f>
        <v>47099</v>
      </c>
      <c r="Y1172" s="92" t="e">
        <v>#N/A</v>
      </c>
      <c r="Z1172" s="94" t="e">
        <v>#N/A</v>
      </c>
    </row>
    <row r="1173" spans="22:26" x14ac:dyDescent="0.2">
      <c r="V1173" s="123" t="str">
        <f t="shared" ref="V1173:V1236" si="29">V1172</f>
        <v>1w</v>
      </c>
      <c r="W1173" s="82">
        <f>_xll.qlCalendarAdvance(Calendar,W1172,V1173,"f",FALSE)</f>
        <v>47106</v>
      </c>
      <c r="X1173" s="91">
        <f>_xll.qlCalendarAdvance(Calendar,W1173,NDays&amp;"D")</f>
        <v>47106</v>
      </c>
      <c r="Y1173" s="92" t="e">
        <v>#N/A</v>
      </c>
      <c r="Z1173" s="94" t="e">
        <v>#N/A</v>
      </c>
    </row>
    <row r="1174" spans="22:26" x14ac:dyDescent="0.2">
      <c r="V1174" s="123" t="str">
        <f t="shared" si="29"/>
        <v>1w</v>
      </c>
      <c r="W1174" s="82">
        <f>_xll.qlCalendarAdvance(Calendar,W1173,V1174,"f",FALSE)</f>
        <v>47114</v>
      </c>
      <c r="X1174" s="91">
        <f>_xll.qlCalendarAdvance(Calendar,W1174,NDays&amp;"D")</f>
        <v>47114</v>
      </c>
      <c r="Y1174" s="92" t="e">
        <v>#N/A</v>
      </c>
      <c r="Z1174" s="94" t="e">
        <v>#N/A</v>
      </c>
    </row>
    <row r="1175" spans="22:26" x14ac:dyDescent="0.2">
      <c r="V1175" s="123" t="str">
        <f t="shared" si="29"/>
        <v>1w</v>
      </c>
      <c r="W1175" s="82">
        <f>_xll.qlCalendarAdvance(Calendar,W1174,V1175,"f",FALSE)</f>
        <v>47121</v>
      </c>
      <c r="X1175" s="91">
        <f>_xll.qlCalendarAdvance(Calendar,W1175,NDays&amp;"D")</f>
        <v>47121</v>
      </c>
      <c r="Y1175" s="92" t="e">
        <v>#N/A</v>
      </c>
      <c r="Z1175" s="94" t="e">
        <v>#N/A</v>
      </c>
    </row>
    <row r="1176" spans="22:26" x14ac:dyDescent="0.2">
      <c r="V1176" s="123" t="str">
        <f t="shared" si="29"/>
        <v>1w</v>
      </c>
      <c r="W1176" s="82">
        <f>_xll.qlCalendarAdvance(Calendar,W1175,V1176,"f",FALSE)</f>
        <v>47128</v>
      </c>
      <c r="X1176" s="91">
        <f>_xll.qlCalendarAdvance(Calendar,W1176,NDays&amp;"D")</f>
        <v>47128</v>
      </c>
      <c r="Y1176" s="92" t="e">
        <v>#N/A</v>
      </c>
      <c r="Z1176" s="94" t="e">
        <v>#N/A</v>
      </c>
    </row>
    <row r="1177" spans="22:26" x14ac:dyDescent="0.2">
      <c r="V1177" s="123" t="str">
        <f t="shared" si="29"/>
        <v>1w</v>
      </c>
      <c r="W1177" s="82">
        <f>_xll.qlCalendarAdvance(Calendar,W1176,V1177,"f",FALSE)</f>
        <v>47135</v>
      </c>
      <c r="X1177" s="91">
        <f>_xll.qlCalendarAdvance(Calendar,W1177,NDays&amp;"D")</f>
        <v>47135</v>
      </c>
      <c r="Y1177" s="92" t="e">
        <v>#N/A</v>
      </c>
      <c r="Z1177" s="94" t="e">
        <v>#N/A</v>
      </c>
    </row>
    <row r="1178" spans="22:26" x14ac:dyDescent="0.2">
      <c r="V1178" s="123" t="str">
        <f t="shared" si="29"/>
        <v>1w</v>
      </c>
      <c r="W1178" s="82">
        <f>_xll.qlCalendarAdvance(Calendar,W1177,V1178,"f",FALSE)</f>
        <v>47142</v>
      </c>
      <c r="X1178" s="91">
        <f>_xll.qlCalendarAdvance(Calendar,W1178,NDays&amp;"D")</f>
        <v>47142</v>
      </c>
      <c r="Y1178" s="92" t="e">
        <v>#N/A</v>
      </c>
      <c r="Z1178" s="94" t="e">
        <v>#N/A</v>
      </c>
    </row>
    <row r="1179" spans="22:26" x14ac:dyDescent="0.2">
      <c r="V1179" s="123" t="str">
        <f t="shared" si="29"/>
        <v>1w</v>
      </c>
      <c r="W1179" s="82">
        <f>_xll.qlCalendarAdvance(Calendar,W1178,V1179,"f",FALSE)</f>
        <v>47149</v>
      </c>
      <c r="X1179" s="91">
        <f>_xll.qlCalendarAdvance(Calendar,W1179,NDays&amp;"D")</f>
        <v>47149</v>
      </c>
      <c r="Y1179" s="92" t="e">
        <v>#N/A</v>
      </c>
      <c r="Z1179" s="94" t="e">
        <v>#N/A</v>
      </c>
    </row>
    <row r="1180" spans="22:26" x14ac:dyDescent="0.2">
      <c r="V1180" s="123" t="str">
        <f t="shared" si="29"/>
        <v>1w</v>
      </c>
      <c r="W1180" s="82">
        <f>_xll.qlCalendarAdvance(Calendar,W1179,V1180,"f",FALSE)</f>
        <v>47156</v>
      </c>
      <c r="X1180" s="91">
        <f>_xll.qlCalendarAdvance(Calendar,W1180,NDays&amp;"D")</f>
        <v>47156</v>
      </c>
      <c r="Y1180" s="92" t="e">
        <v>#N/A</v>
      </c>
      <c r="Z1180" s="94" t="e">
        <v>#N/A</v>
      </c>
    </row>
    <row r="1181" spans="22:26" x14ac:dyDescent="0.2">
      <c r="V1181" s="123" t="str">
        <f t="shared" si="29"/>
        <v>1w</v>
      </c>
      <c r="W1181" s="82">
        <f>_xll.qlCalendarAdvance(Calendar,W1180,V1181,"f",FALSE)</f>
        <v>47163</v>
      </c>
      <c r="X1181" s="91">
        <f>_xll.qlCalendarAdvance(Calendar,W1181,NDays&amp;"D")</f>
        <v>47163</v>
      </c>
      <c r="Y1181" s="92" t="e">
        <v>#N/A</v>
      </c>
      <c r="Z1181" s="94" t="e">
        <v>#N/A</v>
      </c>
    </row>
    <row r="1182" spans="22:26" x14ac:dyDescent="0.2">
      <c r="V1182" s="123" t="str">
        <f t="shared" si="29"/>
        <v>1w</v>
      </c>
      <c r="W1182" s="82">
        <f>_xll.qlCalendarAdvance(Calendar,W1181,V1182,"f",FALSE)</f>
        <v>47170</v>
      </c>
      <c r="X1182" s="91">
        <f>_xll.qlCalendarAdvance(Calendar,W1182,NDays&amp;"D")</f>
        <v>47170</v>
      </c>
      <c r="Y1182" s="92" t="e">
        <v>#N/A</v>
      </c>
      <c r="Z1182" s="94" t="e">
        <v>#N/A</v>
      </c>
    </row>
    <row r="1183" spans="22:26" x14ac:dyDescent="0.2">
      <c r="V1183" s="123" t="str">
        <f t="shared" si="29"/>
        <v>1w</v>
      </c>
      <c r="W1183" s="82">
        <f>_xll.qlCalendarAdvance(Calendar,W1182,V1183,"f",FALSE)</f>
        <v>47177</v>
      </c>
      <c r="X1183" s="91">
        <f>_xll.qlCalendarAdvance(Calendar,W1183,NDays&amp;"D")</f>
        <v>47177</v>
      </c>
      <c r="Y1183" s="92" t="e">
        <v>#N/A</v>
      </c>
      <c r="Z1183" s="94" t="e">
        <v>#N/A</v>
      </c>
    </row>
    <row r="1184" spans="22:26" x14ac:dyDescent="0.2">
      <c r="V1184" s="123" t="str">
        <f t="shared" si="29"/>
        <v>1w</v>
      </c>
      <c r="W1184" s="82">
        <f>_xll.qlCalendarAdvance(Calendar,W1183,V1184,"f",FALSE)</f>
        <v>47184</v>
      </c>
      <c r="X1184" s="91">
        <f>_xll.qlCalendarAdvance(Calendar,W1184,NDays&amp;"D")</f>
        <v>47184</v>
      </c>
      <c r="Y1184" s="92" t="e">
        <v>#N/A</v>
      </c>
      <c r="Z1184" s="94" t="e">
        <v>#N/A</v>
      </c>
    </row>
    <row r="1185" spans="22:26" x14ac:dyDescent="0.2">
      <c r="V1185" s="123" t="str">
        <f t="shared" si="29"/>
        <v>1w</v>
      </c>
      <c r="W1185" s="82">
        <f>_xll.qlCalendarAdvance(Calendar,W1184,V1185,"f",FALSE)</f>
        <v>47191</v>
      </c>
      <c r="X1185" s="91">
        <f>_xll.qlCalendarAdvance(Calendar,W1185,NDays&amp;"D")</f>
        <v>47191</v>
      </c>
      <c r="Y1185" s="92" t="e">
        <v>#N/A</v>
      </c>
      <c r="Z1185" s="94" t="e">
        <v>#N/A</v>
      </c>
    </row>
    <row r="1186" spans="22:26" x14ac:dyDescent="0.2">
      <c r="V1186" s="123" t="str">
        <f t="shared" si="29"/>
        <v>1w</v>
      </c>
      <c r="W1186" s="82">
        <f>_xll.qlCalendarAdvance(Calendar,W1185,V1186,"f",FALSE)</f>
        <v>47198</v>
      </c>
      <c r="X1186" s="91">
        <f>_xll.qlCalendarAdvance(Calendar,W1186,NDays&amp;"D")</f>
        <v>47198</v>
      </c>
      <c r="Y1186" s="92" t="e">
        <v>#N/A</v>
      </c>
      <c r="Z1186" s="94" t="e">
        <v>#N/A</v>
      </c>
    </row>
    <row r="1187" spans="22:26" x14ac:dyDescent="0.2">
      <c r="V1187" s="123" t="str">
        <f t="shared" si="29"/>
        <v>1w</v>
      </c>
      <c r="W1187" s="82">
        <f>_xll.qlCalendarAdvance(Calendar,W1186,V1187,"f",FALSE)</f>
        <v>47205</v>
      </c>
      <c r="X1187" s="91">
        <f>_xll.qlCalendarAdvance(Calendar,W1187,NDays&amp;"D")</f>
        <v>47205</v>
      </c>
      <c r="Y1187" s="92" t="e">
        <v>#N/A</v>
      </c>
      <c r="Z1187" s="94" t="e">
        <v>#N/A</v>
      </c>
    </row>
    <row r="1188" spans="22:26" x14ac:dyDescent="0.2">
      <c r="V1188" s="123" t="str">
        <f t="shared" si="29"/>
        <v>1w</v>
      </c>
      <c r="W1188" s="82">
        <f>_xll.qlCalendarAdvance(Calendar,W1187,V1188,"f",FALSE)</f>
        <v>47212</v>
      </c>
      <c r="X1188" s="91">
        <f>_xll.qlCalendarAdvance(Calendar,W1188,NDays&amp;"D")</f>
        <v>47212</v>
      </c>
      <c r="Y1188" s="92" t="e">
        <v>#N/A</v>
      </c>
      <c r="Z1188" s="94" t="e">
        <v>#N/A</v>
      </c>
    </row>
    <row r="1189" spans="22:26" x14ac:dyDescent="0.2">
      <c r="V1189" s="123" t="str">
        <f t="shared" si="29"/>
        <v>1w</v>
      </c>
      <c r="W1189" s="82">
        <f>_xll.qlCalendarAdvance(Calendar,W1188,V1189,"f",FALSE)</f>
        <v>47219</v>
      </c>
      <c r="X1189" s="91">
        <f>_xll.qlCalendarAdvance(Calendar,W1189,NDays&amp;"D")</f>
        <v>47219</v>
      </c>
      <c r="Y1189" s="92" t="e">
        <v>#N/A</v>
      </c>
      <c r="Z1189" s="94" t="e">
        <v>#N/A</v>
      </c>
    </row>
    <row r="1190" spans="22:26" x14ac:dyDescent="0.2">
      <c r="V1190" s="123" t="str">
        <f t="shared" si="29"/>
        <v>1w</v>
      </c>
      <c r="W1190" s="82">
        <f>_xll.qlCalendarAdvance(Calendar,W1189,V1190,"f",FALSE)</f>
        <v>47226</v>
      </c>
      <c r="X1190" s="91">
        <f>_xll.qlCalendarAdvance(Calendar,W1190,NDays&amp;"D")</f>
        <v>47226</v>
      </c>
      <c r="Y1190" s="92" t="e">
        <v>#N/A</v>
      </c>
      <c r="Z1190" s="94" t="e">
        <v>#N/A</v>
      </c>
    </row>
    <row r="1191" spans="22:26" x14ac:dyDescent="0.2">
      <c r="V1191" s="123" t="str">
        <f t="shared" si="29"/>
        <v>1w</v>
      </c>
      <c r="W1191" s="82">
        <f>_xll.qlCalendarAdvance(Calendar,W1190,V1191,"f",FALSE)</f>
        <v>47233</v>
      </c>
      <c r="X1191" s="91">
        <f>_xll.qlCalendarAdvance(Calendar,W1191,NDays&amp;"D")</f>
        <v>47233</v>
      </c>
      <c r="Y1191" s="92" t="e">
        <v>#N/A</v>
      </c>
      <c r="Z1191" s="94" t="e">
        <v>#N/A</v>
      </c>
    </row>
    <row r="1192" spans="22:26" x14ac:dyDescent="0.2">
      <c r="V1192" s="123" t="str">
        <f t="shared" si="29"/>
        <v>1w</v>
      </c>
      <c r="W1192" s="82">
        <f>_xll.qlCalendarAdvance(Calendar,W1191,V1192,"f",FALSE)</f>
        <v>47240</v>
      </c>
      <c r="X1192" s="91">
        <f>_xll.qlCalendarAdvance(Calendar,W1192,NDays&amp;"D")</f>
        <v>47240</v>
      </c>
      <c r="Y1192" s="92" t="e">
        <v>#N/A</v>
      </c>
      <c r="Z1192" s="94" t="e">
        <v>#N/A</v>
      </c>
    </row>
    <row r="1193" spans="22:26" x14ac:dyDescent="0.2">
      <c r="V1193" s="123" t="str">
        <f t="shared" si="29"/>
        <v>1w</v>
      </c>
      <c r="W1193" s="82">
        <f>_xll.qlCalendarAdvance(Calendar,W1192,V1193,"f",FALSE)</f>
        <v>47247</v>
      </c>
      <c r="X1193" s="91">
        <f>_xll.qlCalendarAdvance(Calendar,W1193,NDays&amp;"D")</f>
        <v>47247</v>
      </c>
      <c r="Y1193" s="92" t="e">
        <v>#N/A</v>
      </c>
      <c r="Z1193" s="94" t="e">
        <v>#N/A</v>
      </c>
    </row>
    <row r="1194" spans="22:26" x14ac:dyDescent="0.2">
      <c r="V1194" s="123" t="str">
        <f t="shared" si="29"/>
        <v>1w</v>
      </c>
      <c r="W1194" s="82">
        <f>_xll.qlCalendarAdvance(Calendar,W1193,V1194,"f",FALSE)</f>
        <v>47254</v>
      </c>
      <c r="X1194" s="91">
        <f>_xll.qlCalendarAdvance(Calendar,W1194,NDays&amp;"D")</f>
        <v>47254</v>
      </c>
      <c r="Y1194" s="92" t="e">
        <v>#N/A</v>
      </c>
      <c r="Z1194" s="94" t="e">
        <v>#N/A</v>
      </c>
    </row>
    <row r="1195" spans="22:26" x14ac:dyDescent="0.2">
      <c r="V1195" s="123" t="str">
        <f t="shared" si="29"/>
        <v>1w</v>
      </c>
      <c r="W1195" s="82">
        <f>_xll.qlCalendarAdvance(Calendar,W1194,V1195,"f",FALSE)</f>
        <v>47261</v>
      </c>
      <c r="X1195" s="91">
        <f>_xll.qlCalendarAdvance(Calendar,W1195,NDays&amp;"D")</f>
        <v>47261</v>
      </c>
      <c r="Y1195" s="92" t="e">
        <v>#N/A</v>
      </c>
      <c r="Z1195" s="94" t="e">
        <v>#N/A</v>
      </c>
    </row>
    <row r="1196" spans="22:26" x14ac:dyDescent="0.2">
      <c r="V1196" s="123" t="str">
        <f t="shared" si="29"/>
        <v>1w</v>
      </c>
      <c r="W1196" s="82">
        <f>_xll.qlCalendarAdvance(Calendar,W1195,V1196,"f",FALSE)</f>
        <v>47268</v>
      </c>
      <c r="X1196" s="91">
        <f>_xll.qlCalendarAdvance(Calendar,W1196,NDays&amp;"D")</f>
        <v>47268</v>
      </c>
      <c r="Y1196" s="92" t="e">
        <v>#N/A</v>
      </c>
      <c r="Z1196" s="94" t="e">
        <v>#N/A</v>
      </c>
    </row>
    <row r="1197" spans="22:26" x14ac:dyDescent="0.2">
      <c r="V1197" s="123" t="str">
        <f t="shared" si="29"/>
        <v>1w</v>
      </c>
      <c r="W1197" s="82">
        <f>_xll.qlCalendarAdvance(Calendar,W1196,V1197,"f",FALSE)</f>
        <v>47275</v>
      </c>
      <c r="X1197" s="91">
        <f>_xll.qlCalendarAdvance(Calendar,W1197,NDays&amp;"D")</f>
        <v>47275</v>
      </c>
      <c r="Y1197" s="92" t="e">
        <v>#N/A</v>
      </c>
      <c r="Z1197" s="94" t="e">
        <v>#N/A</v>
      </c>
    </row>
    <row r="1198" spans="22:26" x14ac:dyDescent="0.2">
      <c r="V1198" s="123" t="str">
        <f t="shared" si="29"/>
        <v>1w</v>
      </c>
      <c r="W1198" s="82">
        <f>_xll.qlCalendarAdvance(Calendar,W1197,V1198,"f",FALSE)</f>
        <v>47282</v>
      </c>
      <c r="X1198" s="91">
        <f>_xll.qlCalendarAdvance(Calendar,W1198,NDays&amp;"D")</f>
        <v>47282</v>
      </c>
      <c r="Y1198" s="92" t="e">
        <v>#N/A</v>
      </c>
      <c r="Z1198" s="94" t="e">
        <v>#N/A</v>
      </c>
    </row>
    <row r="1199" spans="22:26" x14ac:dyDescent="0.2">
      <c r="V1199" s="123" t="str">
        <f t="shared" si="29"/>
        <v>1w</v>
      </c>
      <c r="W1199" s="82">
        <f>_xll.qlCalendarAdvance(Calendar,W1198,V1199,"f",FALSE)</f>
        <v>47289</v>
      </c>
      <c r="X1199" s="91">
        <f>_xll.qlCalendarAdvance(Calendar,W1199,NDays&amp;"D")</f>
        <v>47289</v>
      </c>
      <c r="Y1199" s="92" t="e">
        <v>#N/A</v>
      </c>
      <c r="Z1199" s="94" t="e">
        <v>#N/A</v>
      </c>
    </row>
    <row r="1200" spans="22:26" x14ac:dyDescent="0.2">
      <c r="V1200" s="123" t="str">
        <f t="shared" si="29"/>
        <v>1w</v>
      </c>
      <c r="W1200" s="82">
        <f>_xll.qlCalendarAdvance(Calendar,W1199,V1200,"f",FALSE)</f>
        <v>47296</v>
      </c>
      <c r="X1200" s="91">
        <f>_xll.qlCalendarAdvance(Calendar,W1200,NDays&amp;"D")</f>
        <v>47296</v>
      </c>
      <c r="Y1200" s="92" t="e">
        <v>#N/A</v>
      </c>
      <c r="Z1200" s="94" t="e">
        <v>#N/A</v>
      </c>
    </row>
    <row r="1201" spans="22:26" x14ac:dyDescent="0.2">
      <c r="V1201" s="123" t="str">
        <f t="shared" si="29"/>
        <v>1w</v>
      </c>
      <c r="W1201" s="82">
        <f>_xll.qlCalendarAdvance(Calendar,W1200,V1201,"f",FALSE)</f>
        <v>47303</v>
      </c>
      <c r="X1201" s="91">
        <f>_xll.qlCalendarAdvance(Calendar,W1201,NDays&amp;"D")</f>
        <v>47303</v>
      </c>
      <c r="Y1201" s="92" t="e">
        <v>#N/A</v>
      </c>
      <c r="Z1201" s="94" t="e">
        <v>#N/A</v>
      </c>
    </row>
    <row r="1202" spans="22:26" x14ac:dyDescent="0.2">
      <c r="V1202" s="123" t="str">
        <f t="shared" si="29"/>
        <v>1w</v>
      </c>
      <c r="W1202" s="82">
        <f>_xll.qlCalendarAdvance(Calendar,W1201,V1202,"f",FALSE)</f>
        <v>47310</v>
      </c>
      <c r="X1202" s="91">
        <f>_xll.qlCalendarAdvance(Calendar,W1202,NDays&amp;"D")</f>
        <v>47310</v>
      </c>
      <c r="Y1202" s="92" t="e">
        <v>#N/A</v>
      </c>
      <c r="Z1202" s="94" t="e">
        <v>#N/A</v>
      </c>
    </row>
    <row r="1203" spans="22:26" x14ac:dyDescent="0.2">
      <c r="V1203" s="123" t="str">
        <f t="shared" si="29"/>
        <v>1w</v>
      </c>
      <c r="W1203" s="82">
        <f>_xll.qlCalendarAdvance(Calendar,W1202,V1203,"f",FALSE)</f>
        <v>47317</v>
      </c>
      <c r="X1203" s="91">
        <f>_xll.qlCalendarAdvance(Calendar,W1203,NDays&amp;"D")</f>
        <v>47317</v>
      </c>
      <c r="Y1203" s="92" t="e">
        <v>#N/A</v>
      </c>
      <c r="Z1203" s="94" t="e">
        <v>#N/A</v>
      </c>
    </row>
    <row r="1204" spans="22:26" x14ac:dyDescent="0.2">
      <c r="V1204" s="123" t="str">
        <f t="shared" si="29"/>
        <v>1w</v>
      </c>
      <c r="W1204" s="82">
        <f>_xll.qlCalendarAdvance(Calendar,W1203,V1204,"f",FALSE)</f>
        <v>47324</v>
      </c>
      <c r="X1204" s="91">
        <f>_xll.qlCalendarAdvance(Calendar,W1204,NDays&amp;"D")</f>
        <v>47324</v>
      </c>
      <c r="Y1204" s="92" t="e">
        <v>#N/A</v>
      </c>
      <c r="Z1204" s="94" t="e">
        <v>#N/A</v>
      </c>
    </row>
    <row r="1205" spans="22:26" x14ac:dyDescent="0.2">
      <c r="V1205" s="123" t="str">
        <f t="shared" si="29"/>
        <v>1w</v>
      </c>
      <c r="W1205" s="82">
        <f>_xll.qlCalendarAdvance(Calendar,W1204,V1205,"f",FALSE)</f>
        <v>47331</v>
      </c>
      <c r="X1205" s="91">
        <f>_xll.qlCalendarAdvance(Calendar,W1205,NDays&amp;"D")</f>
        <v>47331</v>
      </c>
      <c r="Y1205" s="92" t="e">
        <v>#N/A</v>
      </c>
      <c r="Z1205" s="94" t="e">
        <v>#N/A</v>
      </c>
    </row>
    <row r="1206" spans="22:26" x14ac:dyDescent="0.2">
      <c r="V1206" s="123" t="str">
        <f t="shared" si="29"/>
        <v>1w</v>
      </c>
      <c r="W1206" s="82">
        <f>_xll.qlCalendarAdvance(Calendar,W1205,V1206,"f",FALSE)</f>
        <v>47338</v>
      </c>
      <c r="X1206" s="91">
        <f>_xll.qlCalendarAdvance(Calendar,W1206,NDays&amp;"D")</f>
        <v>47338</v>
      </c>
      <c r="Y1206" s="92" t="e">
        <v>#N/A</v>
      </c>
      <c r="Z1206" s="94" t="e">
        <v>#N/A</v>
      </c>
    </row>
    <row r="1207" spans="22:26" x14ac:dyDescent="0.2">
      <c r="V1207" s="123" t="str">
        <f t="shared" si="29"/>
        <v>1w</v>
      </c>
      <c r="W1207" s="82">
        <f>_xll.qlCalendarAdvance(Calendar,W1206,V1207,"f",FALSE)</f>
        <v>47345</v>
      </c>
      <c r="X1207" s="91">
        <f>_xll.qlCalendarAdvance(Calendar,W1207,NDays&amp;"D")</f>
        <v>47345</v>
      </c>
      <c r="Y1207" s="92" t="e">
        <v>#N/A</v>
      </c>
      <c r="Z1207" s="94" t="e">
        <v>#N/A</v>
      </c>
    </row>
    <row r="1208" spans="22:26" x14ac:dyDescent="0.2">
      <c r="V1208" s="123" t="str">
        <f t="shared" si="29"/>
        <v>1w</v>
      </c>
      <c r="W1208" s="82">
        <f>_xll.qlCalendarAdvance(Calendar,W1207,V1208,"f",FALSE)</f>
        <v>47352</v>
      </c>
      <c r="X1208" s="91">
        <f>_xll.qlCalendarAdvance(Calendar,W1208,NDays&amp;"D")</f>
        <v>47352</v>
      </c>
      <c r="Y1208" s="92" t="e">
        <v>#N/A</v>
      </c>
      <c r="Z1208" s="94" t="e">
        <v>#N/A</v>
      </c>
    </row>
    <row r="1209" spans="22:26" x14ac:dyDescent="0.2">
      <c r="V1209" s="123" t="str">
        <f t="shared" si="29"/>
        <v>1w</v>
      </c>
      <c r="W1209" s="82">
        <f>_xll.qlCalendarAdvance(Calendar,W1208,V1209,"f",FALSE)</f>
        <v>47359</v>
      </c>
      <c r="X1209" s="91">
        <f>_xll.qlCalendarAdvance(Calendar,W1209,NDays&amp;"D")</f>
        <v>47359</v>
      </c>
      <c r="Y1209" s="92" t="e">
        <v>#N/A</v>
      </c>
      <c r="Z1209" s="94" t="e">
        <v>#N/A</v>
      </c>
    </row>
    <row r="1210" spans="22:26" x14ac:dyDescent="0.2">
      <c r="V1210" s="123" t="str">
        <f t="shared" si="29"/>
        <v>1w</v>
      </c>
      <c r="W1210" s="82">
        <f>_xll.qlCalendarAdvance(Calendar,W1209,V1210,"f",FALSE)</f>
        <v>47366</v>
      </c>
      <c r="X1210" s="91">
        <f>_xll.qlCalendarAdvance(Calendar,W1210,NDays&amp;"D")</f>
        <v>47366</v>
      </c>
      <c r="Y1210" s="92" t="e">
        <v>#N/A</v>
      </c>
      <c r="Z1210" s="94" t="e">
        <v>#N/A</v>
      </c>
    </row>
    <row r="1211" spans="22:26" x14ac:dyDescent="0.2">
      <c r="V1211" s="123" t="str">
        <f t="shared" si="29"/>
        <v>1w</v>
      </c>
      <c r="W1211" s="82">
        <f>_xll.qlCalendarAdvance(Calendar,W1210,V1211,"f",FALSE)</f>
        <v>47373</v>
      </c>
      <c r="X1211" s="91">
        <f>_xll.qlCalendarAdvance(Calendar,W1211,NDays&amp;"D")</f>
        <v>47373</v>
      </c>
      <c r="Y1211" s="92" t="e">
        <v>#N/A</v>
      </c>
      <c r="Z1211" s="94" t="e">
        <v>#N/A</v>
      </c>
    </row>
    <row r="1212" spans="22:26" x14ac:dyDescent="0.2">
      <c r="V1212" s="123" t="str">
        <f t="shared" si="29"/>
        <v>1w</v>
      </c>
      <c r="W1212" s="82">
        <f>_xll.qlCalendarAdvance(Calendar,W1211,V1212,"f",FALSE)</f>
        <v>47380</v>
      </c>
      <c r="X1212" s="91">
        <f>_xll.qlCalendarAdvance(Calendar,W1212,NDays&amp;"D")</f>
        <v>47380</v>
      </c>
      <c r="Y1212" s="92" t="e">
        <v>#N/A</v>
      </c>
      <c r="Z1212" s="94" t="e">
        <v>#N/A</v>
      </c>
    </row>
    <row r="1213" spans="22:26" x14ac:dyDescent="0.2">
      <c r="V1213" s="123" t="str">
        <f t="shared" si="29"/>
        <v>1w</v>
      </c>
      <c r="W1213" s="82">
        <f>_xll.qlCalendarAdvance(Calendar,W1212,V1213,"f",FALSE)</f>
        <v>47387</v>
      </c>
      <c r="X1213" s="91">
        <f>_xll.qlCalendarAdvance(Calendar,W1213,NDays&amp;"D")</f>
        <v>47387</v>
      </c>
      <c r="Y1213" s="92" t="e">
        <v>#N/A</v>
      </c>
      <c r="Z1213" s="94" t="e">
        <v>#N/A</v>
      </c>
    </row>
    <row r="1214" spans="22:26" x14ac:dyDescent="0.2">
      <c r="V1214" s="123" t="str">
        <f t="shared" si="29"/>
        <v>1w</v>
      </c>
      <c r="W1214" s="82">
        <f>_xll.qlCalendarAdvance(Calendar,W1213,V1214,"f",FALSE)</f>
        <v>47394</v>
      </c>
      <c r="X1214" s="91">
        <f>_xll.qlCalendarAdvance(Calendar,W1214,NDays&amp;"D")</f>
        <v>47394</v>
      </c>
      <c r="Y1214" s="92" t="e">
        <v>#N/A</v>
      </c>
      <c r="Z1214" s="94" t="e">
        <v>#N/A</v>
      </c>
    </row>
    <row r="1215" spans="22:26" x14ac:dyDescent="0.2">
      <c r="V1215" s="123" t="str">
        <f t="shared" si="29"/>
        <v>1w</v>
      </c>
      <c r="W1215" s="82">
        <f>_xll.qlCalendarAdvance(Calendar,W1214,V1215,"f",FALSE)</f>
        <v>47401</v>
      </c>
      <c r="X1215" s="91">
        <f>_xll.qlCalendarAdvance(Calendar,W1215,NDays&amp;"D")</f>
        <v>47401</v>
      </c>
      <c r="Y1215" s="92" t="e">
        <v>#N/A</v>
      </c>
      <c r="Z1215" s="94" t="e">
        <v>#N/A</v>
      </c>
    </row>
    <row r="1216" spans="22:26" x14ac:dyDescent="0.2">
      <c r="V1216" s="123" t="str">
        <f t="shared" si="29"/>
        <v>1w</v>
      </c>
      <c r="W1216" s="82">
        <f>_xll.qlCalendarAdvance(Calendar,W1215,V1216,"f",FALSE)</f>
        <v>47408</v>
      </c>
      <c r="X1216" s="91">
        <f>_xll.qlCalendarAdvance(Calendar,W1216,NDays&amp;"D")</f>
        <v>47408</v>
      </c>
      <c r="Y1216" s="92" t="e">
        <v>#N/A</v>
      </c>
      <c r="Z1216" s="94" t="e">
        <v>#N/A</v>
      </c>
    </row>
    <row r="1217" spans="22:26" x14ac:dyDescent="0.2">
      <c r="V1217" s="123" t="str">
        <f t="shared" si="29"/>
        <v>1w</v>
      </c>
      <c r="W1217" s="82">
        <f>_xll.qlCalendarAdvance(Calendar,W1216,V1217,"f",FALSE)</f>
        <v>47415</v>
      </c>
      <c r="X1217" s="91">
        <f>_xll.qlCalendarAdvance(Calendar,W1217,NDays&amp;"D")</f>
        <v>47415</v>
      </c>
      <c r="Y1217" s="92" t="e">
        <v>#N/A</v>
      </c>
      <c r="Z1217" s="94" t="e">
        <v>#N/A</v>
      </c>
    </row>
    <row r="1218" spans="22:26" x14ac:dyDescent="0.2">
      <c r="V1218" s="123" t="str">
        <f t="shared" si="29"/>
        <v>1w</v>
      </c>
      <c r="W1218" s="82">
        <f>_xll.qlCalendarAdvance(Calendar,W1217,V1218,"f",FALSE)</f>
        <v>47422</v>
      </c>
      <c r="X1218" s="91">
        <f>_xll.qlCalendarAdvance(Calendar,W1218,NDays&amp;"D")</f>
        <v>47422</v>
      </c>
      <c r="Y1218" s="92" t="e">
        <v>#N/A</v>
      </c>
      <c r="Z1218" s="94" t="e">
        <v>#N/A</v>
      </c>
    </row>
    <row r="1219" spans="22:26" x14ac:dyDescent="0.2">
      <c r="V1219" s="123" t="str">
        <f t="shared" si="29"/>
        <v>1w</v>
      </c>
      <c r="W1219" s="82">
        <f>_xll.qlCalendarAdvance(Calendar,W1218,V1219,"f",FALSE)</f>
        <v>47429</v>
      </c>
      <c r="X1219" s="91">
        <f>_xll.qlCalendarAdvance(Calendar,W1219,NDays&amp;"D")</f>
        <v>47429</v>
      </c>
      <c r="Y1219" s="92" t="e">
        <v>#N/A</v>
      </c>
      <c r="Z1219" s="94" t="e">
        <v>#N/A</v>
      </c>
    </row>
    <row r="1220" spans="22:26" x14ac:dyDescent="0.2">
      <c r="V1220" s="123" t="str">
        <f t="shared" si="29"/>
        <v>1w</v>
      </c>
      <c r="W1220" s="82">
        <f>_xll.qlCalendarAdvance(Calendar,W1219,V1220,"f",FALSE)</f>
        <v>47436</v>
      </c>
      <c r="X1220" s="91">
        <f>_xll.qlCalendarAdvance(Calendar,W1220,NDays&amp;"D")</f>
        <v>47436</v>
      </c>
      <c r="Y1220" s="92" t="e">
        <v>#N/A</v>
      </c>
      <c r="Z1220" s="94" t="e">
        <v>#N/A</v>
      </c>
    </row>
    <row r="1221" spans="22:26" x14ac:dyDescent="0.2">
      <c r="V1221" s="123" t="str">
        <f t="shared" si="29"/>
        <v>1w</v>
      </c>
      <c r="W1221" s="82">
        <f>_xll.qlCalendarAdvance(Calendar,W1220,V1221,"f",FALSE)</f>
        <v>47443</v>
      </c>
      <c r="X1221" s="91">
        <f>_xll.qlCalendarAdvance(Calendar,W1221,NDays&amp;"D")</f>
        <v>47443</v>
      </c>
      <c r="Y1221" s="92" t="e">
        <v>#N/A</v>
      </c>
      <c r="Z1221" s="94" t="e">
        <v>#N/A</v>
      </c>
    </row>
    <row r="1222" spans="22:26" x14ac:dyDescent="0.2">
      <c r="V1222" s="123" t="str">
        <f t="shared" si="29"/>
        <v>1w</v>
      </c>
      <c r="W1222" s="82">
        <f>_xll.qlCalendarAdvance(Calendar,W1221,V1222,"f",FALSE)</f>
        <v>47450</v>
      </c>
      <c r="X1222" s="91">
        <f>_xll.qlCalendarAdvance(Calendar,W1222,NDays&amp;"D")</f>
        <v>47450</v>
      </c>
      <c r="Y1222" s="92" t="e">
        <v>#N/A</v>
      </c>
      <c r="Z1222" s="94" t="e">
        <v>#N/A</v>
      </c>
    </row>
    <row r="1223" spans="22:26" x14ac:dyDescent="0.2">
      <c r="V1223" s="123" t="str">
        <f t="shared" si="29"/>
        <v>1w</v>
      </c>
      <c r="W1223" s="82">
        <f>_xll.qlCalendarAdvance(Calendar,W1222,V1223,"f",FALSE)</f>
        <v>47457</v>
      </c>
      <c r="X1223" s="91">
        <f>_xll.qlCalendarAdvance(Calendar,W1223,NDays&amp;"D")</f>
        <v>47457</v>
      </c>
      <c r="Y1223" s="92" t="e">
        <v>#N/A</v>
      </c>
      <c r="Z1223" s="94" t="e">
        <v>#N/A</v>
      </c>
    </row>
    <row r="1224" spans="22:26" x14ac:dyDescent="0.2">
      <c r="V1224" s="123" t="str">
        <f t="shared" si="29"/>
        <v>1w</v>
      </c>
      <c r="W1224" s="82">
        <f>_xll.qlCalendarAdvance(Calendar,W1223,V1224,"f",FALSE)</f>
        <v>47464</v>
      </c>
      <c r="X1224" s="91">
        <f>_xll.qlCalendarAdvance(Calendar,W1224,NDays&amp;"D")</f>
        <v>47464</v>
      </c>
      <c r="Y1224" s="92" t="e">
        <v>#N/A</v>
      </c>
      <c r="Z1224" s="94" t="e">
        <v>#N/A</v>
      </c>
    </row>
    <row r="1225" spans="22:26" x14ac:dyDescent="0.2">
      <c r="V1225" s="123" t="str">
        <f t="shared" si="29"/>
        <v>1w</v>
      </c>
      <c r="W1225" s="82">
        <f>_xll.qlCalendarAdvance(Calendar,W1224,V1225,"f",FALSE)</f>
        <v>47471</v>
      </c>
      <c r="X1225" s="91">
        <f>_xll.qlCalendarAdvance(Calendar,W1225,NDays&amp;"D")</f>
        <v>47471</v>
      </c>
      <c r="Y1225" s="92" t="e">
        <v>#N/A</v>
      </c>
      <c r="Z1225" s="94" t="e">
        <v>#N/A</v>
      </c>
    </row>
    <row r="1226" spans="22:26" x14ac:dyDescent="0.2">
      <c r="V1226" s="123" t="str">
        <f t="shared" si="29"/>
        <v>1w</v>
      </c>
      <c r="W1226" s="82">
        <f>_xll.qlCalendarAdvance(Calendar,W1225,V1226,"f",FALSE)</f>
        <v>47479</v>
      </c>
      <c r="X1226" s="91">
        <f>_xll.qlCalendarAdvance(Calendar,W1226,NDays&amp;"D")</f>
        <v>47479</v>
      </c>
      <c r="Y1226" s="92" t="e">
        <v>#N/A</v>
      </c>
      <c r="Z1226" s="94" t="e">
        <v>#N/A</v>
      </c>
    </row>
    <row r="1227" spans="22:26" x14ac:dyDescent="0.2">
      <c r="V1227" s="123" t="str">
        <f t="shared" si="29"/>
        <v>1w</v>
      </c>
      <c r="W1227" s="82">
        <f>_xll.qlCalendarAdvance(Calendar,W1226,V1227,"f",FALSE)</f>
        <v>47486</v>
      </c>
      <c r="X1227" s="91">
        <f>_xll.qlCalendarAdvance(Calendar,W1227,NDays&amp;"D")</f>
        <v>47486</v>
      </c>
      <c r="Y1227" s="92" t="e">
        <v>#N/A</v>
      </c>
      <c r="Z1227" s="94" t="e">
        <v>#N/A</v>
      </c>
    </row>
    <row r="1228" spans="22:26" x14ac:dyDescent="0.2">
      <c r="V1228" s="123" t="str">
        <f t="shared" si="29"/>
        <v>1w</v>
      </c>
      <c r="W1228" s="82">
        <f>_xll.qlCalendarAdvance(Calendar,W1227,V1228,"f",FALSE)</f>
        <v>47493</v>
      </c>
      <c r="X1228" s="91">
        <f>_xll.qlCalendarAdvance(Calendar,W1228,NDays&amp;"D")</f>
        <v>47493</v>
      </c>
      <c r="Y1228" s="92" t="e">
        <v>#N/A</v>
      </c>
      <c r="Z1228" s="94" t="e">
        <v>#N/A</v>
      </c>
    </row>
    <row r="1229" spans="22:26" x14ac:dyDescent="0.2">
      <c r="V1229" s="123" t="str">
        <f t="shared" si="29"/>
        <v>1w</v>
      </c>
      <c r="W1229" s="82">
        <f>_xll.qlCalendarAdvance(Calendar,W1228,V1229,"f",FALSE)</f>
        <v>47500</v>
      </c>
      <c r="X1229" s="91">
        <f>_xll.qlCalendarAdvance(Calendar,W1229,NDays&amp;"D")</f>
        <v>47500</v>
      </c>
      <c r="Y1229" s="92" t="e">
        <v>#N/A</v>
      </c>
      <c r="Z1229" s="94" t="e">
        <v>#N/A</v>
      </c>
    </row>
    <row r="1230" spans="22:26" x14ac:dyDescent="0.2">
      <c r="V1230" s="123" t="str">
        <f t="shared" si="29"/>
        <v>1w</v>
      </c>
      <c r="W1230" s="82">
        <f>_xll.qlCalendarAdvance(Calendar,W1229,V1230,"f",FALSE)</f>
        <v>47507</v>
      </c>
      <c r="X1230" s="91">
        <f>_xll.qlCalendarAdvance(Calendar,W1230,NDays&amp;"D")</f>
        <v>47507</v>
      </c>
      <c r="Y1230" s="92" t="e">
        <v>#N/A</v>
      </c>
      <c r="Z1230" s="94" t="e">
        <v>#N/A</v>
      </c>
    </row>
    <row r="1231" spans="22:26" x14ac:dyDescent="0.2">
      <c r="V1231" s="123" t="str">
        <f t="shared" si="29"/>
        <v>1w</v>
      </c>
      <c r="W1231" s="82">
        <f>_xll.qlCalendarAdvance(Calendar,W1230,V1231,"f",FALSE)</f>
        <v>47514</v>
      </c>
      <c r="X1231" s="91">
        <f>_xll.qlCalendarAdvance(Calendar,W1231,NDays&amp;"D")</f>
        <v>47514</v>
      </c>
      <c r="Y1231" s="92" t="e">
        <v>#N/A</v>
      </c>
      <c r="Z1231" s="94" t="e">
        <v>#N/A</v>
      </c>
    </row>
    <row r="1232" spans="22:26" x14ac:dyDescent="0.2">
      <c r="V1232" s="123" t="str">
        <f t="shared" si="29"/>
        <v>1w</v>
      </c>
      <c r="W1232" s="82">
        <f>_xll.qlCalendarAdvance(Calendar,W1231,V1232,"f",FALSE)</f>
        <v>47521</v>
      </c>
      <c r="X1232" s="91">
        <f>_xll.qlCalendarAdvance(Calendar,W1232,NDays&amp;"D")</f>
        <v>47521</v>
      </c>
      <c r="Y1232" s="92" t="e">
        <v>#N/A</v>
      </c>
      <c r="Z1232" s="94" t="e">
        <v>#N/A</v>
      </c>
    </row>
    <row r="1233" spans="22:26" x14ac:dyDescent="0.2">
      <c r="V1233" s="123" t="str">
        <f t="shared" si="29"/>
        <v>1w</v>
      </c>
      <c r="W1233" s="82">
        <f>_xll.qlCalendarAdvance(Calendar,W1232,V1233,"f",FALSE)</f>
        <v>47528</v>
      </c>
      <c r="X1233" s="91">
        <f>_xll.qlCalendarAdvance(Calendar,W1233,NDays&amp;"D")</f>
        <v>47528</v>
      </c>
      <c r="Y1233" s="92" t="e">
        <v>#N/A</v>
      </c>
      <c r="Z1233" s="94" t="e">
        <v>#N/A</v>
      </c>
    </row>
    <row r="1234" spans="22:26" x14ac:dyDescent="0.2">
      <c r="V1234" s="123" t="str">
        <f t="shared" si="29"/>
        <v>1w</v>
      </c>
      <c r="W1234" s="82">
        <f>_xll.qlCalendarAdvance(Calendar,W1233,V1234,"f",FALSE)</f>
        <v>47535</v>
      </c>
      <c r="X1234" s="91">
        <f>_xll.qlCalendarAdvance(Calendar,W1234,NDays&amp;"D")</f>
        <v>47535</v>
      </c>
      <c r="Y1234" s="92" t="e">
        <v>#N/A</v>
      </c>
      <c r="Z1234" s="94" t="e">
        <v>#N/A</v>
      </c>
    </row>
    <row r="1235" spans="22:26" x14ac:dyDescent="0.2">
      <c r="V1235" s="123" t="str">
        <f t="shared" si="29"/>
        <v>1w</v>
      </c>
      <c r="W1235" s="82">
        <f>_xll.qlCalendarAdvance(Calendar,W1234,V1235,"f",FALSE)</f>
        <v>47542</v>
      </c>
      <c r="X1235" s="91">
        <f>_xll.qlCalendarAdvance(Calendar,W1235,NDays&amp;"D")</f>
        <v>47542</v>
      </c>
      <c r="Y1235" s="92" t="e">
        <v>#N/A</v>
      </c>
      <c r="Z1235" s="94" t="e">
        <v>#N/A</v>
      </c>
    </row>
    <row r="1236" spans="22:26" x14ac:dyDescent="0.2">
      <c r="V1236" s="123" t="str">
        <f t="shared" si="29"/>
        <v>1w</v>
      </c>
      <c r="W1236" s="82">
        <f>_xll.qlCalendarAdvance(Calendar,W1235,V1236,"f",FALSE)</f>
        <v>47549</v>
      </c>
      <c r="X1236" s="91">
        <f>_xll.qlCalendarAdvance(Calendar,W1236,NDays&amp;"D")</f>
        <v>47549</v>
      </c>
      <c r="Y1236" s="92" t="e">
        <v>#N/A</v>
      </c>
      <c r="Z1236" s="94" t="e">
        <v>#N/A</v>
      </c>
    </row>
    <row r="1237" spans="22:26" x14ac:dyDescent="0.2">
      <c r="V1237" s="123" t="str">
        <f t="shared" ref="V1237:V1300" si="30">V1236</f>
        <v>1w</v>
      </c>
      <c r="W1237" s="82">
        <f>_xll.qlCalendarAdvance(Calendar,W1236,V1237,"f",FALSE)</f>
        <v>47556</v>
      </c>
      <c r="X1237" s="91">
        <f>_xll.qlCalendarAdvance(Calendar,W1237,NDays&amp;"D")</f>
        <v>47556</v>
      </c>
      <c r="Y1237" s="92" t="e">
        <v>#N/A</v>
      </c>
      <c r="Z1237" s="94" t="e">
        <v>#N/A</v>
      </c>
    </row>
    <row r="1238" spans="22:26" x14ac:dyDescent="0.2">
      <c r="V1238" s="123" t="str">
        <f t="shared" si="30"/>
        <v>1w</v>
      </c>
      <c r="W1238" s="82">
        <f>_xll.qlCalendarAdvance(Calendar,W1237,V1238,"f",FALSE)</f>
        <v>47563</v>
      </c>
      <c r="X1238" s="91">
        <f>_xll.qlCalendarAdvance(Calendar,W1238,NDays&amp;"D")</f>
        <v>47563</v>
      </c>
      <c r="Y1238" s="92" t="e">
        <v>#N/A</v>
      </c>
      <c r="Z1238" s="94" t="e">
        <v>#N/A</v>
      </c>
    </row>
    <row r="1239" spans="22:26" x14ac:dyDescent="0.2">
      <c r="V1239" s="123" t="str">
        <f t="shared" si="30"/>
        <v>1w</v>
      </c>
      <c r="W1239" s="82">
        <f>_xll.qlCalendarAdvance(Calendar,W1238,V1239,"f",FALSE)</f>
        <v>47570</v>
      </c>
      <c r="X1239" s="91">
        <f>_xll.qlCalendarAdvance(Calendar,W1239,NDays&amp;"D")</f>
        <v>47570</v>
      </c>
      <c r="Y1239" s="92" t="e">
        <v>#N/A</v>
      </c>
      <c r="Z1239" s="94" t="e">
        <v>#N/A</v>
      </c>
    </row>
    <row r="1240" spans="22:26" x14ac:dyDescent="0.2">
      <c r="V1240" s="123" t="str">
        <f t="shared" si="30"/>
        <v>1w</v>
      </c>
      <c r="W1240" s="82">
        <f>_xll.qlCalendarAdvance(Calendar,W1239,V1240,"f",FALSE)</f>
        <v>47577</v>
      </c>
      <c r="X1240" s="91">
        <f>_xll.qlCalendarAdvance(Calendar,W1240,NDays&amp;"D")</f>
        <v>47577</v>
      </c>
      <c r="Y1240" s="92" t="e">
        <v>#N/A</v>
      </c>
      <c r="Z1240" s="94" t="e">
        <v>#N/A</v>
      </c>
    </row>
    <row r="1241" spans="22:26" x14ac:dyDescent="0.2">
      <c r="V1241" s="123" t="str">
        <f t="shared" si="30"/>
        <v>1w</v>
      </c>
      <c r="W1241" s="82">
        <f>_xll.qlCalendarAdvance(Calendar,W1240,V1241,"f",FALSE)</f>
        <v>47584</v>
      </c>
      <c r="X1241" s="91">
        <f>_xll.qlCalendarAdvance(Calendar,W1241,NDays&amp;"D")</f>
        <v>47584</v>
      </c>
      <c r="Y1241" s="92" t="e">
        <v>#N/A</v>
      </c>
      <c r="Z1241" s="94" t="e">
        <v>#N/A</v>
      </c>
    </row>
    <row r="1242" spans="22:26" x14ac:dyDescent="0.2">
      <c r="V1242" s="123" t="str">
        <f t="shared" si="30"/>
        <v>1w</v>
      </c>
      <c r="W1242" s="82">
        <f>_xll.qlCalendarAdvance(Calendar,W1241,V1242,"f",FALSE)</f>
        <v>47591</v>
      </c>
      <c r="X1242" s="91">
        <f>_xll.qlCalendarAdvance(Calendar,W1242,NDays&amp;"D")</f>
        <v>47591</v>
      </c>
      <c r="Y1242" s="92" t="e">
        <v>#N/A</v>
      </c>
      <c r="Z1242" s="94" t="e">
        <v>#N/A</v>
      </c>
    </row>
    <row r="1243" spans="22:26" x14ac:dyDescent="0.2">
      <c r="V1243" s="123" t="str">
        <f t="shared" si="30"/>
        <v>1w</v>
      </c>
      <c r="W1243" s="82">
        <f>_xll.qlCalendarAdvance(Calendar,W1242,V1243,"f",FALSE)</f>
        <v>47598</v>
      </c>
      <c r="X1243" s="91">
        <f>_xll.qlCalendarAdvance(Calendar,W1243,NDays&amp;"D")</f>
        <v>47598</v>
      </c>
      <c r="Y1243" s="92" t="e">
        <v>#N/A</v>
      </c>
      <c r="Z1243" s="94" t="e">
        <v>#N/A</v>
      </c>
    </row>
    <row r="1244" spans="22:26" x14ac:dyDescent="0.2">
      <c r="V1244" s="123" t="str">
        <f t="shared" si="30"/>
        <v>1w</v>
      </c>
      <c r="W1244" s="82">
        <f>_xll.qlCalendarAdvance(Calendar,W1243,V1244,"f",FALSE)</f>
        <v>47605</v>
      </c>
      <c r="X1244" s="91">
        <f>_xll.qlCalendarAdvance(Calendar,W1244,NDays&amp;"D")</f>
        <v>47605</v>
      </c>
      <c r="Y1244" s="92" t="e">
        <v>#N/A</v>
      </c>
      <c r="Z1244" s="94" t="e">
        <v>#N/A</v>
      </c>
    </row>
    <row r="1245" spans="22:26" x14ac:dyDescent="0.2">
      <c r="V1245" s="123" t="str">
        <f t="shared" si="30"/>
        <v>1w</v>
      </c>
      <c r="W1245" s="82">
        <f>_xll.qlCalendarAdvance(Calendar,W1244,V1245,"f",FALSE)</f>
        <v>47612</v>
      </c>
      <c r="X1245" s="91">
        <f>_xll.qlCalendarAdvance(Calendar,W1245,NDays&amp;"D")</f>
        <v>47612</v>
      </c>
      <c r="Y1245" s="92" t="e">
        <v>#N/A</v>
      </c>
      <c r="Z1245" s="94" t="e">
        <v>#N/A</v>
      </c>
    </row>
    <row r="1246" spans="22:26" x14ac:dyDescent="0.2">
      <c r="V1246" s="123" t="str">
        <f t="shared" si="30"/>
        <v>1w</v>
      </c>
      <c r="W1246" s="82">
        <f>_xll.qlCalendarAdvance(Calendar,W1245,V1246,"f",FALSE)</f>
        <v>47619</v>
      </c>
      <c r="X1246" s="91">
        <f>_xll.qlCalendarAdvance(Calendar,W1246,NDays&amp;"D")</f>
        <v>47619</v>
      </c>
      <c r="Y1246" s="92" t="e">
        <v>#N/A</v>
      </c>
      <c r="Z1246" s="94" t="e">
        <v>#N/A</v>
      </c>
    </row>
    <row r="1247" spans="22:26" x14ac:dyDescent="0.2">
      <c r="V1247" s="123" t="str">
        <f t="shared" si="30"/>
        <v>1w</v>
      </c>
      <c r="W1247" s="82">
        <f>_xll.qlCalendarAdvance(Calendar,W1246,V1247,"f",FALSE)</f>
        <v>47626</v>
      </c>
      <c r="X1247" s="91">
        <f>_xll.qlCalendarAdvance(Calendar,W1247,NDays&amp;"D")</f>
        <v>47626</v>
      </c>
      <c r="Y1247" s="92" t="e">
        <v>#N/A</v>
      </c>
      <c r="Z1247" s="94" t="e">
        <v>#N/A</v>
      </c>
    </row>
    <row r="1248" spans="22:26" x14ac:dyDescent="0.2">
      <c r="V1248" s="123" t="str">
        <f t="shared" si="30"/>
        <v>1w</v>
      </c>
      <c r="W1248" s="82">
        <f>_xll.qlCalendarAdvance(Calendar,W1247,V1248,"f",FALSE)</f>
        <v>47633</v>
      </c>
      <c r="X1248" s="91">
        <f>_xll.qlCalendarAdvance(Calendar,W1248,NDays&amp;"D")</f>
        <v>47633</v>
      </c>
      <c r="Y1248" s="92" t="e">
        <v>#N/A</v>
      </c>
      <c r="Z1248" s="94" t="e">
        <v>#N/A</v>
      </c>
    </row>
    <row r="1249" spans="22:26" x14ac:dyDescent="0.2">
      <c r="V1249" s="123" t="str">
        <f t="shared" si="30"/>
        <v>1w</v>
      </c>
      <c r="W1249" s="82">
        <f>_xll.qlCalendarAdvance(Calendar,W1248,V1249,"f",FALSE)</f>
        <v>47640</v>
      </c>
      <c r="X1249" s="91">
        <f>_xll.qlCalendarAdvance(Calendar,W1249,NDays&amp;"D")</f>
        <v>47640</v>
      </c>
      <c r="Y1249" s="92" t="e">
        <v>#N/A</v>
      </c>
      <c r="Z1249" s="94" t="e">
        <v>#N/A</v>
      </c>
    </row>
    <row r="1250" spans="22:26" x14ac:dyDescent="0.2">
      <c r="V1250" s="123" t="str">
        <f t="shared" si="30"/>
        <v>1w</v>
      </c>
      <c r="W1250" s="82">
        <f>_xll.qlCalendarAdvance(Calendar,W1249,V1250,"f",FALSE)</f>
        <v>47647</v>
      </c>
      <c r="X1250" s="91">
        <f>_xll.qlCalendarAdvance(Calendar,W1250,NDays&amp;"D")</f>
        <v>47647</v>
      </c>
      <c r="Y1250" s="92" t="e">
        <v>#N/A</v>
      </c>
      <c r="Z1250" s="94" t="e">
        <v>#N/A</v>
      </c>
    </row>
    <row r="1251" spans="22:26" x14ac:dyDescent="0.2">
      <c r="V1251" s="123" t="str">
        <f t="shared" si="30"/>
        <v>1w</v>
      </c>
      <c r="W1251" s="82">
        <f>_xll.qlCalendarAdvance(Calendar,W1250,V1251,"f",FALSE)</f>
        <v>47654</v>
      </c>
      <c r="X1251" s="91">
        <f>_xll.qlCalendarAdvance(Calendar,W1251,NDays&amp;"D")</f>
        <v>47654</v>
      </c>
      <c r="Y1251" s="92" t="e">
        <v>#N/A</v>
      </c>
      <c r="Z1251" s="94" t="e">
        <v>#N/A</v>
      </c>
    </row>
    <row r="1252" spans="22:26" x14ac:dyDescent="0.2">
      <c r="V1252" s="123" t="str">
        <f t="shared" si="30"/>
        <v>1w</v>
      </c>
      <c r="W1252" s="82">
        <f>_xll.qlCalendarAdvance(Calendar,W1251,V1252,"f",FALSE)</f>
        <v>47661</v>
      </c>
      <c r="X1252" s="91">
        <f>_xll.qlCalendarAdvance(Calendar,W1252,NDays&amp;"D")</f>
        <v>47661</v>
      </c>
      <c r="Y1252" s="92" t="e">
        <v>#N/A</v>
      </c>
      <c r="Z1252" s="94" t="e">
        <v>#N/A</v>
      </c>
    </row>
    <row r="1253" spans="22:26" x14ac:dyDescent="0.2">
      <c r="V1253" s="123" t="str">
        <f t="shared" si="30"/>
        <v>1w</v>
      </c>
      <c r="W1253" s="82">
        <f>_xll.qlCalendarAdvance(Calendar,W1252,V1253,"f",FALSE)</f>
        <v>47668</v>
      </c>
      <c r="X1253" s="91">
        <f>_xll.qlCalendarAdvance(Calendar,W1253,NDays&amp;"D")</f>
        <v>47668</v>
      </c>
      <c r="Y1253" s="92" t="e">
        <v>#N/A</v>
      </c>
      <c r="Z1253" s="94" t="e">
        <v>#N/A</v>
      </c>
    </row>
    <row r="1254" spans="22:26" x14ac:dyDescent="0.2">
      <c r="V1254" s="123" t="str">
        <f t="shared" si="30"/>
        <v>1w</v>
      </c>
      <c r="W1254" s="82">
        <f>_xll.qlCalendarAdvance(Calendar,W1253,V1254,"f",FALSE)</f>
        <v>47675</v>
      </c>
      <c r="X1254" s="91">
        <f>_xll.qlCalendarAdvance(Calendar,W1254,NDays&amp;"D")</f>
        <v>47675</v>
      </c>
      <c r="Y1254" s="92" t="e">
        <v>#N/A</v>
      </c>
      <c r="Z1254" s="94" t="e">
        <v>#N/A</v>
      </c>
    </row>
    <row r="1255" spans="22:26" x14ac:dyDescent="0.2">
      <c r="V1255" s="123" t="str">
        <f t="shared" si="30"/>
        <v>1w</v>
      </c>
      <c r="W1255" s="82">
        <f>_xll.qlCalendarAdvance(Calendar,W1254,V1255,"f",FALSE)</f>
        <v>47682</v>
      </c>
      <c r="X1255" s="91">
        <f>_xll.qlCalendarAdvance(Calendar,W1255,NDays&amp;"D")</f>
        <v>47682</v>
      </c>
      <c r="Y1255" s="92" t="e">
        <v>#N/A</v>
      </c>
      <c r="Z1255" s="94" t="e">
        <v>#N/A</v>
      </c>
    </row>
    <row r="1256" spans="22:26" x14ac:dyDescent="0.2">
      <c r="V1256" s="123" t="str">
        <f t="shared" si="30"/>
        <v>1w</v>
      </c>
      <c r="W1256" s="82">
        <f>_xll.qlCalendarAdvance(Calendar,W1255,V1256,"f",FALSE)</f>
        <v>47689</v>
      </c>
      <c r="X1256" s="91">
        <f>_xll.qlCalendarAdvance(Calendar,W1256,NDays&amp;"D")</f>
        <v>47689</v>
      </c>
      <c r="Y1256" s="92" t="e">
        <v>#N/A</v>
      </c>
      <c r="Z1256" s="94" t="e">
        <v>#N/A</v>
      </c>
    </row>
    <row r="1257" spans="22:26" x14ac:dyDescent="0.2">
      <c r="V1257" s="123" t="str">
        <f t="shared" si="30"/>
        <v>1w</v>
      </c>
      <c r="W1257" s="82">
        <f>_xll.qlCalendarAdvance(Calendar,W1256,V1257,"f",FALSE)</f>
        <v>47696</v>
      </c>
      <c r="X1257" s="91">
        <f>_xll.qlCalendarAdvance(Calendar,W1257,NDays&amp;"D")</f>
        <v>47696</v>
      </c>
      <c r="Y1257" s="92" t="e">
        <v>#N/A</v>
      </c>
      <c r="Z1257" s="94" t="e">
        <v>#N/A</v>
      </c>
    </row>
    <row r="1258" spans="22:26" x14ac:dyDescent="0.2">
      <c r="V1258" s="123" t="str">
        <f t="shared" si="30"/>
        <v>1w</v>
      </c>
      <c r="W1258" s="82">
        <f>_xll.qlCalendarAdvance(Calendar,W1257,V1258,"f",FALSE)</f>
        <v>47703</v>
      </c>
      <c r="X1258" s="91">
        <f>_xll.qlCalendarAdvance(Calendar,W1258,NDays&amp;"D")</f>
        <v>47703</v>
      </c>
      <c r="Y1258" s="92" t="e">
        <v>#N/A</v>
      </c>
      <c r="Z1258" s="94" t="e">
        <v>#N/A</v>
      </c>
    </row>
    <row r="1259" spans="22:26" x14ac:dyDescent="0.2">
      <c r="V1259" s="123" t="str">
        <f t="shared" si="30"/>
        <v>1w</v>
      </c>
      <c r="W1259" s="82">
        <f>_xll.qlCalendarAdvance(Calendar,W1258,V1259,"f",FALSE)</f>
        <v>47710</v>
      </c>
      <c r="X1259" s="91">
        <f>_xll.qlCalendarAdvance(Calendar,W1259,NDays&amp;"D")</f>
        <v>47710</v>
      </c>
      <c r="Y1259" s="92" t="e">
        <v>#N/A</v>
      </c>
      <c r="Z1259" s="94" t="e">
        <v>#N/A</v>
      </c>
    </row>
    <row r="1260" spans="22:26" x14ac:dyDescent="0.2">
      <c r="V1260" s="123" t="str">
        <f t="shared" si="30"/>
        <v>1w</v>
      </c>
      <c r="W1260" s="82">
        <f>_xll.qlCalendarAdvance(Calendar,W1259,V1260,"f",FALSE)</f>
        <v>47717</v>
      </c>
      <c r="X1260" s="91">
        <f>_xll.qlCalendarAdvance(Calendar,W1260,NDays&amp;"D")</f>
        <v>47717</v>
      </c>
      <c r="Y1260" s="92" t="e">
        <v>#N/A</v>
      </c>
      <c r="Z1260" s="94" t="e">
        <v>#N/A</v>
      </c>
    </row>
    <row r="1261" spans="22:26" x14ac:dyDescent="0.2">
      <c r="V1261" s="123" t="str">
        <f t="shared" si="30"/>
        <v>1w</v>
      </c>
      <c r="W1261" s="82">
        <f>_xll.qlCalendarAdvance(Calendar,W1260,V1261,"f",FALSE)</f>
        <v>47724</v>
      </c>
      <c r="X1261" s="91">
        <f>_xll.qlCalendarAdvance(Calendar,W1261,NDays&amp;"D")</f>
        <v>47724</v>
      </c>
      <c r="Y1261" s="92" t="e">
        <v>#N/A</v>
      </c>
      <c r="Z1261" s="94" t="e">
        <v>#N/A</v>
      </c>
    </row>
    <row r="1262" spans="22:26" x14ac:dyDescent="0.2">
      <c r="V1262" s="123" t="str">
        <f t="shared" si="30"/>
        <v>1w</v>
      </c>
      <c r="W1262" s="82">
        <f>_xll.qlCalendarAdvance(Calendar,W1261,V1262,"f",FALSE)</f>
        <v>47731</v>
      </c>
      <c r="X1262" s="91">
        <f>_xll.qlCalendarAdvance(Calendar,W1262,NDays&amp;"D")</f>
        <v>47731</v>
      </c>
      <c r="Y1262" s="92" t="e">
        <v>#N/A</v>
      </c>
      <c r="Z1262" s="94" t="e">
        <v>#N/A</v>
      </c>
    </row>
    <row r="1263" spans="22:26" x14ac:dyDescent="0.2">
      <c r="V1263" s="123" t="str">
        <f t="shared" si="30"/>
        <v>1w</v>
      </c>
      <c r="W1263" s="82">
        <f>_xll.qlCalendarAdvance(Calendar,W1262,V1263,"f",FALSE)</f>
        <v>47738</v>
      </c>
      <c r="X1263" s="91">
        <f>_xll.qlCalendarAdvance(Calendar,W1263,NDays&amp;"D")</f>
        <v>47738</v>
      </c>
      <c r="Y1263" s="92" t="e">
        <v>#N/A</v>
      </c>
      <c r="Z1263" s="94" t="e">
        <v>#N/A</v>
      </c>
    </row>
    <row r="1264" spans="22:26" x14ac:dyDescent="0.2">
      <c r="V1264" s="123" t="str">
        <f t="shared" si="30"/>
        <v>1w</v>
      </c>
      <c r="W1264" s="82">
        <f>_xll.qlCalendarAdvance(Calendar,W1263,V1264,"f",FALSE)</f>
        <v>47745</v>
      </c>
      <c r="X1264" s="91">
        <f>_xll.qlCalendarAdvance(Calendar,W1264,NDays&amp;"D")</f>
        <v>47745</v>
      </c>
      <c r="Y1264" s="92" t="e">
        <v>#N/A</v>
      </c>
      <c r="Z1264" s="94" t="e">
        <v>#N/A</v>
      </c>
    </row>
    <row r="1265" spans="22:26" x14ac:dyDescent="0.2">
      <c r="V1265" s="123" t="str">
        <f t="shared" si="30"/>
        <v>1w</v>
      </c>
      <c r="W1265" s="82">
        <f>_xll.qlCalendarAdvance(Calendar,W1264,V1265,"f",FALSE)</f>
        <v>47752</v>
      </c>
      <c r="X1265" s="91">
        <f>_xll.qlCalendarAdvance(Calendar,W1265,NDays&amp;"D")</f>
        <v>47752</v>
      </c>
      <c r="Y1265" s="92" t="e">
        <v>#N/A</v>
      </c>
      <c r="Z1265" s="94" t="e">
        <v>#N/A</v>
      </c>
    </row>
    <row r="1266" spans="22:26" x14ac:dyDescent="0.2">
      <c r="V1266" s="123" t="str">
        <f t="shared" si="30"/>
        <v>1w</v>
      </c>
      <c r="W1266" s="82">
        <f>_xll.qlCalendarAdvance(Calendar,W1265,V1266,"f",FALSE)</f>
        <v>47759</v>
      </c>
      <c r="X1266" s="91">
        <f>_xll.qlCalendarAdvance(Calendar,W1266,NDays&amp;"D")</f>
        <v>47759</v>
      </c>
      <c r="Y1266" s="92" t="e">
        <v>#N/A</v>
      </c>
      <c r="Z1266" s="94" t="e">
        <v>#N/A</v>
      </c>
    </row>
    <row r="1267" spans="22:26" x14ac:dyDescent="0.2">
      <c r="V1267" s="123" t="str">
        <f t="shared" si="30"/>
        <v>1w</v>
      </c>
      <c r="W1267" s="82">
        <f>_xll.qlCalendarAdvance(Calendar,W1266,V1267,"f",FALSE)</f>
        <v>47766</v>
      </c>
      <c r="X1267" s="91">
        <f>_xll.qlCalendarAdvance(Calendar,W1267,NDays&amp;"D")</f>
        <v>47766</v>
      </c>
      <c r="Y1267" s="92" t="e">
        <v>#N/A</v>
      </c>
      <c r="Z1267" s="94" t="e">
        <v>#N/A</v>
      </c>
    </row>
    <row r="1268" spans="22:26" x14ac:dyDescent="0.2">
      <c r="V1268" s="123" t="str">
        <f t="shared" si="30"/>
        <v>1w</v>
      </c>
      <c r="W1268" s="82">
        <f>_xll.qlCalendarAdvance(Calendar,W1267,V1268,"f",FALSE)</f>
        <v>47773</v>
      </c>
      <c r="X1268" s="91">
        <f>_xll.qlCalendarAdvance(Calendar,W1268,NDays&amp;"D")</f>
        <v>47773</v>
      </c>
      <c r="Y1268" s="92" t="e">
        <v>#N/A</v>
      </c>
      <c r="Z1268" s="94" t="e">
        <v>#N/A</v>
      </c>
    </row>
    <row r="1269" spans="22:26" x14ac:dyDescent="0.2">
      <c r="V1269" s="123" t="str">
        <f t="shared" si="30"/>
        <v>1w</v>
      </c>
      <c r="W1269" s="82">
        <f>_xll.qlCalendarAdvance(Calendar,W1268,V1269,"f",FALSE)</f>
        <v>47780</v>
      </c>
      <c r="X1269" s="91">
        <f>_xll.qlCalendarAdvance(Calendar,W1269,NDays&amp;"D")</f>
        <v>47780</v>
      </c>
      <c r="Y1269" s="92" t="e">
        <v>#N/A</v>
      </c>
      <c r="Z1269" s="94" t="e">
        <v>#N/A</v>
      </c>
    </row>
    <row r="1270" spans="22:26" x14ac:dyDescent="0.2">
      <c r="V1270" s="123" t="str">
        <f t="shared" si="30"/>
        <v>1w</v>
      </c>
      <c r="W1270" s="82">
        <f>_xll.qlCalendarAdvance(Calendar,W1269,V1270,"f",FALSE)</f>
        <v>47787</v>
      </c>
      <c r="X1270" s="91">
        <f>_xll.qlCalendarAdvance(Calendar,W1270,NDays&amp;"D")</f>
        <v>47787</v>
      </c>
      <c r="Y1270" s="92" t="e">
        <v>#N/A</v>
      </c>
      <c r="Z1270" s="94" t="e">
        <v>#N/A</v>
      </c>
    </row>
    <row r="1271" spans="22:26" x14ac:dyDescent="0.2">
      <c r="V1271" s="123" t="str">
        <f t="shared" si="30"/>
        <v>1w</v>
      </c>
      <c r="W1271" s="82">
        <f>_xll.qlCalendarAdvance(Calendar,W1270,V1271,"f",FALSE)</f>
        <v>47794</v>
      </c>
      <c r="X1271" s="91">
        <f>_xll.qlCalendarAdvance(Calendar,W1271,NDays&amp;"D")</f>
        <v>47794</v>
      </c>
      <c r="Y1271" s="92" t="e">
        <v>#N/A</v>
      </c>
      <c r="Z1271" s="94" t="e">
        <v>#N/A</v>
      </c>
    </row>
    <row r="1272" spans="22:26" x14ac:dyDescent="0.2">
      <c r="V1272" s="123" t="str">
        <f t="shared" si="30"/>
        <v>1w</v>
      </c>
      <c r="W1272" s="82">
        <f>_xll.qlCalendarAdvance(Calendar,W1271,V1272,"f",FALSE)</f>
        <v>47801</v>
      </c>
      <c r="X1272" s="91">
        <f>_xll.qlCalendarAdvance(Calendar,W1272,NDays&amp;"D")</f>
        <v>47801</v>
      </c>
      <c r="Y1272" s="92" t="e">
        <v>#N/A</v>
      </c>
      <c r="Z1272" s="94" t="e">
        <v>#N/A</v>
      </c>
    </row>
    <row r="1273" spans="22:26" x14ac:dyDescent="0.2">
      <c r="V1273" s="123" t="str">
        <f t="shared" si="30"/>
        <v>1w</v>
      </c>
      <c r="W1273" s="82">
        <f>_xll.qlCalendarAdvance(Calendar,W1272,V1273,"f",FALSE)</f>
        <v>47808</v>
      </c>
      <c r="X1273" s="91">
        <f>_xll.qlCalendarAdvance(Calendar,W1273,NDays&amp;"D")</f>
        <v>47808</v>
      </c>
      <c r="Y1273" s="92" t="e">
        <v>#N/A</v>
      </c>
      <c r="Z1273" s="94" t="e">
        <v>#N/A</v>
      </c>
    </row>
    <row r="1274" spans="22:26" x14ac:dyDescent="0.2">
      <c r="V1274" s="123" t="str">
        <f t="shared" si="30"/>
        <v>1w</v>
      </c>
      <c r="W1274" s="82">
        <f>_xll.qlCalendarAdvance(Calendar,W1273,V1274,"f",FALSE)</f>
        <v>47815</v>
      </c>
      <c r="X1274" s="91">
        <f>_xll.qlCalendarAdvance(Calendar,W1274,NDays&amp;"D")</f>
        <v>47815</v>
      </c>
      <c r="Y1274" s="92" t="e">
        <v>#N/A</v>
      </c>
      <c r="Z1274" s="94" t="e">
        <v>#N/A</v>
      </c>
    </row>
    <row r="1275" spans="22:26" x14ac:dyDescent="0.2">
      <c r="V1275" s="123" t="str">
        <f t="shared" si="30"/>
        <v>1w</v>
      </c>
      <c r="W1275" s="82">
        <f>_xll.qlCalendarAdvance(Calendar,W1274,V1275,"f",FALSE)</f>
        <v>47822</v>
      </c>
      <c r="X1275" s="91">
        <f>_xll.qlCalendarAdvance(Calendar,W1275,NDays&amp;"D")</f>
        <v>47822</v>
      </c>
      <c r="Y1275" s="92" t="e">
        <v>#N/A</v>
      </c>
      <c r="Z1275" s="94" t="e">
        <v>#N/A</v>
      </c>
    </row>
    <row r="1276" spans="22:26" x14ac:dyDescent="0.2">
      <c r="V1276" s="123" t="str">
        <f t="shared" si="30"/>
        <v>1w</v>
      </c>
      <c r="W1276" s="82">
        <f>_xll.qlCalendarAdvance(Calendar,W1275,V1276,"f",FALSE)</f>
        <v>47829</v>
      </c>
      <c r="X1276" s="91">
        <f>_xll.qlCalendarAdvance(Calendar,W1276,NDays&amp;"D")</f>
        <v>47829</v>
      </c>
      <c r="Y1276" s="92" t="e">
        <v>#N/A</v>
      </c>
      <c r="Z1276" s="94" t="e">
        <v>#N/A</v>
      </c>
    </row>
    <row r="1277" spans="22:26" x14ac:dyDescent="0.2">
      <c r="V1277" s="123" t="str">
        <f t="shared" si="30"/>
        <v>1w</v>
      </c>
      <c r="W1277" s="82">
        <f>_xll.qlCalendarAdvance(Calendar,W1276,V1277,"f",FALSE)</f>
        <v>47836</v>
      </c>
      <c r="X1277" s="91">
        <f>_xll.qlCalendarAdvance(Calendar,W1277,NDays&amp;"D")</f>
        <v>47836</v>
      </c>
      <c r="Y1277" s="92" t="e">
        <v>#N/A</v>
      </c>
      <c r="Z1277" s="94" t="e">
        <v>#N/A</v>
      </c>
    </row>
    <row r="1278" spans="22:26" x14ac:dyDescent="0.2">
      <c r="V1278" s="123" t="str">
        <f t="shared" si="30"/>
        <v>1w</v>
      </c>
      <c r="W1278" s="82">
        <f>_xll.qlCalendarAdvance(Calendar,W1277,V1278,"f",FALSE)</f>
        <v>47844</v>
      </c>
      <c r="X1278" s="91">
        <f>_xll.qlCalendarAdvance(Calendar,W1278,NDays&amp;"D")</f>
        <v>47844</v>
      </c>
      <c r="Y1278" s="92" t="e">
        <v>#N/A</v>
      </c>
      <c r="Z1278" s="94" t="e">
        <v>#N/A</v>
      </c>
    </row>
    <row r="1279" spans="22:26" x14ac:dyDescent="0.2">
      <c r="V1279" s="123" t="str">
        <f t="shared" si="30"/>
        <v>1w</v>
      </c>
      <c r="W1279" s="82">
        <f>_xll.qlCalendarAdvance(Calendar,W1278,V1279,"f",FALSE)</f>
        <v>47851</v>
      </c>
      <c r="X1279" s="91">
        <f>_xll.qlCalendarAdvance(Calendar,W1279,NDays&amp;"D")</f>
        <v>47851</v>
      </c>
      <c r="Y1279" s="92" t="e">
        <v>#N/A</v>
      </c>
      <c r="Z1279" s="94" t="e">
        <v>#N/A</v>
      </c>
    </row>
    <row r="1280" spans="22:26" x14ac:dyDescent="0.2">
      <c r="V1280" s="123" t="str">
        <f t="shared" si="30"/>
        <v>1w</v>
      </c>
      <c r="W1280" s="82">
        <f>_xll.qlCalendarAdvance(Calendar,W1279,V1280,"f",FALSE)</f>
        <v>47858</v>
      </c>
      <c r="X1280" s="91">
        <f>_xll.qlCalendarAdvance(Calendar,W1280,NDays&amp;"D")</f>
        <v>47858</v>
      </c>
      <c r="Y1280" s="92" t="e">
        <v>#N/A</v>
      </c>
      <c r="Z1280" s="94" t="e">
        <v>#N/A</v>
      </c>
    </row>
    <row r="1281" spans="22:26" x14ac:dyDescent="0.2">
      <c r="V1281" s="123" t="str">
        <f t="shared" si="30"/>
        <v>1w</v>
      </c>
      <c r="W1281" s="82">
        <f>_xll.qlCalendarAdvance(Calendar,W1280,V1281,"f",FALSE)</f>
        <v>47865</v>
      </c>
      <c r="X1281" s="91">
        <f>_xll.qlCalendarAdvance(Calendar,W1281,NDays&amp;"D")</f>
        <v>47865</v>
      </c>
      <c r="Y1281" s="92" t="e">
        <v>#N/A</v>
      </c>
      <c r="Z1281" s="94" t="e">
        <v>#N/A</v>
      </c>
    </row>
    <row r="1282" spans="22:26" x14ac:dyDescent="0.2">
      <c r="V1282" s="123" t="str">
        <f t="shared" si="30"/>
        <v>1w</v>
      </c>
      <c r="W1282" s="82">
        <f>_xll.qlCalendarAdvance(Calendar,W1281,V1282,"f",FALSE)</f>
        <v>47872</v>
      </c>
      <c r="X1282" s="91">
        <f>_xll.qlCalendarAdvance(Calendar,W1282,NDays&amp;"D")</f>
        <v>47872</v>
      </c>
      <c r="Y1282" s="92" t="e">
        <v>#N/A</v>
      </c>
      <c r="Z1282" s="94" t="e">
        <v>#N/A</v>
      </c>
    </row>
    <row r="1283" spans="22:26" x14ac:dyDescent="0.2">
      <c r="V1283" s="123" t="str">
        <f t="shared" si="30"/>
        <v>1w</v>
      </c>
      <c r="W1283" s="82">
        <f>_xll.qlCalendarAdvance(Calendar,W1282,V1283,"f",FALSE)</f>
        <v>47879</v>
      </c>
      <c r="X1283" s="91">
        <f>_xll.qlCalendarAdvance(Calendar,W1283,NDays&amp;"D")</f>
        <v>47879</v>
      </c>
      <c r="Y1283" s="92" t="e">
        <v>#N/A</v>
      </c>
      <c r="Z1283" s="94" t="e">
        <v>#N/A</v>
      </c>
    </row>
    <row r="1284" spans="22:26" x14ac:dyDescent="0.2">
      <c r="V1284" s="123" t="str">
        <f t="shared" si="30"/>
        <v>1w</v>
      </c>
      <c r="W1284" s="82">
        <f>_xll.qlCalendarAdvance(Calendar,W1283,V1284,"f",FALSE)</f>
        <v>47886</v>
      </c>
      <c r="X1284" s="91">
        <f>_xll.qlCalendarAdvance(Calendar,W1284,NDays&amp;"D")</f>
        <v>47886</v>
      </c>
      <c r="Y1284" s="92" t="e">
        <v>#N/A</v>
      </c>
      <c r="Z1284" s="94" t="e">
        <v>#N/A</v>
      </c>
    </row>
    <row r="1285" spans="22:26" x14ac:dyDescent="0.2">
      <c r="V1285" s="123" t="str">
        <f t="shared" si="30"/>
        <v>1w</v>
      </c>
      <c r="W1285" s="82">
        <f>_xll.qlCalendarAdvance(Calendar,W1284,V1285,"f",FALSE)</f>
        <v>47893</v>
      </c>
      <c r="X1285" s="91">
        <f>_xll.qlCalendarAdvance(Calendar,W1285,NDays&amp;"D")</f>
        <v>47893</v>
      </c>
      <c r="Y1285" s="92" t="e">
        <v>#N/A</v>
      </c>
      <c r="Z1285" s="94" t="e">
        <v>#N/A</v>
      </c>
    </row>
    <row r="1286" spans="22:26" x14ac:dyDescent="0.2">
      <c r="V1286" s="123" t="str">
        <f t="shared" si="30"/>
        <v>1w</v>
      </c>
      <c r="W1286" s="82">
        <f>_xll.qlCalendarAdvance(Calendar,W1285,V1286,"f",FALSE)</f>
        <v>47900</v>
      </c>
      <c r="X1286" s="91">
        <f>_xll.qlCalendarAdvance(Calendar,W1286,NDays&amp;"D")</f>
        <v>47900</v>
      </c>
      <c r="Y1286" s="92" t="e">
        <v>#N/A</v>
      </c>
      <c r="Z1286" s="94" t="e">
        <v>#N/A</v>
      </c>
    </row>
    <row r="1287" spans="22:26" x14ac:dyDescent="0.2">
      <c r="V1287" s="123" t="str">
        <f t="shared" si="30"/>
        <v>1w</v>
      </c>
      <c r="W1287" s="82">
        <f>_xll.qlCalendarAdvance(Calendar,W1286,V1287,"f",FALSE)</f>
        <v>47907</v>
      </c>
      <c r="X1287" s="91">
        <f>_xll.qlCalendarAdvance(Calendar,W1287,NDays&amp;"D")</f>
        <v>47907</v>
      </c>
      <c r="Y1287" s="92" t="e">
        <v>#N/A</v>
      </c>
      <c r="Z1287" s="94" t="e">
        <v>#N/A</v>
      </c>
    </row>
    <row r="1288" spans="22:26" x14ac:dyDescent="0.2">
      <c r="V1288" s="123" t="str">
        <f t="shared" si="30"/>
        <v>1w</v>
      </c>
      <c r="W1288" s="82">
        <f>_xll.qlCalendarAdvance(Calendar,W1287,V1288,"f",FALSE)</f>
        <v>47914</v>
      </c>
      <c r="X1288" s="91">
        <f>_xll.qlCalendarAdvance(Calendar,W1288,NDays&amp;"D")</f>
        <v>47914</v>
      </c>
      <c r="Y1288" s="92" t="e">
        <v>#N/A</v>
      </c>
      <c r="Z1288" s="94" t="e">
        <v>#N/A</v>
      </c>
    </row>
    <row r="1289" spans="22:26" x14ac:dyDescent="0.2">
      <c r="V1289" s="123" t="str">
        <f t="shared" si="30"/>
        <v>1w</v>
      </c>
      <c r="W1289" s="82">
        <f>_xll.qlCalendarAdvance(Calendar,W1288,V1289,"f",FALSE)</f>
        <v>47921</v>
      </c>
      <c r="X1289" s="91">
        <f>_xll.qlCalendarAdvance(Calendar,W1289,NDays&amp;"D")</f>
        <v>47921</v>
      </c>
      <c r="Y1289" s="92" t="e">
        <v>#N/A</v>
      </c>
      <c r="Z1289" s="94" t="e">
        <v>#N/A</v>
      </c>
    </row>
    <row r="1290" spans="22:26" x14ac:dyDescent="0.2">
      <c r="V1290" s="123" t="str">
        <f t="shared" si="30"/>
        <v>1w</v>
      </c>
      <c r="W1290" s="82">
        <f>_xll.qlCalendarAdvance(Calendar,W1289,V1290,"f",FALSE)</f>
        <v>47928</v>
      </c>
      <c r="X1290" s="91">
        <f>_xll.qlCalendarAdvance(Calendar,W1290,NDays&amp;"D")</f>
        <v>47928</v>
      </c>
      <c r="Y1290" s="92" t="e">
        <v>#N/A</v>
      </c>
      <c r="Z1290" s="94" t="e">
        <v>#N/A</v>
      </c>
    </row>
    <row r="1291" spans="22:26" x14ac:dyDescent="0.2">
      <c r="V1291" s="123" t="str">
        <f t="shared" si="30"/>
        <v>1w</v>
      </c>
      <c r="W1291" s="82">
        <f>_xll.qlCalendarAdvance(Calendar,W1290,V1291,"f",FALSE)</f>
        <v>47935</v>
      </c>
      <c r="X1291" s="91">
        <f>_xll.qlCalendarAdvance(Calendar,W1291,NDays&amp;"D")</f>
        <v>47935</v>
      </c>
      <c r="Y1291" s="92" t="e">
        <v>#N/A</v>
      </c>
      <c r="Z1291" s="94" t="e">
        <v>#N/A</v>
      </c>
    </row>
    <row r="1292" spans="22:26" x14ac:dyDescent="0.2">
      <c r="V1292" s="123" t="str">
        <f t="shared" si="30"/>
        <v>1w</v>
      </c>
      <c r="W1292" s="82">
        <f>_xll.qlCalendarAdvance(Calendar,W1291,V1292,"f",FALSE)</f>
        <v>47942</v>
      </c>
      <c r="X1292" s="91">
        <f>_xll.qlCalendarAdvance(Calendar,W1292,NDays&amp;"D")</f>
        <v>47942</v>
      </c>
      <c r="Y1292" s="92" t="e">
        <v>#N/A</v>
      </c>
      <c r="Z1292" s="94" t="e">
        <v>#N/A</v>
      </c>
    </row>
    <row r="1293" spans="22:26" x14ac:dyDescent="0.2">
      <c r="V1293" s="123" t="str">
        <f t="shared" si="30"/>
        <v>1w</v>
      </c>
      <c r="W1293" s="82">
        <f>_xll.qlCalendarAdvance(Calendar,W1292,V1293,"f",FALSE)</f>
        <v>47953</v>
      </c>
      <c r="X1293" s="91">
        <f>_xll.qlCalendarAdvance(Calendar,W1293,NDays&amp;"D")</f>
        <v>47953</v>
      </c>
      <c r="Y1293" s="92" t="e">
        <v>#N/A</v>
      </c>
      <c r="Z1293" s="94" t="e">
        <v>#N/A</v>
      </c>
    </row>
    <row r="1294" spans="22:26" x14ac:dyDescent="0.2">
      <c r="V1294" s="123" t="str">
        <f t="shared" si="30"/>
        <v>1w</v>
      </c>
      <c r="W1294" s="82">
        <f>_xll.qlCalendarAdvance(Calendar,W1293,V1294,"f",FALSE)</f>
        <v>47960</v>
      </c>
      <c r="X1294" s="91">
        <f>_xll.qlCalendarAdvance(Calendar,W1294,NDays&amp;"D")</f>
        <v>47960</v>
      </c>
      <c r="Y1294" s="92" t="e">
        <v>#N/A</v>
      </c>
      <c r="Z1294" s="94" t="e">
        <v>#N/A</v>
      </c>
    </row>
    <row r="1295" spans="22:26" x14ac:dyDescent="0.2">
      <c r="V1295" s="123" t="str">
        <f t="shared" si="30"/>
        <v>1w</v>
      </c>
      <c r="W1295" s="82">
        <f>_xll.qlCalendarAdvance(Calendar,W1294,V1295,"f",FALSE)</f>
        <v>47967</v>
      </c>
      <c r="X1295" s="91">
        <f>_xll.qlCalendarAdvance(Calendar,W1295,NDays&amp;"D")</f>
        <v>47967</v>
      </c>
      <c r="Y1295" s="92" t="e">
        <v>#N/A</v>
      </c>
      <c r="Z1295" s="94" t="e">
        <v>#N/A</v>
      </c>
    </row>
    <row r="1296" spans="22:26" x14ac:dyDescent="0.2">
      <c r="V1296" s="123" t="str">
        <f t="shared" si="30"/>
        <v>1w</v>
      </c>
      <c r="W1296" s="82">
        <f>_xll.qlCalendarAdvance(Calendar,W1295,V1296,"f",FALSE)</f>
        <v>47974</v>
      </c>
      <c r="X1296" s="91">
        <f>_xll.qlCalendarAdvance(Calendar,W1296,NDays&amp;"D")</f>
        <v>47974</v>
      </c>
      <c r="Y1296" s="92" t="e">
        <v>#N/A</v>
      </c>
      <c r="Z1296" s="94" t="e">
        <v>#N/A</v>
      </c>
    </row>
    <row r="1297" spans="22:26" x14ac:dyDescent="0.2">
      <c r="V1297" s="123" t="str">
        <f t="shared" si="30"/>
        <v>1w</v>
      </c>
      <c r="W1297" s="82">
        <f>_xll.qlCalendarAdvance(Calendar,W1296,V1297,"f",FALSE)</f>
        <v>47981</v>
      </c>
      <c r="X1297" s="91">
        <f>_xll.qlCalendarAdvance(Calendar,W1297,NDays&amp;"D")</f>
        <v>47981</v>
      </c>
      <c r="Y1297" s="92" t="e">
        <v>#N/A</v>
      </c>
      <c r="Z1297" s="94" t="e">
        <v>#N/A</v>
      </c>
    </row>
    <row r="1298" spans="22:26" x14ac:dyDescent="0.2">
      <c r="V1298" s="123" t="str">
        <f t="shared" si="30"/>
        <v>1w</v>
      </c>
      <c r="W1298" s="82">
        <f>_xll.qlCalendarAdvance(Calendar,W1297,V1298,"f",FALSE)</f>
        <v>47988</v>
      </c>
      <c r="X1298" s="91">
        <f>_xll.qlCalendarAdvance(Calendar,W1298,NDays&amp;"D")</f>
        <v>47988</v>
      </c>
      <c r="Y1298" s="92" t="e">
        <v>#N/A</v>
      </c>
      <c r="Z1298" s="94" t="e">
        <v>#N/A</v>
      </c>
    </row>
    <row r="1299" spans="22:26" x14ac:dyDescent="0.2">
      <c r="V1299" s="123" t="str">
        <f t="shared" si="30"/>
        <v>1w</v>
      </c>
      <c r="W1299" s="82">
        <f>_xll.qlCalendarAdvance(Calendar,W1298,V1299,"f",FALSE)</f>
        <v>47995</v>
      </c>
      <c r="X1299" s="91">
        <f>_xll.qlCalendarAdvance(Calendar,W1299,NDays&amp;"D")</f>
        <v>47995</v>
      </c>
      <c r="Y1299" s="92" t="e">
        <v>#N/A</v>
      </c>
      <c r="Z1299" s="94" t="e">
        <v>#N/A</v>
      </c>
    </row>
    <row r="1300" spans="22:26" x14ac:dyDescent="0.2">
      <c r="V1300" s="123" t="str">
        <f t="shared" si="30"/>
        <v>1w</v>
      </c>
      <c r="W1300" s="82">
        <f>_xll.qlCalendarAdvance(Calendar,W1299,V1300,"f",FALSE)</f>
        <v>48002</v>
      </c>
      <c r="X1300" s="91">
        <f>_xll.qlCalendarAdvance(Calendar,W1300,NDays&amp;"D")</f>
        <v>48002</v>
      </c>
      <c r="Y1300" s="92" t="e">
        <v>#N/A</v>
      </c>
      <c r="Z1300" s="94" t="e">
        <v>#N/A</v>
      </c>
    </row>
    <row r="1301" spans="22:26" x14ac:dyDescent="0.2">
      <c r="V1301" s="123" t="str">
        <f t="shared" ref="V1301:V1364" si="31">V1300</f>
        <v>1w</v>
      </c>
      <c r="W1301" s="82">
        <f>_xll.qlCalendarAdvance(Calendar,W1300,V1301,"f",FALSE)</f>
        <v>48009</v>
      </c>
      <c r="X1301" s="91">
        <f>_xll.qlCalendarAdvance(Calendar,W1301,NDays&amp;"D")</f>
        <v>48009</v>
      </c>
      <c r="Y1301" s="92" t="e">
        <v>#N/A</v>
      </c>
      <c r="Z1301" s="94" t="e">
        <v>#N/A</v>
      </c>
    </row>
    <row r="1302" spans="22:26" x14ac:dyDescent="0.2">
      <c r="V1302" s="123" t="str">
        <f t="shared" si="31"/>
        <v>1w</v>
      </c>
      <c r="W1302" s="82">
        <f>_xll.qlCalendarAdvance(Calendar,W1301,V1302,"f",FALSE)</f>
        <v>48016</v>
      </c>
      <c r="X1302" s="91">
        <f>_xll.qlCalendarAdvance(Calendar,W1302,NDays&amp;"D")</f>
        <v>48016</v>
      </c>
      <c r="Y1302" s="92" t="e">
        <v>#N/A</v>
      </c>
      <c r="Z1302" s="94" t="e">
        <v>#N/A</v>
      </c>
    </row>
    <row r="1303" spans="22:26" x14ac:dyDescent="0.2">
      <c r="V1303" s="123" t="str">
        <f t="shared" si="31"/>
        <v>1w</v>
      </c>
      <c r="W1303" s="82">
        <f>_xll.qlCalendarAdvance(Calendar,W1302,V1303,"f",FALSE)</f>
        <v>48023</v>
      </c>
      <c r="X1303" s="91">
        <f>_xll.qlCalendarAdvance(Calendar,W1303,NDays&amp;"D")</f>
        <v>48023</v>
      </c>
      <c r="Y1303" s="92" t="e">
        <v>#N/A</v>
      </c>
      <c r="Z1303" s="94" t="e">
        <v>#N/A</v>
      </c>
    </row>
    <row r="1304" spans="22:26" x14ac:dyDescent="0.2">
      <c r="V1304" s="123" t="str">
        <f t="shared" si="31"/>
        <v>1w</v>
      </c>
      <c r="W1304" s="82">
        <f>_xll.qlCalendarAdvance(Calendar,W1303,V1304,"f",FALSE)</f>
        <v>48031</v>
      </c>
      <c r="X1304" s="91">
        <f>_xll.qlCalendarAdvance(Calendar,W1304,NDays&amp;"D")</f>
        <v>48031</v>
      </c>
      <c r="Y1304" s="92" t="e">
        <v>#N/A</v>
      </c>
      <c r="Z1304" s="94" t="e">
        <v>#N/A</v>
      </c>
    </row>
    <row r="1305" spans="22:26" x14ac:dyDescent="0.2">
      <c r="V1305" s="123" t="str">
        <f t="shared" si="31"/>
        <v>1w</v>
      </c>
      <c r="W1305" s="82">
        <f>_xll.qlCalendarAdvance(Calendar,W1304,V1305,"f",FALSE)</f>
        <v>48038</v>
      </c>
      <c r="X1305" s="91">
        <f>_xll.qlCalendarAdvance(Calendar,W1305,NDays&amp;"D")</f>
        <v>48038</v>
      </c>
      <c r="Y1305" s="92" t="e">
        <v>#N/A</v>
      </c>
      <c r="Z1305" s="94" t="e">
        <v>#N/A</v>
      </c>
    </row>
    <row r="1306" spans="22:26" x14ac:dyDescent="0.2">
      <c r="V1306" s="123" t="str">
        <f t="shared" si="31"/>
        <v>1w</v>
      </c>
      <c r="W1306" s="82">
        <f>_xll.qlCalendarAdvance(Calendar,W1305,V1306,"f",FALSE)</f>
        <v>48045</v>
      </c>
      <c r="X1306" s="91">
        <f>_xll.qlCalendarAdvance(Calendar,W1306,NDays&amp;"D")</f>
        <v>48045</v>
      </c>
      <c r="Y1306" s="92" t="e">
        <v>#N/A</v>
      </c>
      <c r="Z1306" s="94" t="e">
        <v>#N/A</v>
      </c>
    </row>
    <row r="1307" spans="22:26" x14ac:dyDescent="0.2">
      <c r="V1307" s="123" t="str">
        <f t="shared" si="31"/>
        <v>1w</v>
      </c>
      <c r="W1307" s="82">
        <f>_xll.qlCalendarAdvance(Calendar,W1306,V1307,"f",FALSE)</f>
        <v>48052</v>
      </c>
      <c r="X1307" s="91">
        <f>_xll.qlCalendarAdvance(Calendar,W1307,NDays&amp;"D")</f>
        <v>48052</v>
      </c>
      <c r="Y1307" s="92" t="e">
        <v>#N/A</v>
      </c>
      <c r="Z1307" s="94" t="e">
        <v>#N/A</v>
      </c>
    </row>
    <row r="1308" spans="22:26" x14ac:dyDescent="0.2">
      <c r="V1308" s="123" t="str">
        <f t="shared" si="31"/>
        <v>1w</v>
      </c>
      <c r="W1308" s="82">
        <f>_xll.qlCalendarAdvance(Calendar,W1307,V1308,"f",FALSE)</f>
        <v>48059</v>
      </c>
      <c r="X1308" s="91">
        <f>_xll.qlCalendarAdvance(Calendar,W1308,NDays&amp;"D")</f>
        <v>48059</v>
      </c>
      <c r="Y1308" s="92" t="e">
        <v>#N/A</v>
      </c>
      <c r="Z1308" s="94" t="e">
        <v>#N/A</v>
      </c>
    </row>
    <row r="1309" spans="22:26" x14ac:dyDescent="0.2">
      <c r="V1309" s="123" t="str">
        <f t="shared" si="31"/>
        <v>1w</v>
      </c>
      <c r="W1309" s="82">
        <f>_xll.qlCalendarAdvance(Calendar,W1308,V1309,"f",FALSE)</f>
        <v>48066</v>
      </c>
      <c r="X1309" s="91">
        <f>_xll.qlCalendarAdvance(Calendar,W1309,NDays&amp;"D")</f>
        <v>48066</v>
      </c>
      <c r="Y1309" s="92" t="e">
        <v>#N/A</v>
      </c>
      <c r="Z1309" s="94" t="e">
        <v>#N/A</v>
      </c>
    </row>
    <row r="1310" spans="22:26" x14ac:dyDescent="0.2">
      <c r="V1310" s="123" t="str">
        <f t="shared" si="31"/>
        <v>1w</v>
      </c>
      <c r="W1310" s="82">
        <f>_xll.qlCalendarAdvance(Calendar,W1309,V1310,"f",FALSE)</f>
        <v>48073</v>
      </c>
      <c r="X1310" s="91">
        <f>_xll.qlCalendarAdvance(Calendar,W1310,NDays&amp;"D")</f>
        <v>48073</v>
      </c>
      <c r="Y1310" s="92" t="e">
        <v>#N/A</v>
      </c>
      <c r="Z1310" s="94" t="e">
        <v>#N/A</v>
      </c>
    </row>
    <row r="1311" spans="22:26" x14ac:dyDescent="0.2">
      <c r="V1311" s="123" t="str">
        <f t="shared" si="31"/>
        <v>1w</v>
      </c>
      <c r="W1311" s="82">
        <f>_xll.qlCalendarAdvance(Calendar,W1310,V1311,"f",FALSE)</f>
        <v>48080</v>
      </c>
      <c r="X1311" s="91">
        <f>_xll.qlCalendarAdvance(Calendar,W1311,NDays&amp;"D")</f>
        <v>48080</v>
      </c>
      <c r="Y1311" s="92" t="e">
        <v>#N/A</v>
      </c>
      <c r="Z1311" s="94" t="e">
        <v>#N/A</v>
      </c>
    </row>
    <row r="1312" spans="22:26" x14ac:dyDescent="0.2">
      <c r="V1312" s="123" t="str">
        <f t="shared" si="31"/>
        <v>1w</v>
      </c>
      <c r="W1312" s="82">
        <f>_xll.qlCalendarAdvance(Calendar,W1311,V1312,"f",FALSE)</f>
        <v>48087</v>
      </c>
      <c r="X1312" s="91">
        <f>_xll.qlCalendarAdvance(Calendar,W1312,NDays&amp;"D")</f>
        <v>48087</v>
      </c>
      <c r="Y1312" s="92" t="e">
        <v>#N/A</v>
      </c>
      <c r="Z1312" s="94" t="e">
        <v>#N/A</v>
      </c>
    </row>
    <row r="1313" spans="22:26" x14ac:dyDescent="0.2">
      <c r="V1313" s="123" t="str">
        <f t="shared" si="31"/>
        <v>1w</v>
      </c>
      <c r="W1313" s="82">
        <f>_xll.qlCalendarAdvance(Calendar,W1312,V1313,"f",FALSE)</f>
        <v>48094</v>
      </c>
      <c r="X1313" s="91">
        <f>_xll.qlCalendarAdvance(Calendar,W1313,NDays&amp;"D")</f>
        <v>48094</v>
      </c>
      <c r="Y1313" s="92" t="e">
        <v>#N/A</v>
      </c>
      <c r="Z1313" s="94" t="e">
        <v>#N/A</v>
      </c>
    </row>
    <row r="1314" spans="22:26" x14ac:dyDescent="0.2">
      <c r="V1314" s="123" t="str">
        <f t="shared" si="31"/>
        <v>1w</v>
      </c>
      <c r="W1314" s="82">
        <f>_xll.qlCalendarAdvance(Calendar,W1313,V1314,"f",FALSE)</f>
        <v>48101</v>
      </c>
      <c r="X1314" s="91">
        <f>_xll.qlCalendarAdvance(Calendar,W1314,NDays&amp;"D")</f>
        <v>48101</v>
      </c>
      <c r="Y1314" s="92" t="e">
        <v>#N/A</v>
      </c>
      <c r="Z1314" s="94" t="e">
        <v>#N/A</v>
      </c>
    </row>
    <row r="1315" spans="22:26" x14ac:dyDescent="0.2">
      <c r="V1315" s="123" t="str">
        <f t="shared" si="31"/>
        <v>1w</v>
      </c>
      <c r="W1315" s="82">
        <f>_xll.qlCalendarAdvance(Calendar,W1314,V1315,"f",FALSE)</f>
        <v>48108</v>
      </c>
      <c r="X1315" s="91">
        <f>_xll.qlCalendarAdvance(Calendar,W1315,NDays&amp;"D")</f>
        <v>48108</v>
      </c>
      <c r="Y1315" s="92" t="e">
        <v>#N/A</v>
      </c>
      <c r="Z1315" s="94" t="e">
        <v>#N/A</v>
      </c>
    </row>
    <row r="1316" spans="22:26" x14ac:dyDescent="0.2">
      <c r="V1316" s="123" t="str">
        <f t="shared" si="31"/>
        <v>1w</v>
      </c>
      <c r="W1316" s="82">
        <f>_xll.qlCalendarAdvance(Calendar,W1315,V1316,"f",FALSE)</f>
        <v>48115</v>
      </c>
      <c r="X1316" s="91">
        <f>_xll.qlCalendarAdvance(Calendar,W1316,NDays&amp;"D")</f>
        <v>48115</v>
      </c>
      <c r="Y1316" s="92" t="e">
        <v>#N/A</v>
      </c>
      <c r="Z1316" s="94" t="e">
        <v>#N/A</v>
      </c>
    </row>
    <row r="1317" spans="22:26" x14ac:dyDescent="0.2">
      <c r="V1317" s="123" t="str">
        <f t="shared" si="31"/>
        <v>1w</v>
      </c>
      <c r="W1317" s="82">
        <f>_xll.qlCalendarAdvance(Calendar,W1316,V1317,"f",FALSE)</f>
        <v>48123</v>
      </c>
      <c r="X1317" s="91">
        <f>_xll.qlCalendarAdvance(Calendar,W1317,NDays&amp;"D")</f>
        <v>48123</v>
      </c>
      <c r="Y1317" s="92" t="e">
        <v>#N/A</v>
      </c>
      <c r="Z1317" s="94" t="e">
        <v>#N/A</v>
      </c>
    </row>
    <row r="1318" spans="22:26" x14ac:dyDescent="0.2">
      <c r="V1318" s="123" t="str">
        <f t="shared" si="31"/>
        <v>1w</v>
      </c>
      <c r="W1318" s="82">
        <f>_xll.qlCalendarAdvance(Calendar,W1317,V1318,"f",FALSE)</f>
        <v>48130</v>
      </c>
      <c r="X1318" s="91">
        <f>_xll.qlCalendarAdvance(Calendar,W1318,NDays&amp;"D")</f>
        <v>48130</v>
      </c>
      <c r="Y1318" s="92" t="e">
        <v>#N/A</v>
      </c>
      <c r="Z1318" s="94" t="e">
        <v>#N/A</v>
      </c>
    </row>
    <row r="1319" spans="22:26" x14ac:dyDescent="0.2">
      <c r="V1319" s="123" t="str">
        <f t="shared" si="31"/>
        <v>1w</v>
      </c>
      <c r="W1319" s="82">
        <f>_xll.qlCalendarAdvance(Calendar,W1318,V1319,"f",FALSE)</f>
        <v>48137</v>
      </c>
      <c r="X1319" s="91">
        <f>_xll.qlCalendarAdvance(Calendar,W1319,NDays&amp;"D")</f>
        <v>48137</v>
      </c>
      <c r="Y1319" s="92" t="e">
        <v>#N/A</v>
      </c>
      <c r="Z1319" s="94" t="e">
        <v>#N/A</v>
      </c>
    </row>
    <row r="1320" spans="22:26" x14ac:dyDescent="0.2">
      <c r="V1320" s="123" t="str">
        <f t="shared" si="31"/>
        <v>1w</v>
      </c>
      <c r="W1320" s="82">
        <f>_xll.qlCalendarAdvance(Calendar,W1319,V1320,"f",FALSE)</f>
        <v>48144</v>
      </c>
      <c r="X1320" s="91">
        <f>_xll.qlCalendarAdvance(Calendar,W1320,NDays&amp;"D")</f>
        <v>48144</v>
      </c>
      <c r="Y1320" s="92" t="e">
        <v>#N/A</v>
      </c>
      <c r="Z1320" s="94" t="e">
        <v>#N/A</v>
      </c>
    </row>
    <row r="1321" spans="22:26" x14ac:dyDescent="0.2">
      <c r="V1321" s="123" t="str">
        <f t="shared" si="31"/>
        <v>1w</v>
      </c>
      <c r="W1321" s="82">
        <f>_xll.qlCalendarAdvance(Calendar,W1320,V1321,"f",FALSE)</f>
        <v>48151</v>
      </c>
      <c r="X1321" s="91">
        <f>_xll.qlCalendarAdvance(Calendar,W1321,NDays&amp;"D")</f>
        <v>48151</v>
      </c>
      <c r="Y1321" s="92" t="e">
        <v>#N/A</v>
      </c>
      <c r="Z1321" s="94" t="e">
        <v>#N/A</v>
      </c>
    </row>
    <row r="1322" spans="22:26" x14ac:dyDescent="0.2">
      <c r="V1322" s="123" t="str">
        <f t="shared" si="31"/>
        <v>1w</v>
      </c>
      <c r="W1322" s="82">
        <f>_xll.qlCalendarAdvance(Calendar,W1321,V1322,"f",FALSE)</f>
        <v>48158</v>
      </c>
      <c r="X1322" s="91">
        <f>_xll.qlCalendarAdvance(Calendar,W1322,NDays&amp;"D")</f>
        <v>48158</v>
      </c>
      <c r="Y1322" s="92" t="e">
        <v>#N/A</v>
      </c>
      <c r="Z1322" s="94" t="e">
        <v>#N/A</v>
      </c>
    </row>
    <row r="1323" spans="22:26" x14ac:dyDescent="0.2">
      <c r="V1323" s="123" t="str">
        <f t="shared" si="31"/>
        <v>1w</v>
      </c>
      <c r="W1323" s="82">
        <f>_xll.qlCalendarAdvance(Calendar,W1322,V1323,"f",FALSE)</f>
        <v>48165</v>
      </c>
      <c r="X1323" s="91">
        <f>_xll.qlCalendarAdvance(Calendar,W1323,NDays&amp;"D")</f>
        <v>48165</v>
      </c>
      <c r="Y1323" s="92" t="e">
        <v>#N/A</v>
      </c>
      <c r="Z1323" s="94" t="e">
        <v>#N/A</v>
      </c>
    </row>
    <row r="1324" spans="22:26" x14ac:dyDescent="0.2">
      <c r="V1324" s="123" t="str">
        <f t="shared" si="31"/>
        <v>1w</v>
      </c>
      <c r="W1324" s="82">
        <f>_xll.qlCalendarAdvance(Calendar,W1323,V1324,"f",FALSE)</f>
        <v>48172</v>
      </c>
      <c r="X1324" s="91">
        <f>_xll.qlCalendarAdvance(Calendar,W1324,NDays&amp;"D")</f>
        <v>48172</v>
      </c>
      <c r="Y1324" s="92" t="e">
        <v>#N/A</v>
      </c>
      <c r="Z1324" s="94" t="e">
        <v>#N/A</v>
      </c>
    </row>
    <row r="1325" spans="22:26" x14ac:dyDescent="0.2">
      <c r="V1325" s="123" t="str">
        <f t="shared" si="31"/>
        <v>1w</v>
      </c>
      <c r="W1325" s="82">
        <f>_xll.qlCalendarAdvance(Calendar,W1324,V1325,"f",FALSE)</f>
        <v>48179</v>
      </c>
      <c r="X1325" s="91">
        <f>_xll.qlCalendarAdvance(Calendar,W1325,NDays&amp;"D")</f>
        <v>48179</v>
      </c>
      <c r="Y1325" s="92" t="e">
        <v>#N/A</v>
      </c>
      <c r="Z1325" s="94" t="e">
        <v>#N/A</v>
      </c>
    </row>
    <row r="1326" spans="22:26" x14ac:dyDescent="0.2">
      <c r="V1326" s="123" t="str">
        <f t="shared" si="31"/>
        <v>1w</v>
      </c>
      <c r="W1326" s="82">
        <f>_xll.qlCalendarAdvance(Calendar,W1325,V1326,"f",FALSE)</f>
        <v>48186</v>
      </c>
      <c r="X1326" s="91">
        <f>_xll.qlCalendarAdvance(Calendar,W1326,NDays&amp;"D")</f>
        <v>48186</v>
      </c>
      <c r="Y1326" s="92" t="e">
        <v>#N/A</v>
      </c>
      <c r="Z1326" s="94" t="e">
        <v>#N/A</v>
      </c>
    </row>
    <row r="1327" spans="22:26" x14ac:dyDescent="0.2">
      <c r="V1327" s="123" t="str">
        <f t="shared" si="31"/>
        <v>1w</v>
      </c>
      <c r="W1327" s="82">
        <f>_xll.qlCalendarAdvance(Calendar,W1326,V1327,"f",FALSE)</f>
        <v>48193</v>
      </c>
      <c r="X1327" s="91">
        <f>_xll.qlCalendarAdvance(Calendar,W1327,NDays&amp;"D")</f>
        <v>48193</v>
      </c>
      <c r="Y1327" s="92" t="e">
        <v>#N/A</v>
      </c>
      <c r="Z1327" s="94" t="e">
        <v>#N/A</v>
      </c>
    </row>
    <row r="1328" spans="22:26" x14ac:dyDescent="0.2">
      <c r="V1328" s="123" t="str">
        <f t="shared" si="31"/>
        <v>1w</v>
      </c>
      <c r="W1328" s="82">
        <f>_xll.qlCalendarAdvance(Calendar,W1327,V1328,"f",FALSE)</f>
        <v>48200</v>
      </c>
      <c r="X1328" s="91">
        <f>_xll.qlCalendarAdvance(Calendar,W1328,NDays&amp;"D")</f>
        <v>48200</v>
      </c>
      <c r="Y1328" s="92" t="e">
        <v>#N/A</v>
      </c>
      <c r="Z1328" s="94" t="e">
        <v>#N/A</v>
      </c>
    </row>
    <row r="1329" spans="22:26" x14ac:dyDescent="0.2">
      <c r="V1329" s="123" t="str">
        <f t="shared" si="31"/>
        <v>1w</v>
      </c>
      <c r="W1329" s="82">
        <f>_xll.qlCalendarAdvance(Calendar,W1328,V1329,"f",FALSE)</f>
        <v>48211</v>
      </c>
      <c r="X1329" s="91">
        <f>_xll.qlCalendarAdvance(Calendar,W1329,NDays&amp;"D")</f>
        <v>48211</v>
      </c>
      <c r="Y1329" s="92" t="e">
        <v>#N/A</v>
      </c>
      <c r="Z1329" s="94" t="e">
        <v>#N/A</v>
      </c>
    </row>
    <row r="1330" spans="22:26" x14ac:dyDescent="0.2">
      <c r="V1330" s="123" t="str">
        <f t="shared" si="31"/>
        <v>1w</v>
      </c>
      <c r="W1330" s="82">
        <f>_xll.qlCalendarAdvance(Calendar,W1329,V1330,"f",FALSE)</f>
        <v>48218</v>
      </c>
      <c r="X1330" s="91">
        <f>_xll.qlCalendarAdvance(Calendar,W1330,NDays&amp;"D")</f>
        <v>48218</v>
      </c>
      <c r="Y1330" s="92" t="e">
        <v>#N/A</v>
      </c>
      <c r="Z1330" s="94" t="e">
        <v>#N/A</v>
      </c>
    </row>
    <row r="1331" spans="22:26" x14ac:dyDescent="0.2">
      <c r="V1331" s="123" t="str">
        <f t="shared" si="31"/>
        <v>1w</v>
      </c>
      <c r="W1331" s="82">
        <f>_xll.qlCalendarAdvance(Calendar,W1330,V1331,"f",FALSE)</f>
        <v>48225</v>
      </c>
      <c r="X1331" s="91">
        <f>_xll.qlCalendarAdvance(Calendar,W1331,NDays&amp;"D")</f>
        <v>48225</v>
      </c>
      <c r="Y1331" s="92" t="e">
        <v>#N/A</v>
      </c>
      <c r="Z1331" s="94" t="e">
        <v>#N/A</v>
      </c>
    </row>
    <row r="1332" spans="22:26" x14ac:dyDescent="0.2">
      <c r="V1332" s="123" t="str">
        <f t="shared" si="31"/>
        <v>1w</v>
      </c>
      <c r="W1332" s="82">
        <f>_xll.qlCalendarAdvance(Calendar,W1331,V1332,"f",FALSE)</f>
        <v>48232</v>
      </c>
      <c r="X1332" s="91">
        <f>_xll.qlCalendarAdvance(Calendar,W1332,NDays&amp;"D")</f>
        <v>48232</v>
      </c>
      <c r="Y1332" s="92" t="e">
        <v>#N/A</v>
      </c>
      <c r="Z1332" s="94" t="e">
        <v>#N/A</v>
      </c>
    </row>
    <row r="1333" spans="22:26" x14ac:dyDescent="0.2">
      <c r="V1333" s="123" t="str">
        <f t="shared" si="31"/>
        <v>1w</v>
      </c>
      <c r="W1333" s="82">
        <f>_xll.qlCalendarAdvance(Calendar,W1332,V1333,"f",FALSE)</f>
        <v>48239</v>
      </c>
      <c r="X1333" s="91">
        <f>_xll.qlCalendarAdvance(Calendar,W1333,NDays&amp;"D")</f>
        <v>48239</v>
      </c>
      <c r="Y1333" s="92" t="e">
        <v>#N/A</v>
      </c>
      <c r="Z1333" s="94" t="e">
        <v>#N/A</v>
      </c>
    </row>
    <row r="1334" spans="22:26" x14ac:dyDescent="0.2">
      <c r="V1334" s="123" t="str">
        <f t="shared" si="31"/>
        <v>1w</v>
      </c>
      <c r="W1334" s="82">
        <f>_xll.qlCalendarAdvance(Calendar,W1333,V1334,"f",FALSE)</f>
        <v>48246</v>
      </c>
      <c r="X1334" s="91">
        <f>_xll.qlCalendarAdvance(Calendar,W1334,NDays&amp;"D")</f>
        <v>48246</v>
      </c>
      <c r="Y1334" s="92" t="e">
        <v>#N/A</v>
      </c>
      <c r="Z1334" s="94" t="e">
        <v>#N/A</v>
      </c>
    </row>
    <row r="1335" spans="22:26" x14ac:dyDescent="0.2">
      <c r="V1335" s="123" t="str">
        <f t="shared" si="31"/>
        <v>1w</v>
      </c>
      <c r="W1335" s="82">
        <f>_xll.qlCalendarAdvance(Calendar,W1334,V1335,"f",FALSE)</f>
        <v>48253</v>
      </c>
      <c r="X1335" s="91">
        <f>_xll.qlCalendarAdvance(Calendar,W1335,NDays&amp;"D")</f>
        <v>48253</v>
      </c>
      <c r="Y1335" s="92" t="e">
        <v>#N/A</v>
      </c>
      <c r="Z1335" s="94" t="e">
        <v>#N/A</v>
      </c>
    </row>
    <row r="1336" spans="22:26" x14ac:dyDescent="0.2">
      <c r="V1336" s="123" t="str">
        <f t="shared" si="31"/>
        <v>1w</v>
      </c>
      <c r="W1336" s="82">
        <f>_xll.qlCalendarAdvance(Calendar,W1335,V1336,"f",FALSE)</f>
        <v>48260</v>
      </c>
      <c r="X1336" s="91">
        <f>_xll.qlCalendarAdvance(Calendar,W1336,NDays&amp;"D")</f>
        <v>48260</v>
      </c>
      <c r="Y1336" s="92" t="e">
        <v>#N/A</v>
      </c>
      <c r="Z1336" s="94" t="e">
        <v>#N/A</v>
      </c>
    </row>
    <row r="1337" spans="22:26" x14ac:dyDescent="0.2">
      <c r="V1337" s="123" t="str">
        <f t="shared" si="31"/>
        <v>1w</v>
      </c>
      <c r="W1337" s="82">
        <f>_xll.qlCalendarAdvance(Calendar,W1336,V1337,"f",FALSE)</f>
        <v>48267</v>
      </c>
      <c r="X1337" s="91">
        <f>_xll.qlCalendarAdvance(Calendar,W1337,NDays&amp;"D")</f>
        <v>48267</v>
      </c>
      <c r="Y1337" s="92" t="e">
        <v>#N/A</v>
      </c>
      <c r="Z1337" s="94" t="e">
        <v>#N/A</v>
      </c>
    </row>
    <row r="1338" spans="22:26" x14ac:dyDescent="0.2">
      <c r="V1338" s="123" t="str">
        <f t="shared" si="31"/>
        <v>1w</v>
      </c>
      <c r="W1338" s="82">
        <f>_xll.qlCalendarAdvance(Calendar,W1337,V1338,"f",FALSE)</f>
        <v>48274</v>
      </c>
      <c r="X1338" s="91">
        <f>_xll.qlCalendarAdvance(Calendar,W1338,NDays&amp;"D")</f>
        <v>48274</v>
      </c>
      <c r="Y1338" s="92" t="e">
        <v>#N/A</v>
      </c>
      <c r="Z1338" s="94" t="e">
        <v>#N/A</v>
      </c>
    </row>
    <row r="1339" spans="22:26" x14ac:dyDescent="0.2">
      <c r="V1339" s="123" t="str">
        <f t="shared" si="31"/>
        <v>1w</v>
      </c>
      <c r="W1339" s="82">
        <f>_xll.qlCalendarAdvance(Calendar,W1338,V1339,"f",FALSE)</f>
        <v>48281</v>
      </c>
      <c r="X1339" s="91">
        <f>_xll.qlCalendarAdvance(Calendar,W1339,NDays&amp;"D")</f>
        <v>48281</v>
      </c>
      <c r="Y1339" s="92" t="e">
        <v>#N/A</v>
      </c>
      <c r="Z1339" s="94" t="e">
        <v>#N/A</v>
      </c>
    </row>
    <row r="1340" spans="22:26" x14ac:dyDescent="0.2">
      <c r="V1340" s="123" t="str">
        <f t="shared" si="31"/>
        <v>1w</v>
      </c>
      <c r="W1340" s="82">
        <f>_xll.qlCalendarAdvance(Calendar,W1339,V1340,"f",FALSE)</f>
        <v>48288</v>
      </c>
      <c r="X1340" s="91">
        <f>_xll.qlCalendarAdvance(Calendar,W1340,NDays&amp;"D")</f>
        <v>48288</v>
      </c>
      <c r="Y1340" s="92" t="e">
        <v>#N/A</v>
      </c>
      <c r="Z1340" s="94" t="e">
        <v>#N/A</v>
      </c>
    </row>
    <row r="1341" spans="22:26" x14ac:dyDescent="0.2">
      <c r="V1341" s="123" t="str">
        <f t="shared" si="31"/>
        <v>1w</v>
      </c>
      <c r="W1341" s="82">
        <f>_xll.qlCalendarAdvance(Calendar,W1340,V1341,"f",FALSE)</f>
        <v>48295</v>
      </c>
      <c r="X1341" s="91">
        <f>_xll.qlCalendarAdvance(Calendar,W1341,NDays&amp;"D")</f>
        <v>48295</v>
      </c>
      <c r="Y1341" s="92" t="e">
        <v>#N/A</v>
      </c>
      <c r="Z1341" s="94" t="e">
        <v>#N/A</v>
      </c>
    </row>
    <row r="1342" spans="22:26" x14ac:dyDescent="0.2">
      <c r="V1342" s="123" t="str">
        <f t="shared" si="31"/>
        <v>1w</v>
      </c>
      <c r="W1342" s="82">
        <f>_xll.qlCalendarAdvance(Calendar,W1341,V1342,"f",FALSE)</f>
        <v>48303</v>
      </c>
      <c r="X1342" s="91">
        <f>_xll.qlCalendarAdvance(Calendar,W1342,NDays&amp;"D")</f>
        <v>48303</v>
      </c>
      <c r="Y1342" s="92" t="e">
        <v>#N/A</v>
      </c>
      <c r="Z1342" s="94" t="e">
        <v>#N/A</v>
      </c>
    </row>
    <row r="1343" spans="22:26" x14ac:dyDescent="0.2">
      <c r="V1343" s="123" t="str">
        <f t="shared" si="31"/>
        <v>1w</v>
      </c>
      <c r="W1343" s="82">
        <f>_xll.qlCalendarAdvance(Calendar,W1342,V1343,"f",FALSE)</f>
        <v>48310</v>
      </c>
      <c r="X1343" s="91">
        <f>_xll.qlCalendarAdvance(Calendar,W1343,NDays&amp;"D")</f>
        <v>48310</v>
      </c>
      <c r="Y1343" s="92" t="e">
        <v>#N/A</v>
      </c>
      <c r="Z1343" s="94" t="e">
        <v>#N/A</v>
      </c>
    </row>
    <row r="1344" spans="22:26" x14ac:dyDescent="0.2">
      <c r="V1344" s="123" t="str">
        <f t="shared" si="31"/>
        <v>1w</v>
      </c>
      <c r="W1344" s="82">
        <f>_xll.qlCalendarAdvance(Calendar,W1343,V1344,"f",FALSE)</f>
        <v>48317</v>
      </c>
      <c r="X1344" s="91">
        <f>_xll.qlCalendarAdvance(Calendar,W1344,NDays&amp;"D")</f>
        <v>48317</v>
      </c>
      <c r="Y1344" s="92" t="e">
        <v>#N/A</v>
      </c>
      <c r="Z1344" s="94" t="e">
        <v>#N/A</v>
      </c>
    </row>
    <row r="1345" spans="22:26" x14ac:dyDescent="0.2">
      <c r="V1345" s="123" t="str">
        <f t="shared" si="31"/>
        <v>1w</v>
      </c>
      <c r="W1345" s="82">
        <f>_xll.qlCalendarAdvance(Calendar,W1344,V1345,"f",FALSE)</f>
        <v>48324</v>
      </c>
      <c r="X1345" s="91">
        <f>_xll.qlCalendarAdvance(Calendar,W1345,NDays&amp;"D")</f>
        <v>48324</v>
      </c>
      <c r="Y1345" s="92" t="e">
        <v>#N/A</v>
      </c>
      <c r="Z1345" s="94" t="e">
        <v>#N/A</v>
      </c>
    </row>
    <row r="1346" spans="22:26" x14ac:dyDescent="0.2">
      <c r="V1346" s="123" t="str">
        <f t="shared" si="31"/>
        <v>1w</v>
      </c>
      <c r="W1346" s="82">
        <f>_xll.qlCalendarAdvance(Calendar,W1345,V1346,"f",FALSE)</f>
        <v>48331</v>
      </c>
      <c r="X1346" s="91">
        <f>_xll.qlCalendarAdvance(Calendar,W1346,NDays&amp;"D")</f>
        <v>48331</v>
      </c>
      <c r="Y1346" s="92" t="e">
        <v>#N/A</v>
      </c>
      <c r="Z1346" s="94" t="e">
        <v>#N/A</v>
      </c>
    </row>
    <row r="1347" spans="22:26" x14ac:dyDescent="0.2">
      <c r="V1347" s="123" t="str">
        <f t="shared" si="31"/>
        <v>1w</v>
      </c>
      <c r="W1347" s="82">
        <f>_xll.qlCalendarAdvance(Calendar,W1346,V1347,"f",FALSE)</f>
        <v>48338</v>
      </c>
      <c r="X1347" s="91">
        <f>_xll.qlCalendarAdvance(Calendar,W1347,NDays&amp;"D")</f>
        <v>48338</v>
      </c>
      <c r="Y1347" s="92" t="e">
        <v>#N/A</v>
      </c>
      <c r="Z1347" s="94" t="e">
        <v>#N/A</v>
      </c>
    </row>
    <row r="1348" spans="22:26" x14ac:dyDescent="0.2">
      <c r="V1348" s="123" t="str">
        <f t="shared" si="31"/>
        <v>1w</v>
      </c>
      <c r="W1348" s="82">
        <f>_xll.qlCalendarAdvance(Calendar,W1347,V1348,"f",FALSE)</f>
        <v>48345</v>
      </c>
      <c r="X1348" s="91">
        <f>_xll.qlCalendarAdvance(Calendar,W1348,NDays&amp;"D")</f>
        <v>48345</v>
      </c>
      <c r="Y1348" s="92" t="e">
        <v>#N/A</v>
      </c>
      <c r="Z1348" s="94" t="e">
        <v>#N/A</v>
      </c>
    </row>
    <row r="1349" spans="22:26" x14ac:dyDescent="0.2">
      <c r="V1349" s="123" t="str">
        <f t="shared" si="31"/>
        <v>1w</v>
      </c>
      <c r="W1349" s="82">
        <f>_xll.qlCalendarAdvance(Calendar,W1348,V1349,"f",FALSE)</f>
        <v>48352</v>
      </c>
      <c r="X1349" s="91">
        <f>_xll.qlCalendarAdvance(Calendar,W1349,NDays&amp;"D")</f>
        <v>48352</v>
      </c>
      <c r="Y1349" s="92" t="e">
        <v>#N/A</v>
      </c>
      <c r="Z1349" s="94" t="e">
        <v>#N/A</v>
      </c>
    </row>
    <row r="1350" spans="22:26" x14ac:dyDescent="0.2">
      <c r="V1350" s="123" t="str">
        <f t="shared" si="31"/>
        <v>1w</v>
      </c>
      <c r="W1350" s="82">
        <f>_xll.qlCalendarAdvance(Calendar,W1349,V1350,"f",FALSE)</f>
        <v>48359</v>
      </c>
      <c r="X1350" s="91">
        <f>_xll.qlCalendarAdvance(Calendar,W1350,NDays&amp;"D")</f>
        <v>48359</v>
      </c>
      <c r="Y1350" s="92" t="e">
        <v>#N/A</v>
      </c>
      <c r="Z1350" s="94" t="e">
        <v>#N/A</v>
      </c>
    </row>
    <row r="1351" spans="22:26" x14ac:dyDescent="0.2">
      <c r="V1351" s="123" t="str">
        <f t="shared" si="31"/>
        <v>1w</v>
      </c>
      <c r="W1351" s="82">
        <f>_xll.qlCalendarAdvance(Calendar,W1350,V1351,"f",FALSE)</f>
        <v>48366</v>
      </c>
      <c r="X1351" s="91">
        <f>_xll.qlCalendarAdvance(Calendar,W1351,NDays&amp;"D")</f>
        <v>48366</v>
      </c>
      <c r="Y1351" s="92" t="e">
        <v>#N/A</v>
      </c>
      <c r="Z1351" s="94" t="e">
        <v>#N/A</v>
      </c>
    </row>
    <row r="1352" spans="22:26" x14ac:dyDescent="0.2">
      <c r="V1352" s="123" t="str">
        <f t="shared" si="31"/>
        <v>1w</v>
      </c>
      <c r="W1352" s="82">
        <f>_xll.qlCalendarAdvance(Calendar,W1351,V1352,"f",FALSE)</f>
        <v>48373</v>
      </c>
      <c r="X1352" s="91">
        <f>_xll.qlCalendarAdvance(Calendar,W1352,NDays&amp;"D")</f>
        <v>48373</v>
      </c>
      <c r="Y1352" s="92" t="e">
        <v>#N/A</v>
      </c>
      <c r="Z1352" s="94" t="e">
        <v>#N/A</v>
      </c>
    </row>
    <row r="1353" spans="22:26" x14ac:dyDescent="0.2">
      <c r="V1353" s="123" t="str">
        <f t="shared" si="31"/>
        <v>1w</v>
      </c>
      <c r="W1353" s="82">
        <f>_xll.qlCalendarAdvance(Calendar,W1352,V1353,"f",FALSE)</f>
        <v>48380</v>
      </c>
      <c r="X1353" s="91">
        <f>_xll.qlCalendarAdvance(Calendar,W1353,NDays&amp;"D")</f>
        <v>48380</v>
      </c>
      <c r="Y1353" s="92" t="e">
        <v>#N/A</v>
      </c>
      <c r="Z1353" s="94" t="e">
        <v>#N/A</v>
      </c>
    </row>
    <row r="1354" spans="22:26" x14ac:dyDescent="0.2">
      <c r="V1354" s="123" t="str">
        <f t="shared" si="31"/>
        <v>1w</v>
      </c>
      <c r="W1354" s="82">
        <f>_xll.qlCalendarAdvance(Calendar,W1353,V1354,"f",FALSE)</f>
        <v>48387</v>
      </c>
      <c r="X1354" s="91">
        <f>_xll.qlCalendarAdvance(Calendar,W1354,NDays&amp;"D")</f>
        <v>48387</v>
      </c>
      <c r="Y1354" s="92" t="e">
        <v>#N/A</v>
      </c>
      <c r="Z1354" s="94" t="e">
        <v>#N/A</v>
      </c>
    </row>
    <row r="1355" spans="22:26" x14ac:dyDescent="0.2">
      <c r="V1355" s="123" t="str">
        <f t="shared" si="31"/>
        <v>1w</v>
      </c>
      <c r="W1355" s="82">
        <f>_xll.qlCalendarAdvance(Calendar,W1354,V1355,"f",FALSE)</f>
        <v>48394</v>
      </c>
      <c r="X1355" s="91">
        <f>_xll.qlCalendarAdvance(Calendar,W1355,NDays&amp;"D")</f>
        <v>48394</v>
      </c>
      <c r="Y1355" s="92" t="e">
        <v>#N/A</v>
      </c>
      <c r="Z1355" s="94" t="e">
        <v>#N/A</v>
      </c>
    </row>
    <row r="1356" spans="22:26" x14ac:dyDescent="0.2">
      <c r="V1356" s="123" t="str">
        <f t="shared" si="31"/>
        <v>1w</v>
      </c>
      <c r="W1356" s="82">
        <f>_xll.qlCalendarAdvance(Calendar,W1355,V1356,"f",FALSE)</f>
        <v>48401</v>
      </c>
      <c r="X1356" s="91">
        <f>_xll.qlCalendarAdvance(Calendar,W1356,NDays&amp;"D")</f>
        <v>48401</v>
      </c>
      <c r="Y1356" s="92" t="e">
        <v>#N/A</v>
      </c>
      <c r="Z1356" s="94" t="e">
        <v>#N/A</v>
      </c>
    </row>
    <row r="1357" spans="22:26" x14ac:dyDescent="0.2">
      <c r="V1357" s="123" t="str">
        <f t="shared" si="31"/>
        <v>1w</v>
      </c>
      <c r="W1357" s="82">
        <f>_xll.qlCalendarAdvance(Calendar,W1356,V1357,"f",FALSE)</f>
        <v>48408</v>
      </c>
      <c r="X1357" s="91">
        <f>_xll.qlCalendarAdvance(Calendar,W1357,NDays&amp;"D")</f>
        <v>48408</v>
      </c>
      <c r="Y1357" s="92" t="e">
        <v>#N/A</v>
      </c>
      <c r="Z1357" s="94" t="e">
        <v>#N/A</v>
      </c>
    </row>
    <row r="1358" spans="22:26" x14ac:dyDescent="0.2">
      <c r="V1358" s="123" t="str">
        <f t="shared" si="31"/>
        <v>1w</v>
      </c>
      <c r="W1358" s="82">
        <f>_xll.qlCalendarAdvance(Calendar,W1357,V1358,"f",FALSE)</f>
        <v>48415</v>
      </c>
      <c r="X1358" s="91">
        <f>_xll.qlCalendarAdvance(Calendar,W1358,NDays&amp;"D")</f>
        <v>48415</v>
      </c>
      <c r="Y1358" s="92" t="e">
        <v>#N/A</v>
      </c>
      <c r="Z1358" s="94" t="e">
        <v>#N/A</v>
      </c>
    </row>
    <row r="1359" spans="22:26" x14ac:dyDescent="0.2">
      <c r="V1359" s="123" t="str">
        <f t="shared" si="31"/>
        <v>1w</v>
      </c>
      <c r="W1359" s="82">
        <f>_xll.qlCalendarAdvance(Calendar,W1358,V1359,"f",FALSE)</f>
        <v>48422</v>
      </c>
      <c r="X1359" s="91">
        <f>_xll.qlCalendarAdvance(Calendar,W1359,NDays&amp;"D")</f>
        <v>48422</v>
      </c>
      <c r="Y1359" s="92" t="e">
        <v>#N/A</v>
      </c>
      <c r="Z1359" s="94" t="e">
        <v>#N/A</v>
      </c>
    </row>
    <row r="1360" spans="22:26" x14ac:dyDescent="0.2">
      <c r="V1360" s="123" t="str">
        <f t="shared" si="31"/>
        <v>1w</v>
      </c>
      <c r="W1360" s="82">
        <f>_xll.qlCalendarAdvance(Calendar,W1359,V1360,"f",FALSE)</f>
        <v>48429</v>
      </c>
      <c r="X1360" s="91">
        <f>_xll.qlCalendarAdvance(Calendar,W1360,NDays&amp;"D")</f>
        <v>48429</v>
      </c>
      <c r="Y1360" s="92" t="e">
        <v>#N/A</v>
      </c>
      <c r="Z1360" s="94" t="e">
        <v>#N/A</v>
      </c>
    </row>
    <row r="1361" spans="22:26" x14ac:dyDescent="0.2">
      <c r="V1361" s="123" t="str">
        <f t="shared" si="31"/>
        <v>1w</v>
      </c>
      <c r="W1361" s="82">
        <f>_xll.qlCalendarAdvance(Calendar,W1360,V1361,"f",FALSE)</f>
        <v>48436</v>
      </c>
      <c r="X1361" s="91">
        <f>_xll.qlCalendarAdvance(Calendar,W1361,NDays&amp;"D")</f>
        <v>48436</v>
      </c>
      <c r="Y1361" s="92" t="e">
        <v>#N/A</v>
      </c>
      <c r="Z1361" s="94" t="e">
        <v>#N/A</v>
      </c>
    </row>
    <row r="1362" spans="22:26" x14ac:dyDescent="0.2">
      <c r="V1362" s="123" t="str">
        <f t="shared" si="31"/>
        <v>1w</v>
      </c>
      <c r="W1362" s="82">
        <f>_xll.qlCalendarAdvance(Calendar,W1361,V1362,"f",FALSE)</f>
        <v>48443</v>
      </c>
      <c r="X1362" s="91">
        <f>_xll.qlCalendarAdvance(Calendar,W1362,NDays&amp;"D")</f>
        <v>48443</v>
      </c>
      <c r="Y1362" s="92" t="e">
        <v>#N/A</v>
      </c>
      <c r="Z1362" s="94" t="e">
        <v>#N/A</v>
      </c>
    </row>
    <row r="1363" spans="22:26" x14ac:dyDescent="0.2">
      <c r="V1363" s="123" t="str">
        <f t="shared" si="31"/>
        <v>1w</v>
      </c>
      <c r="W1363" s="82">
        <f>_xll.qlCalendarAdvance(Calendar,W1362,V1363,"f",FALSE)</f>
        <v>48450</v>
      </c>
      <c r="X1363" s="91">
        <f>_xll.qlCalendarAdvance(Calendar,W1363,NDays&amp;"D")</f>
        <v>48450</v>
      </c>
      <c r="Y1363" s="92" t="e">
        <v>#N/A</v>
      </c>
      <c r="Z1363" s="94" t="e">
        <v>#N/A</v>
      </c>
    </row>
    <row r="1364" spans="22:26" x14ac:dyDescent="0.2">
      <c r="V1364" s="123" t="str">
        <f t="shared" si="31"/>
        <v>1w</v>
      </c>
      <c r="W1364" s="82">
        <f>_xll.qlCalendarAdvance(Calendar,W1363,V1364,"f",FALSE)</f>
        <v>48457</v>
      </c>
      <c r="X1364" s="91">
        <f>_xll.qlCalendarAdvance(Calendar,W1364,NDays&amp;"D")</f>
        <v>48457</v>
      </c>
      <c r="Y1364" s="92" t="e">
        <v>#N/A</v>
      </c>
      <c r="Z1364" s="94" t="e">
        <v>#N/A</v>
      </c>
    </row>
    <row r="1365" spans="22:26" x14ac:dyDescent="0.2">
      <c r="V1365" s="123" t="str">
        <f t="shared" ref="V1365:V1428" si="32">V1364</f>
        <v>1w</v>
      </c>
      <c r="W1365" s="82">
        <f>_xll.qlCalendarAdvance(Calendar,W1364,V1365,"f",FALSE)</f>
        <v>48464</v>
      </c>
      <c r="X1365" s="91">
        <f>_xll.qlCalendarAdvance(Calendar,W1365,NDays&amp;"D")</f>
        <v>48464</v>
      </c>
      <c r="Y1365" s="92" t="e">
        <v>#N/A</v>
      </c>
      <c r="Z1365" s="94" t="e">
        <v>#N/A</v>
      </c>
    </row>
    <row r="1366" spans="22:26" x14ac:dyDescent="0.2">
      <c r="V1366" s="123" t="str">
        <f t="shared" si="32"/>
        <v>1w</v>
      </c>
      <c r="W1366" s="82">
        <f>_xll.qlCalendarAdvance(Calendar,W1365,V1366,"f",FALSE)</f>
        <v>48471</v>
      </c>
      <c r="X1366" s="91">
        <f>_xll.qlCalendarAdvance(Calendar,W1366,NDays&amp;"D")</f>
        <v>48471</v>
      </c>
      <c r="Y1366" s="92" t="e">
        <v>#N/A</v>
      </c>
      <c r="Z1366" s="94" t="e">
        <v>#N/A</v>
      </c>
    </row>
    <row r="1367" spans="22:26" x14ac:dyDescent="0.2">
      <c r="V1367" s="123" t="str">
        <f t="shared" si="32"/>
        <v>1w</v>
      </c>
      <c r="W1367" s="82">
        <f>_xll.qlCalendarAdvance(Calendar,W1366,V1367,"f",FALSE)</f>
        <v>48478</v>
      </c>
      <c r="X1367" s="91">
        <f>_xll.qlCalendarAdvance(Calendar,W1367,NDays&amp;"D")</f>
        <v>48478</v>
      </c>
      <c r="Y1367" s="92" t="e">
        <v>#N/A</v>
      </c>
      <c r="Z1367" s="94" t="e">
        <v>#N/A</v>
      </c>
    </row>
    <row r="1368" spans="22:26" x14ac:dyDescent="0.2">
      <c r="V1368" s="123" t="str">
        <f t="shared" si="32"/>
        <v>1w</v>
      </c>
      <c r="W1368" s="82">
        <f>_xll.qlCalendarAdvance(Calendar,W1367,V1368,"f",FALSE)</f>
        <v>48485</v>
      </c>
      <c r="X1368" s="91">
        <f>_xll.qlCalendarAdvance(Calendar,W1368,NDays&amp;"D")</f>
        <v>48485</v>
      </c>
      <c r="Y1368" s="92" t="e">
        <v>#N/A</v>
      </c>
      <c r="Z1368" s="94" t="e">
        <v>#N/A</v>
      </c>
    </row>
    <row r="1369" spans="22:26" x14ac:dyDescent="0.2">
      <c r="V1369" s="123" t="str">
        <f t="shared" si="32"/>
        <v>1w</v>
      </c>
      <c r="W1369" s="82">
        <f>_xll.qlCalendarAdvance(Calendar,W1368,V1369,"f",FALSE)</f>
        <v>48492</v>
      </c>
      <c r="X1369" s="91">
        <f>_xll.qlCalendarAdvance(Calendar,W1369,NDays&amp;"D")</f>
        <v>48492</v>
      </c>
      <c r="Y1369" s="92" t="e">
        <v>#N/A</v>
      </c>
      <c r="Z1369" s="94" t="e">
        <v>#N/A</v>
      </c>
    </row>
    <row r="1370" spans="22:26" x14ac:dyDescent="0.2">
      <c r="V1370" s="123" t="str">
        <f t="shared" si="32"/>
        <v>1w</v>
      </c>
      <c r="W1370" s="82">
        <f>_xll.qlCalendarAdvance(Calendar,W1369,V1370,"f",FALSE)</f>
        <v>48499</v>
      </c>
      <c r="X1370" s="91">
        <f>_xll.qlCalendarAdvance(Calendar,W1370,NDays&amp;"D")</f>
        <v>48499</v>
      </c>
      <c r="Y1370" s="92" t="e">
        <v>#N/A</v>
      </c>
      <c r="Z1370" s="94" t="e">
        <v>#N/A</v>
      </c>
    </row>
    <row r="1371" spans="22:26" x14ac:dyDescent="0.2">
      <c r="V1371" s="123" t="str">
        <f t="shared" si="32"/>
        <v>1w</v>
      </c>
      <c r="W1371" s="82">
        <f>_xll.qlCalendarAdvance(Calendar,W1370,V1371,"f",FALSE)</f>
        <v>48506</v>
      </c>
      <c r="X1371" s="91">
        <f>_xll.qlCalendarAdvance(Calendar,W1371,NDays&amp;"D")</f>
        <v>48506</v>
      </c>
      <c r="Y1371" s="92" t="e">
        <v>#N/A</v>
      </c>
      <c r="Z1371" s="94" t="e">
        <v>#N/A</v>
      </c>
    </row>
    <row r="1372" spans="22:26" x14ac:dyDescent="0.2">
      <c r="V1372" s="123" t="str">
        <f t="shared" si="32"/>
        <v>1w</v>
      </c>
      <c r="W1372" s="82">
        <f>_xll.qlCalendarAdvance(Calendar,W1371,V1372,"f",FALSE)</f>
        <v>48513</v>
      </c>
      <c r="X1372" s="91">
        <f>_xll.qlCalendarAdvance(Calendar,W1372,NDays&amp;"D")</f>
        <v>48513</v>
      </c>
      <c r="Y1372" s="92" t="e">
        <v>#N/A</v>
      </c>
      <c r="Z1372" s="94" t="e">
        <v>#N/A</v>
      </c>
    </row>
    <row r="1373" spans="22:26" x14ac:dyDescent="0.2">
      <c r="V1373" s="123" t="str">
        <f t="shared" si="32"/>
        <v>1w</v>
      </c>
      <c r="W1373" s="82">
        <f>_xll.qlCalendarAdvance(Calendar,W1372,V1373,"f",FALSE)</f>
        <v>48520</v>
      </c>
      <c r="X1373" s="91">
        <f>_xll.qlCalendarAdvance(Calendar,W1373,NDays&amp;"D")</f>
        <v>48520</v>
      </c>
      <c r="Y1373" s="92" t="e">
        <v>#N/A</v>
      </c>
      <c r="Z1373" s="94" t="e">
        <v>#N/A</v>
      </c>
    </row>
    <row r="1374" spans="22:26" x14ac:dyDescent="0.2">
      <c r="V1374" s="123" t="str">
        <f t="shared" si="32"/>
        <v>1w</v>
      </c>
      <c r="W1374" s="82">
        <f>_xll.qlCalendarAdvance(Calendar,W1373,V1374,"f",FALSE)</f>
        <v>48527</v>
      </c>
      <c r="X1374" s="91">
        <f>_xll.qlCalendarAdvance(Calendar,W1374,NDays&amp;"D")</f>
        <v>48527</v>
      </c>
      <c r="Y1374" s="92" t="e">
        <v>#N/A</v>
      </c>
      <c r="Z1374" s="94" t="e">
        <v>#N/A</v>
      </c>
    </row>
    <row r="1375" spans="22:26" x14ac:dyDescent="0.2">
      <c r="V1375" s="123" t="str">
        <f t="shared" si="32"/>
        <v>1w</v>
      </c>
      <c r="W1375" s="82">
        <f>_xll.qlCalendarAdvance(Calendar,W1374,V1375,"f",FALSE)</f>
        <v>48534</v>
      </c>
      <c r="X1375" s="91">
        <f>_xll.qlCalendarAdvance(Calendar,W1375,NDays&amp;"D")</f>
        <v>48534</v>
      </c>
      <c r="Y1375" s="92" t="e">
        <v>#N/A</v>
      </c>
      <c r="Z1375" s="94" t="e">
        <v>#N/A</v>
      </c>
    </row>
    <row r="1376" spans="22:26" x14ac:dyDescent="0.2">
      <c r="V1376" s="123" t="str">
        <f t="shared" si="32"/>
        <v>1w</v>
      </c>
      <c r="W1376" s="82">
        <f>_xll.qlCalendarAdvance(Calendar,W1375,V1376,"f",FALSE)</f>
        <v>48541</v>
      </c>
      <c r="X1376" s="91">
        <f>_xll.qlCalendarAdvance(Calendar,W1376,NDays&amp;"D")</f>
        <v>48541</v>
      </c>
      <c r="Y1376" s="92" t="e">
        <v>#N/A</v>
      </c>
      <c r="Z1376" s="94" t="e">
        <v>#N/A</v>
      </c>
    </row>
    <row r="1377" spans="22:26" x14ac:dyDescent="0.2">
      <c r="V1377" s="123" t="str">
        <f t="shared" si="32"/>
        <v>1w</v>
      </c>
      <c r="W1377" s="82">
        <f>_xll.qlCalendarAdvance(Calendar,W1376,V1377,"f",FALSE)</f>
        <v>48548</v>
      </c>
      <c r="X1377" s="91">
        <f>_xll.qlCalendarAdvance(Calendar,W1377,NDays&amp;"D")</f>
        <v>48548</v>
      </c>
      <c r="Y1377" s="92" t="e">
        <v>#N/A</v>
      </c>
      <c r="Z1377" s="94" t="e">
        <v>#N/A</v>
      </c>
    </row>
    <row r="1378" spans="22:26" x14ac:dyDescent="0.2">
      <c r="V1378" s="123" t="str">
        <f t="shared" si="32"/>
        <v>1w</v>
      </c>
      <c r="W1378" s="82">
        <f>_xll.qlCalendarAdvance(Calendar,W1377,V1378,"f",FALSE)</f>
        <v>48555</v>
      </c>
      <c r="X1378" s="91">
        <f>_xll.qlCalendarAdvance(Calendar,W1378,NDays&amp;"D")</f>
        <v>48555</v>
      </c>
      <c r="Y1378" s="92" t="e">
        <v>#N/A</v>
      </c>
      <c r="Z1378" s="94" t="e">
        <v>#N/A</v>
      </c>
    </row>
    <row r="1379" spans="22:26" x14ac:dyDescent="0.2">
      <c r="V1379" s="123" t="str">
        <f t="shared" si="32"/>
        <v>1w</v>
      </c>
      <c r="W1379" s="82">
        <f>_xll.qlCalendarAdvance(Calendar,W1378,V1379,"f",FALSE)</f>
        <v>48562</v>
      </c>
      <c r="X1379" s="91">
        <f>_xll.qlCalendarAdvance(Calendar,W1379,NDays&amp;"D")</f>
        <v>48562</v>
      </c>
      <c r="Y1379" s="92" t="e">
        <v>#N/A</v>
      </c>
      <c r="Z1379" s="94" t="e">
        <v>#N/A</v>
      </c>
    </row>
    <row r="1380" spans="22:26" x14ac:dyDescent="0.2">
      <c r="V1380" s="123" t="str">
        <f t="shared" si="32"/>
        <v>1w</v>
      </c>
      <c r="W1380" s="82">
        <f>_xll.qlCalendarAdvance(Calendar,W1379,V1380,"f",FALSE)</f>
        <v>48569</v>
      </c>
      <c r="X1380" s="91">
        <f>_xll.qlCalendarAdvance(Calendar,W1380,NDays&amp;"D")</f>
        <v>48569</v>
      </c>
      <c r="Y1380" s="92" t="e">
        <v>#N/A</v>
      </c>
      <c r="Z1380" s="94" t="e">
        <v>#N/A</v>
      </c>
    </row>
    <row r="1381" spans="22:26" x14ac:dyDescent="0.2">
      <c r="V1381" s="123" t="str">
        <f t="shared" si="32"/>
        <v>1w</v>
      </c>
      <c r="W1381" s="82">
        <f>_xll.qlCalendarAdvance(Calendar,W1380,V1381,"f",FALSE)</f>
        <v>48576</v>
      </c>
      <c r="X1381" s="91">
        <f>_xll.qlCalendarAdvance(Calendar,W1381,NDays&amp;"D")</f>
        <v>48576</v>
      </c>
      <c r="Y1381" s="92" t="e">
        <v>#N/A</v>
      </c>
      <c r="Z1381" s="94" t="e">
        <v>#N/A</v>
      </c>
    </row>
    <row r="1382" spans="22:26" x14ac:dyDescent="0.2">
      <c r="V1382" s="123" t="str">
        <f t="shared" si="32"/>
        <v>1w</v>
      </c>
      <c r="W1382" s="82">
        <f>_xll.qlCalendarAdvance(Calendar,W1381,V1382,"f",FALSE)</f>
        <v>48583</v>
      </c>
      <c r="X1382" s="91">
        <f>_xll.qlCalendarAdvance(Calendar,W1382,NDays&amp;"D")</f>
        <v>48583</v>
      </c>
      <c r="Y1382" s="92" t="e">
        <v>#N/A</v>
      </c>
      <c r="Z1382" s="94" t="e">
        <v>#N/A</v>
      </c>
    </row>
    <row r="1383" spans="22:26" x14ac:dyDescent="0.2">
      <c r="V1383" s="123" t="str">
        <f t="shared" si="32"/>
        <v>1w</v>
      </c>
      <c r="W1383" s="82">
        <f>_xll.qlCalendarAdvance(Calendar,W1382,V1383,"f",FALSE)</f>
        <v>48590</v>
      </c>
      <c r="X1383" s="91">
        <f>_xll.qlCalendarAdvance(Calendar,W1383,NDays&amp;"D")</f>
        <v>48590</v>
      </c>
      <c r="Y1383" s="92" t="e">
        <v>#N/A</v>
      </c>
      <c r="Z1383" s="94" t="e">
        <v>#N/A</v>
      </c>
    </row>
    <row r="1384" spans="22:26" x14ac:dyDescent="0.2">
      <c r="V1384" s="123" t="str">
        <f t="shared" si="32"/>
        <v>1w</v>
      </c>
      <c r="W1384" s="82">
        <f>_xll.qlCalendarAdvance(Calendar,W1383,V1384,"f",FALSE)</f>
        <v>48597</v>
      </c>
      <c r="X1384" s="91">
        <f>_xll.qlCalendarAdvance(Calendar,W1384,NDays&amp;"D")</f>
        <v>48597</v>
      </c>
      <c r="Y1384" s="92" t="e">
        <v>#N/A</v>
      </c>
      <c r="Z1384" s="94" t="e">
        <v>#N/A</v>
      </c>
    </row>
    <row r="1385" spans="22:26" x14ac:dyDescent="0.2">
      <c r="V1385" s="123" t="str">
        <f t="shared" si="32"/>
        <v>1w</v>
      </c>
      <c r="W1385" s="82">
        <f>_xll.qlCalendarAdvance(Calendar,W1384,V1385,"f",FALSE)</f>
        <v>48604</v>
      </c>
      <c r="X1385" s="91">
        <f>_xll.qlCalendarAdvance(Calendar,W1385,NDays&amp;"D")</f>
        <v>48604</v>
      </c>
      <c r="Y1385" s="92" t="e">
        <v>#N/A</v>
      </c>
      <c r="Z1385" s="94" t="e">
        <v>#N/A</v>
      </c>
    </row>
    <row r="1386" spans="22:26" x14ac:dyDescent="0.2">
      <c r="V1386" s="123" t="str">
        <f t="shared" si="32"/>
        <v>1w</v>
      </c>
      <c r="W1386" s="82">
        <f>_xll.qlCalendarAdvance(Calendar,W1385,V1386,"f",FALSE)</f>
        <v>48611</v>
      </c>
      <c r="X1386" s="91">
        <f>_xll.qlCalendarAdvance(Calendar,W1386,NDays&amp;"D")</f>
        <v>48611</v>
      </c>
      <c r="Y1386" s="92" t="e">
        <v>#N/A</v>
      </c>
      <c r="Z1386" s="94" t="e">
        <v>#N/A</v>
      </c>
    </row>
    <row r="1387" spans="22:26" x14ac:dyDescent="0.2">
      <c r="V1387" s="123" t="str">
        <f t="shared" si="32"/>
        <v>1w</v>
      </c>
      <c r="W1387" s="82">
        <f>_xll.qlCalendarAdvance(Calendar,W1386,V1387,"f",FALSE)</f>
        <v>48618</v>
      </c>
      <c r="X1387" s="91">
        <f>_xll.qlCalendarAdvance(Calendar,W1387,NDays&amp;"D")</f>
        <v>48618</v>
      </c>
      <c r="Y1387" s="92" t="e">
        <v>#N/A</v>
      </c>
      <c r="Z1387" s="94" t="e">
        <v>#N/A</v>
      </c>
    </row>
    <row r="1388" spans="22:26" x14ac:dyDescent="0.2">
      <c r="V1388" s="123" t="str">
        <f t="shared" si="32"/>
        <v>1w</v>
      </c>
      <c r="W1388" s="82">
        <f>_xll.qlCalendarAdvance(Calendar,W1387,V1388,"f",FALSE)</f>
        <v>48625</v>
      </c>
      <c r="X1388" s="91">
        <f>_xll.qlCalendarAdvance(Calendar,W1388,NDays&amp;"D")</f>
        <v>48625</v>
      </c>
      <c r="Y1388" s="92" t="e">
        <v>#N/A</v>
      </c>
      <c r="Z1388" s="94" t="e">
        <v>#N/A</v>
      </c>
    </row>
    <row r="1389" spans="22:26" x14ac:dyDescent="0.2">
      <c r="V1389" s="123" t="str">
        <f t="shared" si="32"/>
        <v>1w</v>
      </c>
      <c r="W1389" s="82">
        <f>_xll.qlCalendarAdvance(Calendar,W1388,V1389,"f",FALSE)</f>
        <v>48632</v>
      </c>
      <c r="X1389" s="91">
        <f>_xll.qlCalendarAdvance(Calendar,W1389,NDays&amp;"D")</f>
        <v>48632</v>
      </c>
      <c r="Y1389" s="92" t="e">
        <v>#N/A</v>
      </c>
      <c r="Z1389" s="94" t="e">
        <v>#N/A</v>
      </c>
    </row>
    <row r="1390" spans="22:26" x14ac:dyDescent="0.2">
      <c r="V1390" s="123" t="str">
        <f t="shared" si="32"/>
        <v>1w</v>
      </c>
      <c r="W1390" s="82">
        <f>_xll.qlCalendarAdvance(Calendar,W1389,V1390,"f",FALSE)</f>
        <v>48639</v>
      </c>
      <c r="X1390" s="91">
        <f>_xll.qlCalendarAdvance(Calendar,W1390,NDays&amp;"D")</f>
        <v>48639</v>
      </c>
      <c r="Y1390" s="92" t="e">
        <v>#N/A</v>
      </c>
      <c r="Z1390" s="94" t="e">
        <v>#N/A</v>
      </c>
    </row>
    <row r="1391" spans="22:26" x14ac:dyDescent="0.2">
      <c r="V1391" s="123" t="str">
        <f t="shared" si="32"/>
        <v>1w</v>
      </c>
      <c r="W1391" s="82">
        <f>_xll.qlCalendarAdvance(Calendar,W1390,V1391,"f",FALSE)</f>
        <v>48646</v>
      </c>
      <c r="X1391" s="91">
        <f>_xll.qlCalendarAdvance(Calendar,W1391,NDays&amp;"D")</f>
        <v>48646</v>
      </c>
      <c r="Y1391" s="92" t="e">
        <v>#N/A</v>
      </c>
      <c r="Z1391" s="94" t="e">
        <v>#N/A</v>
      </c>
    </row>
    <row r="1392" spans="22:26" x14ac:dyDescent="0.2">
      <c r="V1392" s="123" t="str">
        <f t="shared" si="32"/>
        <v>1w</v>
      </c>
      <c r="W1392" s="82">
        <f>_xll.qlCalendarAdvance(Calendar,W1391,V1392,"f",FALSE)</f>
        <v>48653</v>
      </c>
      <c r="X1392" s="91">
        <f>_xll.qlCalendarAdvance(Calendar,W1392,NDays&amp;"D")</f>
        <v>48653</v>
      </c>
      <c r="Y1392" s="92" t="e">
        <v>#N/A</v>
      </c>
      <c r="Z1392" s="94" t="e">
        <v>#N/A</v>
      </c>
    </row>
    <row r="1393" spans="22:26" x14ac:dyDescent="0.2">
      <c r="V1393" s="123" t="str">
        <f t="shared" si="32"/>
        <v>1w</v>
      </c>
      <c r="W1393" s="82">
        <f>_xll.qlCalendarAdvance(Calendar,W1392,V1393,"f",FALSE)</f>
        <v>48660</v>
      </c>
      <c r="X1393" s="91">
        <f>_xll.qlCalendarAdvance(Calendar,W1393,NDays&amp;"D")</f>
        <v>48660</v>
      </c>
      <c r="Y1393" s="92" t="e">
        <v>#N/A</v>
      </c>
      <c r="Z1393" s="94" t="e">
        <v>#N/A</v>
      </c>
    </row>
    <row r="1394" spans="22:26" x14ac:dyDescent="0.2">
      <c r="V1394" s="123" t="str">
        <f t="shared" si="32"/>
        <v>1w</v>
      </c>
      <c r="W1394" s="82">
        <f>_xll.qlCalendarAdvance(Calendar,W1393,V1394,"f",FALSE)</f>
        <v>48667</v>
      </c>
      <c r="X1394" s="91">
        <f>_xll.qlCalendarAdvance(Calendar,W1394,NDays&amp;"D")</f>
        <v>48667</v>
      </c>
      <c r="Y1394" s="92" t="e">
        <v>#N/A</v>
      </c>
      <c r="Z1394" s="94" t="e">
        <v>#N/A</v>
      </c>
    </row>
    <row r="1395" spans="22:26" x14ac:dyDescent="0.2">
      <c r="V1395" s="123" t="str">
        <f t="shared" si="32"/>
        <v>1w</v>
      </c>
      <c r="W1395" s="82">
        <f>_xll.qlCalendarAdvance(Calendar,W1394,V1395,"f",FALSE)</f>
        <v>48674</v>
      </c>
      <c r="X1395" s="91">
        <f>_xll.qlCalendarAdvance(Calendar,W1395,NDays&amp;"D")</f>
        <v>48674</v>
      </c>
      <c r="Y1395" s="92" t="e">
        <v>#N/A</v>
      </c>
      <c r="Z1395" s="94" t="e">
        <v>#N/A</v>
      </c>
    </row>
    <row r="1396" spans="22:26" x14ac:dyDescent="0.2">
      <c r="V1396" s="123" t="str">
        <f t="shared" si="32"/>
        <v>1w</v>
      </c>
      <c r="W1396" s="82">
        <f>_xll.qlCalendarAdvance(Calendar,W1395,V1396,"f",FALSE)</f>
        <v>48681</v>
      </c>
      <c r="X1396" s="91">
        <f>_xll.qlCalendarAdvance(Calendar,W1396,NDays&amp;"D")</f>
        <v>48681</v>
      </c>
      <c r="Y1396" s="92" t="e">
        <v>#N/A</v>
      </c>
      <c r="Z1396" s="94" t="e">
        <v>#N/A</v>
      </c>
    </row>
    <row r="1397" spans="22:26" x14ac:dyDescent="0.2">
      <c r="V1397" s="123" t="str">
        <f t="shared" si="32"/>
        <v>1w</v>
      </c>
      <c r="W1397" s="82">
        <f>_xll.qlCalendarAdvance(Calendar,W1396,V1397,"f",FALSE)</f>
        <v>48688</v>
      </c>
      <c r="X1397" s="91">
        <f>_xll.qlCalendarAdvance(Calendar,W1397,NDays&amp;"D")</f>
        <v>48688</v>
      </c>
      <c r="Y1397" s="92" t="e">
        <v>#N/A</v>
      </c>
      <c r="Z1397" s="94" t="e">
        <v>#N/A</v>
      </c>
    </row>
    <row r="1398" spans="22:26" x14ac:dyDescent="0.2">
      <c r="V1398" s="123" t="str">
        <f t="shared" si="32"/>
        <v>1w</v>
      </c>
      <c r="W1398" s="82">
        <f>_xll.qlCalendarAdvance(Calendar,W1397,V1398,"f",FALSE)</f>
        <v>48695</v>
      </c>
      <c r="X1398" s="91">
        <f>_xll.qlCalendarAdvance(Calendar,W1398,NDays&amp;"D")</f>
        <v>48695</v>
      </c>
      <c r="Y1398" s="92" t="e">
        <v>#N/A</v>
      </c>
      <c r="Z1398" s="94" t="e">
        <v>#N/A</v>
      </c>
    </row>
    <row r="1399" spans="22:26" x14ac:dyDescent="0.2">
      <c r="V1399" s="123" t="str">
        <f t="shared" si="32"/>
        <v>1w</v>
      </c>
      <c r="W1399" s="82">
        <f>_xll.qlCalendarAdvance(Calendar,W1398,V1399,"f",FALSE)</f>
        <v>48702</v>
      </c>
      <c r="X1399" s="91">
        <f>_xll.qlCalendarAdvance(Calendar,W1399,NDays&amp;"D")</f>
        <v>48702</v>
      </c>
      <c r="Y1399" s="92" t="e">
        <v>#N/A</v>
      </c>
      <c r="Z1399" s="94" t="e">
        <v>#N/A</v>
      </c>
    </row>
    <row r="1400" spans="22:26" x14ac:dyDescent="0.2">
      <c r="V1400" s="123" t="str">
        <f t="shared" si="32"/>
        <v>1w</v>
      </c>
      <c r="W1400" s="82">
        <f>_xll.qlCalendarAdvance(Calendar,W1399,V1400,"f",FALSE)</f>
        <v>48709</v>
      </c>
      <c r="X1400" s="91">
        <f>_xll.qlCalendarAdvance(Calendar,W1400,NDays&amp;"D")</f>
        <v>48709</v>
      </c>
      <c r="Y1400" s="92" t="e">
        <v>#N/A</v>
      </c>
      <c r="Z1400" s="94" t="e">
        <v>#N/A</v>
      </c>
    </row>
    <row r="1401" spans="22:26" x14ac:dyDescent="0.2">
      <c r="V1401" s="123" t="str">
        <f t="shared" si="32"/>
        <v>1w</v>
      </c>
      <c r="W1401" s="82">
        <f>_xll.qlCalendarAdvance(Calendar,W1400,V1401,"f",FALSE)</f>
        <v>48716</v>
      </c>
      <c r="X1401" s="91">
        <f>_xll.qlCalendarAdvance(Calendar,W1401,NDays&amp;"D")</f>
        <v>48716</v>
      </c>
      <c r="Y1401" s="92" t="e">
        <v>#N/A</v>
      </c>
      <c r="Z1401" s="94" t="e">
        <v>#N/A</v>
      </c>
    </row>
    <row r="1402" spans="22:26" x14ac:dyDescent="0.2">
      <c r="V1402" s="123" t="str">
        <f t="shared" si="32"/>
        <v>1w</v>
      </c>
      <c r="W1402" s="82">
        <f>_xll.qlCalendarAdvance(Calendar,W1401,V1402,"f",FALSE)</f>
        <v>48723</v>
      </c>
      <c r="X1402" s="91">
        <f>_xll.qlCalendarAdvance(Calendar,W1402,NDays&amp;"D")</f>
        <v>48723</v>
      </c>
      <c r="Y1402" s="92" t="e">
        <v>#N/A</v>
      </c>
      <c r="Z1402" s="94" t="e">
        <v>#N/A</v>
      </c>
    </row>
    <row r="1403" spans="22:26" x14ac:dyDescent="0.2">
      <c r="V1403" s="123" t="str">
        <f t="shared" si="32"/>
        <v>1w</v>
      </c>
      <c r="W1403" s="82">
        <f>_xll.qlCalendarAdvance(Calendar,W1402,V1403,"f",FALSE)</f>
        <v>48730</v>
      </c>
      <c r="X1403" s="91">
        <f>_xll.qlCalendarAdvance(Calendar,W1403,NDays&amp;"D")</f>
        <v>48730</v>
      </c>
      <c r="Y1403" s="92" t="e">
        <v>#N/A</v>
      </c>
      <c r="Z1403" s="94" t="e">
        <v>#N/A</v>
      </c>
    </row>
    <row r="1404" spans="22:26" x14ac:dyDescent="0.2">
      <c r="V1404" s="123" t="str">
        <f t="shared" si="32"/>
        <v>1w</v>
      </c>
      <c r="W1404" s="82">
        <f>_xll.qlCalendarAdvance(Calendar,W1403,V1404,"f",FALSE)</f>
        <v>48737</v>
      </c>
      <c r="X1404" s="91">
        <f>_xll.qlCalendarAdvance(Calendar,W1404,NDays&amp;"D")</f>
        <v>48737</v>
      </c>
      <c r="Y1404" s="92" t="e">
        <v>#N/A</v>
      </c>
      <c r="Z1404" s="94" t="e">
        <v>#N/A</v>
      </c>
    </row>
    <row r="1405" spans="22:26" x14ac:dyDescent="0.2">
      <c r="V1405" s="123" t="str">
        <f t="shared" si="32"/>
        <v>1w</v>
      </c>
      <c r="W1405" s="82">
        <f>_xll.qlCalendarAdvance(Calendar,W1404,V1405,"f",FALSE)</f>
        <v>48744</v>
      </c>
      <c r="X1405" s="91">
        <f>_xll.qlCalendarAdvance(Calendar,W1405,NDays&amp;"D")</f>
        <v>48744</v>
      </c>
      <c r="Y1405" s="92" t="e">
        <v>#N/A</v>
      </c>
      <c r="Z1405" s="94" t="e">
        <v>#N/A</v>
      </c>
    </row>
    <row r="1406" spans="22:26" x14ac:dyDescent="0.2">
      <c r="V1406" s="123" t="str">
        <f t="shared" si="32"/>
        <v>1w</v>
      </c>
      <c r="W1406" s="82">
        <f>_xll.qlCalendarAdvance(Calendar,W1405,V1406,"f",FALSE)</f>
        <v>48751</v>
      </c>
      <c r="X1406" s="91">
        <f>_xll.qlCalendarAdvance(Calendar,W1406,NDays&amp;"D")</f>
        <v>48751</v>
      </c>
      <c r="Y1406" s="92" t="e">
        <v>#N/A</v>
      </c>
      <c r="Z1406" s="94" t="e">
        <v>#N/A</v>
      </c>
    </row>
    <row r="1407" spans="22:26" x14ac:dyDescent="0.2">
      <c r="V1407" s="123" t="str">
        <f t="shared" si="32"/>
        <v>1w</v>
      </c>
      <c r="W1407" s="82">
        <f>_xll.qlCalendarAdvance(Calendar,W1406,V1407,"f",FALSE)</f>
        <v>48758</v>
      </c>
      <c r="X1407" s="91">
        <f>_xll.qlCalendarAdvance(Calendar,W1407,NDays&amp;"D")</f>
        <v>48758</v>
      </c>
      <c r="Y1407" s="92" t="e">
        <v>#N/A</v>
      </c>
      <c r="Z1407" s="94" t="e">
        <v>#N/A</v>
      </c>
    </row>
    <row r="1408" spans="22:26" x14ac:dyDescent="0.2">
      <c r="V1408" s="123" t="str">
        <f t="shared" si="32"/>
        <v>1w</v>
      </c>
      <c r="W1408" s="82">
        <f>_xll.qlCalendarAdvance(Calendar,W1407,V1408,"f",FALSE)</f>
        <v>48765</v>
      </c>
      <c r="X1408" s="91">
        <f>_xll.qlCalendarAdvance(Calendar,W1408,NDays&amp;"D")</f>
        <v>48765</v>
      </c>
      <c r="Y1408" s="92" t="e">
        <v>#N/A</v>
      </c>
      <c r="Z1408" s="94" t="e">
        <v>#N/A</v>
      </c>
    </row>
    <row r="1409" spans="22:26" x14ac:dyDescent="0.2">
      <c r="V1409" s="123" t="str">
        <f t="shared" si="32"/>
        <v>1w</v>
      </c>
      <c r="W1409" s="82">
        <f>_xll.qlCalendarAdvance(Calendar,W1408,V1409,"f",FALSE)</f>
        <v>48772</v>
      </c>
      <c r="X1409" s="91">
        <f>_xll.qlCalendarAdvance(Calendar,W1409,NDays&amp;"D")</f>
        <v>48772</v>
      </c>
      <c r="Y1409" s="92" t="e">
        <v>#N/A</v>
      </c>
      <c r="Z1409" s="94" t="e">
        <v>#N/A</v>
      </c>
    </row>
    <row r="1410" spans="22:26" x14ac:dyDescent="0.2">
      <c r="V1410" s="123" t="str">
        <f t="shared" si="32"/>
        <v>1w</v>
      </c>
      <c r="W1410" s="82">
        <f>_xll.qlCalendarAdvance(Calendar,W1409,V1410,"f",FALSE)</f>
        <v>48779</v>
      </c>
      <c r="X1410" s="91">
        <f>_xll.qlCalendarAdvance(Calendar,W1410,NDays&amp;"D")</f>
        <v>48779</v>
      </c>
      <c r="Y1410" s="92" t="e">
        <v>#N/A</v>
      </c>
      <c r="Z1410" s="94" t="e">
        <v>#N/A</v>
      </c>
    </row>
    <row r="1411" spans="22:26" x14ac:dyDescent="0.2">
      <c r="V1411" s="123" t="str">
        <f t="shared" si="32"/>
        <v>1w</v>
      </c>
      <c r="W1411" s="82">
        <f>_xll.qlCalendarAdvance(Calendar,W1410,V1411,"f",FALSE)</f>
        <v>48786</v>
      </c>
      <c r="X1411" s="91">
        <f>_xll.qlCalendarAdvance(Calendar,W1411,NDays&amp;"D")</f>
        <v>48786</v>
      </c>
      <c r="Y1411" s="92" t="e">
        <v>#N/A</v>
      </c>
      <c r="Z1411" s="94" t="e">
        <v>#N/A</v>
      </c>
    </row>
    <row r="1412" spans="22:26" x14ac:dyDescent="0.2">
      <c r="V1412" s="123" t="str">
        <f t="shared" si="32"/>
        <v>1w</v>
      </c>
      <c r="W1412" s="82">
        <f>_xll.qlCalendarAdvance(Calendar,W1411,V1412,"f",FALSE)</f>
        <v>48793</v>
      </c>
      <c r="X1412" s="91">
        <f>_xll.qlCalendarAdvance(Calendar,W1412,NDays&amp;"D")</f>
        <v>48793</v>
      </c>
      <c r="Y1412" s="92" t="e">
        <v>#N/A</v>
      </c>
      <c r="Z1412" s="94" t="e">
        <v>#N/A</v>
      </c>
    </row>
    <row r="1413" spans="22:26" x14ac:dyDescent="0.2">
      <c r="V1413" s="123" t="str">
        <f t="shared" si="32"/>
        <v>1w</v>
      </c>
      <c r="W1413" s="82">
        <f>_xll.qlCalendarAdvance(Calendar,W1412,V1413,"f",FALSE)</f>
        <v>48800</v>
      </c>
      <c r="X1413" s="91">
        <f>_xll.qlCalendarAdvance(Calendar,W1413,NDays&amp;"D")</f>
        <v>48800</v>
      </c>
      <c r="Y1413" s="92" t="e">
        <v>#N/A</v>
      </c>
      <c r="Z1413" s="94" t="e">
        <v>#N/A</v>
      </c>
    </row>
    <row r="1414" spans="22:26" x14ac:dyDescent="0.2">
      <c r="V1414" s="123" t="str">
        <f t="shared" si="32"/>
        <v>1w</v>
      </c>
      <c r="W1414" s="82">
        <f>_xll.qlCalendarAdvance(Calendar,W1413,V1414,"f",FALSE)</f>
        <v>48807</v>
      </c>
      <c r="X1414" s="91">
        <f>_xll.qlCalendarAdvance(Calendar,W1414,NDays&amp;"D")</f>
        <v>48807</v>
      </c>
      <c r="Y1414" s="92" t="e">
        <v>#N/A</v>
      </c>
      <c r="Z1414" s="94" t="e">
        <v>#N/A</v>
      </c>
    </row>
    <row r="1415" spans="22:26" x14ac:dyDescent="0.2">
      <c r="V1415" s="123" t="str">
        <f t="shared" si="32"/>
        <v>1w</v>
      </c>
      <c r="W1415" s="82">
        <f>_xll.qlCalendarAdvance(Calendar,W1414,V1415,"f",FALSE)</f>
        <v>48814</v>
      </c>
      <c r="X1415" s="91">
        <f>_xll.qlCalendarAdvance(Calendar,W1415,NDays&amp;"D")</f>
        <v>48814</v>
      </c>
      <c r="Y1415" s="92" t="e">
        <v>#N/A</v>
      </c>
      <c r="Z1415" s="94" t="e">
        <v>#N/A</v>
      </c>
    </row>
    <row r="1416" spans="22:26" x14ac:dyDescent="0.2">
      <c r="V1416" s="123" t="str">
        <f t="shared" si="32"/>
        <v>1w</v>
      </c>
      <c r="W1416" s="82">
        <f>_xll.qlCalendarAdvance(Calendar,W1415,V1416,"f",FALSE)</f>
        <v>48821</v>
      </c>
      <c r="X1416" s="91">
        <f>_xll.qlCalendarAdvance(Calendar,W1416,NDays&amp;"D")</f>
        <v>48821</v>
      </c>
      <c r="Y1416" s="92" t="e">
        <v>#N/A</v>
      </c>
      <c r="Z1416" s="94" t="e">
        <v>#N/A</v>
      </c>
    </row>
    <row r="1417" spans="22:26" x14ac:dyDescent="0.2">
      <c r="V1417" s="123" t="str">
        <f t="shared" si="32"/>
        <v>1w</v>
      </c>
      <c r="W1417" s="82">
        <f>_xll.qlCalendarAdvance(Calendar,W1416,V1417,"f",FALSE)</f>
        <v>48828</v>
      </c>
      <c r="X1417" s="91">
        <f>_xll.qlCalendarAdvance(Calendar,W1417,NDays&amp;"D")</f>
        <v>48828</v>
      </c>
      <c r="Y1417" s="92" t="e">
        <v>#N/A</v>
      </c>
      <c r="Z1417" s="94" t="e">
        <v>#N/A</v>
      </c>
    </row>
    <row r="1418" spans="22:26" x14ac:dyDescent="0.2">
      <c r="V1418" s="123" t="str">
        <f t="shared" si="32"/>
        <v>1w</v>
      </c>
      <c r="W1418" s="82">
        <f>_xll.qlCalendarAdvance(Calendar,W1417,V1418,"f",FALSE)</f>
        <v>48835</v>
      </c>
      <c r="X1418" s="91">
        <f>_xll.qlCalendarAdvance(Calendar,W1418,NDays&amp;"D")</f>
        <v>48835</v>
      </c>
      <c r="Y1418" s="92" t="e">
        <v>#N/A</v>
      </c>
      <c r="Z1418" s="94" t="e">
        <v>#N/A</v>
      </c>
    </row>
    <row r="1419" spans="22:26" x14ac:dyDescent="0.2">
      <c r="V1419" s="123" t="str">
        <f t="shared" si="32"/>
        <v>1w</v>
      </c>
      <c r="W1419" s="82">
        <f>_xll.qlCalendarAdvance(Calendar,W1418,V1419,"f",FALSE)</f>
        <v>48842</v>
      </c>
      <c r="X1419" s="91">
        <f>_xll.qlCalendarAdvance(Calendar,W1419,NDays&amp;"D")</f>
        <v>48842</v>
      </c>
      <c r="Y1419" s="92" t="e">
        <v>#N/A</v>
      </c>
      <c r="Z1419" s="94" t="e">
        <v>#N/A</v>
      </c>
    </row>
    <row r="1420" spans="22:26" x14ac:dyDescent="0.2">
      <c r="V1420" s="123" t="str">
        <f t="shared" si="32"/>
        <v>1w</v>
      </c>
      <c r="W1420" s="82">
        <f>_xll.qlCalendarAdvance(Calendar,W1419,V1420,"f",FALSE)</f>
        <v>48849</v>
      </c>
      <c r="X1420" s="91">
        <f>_xll.qlCalendarAdvance(Calendar,W1420,NDays&amp;"D")</f>
        <v>48849</v>
      </c>
      <c r="Y1420" s="92" t="e">
        <v>#N/A</v>
      </c>
      <c r="Z1420" s="94" t="e">
        <v>#N/A</v>
      </c>
    </row>
    <row r="1421" spans="22:26" x14ac:dyDescent="0.2">
      <c r="V1421" s="123" t="str">
        <f t="shared" si="32"/>
        <v>1w</v>
      </c>
      <c r="W1421" s="82">
        <f>_xll.qlCalendarAdvance(Calendar,W1420,V1421,"f",FALSE)</f>
        <v>48856</v>
      </c>
      <c r="X1421" s="91">
        <f>_xll.qlCalendarAdvance(Calendar,W1421,NDays&amp;"D")</f>
        <v>48856</v>
      </c>
      <c r="Y1421" s="92" t="e">
        <v>#N/A</v>
      </c>
      <c r="Z1421" s="94" t="e">
        <v>#N/A</v>
      </c>
    </row>
    <row r="1422" spans="22:26" x14ac:dyDescent="0.2">
      <c r="V1422" s="123" t="str">
        <f t="shared" si="32"/>
        <v>1w</v>
      </c>
      <c r="W1422" s="82">
        <f>_xll.qlCalendarAdvance(Calendar,W1421,V1422,"f",FALSE)</f>
        <v>48863</v>
      </c>
      <c r="X1422" s="91">
        <f>_xll.qlCalendarAdvance(Calendar,W1422,NDays&amp;"D")</f>
        <v>48863</v>
      </c>
      <c r="Y1422" s="92" t="e">
        <v>#N/A</v>
      </c>
      <c r="Z1422" s="94" t="e">
        <v>#N/A</v>
      </c>
    </row>
    <row r="1423" spans="22:26" x14ac:dyDescent="0.2">
      <c r="V1423" s="123" t="str">
        <f t="shared" si="32"/>
        <v>1w</v>
      </c>
      <c r="W1423" s="82">
        <f>_xll.qlCalendarAdvance(Calendar,W1422,V1423,"f",FALSE)</f>
        <v>48870</v>
      </c>
      <c r="X1423" s="91">
        <f>_xll.qlCalendarAdvance(Calendar,W1423,NDays&amp;"D")</f>
        <v>48870</v>
      </c>
      <c r="Y1423" s="92" t="e">
        <v>#N/A</v>
      </c>
      <c r="Z1423" s="94" t="e">
        <v>#N/A</v>
      </c>
    </row>
    <row r="1424" spans="22:26" x14ac:dyDescent="0.2">
      <c r="V1424" s="123" t="str">
        <f t="shared" si="32"/>
        <v>1w</v>
      </c>
      <c r="W1424" s="82">
        <f>_xll.qlCalendarAdvance(Calendar,W1423,V1424,"f",FALSE)</f>
        <v>48877</v>
      </c>
      <c r="X1424" s="91">
        <f>_xll.qlCalendarAdvance(Calendar,W1424,NDays&amp;"D")</f>
        <v>48877</v>
      </c>
      <c r="Y1424" s="92" t="e">
        <v>#N/A</v>
      </c>
      <c r="Z1424" s="94" t="e">
        <v>#N/A</v>
      </c>
    </row>
    <row r="1425" spans="22:26" x14ac:dyDescent="0.2">
      <c r="V1425" s="123" t="str">
        <f t="shared" si="32"/>
        <v>1w</v>
      </c>
      <c r="W1425" s="82">
        <f>_xll.qlCalendarAdvance(Calendar,W1424,V1425,"f",FALSE)</f>
        <v>48884</v>
      </c>
      <c r="X1425" s="91">
        <f>_xll.qlCalendarAdvance(Calendar,W1425,NDays&amp;"D")</f>
        <v>48884</v>
      </c>
      <c r="Y1425" s="92" t="e">
        <v>#N/A</v>
      </c>
      <c r="Z1425" s="94" t="e">
        <v>#N/A</v>
      </c>
    </row>
    <row r="1426" spans="22:26" x14ac:dyDescent="0.2">
      <c r="V1426" s="123" t="str">
        <f t="shared" si="32"/>
        <v>1w</v>
      </c>
      <c r="W1426" s="82">
        <f>_xll.qlCalendarAdvance(Calendar,W1425,V1426,"f",FALSE)</f>
        <v>48891</v>
      </c>
      <c r="X1426" s="91">
        <f>_xll.qlCalendarAdvance(Calendar,W1426,NDays&amp;"D")</f>
        <v>48891</v>
      </c>
      <c r="Y1426" s="92" t="e">
        <v>#N/A</v>
      </c>
      <c r="Z1426" s="94" t="e">
        <v>#N/A</v>
      </c>
    </row>
    <row r="1427" spans="22:26" x14ac:dyDescent="0.2">
      <c r="V1427" s="123" t="str">
        <f t="shared" si="32"/>
        <v>1w</v>
      </c>
      <c r="W1427" s="82">
        <f>_xll.qlCalendarAdvance(Calendar,W1426,V1427,"f",FALSE)</f>
        <v>48898</v>
      </c>
      <c r="X1427" s="91">
        <f>_xll.qlCalendarAdvance(Calendar,W1427,NDays&amp;"D")</f>
        <v>48898</v>
      </c>
      <c r="Y1427" s="92" t="e">
        <v>#N/A</v>
      </c>
      <c r="Z1427" s="94" t="e">
        <v>#N/A</v>
      </c>
    </row>
    <row r="1428" spans="22:26" x14ac:dyDescent="0.2">
      <c r="V1428" s="123" t="str">
        <f t="shared" si="32"/>
        <v>1w</v>
      </c>
      <c r="W1428" s="82">
        <f>_xll.qlCalendarAdvance(Calendar,W1427,V1428,"f",FALSE)</f>
        <v>48905</v>
      </c>
      <c r="X1428" s="91">
        <f>_xll.qlCalendarAdvance(Calendar,W1428,NDays&amp;"D")</f>
        <v>48905</v>
      </c>
      <c r="Y1428" s="92" t="e">
        <v>#N/A</v>
      </c>
      <c r="Z1428" s="94" t="e">
        <v>#N/A</v>
      </c>
    </row>
    <row r="1429" spans="22:26" x14ac:dyDescent="0.2">
      <c r="V1429" s="123" t="str">
        <f t="shared" ref="V1429:V1492" si="33">V1428</f>
        <v>1w</v>
      </c>
      <c r="W1429" s="82">
        <f>_xll.qlCalendarAdvance(Calendar,W1428,V1429,"f",FALSE)</f>
        <v>48912</v>
      </c>
      <c r="X1429" s="91">
        <f>_xll.qlCalendarAdvance(Calendar,W1429,NDays&amp;"D")</f>
        <v>48912</v>
      </c>
      <c r="Y1429" s="92" t="e">
        <v>#N/A</v>
      </c>
      <c r="Z1429" s="94" t="e">
        <v>#N/A</v>
      </c>
    </row>
    <row r="1430" spans="22:26" x14ac:dyDescent="0.2">
      <c r="V1430" s="123" t="str">
        <f t="shared" si="33"/>
        <v>1w</v>
      </c>
      <c r="W1430" s="82">
        <f>_xll.qlCalendarAdvance(Calendar,W1429,V1430,"f",FALSE)</f>
        <v>48919</v>
      </c>
      <c r="X1430" s="91">
        <f>_xll.qlCalendarAdvance(Calendar,W1430,NDays&amp;"D")</f>
        <v>48919</v>
      </c>
      <c r="Y1430" s="92" t="e">
        <v>#N/A</v>
      </c>
      <c r="Z1430" s="94" t="e">
        <v>#N/A</v>
      </c>
    </row>
    <row r="1431" spans="22:26" x14ac:dyDescent="0.2">
      <c r="V1431" s="123" t="str">
        <f t="shared" si="33"/>
        <v>1w</v>
      </c>
      <c r="W1431" s="82">
        <f>_xll.qlCalendarAdvance(Calendar,W1430,V1431,"f",FALSE)</f>
        <v>48926</v>
      </c>
      <c r="X1431" s="91">
        <f>_xll.qlCalendarAdvance(Calendar,W1431,NDays&amp;"D")</f>
        <v>48926</v>
      </c>
      <c r="Y1431" s="92" t="e">
        <v>#N/A</v>
      </c>
      <c r="Z1431" s="94" t="e">
        <v>#N/A</v>
      </c>
    </row>
    <row r="1432" spans="22:26" x14ac:dyDescent="0.2">
      <c r="V1432" s="123" t="str">
        <f t="shared" si="33"/>
        <v>1w</v>
      </c>
      <c r="W1432" s="82">
        <f>_xll.qlCalendarAdvance(Calendar,W1431,V1432,"f",FALSE)</f>
        <v>48933</v>
      </c>
      <c r="X1432" s="91">
        <f>_xll.qlCalendarAdvance(Calendar,W1432,NDays&amp;"D")</f>
        <v>48933</v>
      </c>
      <c r="Y1432" s="92" t="e">
        <v>#N/A</v>
      </c>
      <c r="Z1432" s="94" t="e">
        <v>#N/A</v>
      </c>
    </row>
    <row r="1433" spans="22:26" x14ac:dyDescent="0.2">
      <c r="V1433" s="123" t="str">
        <f t="shared" si="33"/>
        <v>1w</v>
      </c>
      <c r="W1433" s="82">
        <f>_xll.qlCalendarAdvance(Calendar,W1432,V1433,"f",FALSE)</f>
        <v>48940</v>
      </c>
      <c r="X1433" s="91">
        <f>_xll.qlCalendarAdvance(Calendar,W1433,NDays&amp;"D")</f>
        <v>48940</v>
      </c>
      <c r="Y1433" s="92" t="e">
        <v>#N/A</v>
      </c>
      <c r="Z1433" s="94" t="e">
        <v>#N/A</v>
      </c>
    </row>
    <row r="1434" spans="22:26" x14ac:dyDescent="0.2">
      <c r="V1434" s="123" t="str">
        <f t="shared" si="33"/>
        <v>1w</v>
      </c>
      <c r="W1434" s="82">
        <f>_xll.qlCalendarAdvance(Calendar,W1433,V1434,"f",FALSE)</f>
        <v>48947</v>
      </c>
      <c r="X1434" s="91">
        <f>_xll.qlCalendarAdvance(Calendar,W1434,NDays&amp;"D")</f>
        <v>48947</v>
      </c>
      <c r="Y1434" s="92" t="e">
        <v>#N/A</v>
      </c>
      <c r="Z1434" s="94" t="e">
        <v>#N/A</v>
      </c>
    </row>
    <row r="1435" spans="22:26" x14ac:dyDescent="0.2">
      <c r="V1435" s="123" t="str">
        <f t="shared" si="33"/>
        <v>1w</v>
      </c>
      <c r="W1435" s="82">
        <f>_xll.qlCalendarAdvance(Calendar,W1434,V1435,"f",FALSE)</f>
        <v>48954</v>
      </c>
      <c r="X1435" s="91">
        <f>_xll.qlCalendarAdvance(Calendar,W1435,NDays&amp;"D")</f>
        <v>48954</v>
      </c>
      <c r="Y1435" s="92" t="e">
        <v>#N/A</v>
      </c>
      <c r="Z1435" s="94" t="e">
        <v>#N/A</v>
      </c>
    </row>
    <row r="1436" spans="22:26" x14ac:dyDescent="0.2">
      <c r="V1436" s="123" t="str">
        <f t="shared" si="33"/>
        <v>1w</v>
      </c>
      <c r="W1436" s="82">
        <f>_xll.qlCalendarAdvance(Calendar,W1435,V1436,"f",FALSE)</f>
        <v>48961</v>
      </c>
      <c r="X1436" s="91">
        <f>_xll.qlCalendarAdvance(Calendar,W1436,NDays&amp;"D")</f>
        <v>48961</v>
      </c>
      <c r="Y1436" s="92" t="e">
        <v>#N/A</v>
      </c>
      <c r="Z1436" s="94" t="e">
        <v>#N/A</v>
      </c>
    </row>
    <row r="1437" spans="22:26" x14ac:dyDescent="0.2">
      <c r="V1437" s="123" t="str">
        <f t="shared" si="33"/>
        <v>1w</v>
      </c>
      <c r="W1437" s="82">
        <f>_xll.qlCalendarAdvance(Calendar,W1436,V1437,"f",FALSE)</f>
        <v>48968</v>
      </c>
      <c r="X1437" s="91">
        <f>_xll.qlCalendarAdvance(Calendar,W1437,NDays&amp;"D")</f>
        <v>48968</v>
      </c>
      <c r="Y1437" s="92" t="e">
        <v>#N/A</v>
      </c>
      <c r="Z1437" s="94" t="e">
        <v>#N/A</v>
      </c>
    </row>
    <row r="1438" spans="22:26" x14ac:dyDescent="0.2">
      <c r="V1438" s="123" t="str">
        <f t="shared" si="33"/>
        <v>1w</v>
      </c>
      <c r="W1438" s="82">
        <f>_xll.qlCalendarAdvance(Calendar,W1437,V1438,"f",FALSE)</f>
        <v>48975</v>
      </c>
      <c r="X1438" s="91">
        <f>_xll.qlCalendarAdvance(Calendar,W1438,NDays&amp;"D")</f>
        <v>48975</v>
      </c>
      <c r="Y1438" s="92" t="e">
        <v>#N/A</v>
      </c>
      <c r="Z1438" s="94" t="e">
        <v>#N/A</v>
      </c>
    </row>
    <row r="1439" spans="22:26" x14ac:dyDescent="0.2">
      <c r="V1439" s="123" t="str">
        <f t="shared" si="33"/>
        <v>1w</v>
      </c>
      <c r="W1439" s="82">
        <f>_xll.qlCalendarAdvance(Calendar,W1438,V1439,"f",FALSE)</f>
        <v>48982</v>
      </c>
      <c r="X1439" s="91">
        <f>_xll.qlCalendarAdvance(Calendar,W1439,NDays&amp;"D")</f>
        <v>48982</v>
      </c>
      <c r="Y1439" s="92" t="e">
        <v>#N/A</v>
      </c>
      <c r="Z1439" s="94" t="e">
        <v>#N/A</v>
      </c>
    </row>
    <row r="1440" spans="22:26" x14ac:dyDescent="0.2">
      <c r="V1440" s="123" t="str">
        <f t="shared" si="33"/>
        <v>1w</v>
      </c>
      <c r="W1440" s="82">
        <f>_xll.qlCalendarAdvance(Calendar,W1439,V1440,"f",FALSE)</f>
        <v>48989</v>
      </c>
      <c r="X1440" s="91">
        <f>_xll.qlCalendarAdvance(Calendar,W1440,NDays&amp;"D")</f>
        <v>48989</v>
      </c>
      <c r="Y1440" s="92" t="e">
        <v>#N/A</v>
      </c>
      <c r="Z1440" s="94" t="e">
        <v>#N/A</v>
      </c>
    </row>
    <row r="1441" spans="22:26" x14ac:dyDescent="0.2">
      <c r="V1441" s="123" t="str">
        <f t="shared" si="33"/>
        <v>1w</v>
      </c>
      <c r="W1441" s="82">
        <f>_xll.qlCalendarAdvance(Calendar,W1440,V1441,"f",FALSE)</f>
        <v>48996</v>
      </c>
      <c r="X1441" s="91">
        <f>_xll.qlCalendarAdvance(Calendar,W1441,NDays&amp;"D")</f>
        <v>48996</v>
      </c>
      <c r="Y1441" s="92" t="e">
        <v>#N/A</v>
      </c>
      <c r="Z1441" s="94" t="e">
        <v>#N/A</v>
      </c>
    </row>
    <row r="1442" spans="22:26" x14ac:dyDescent="0.2">
      <c r="V1442" s="123" t="str">
        <f t="shared" si="33"/>
        <v>1w</v>
      </c>
      <c r="W1442" s="82">
        <f>_xll.qlCalendarAdvance(Calendar,W1441,V1442,"f",FALSE)</f>
        <v>49003</v>
      </c>
      <c r="X1442" s="91">
        <f>_xll.qlCalendarAdvance(Calendar,W1442,NDays&amp;"D")</f>
        <v>49003</v>
      </c>
      <c r="Y1442" s="92" t="e">
        <v>#N/A</v>
      </c>
      <c r="Z1442" s="94" t="e">
        <v>#N/A</v>
      </c>
    </row>
    <row r="1443" spans="22:26" x14ac:dyDescent="0.2">
      <c r="V1443" s="123" t="str">
        <f t="shared" si="33"/>
        <v>1w</v>
      </c>
      <c r="W1443" s="82">
        <f>_xll.qlCalendarAdvance(Calendar,W1442,V1443,"f",FALSE)</f>
        <v>49010</v>
      </c>
      <c r="X1443" s="91">
        <f>_xll.qlCalendarAdvance(Calendar,W1443,NDays&amp;"D")</f>
        <v>49010</v>
      </c>
      <c r="Y1443" s="92" t="e">
        <v>#N/A</v>
      </c>
      <c r="Z1443" s="94" t="e">
        <v>#N/A</v>
      </c>
    </row>
    <row r="1444" spans="22:26" x14ac:dyDescent="0.2">
      <c r="V1444" s="123" t="str">
        <f t="shared" si="33"/>
        <v>1w</v>
      </c>
      <c r="W1444" s="82">
        <f>_xll.qlCalendarAdvance(Calendar,W1443,V1444,"f",FALSE)</f>
        <v>49017</v>
      </c>
      <c r="X1444" s="91">
        <f>_xll.qlCalendarAdvance(Calendar,W1444,NDays&amp;"D")</f>
        <v>49017</v>
      </c>
      <c r="Y1444" s="92" t="e">
        <v>#N/A</v>
      </c>
      <c r="Z1444" s="94" t="e">
        <v>#N/A</v>
      </c>
    </row>
    <row r="1445" spans="22:26" x14ac:dyDescent="0.2">
      <c r="V1445" s="123" t="str">
        <f t="shared" si="33"/>
        <v>1w</v>
      </c>
      <c r="W1445" s="82">
        <f>_xll.qlCalendarAdvance(Calendar,W1444,V1445,"f",FALSE)</f>
        <v>49024</v>
      </c>
      <c r="X1445" s="91">
        <f>_xll.qlCalendarAdvance(Calendar,W1445,NDays&amp;"D")</f>
        <v>49024</v>
      </c>
      <c r="Y1445" s="92" t="e">
        <v>#N/A</v>
      </c>
      <c r="Z1445" s="94" t="e">
        <v>#N/A</v>
      </c>
    </row>
    <row r="1446" spans="22:26" x14ac:dyDescent="0.2">
      <c r="V1446" s="123" t="str">
        <f t="shared" si="33"/>
        <v>1w</v>
      </c>
      <c r="W1446" s="82">
        <f>_xll.qlCalendarAdvance(Calendar,W1445,V1446,"f",FALSE)</f>
        <v>49031</v>
      </c>
      <c r="X1446" s="91">
        <f>_xll.qlCalendarAdvance(Calendar,W1446,NDays&amp;"D")</f>
        <v>49031</v>
      </c>
      <c r="Y1446" s="92" t="e">
        <v>#N/A</v>
      </c>
      <c r="Z1446" s="94" t="e">
        <v>#N/A</v>
      </c>
    </row>
    <row r="1447" spans="22:26" x14ac:dyDescent="0.2">
      <c r="V1447" s="123" t="str">
        <f t="shared" si="33"/>
        <v>1w</v>
      </c>
      <c r="W1447" s="82">
        <f>_xll.qlCalendarAdvance(Calendar,W1446,V1447,"f",FALSE)</f>
        <v>49038</v>
      </c>
      <c r="X1447" s="91">
        <f>_xll.qlCalendarAdvance(Calendar,W1447,NDays&amp;"D")</f>
        <v>49038</v>
      </c>
      <c r="Y1447" s="92" t="e">
        <v>#N/A</v>
      </c>
      <c r="Z1447" s="94" t="e">
        <v>#N/A</v>
      </c>
    </row>
    <row r="1448" spans="22:26" x14ac:dyDescent="0.2">
      <c r="V1448" s="123" t="str">
        <f t="shared" si="33"/>
        <v>1w</v>
      </c>
      <c r="W1448" s="82">
        <f>_xll.qlCalendarAdvance(Calendar,W1447,V1448,"f",FALSE)</f>
        <v>49045</v>
      </c>
      <c r="X1448" s="91">
        <f>_xll.qlCalendarAdvance(Calendar,W1448,NDays&amp;"D")</f>
        <v>49045</v>
      </c>
      <c r="Y1448" s="92" t="e">
        <v>#N/A</v>
      </c>
      <c r="Z1448" s="94" t="e">
        <v>#N/A</v>
      </c>
    </row>
    <row r="1449" spans="22:26" x14ac:dyDescent="0.2">
      <c r="V1449" s="123" t="str">
        <f t="shared" si="33"/>
        <v>1w</v>
      </c>
      <c r="W1449" s="82">
        <f>_xll.qlCalendarAdvance(Calendar,W1448,V1449,"f",FALSE)</f>
        <v>49052</v>
      </c>
      <c r="X1449" s="91">
        <f>_xll.qlCalendarAdvance(Calendar,W1449,NDays&amp;"D")</f>
        <v>49052</v>
      </c>
      <c r="Y1449" s="92" t="e">
        <v>#N/A</v>
      </c>
      <c r="Z1449" s="94" t="e">
        <v>#N/A</v>
      </c>
    </row>
    <row r="1450" spans="22:26" x14ac:dyDescent="0.2">
      <c r="V1450" s="123" t="str">
        <f t="shared" si="33"/>
        <v>1w</v>
      </c>
      <c r="W1450" s="82">
        <f>_xll.qlCalendarAdvance(Calendar,W1449,V1450,"f",FALSE)</f>
        <v>49059</v>
      </c>
      <c r="X1450" s="91">
        <f>_xll.qlCalendarAdvance(Calendar,W1450,NDays&amp;"D")</f>
        <v>49059</v>
      </c>
      <c r="Y1450" s="92" t="e">
        <v>#N/A</v>
      </c>
      <c r="Z1450" s="94" t="e">
        <v>#N/A</v>
      </c>
    </row>
    <row r="1451" spans="22:26" x14ac:dyDescent="0.2">
      <c r="V1451" s="123" t="str">
        <f t="shared" si="33"/>
        <v>1w</v>
      </c>
      <c r="W1451" s="82">
        <f>_xll.qlCalendarAdvance(Calendar,W1450,V1451,"f",FALSE)</f>
        <v>49066</v>
      </c>
      <c r="X1451" s="91">
        <f>_xll.qlCalendarAdvance(Calendar,W1451,NDays&amp;"D")</f>
        <v>49066</v>
      </c>
      <c r="Y1451" s="92" t="e">
        <v>#N/A</v>
      </c>
      <c r="Z1451" s="94" t="e">
        <v>#N/A</v>
      </c>
    </row>
    <row r="1452" spans="22:26" x14ac:dyDescent="0.2">
      <c r="V1452" s="123" t="str">
        <f t="shared" si="33"/>
        <v>1w</v>
      </c>
      <c r="W1452" s="82">
        <f>_xll.qlCalendarAdvance(Calendar,W1451,V1452,"f",FALSE)</f>
        <v>49073</v>
      </c>
      <c r="X1452" s="91">
        <f>_xll.qlCalendarAdvance(Calendar,W1452,NDays&amp;"D")</f>
        <v>49073</v>
      </c>
      <c r="Y1452" s="92" t="e">
        <v>#N/A</v>
      </c>
      <c r="Z1452" s="94" t="e">
        <v>#N/A</v>
      </c>
    </row>
    <row r="1453" spans="22:26" x14ac:dyDescent="0.2">
      <c r="V1453" s="123" t="str">
        <f t="shared" si="33"/>
        <v>1w</v>
      </c>
      <c r="W1453" s="82">
        <f>_xll.qlCalendarAdvance(Calendar,W1452,V1453,"f",FALSE)</f>
        <v>49080</v>
      </c>
      <c r="X1453" s="91">
        <f>_xll.qlCalendarAdvance(Calendar,W1453,NDays&amp;"D")</f>
        <v>49080</v>
      </c>
      <c r="Y1453" s="92" t="e">
        <v>#N/A</v>
      </c>
      <c r="Z1453" s="94" t="e">
        <v>#N/A</v>
      </c>
    </row>
    <row r="1454" spans="22:26" x14ac:dyDescent="0.2">
      <c r="V1454" s="123" t="str">
        <f t="shared" si="33"/>
        <v>1w</v>
      </c>
      <c r="W1454" s="82">
        <f>_xll.qlCalendarAdvance(Calendar,W1453,V1454,"f",FALSE)</f>
        <v>49087</v>
      </c>
      <c r="X1454" s="91">
        <f>_xll.qlCalendarAdvance(Calendar,W1454,NDays&amp;"D")</f>
        <v>49087</v>
      </c>
      <c r="Y1454" s="92" t="e">
        <v>#N/A</v>
      </c>
      <c r="Z1454" s="94" t="e">
        <v>#N/A</v>
      </c>
    </row>
    <row r="1455" spans="22:26" x14ac:dyDescent="0.2">
      <c r="V1455" s="123" t="str">
        <f t="shared" si="33"/>
        <v>1w</v>
      </c>
      <c r="W1455" s="82">
        <f>_xll.qlCalendarAdvance(Calendar,W1454,V1455,"f",FALSE)</f>
        <v>49094</v>
      </c>
      <c r="X1455" s="91">
        <f>_xll.qlCalendarAdvance(Calendar,W1455,NDays&amp;"D")</f>
        <v>49094</v>
      </c>
      <c r="Y1455" s="92" t="e">
        <v>#N/A</v>
      </c>
      <c r="Z1455" s="94" t="e">
        <v>#N/A</v>
      </c>
    </row>
    <row r="1456" spans="22:26" x14ac:dyDescent="0.2">
      <c r="V1456" s="123" t="str">
        <f t="shared" si="33"/>
        <v>1w</v>
      </c>
      <c r="W1456" s="82">
        <f>_xll.qlCalendarAdvance(Calendar,W1455,V1456,"f",FALSE)</f>
        <v>49101</v>
      </c>
      <c r="X1456" s="91">
        <f>_xll.qlCalendarAdvance(Calendar,W1456,NDays&amp;"D")</f>
        <v>49101</v>
      </c>
      <c r="Y1456" s="92" t="e">
        <v>#N/A</v>
      </c>
      <c r="Z1456" s="94" t="e">
        <v>#N/A</v>
      </c>
    </row>
    <row r="1457" spans="22:26" x14ac:dyDescent="0.2">
      <c r="V1457" s="123" t="str">
        <f t="shared" si="33"/>
        <v>1w</v>
      </c>
      <c r="W1457" s="82">
        <f>_xll.qlCalendarAdvance(Calendar,W1456,V1457,"f",FALSE)</f>
        <v>49108</v>
      </c>
      <c r="X1457" s="91">
        <f>_xll.qlCalendarAdvance(Calendar,W1457,NDays&amp;"D")</f>
        <v>49108</v>
      </c>
      <c r="Y1457" s="92" t="e">
        <v>#N/A</v>
      </c>
      <c r="Z1457" s="94" t="e">
        <v>#N/A</v>
      </c>
    </row>
    <row r="1458" spans="22:26" x14ac:dyDescent="0.2">
      <c r="V1458" s="123" t="str">
        <f t="shared" si="33"/>
        <v>1w</v>
      </c>
      <c r="W1458" s="82">
        <f>_xll.qlCalendarAdvance(Calendar,W1457,V1458,"f",FALSE)</f>
        <v>49115</v>
      </c>
      <c r="X1458" s="91">
        <f>_xll.qlCalendarAdvance(Calendar,W1458,NDays&amp;"D")</f>
        <v>49115</v>
      </c>
      <c r="Y1458" s="92" t="e">
        <v>#N/A</v>
      </c>
      <c r="Z1458" s="94" t="e">
        <v>#N/A</v>
      </c>
    </row>
    <row r="1459" spans="22:26" x14ac:dyDescent="0.2">
      <c r="V1459" s="123" t="str">
        <f t="shared" si="33"/>
        <v>1w</v>
      </c>
      <c r="W1459" s="82">
        <f>_xll.qlCalendarAdvance(Calendar,W1458,V1459,"f",FALSE)</f>
        <v>49122</v>
      </c>
      <c r="X1459" s="91">
        <f>_xll.qlCalendarAdvance(Calendar,W1459,NDays&amp;"D")</f>
        <v>49122</v>
      </c>
      <c r="Y1459" s="92" t="e">
        <v>#N/A</v>
      </c>
      <c r="Z1459" s="94" t="e">
        <v>#N/A</v>
      </c>
    </row>
    <row r="1460" spans="22:26" x14ac:dyDescent="0.2">
      <c r="V1460" s="123" t="str">
        <f t="shared" si="33"/>
        <v>1w</v>
      </c>
      <c r="W1460" s="82">
        <f>_xll.qlCalendarAdvance(Calendar,W1459,V1460,"f",FALSE)</f>
        <v>49129</v>
      </c>
      <c r="X1460" s="91">
        <f>_xll.qlCalendarAdvance(Calendar,W1460,NDays&amp;"D")</f>
        <v>49129</v>
      </c>
      <c r="Y1460" s="92" t="e">
        <v>#N/A</v>
      </c>
      <c r="Z1460" s="94" t="e">
        <v>#N/A</v>
      </c>
    </row>
    <row r="1461" spans="22:26" x14ac:dyDescent="0.2">
      <c r="V1461" s="123" t="str">
        <f t="shared" si="33"/>
        <v>1w</v>
      </c>
      <c r="W1461" s="82">
        <f>_xll.qlCalendarAdvance(Calendar,W1460,V1461,"f",FALSE)</f>
        <v>49136</v>
      </c>
      <c r="X1461" s="91">
        <f>_xll.qlCalendarAdvance(Calendar,W1461,NDays&amp;"D")</f>
        <v>49136</v>
      </c>
      <c r="Y1461" s="92" t="e">
        <v>#N/A</v>
      </c>
      <c r="Z1461" s="94" t="e">
        <v>#N/A</v>
      </c>
    </row>
    <row r="1462" spans="22:26" x14ac:dyDescent="0.2">
      <c r="V1462" s="123" t="str">
        <f t="shared" si="33"/>
        <v>1w</v>
      </c>
      <c r="W1462" s="82">
        <f>_xll.qlCalendarAdvance(Calendar,W1461,V1462,"f",FALSE)</f>
        <v>49143</v>
      </c>
      <c r="X1462" s="91">
        <f>_xll.qlCalendarAdvance(Calendar,W1462,NDays&amp;"D")</f>
        <v>49143</v>
      </c>
      <c r="Y1462" s="92" t="e">
        <v>#N/A</v>
      </c>
      <c r="Z1462" s="94" t="e">
        <v>#N/A</v>
      </c>
    </row>
    <row r="1463" spans="22:26" x14ac:dyDescent="0.2">
      <c r="V1463" s="123" t="str">
        <f t="shared" si="33"/>
        <v>1w</v>
      </c>
      <c r="W1463" s="82">
        <f>_xll.qlCalendarAdvance(Calendar,W1462,V1463,"f",FALSE)</f>
        <v>49150</v>
      </c>
      <c r="X1463" s="91">
        <f>_xll.qlCalendarAdvance(Calendar,W1463,NDays&amp;"D")</f>
        <v>49150</v>
      </c>
      <c r="Y1463" s="92" t="e">
        <v>#N/A</v>
      </c>
      <c r="Z1463" s="94" t="e">
        <v>#N/A</v>
      </c>
    </row>
    <row r="1464" spans="22:26" x14ac:dyDescent="0.2">
      <c r="V1464" s="123" t="str">
        <f t="shared" si="33"/>
        <v>1w</v>
      </c>
      <c r="W1464" s="82">
        <f>_xll.qlCalendarAdvance(Calendar,W1463,V1464,"f",FALSE)</f>
        <v>49157</v>
      </c>
      <c r="X1464" s="91">
        <f>_xll.qlCalendarAdvance(Calendar,W1464,NDays&amp;"D")</f>
        <v>49157</v>
      </c>
      <c r="Y1464" s="92" t="e">
        <v>#N/A</v>
      </c>
      <c r="Z1464" s="94" t="e">
        <v>#N/A</v>
      </c>
    </row>
    <row r="1465" spans="22:26" x14ac:dyDescent="0.2">
      <c r="V1465" s="123" t="str">
        <f t="shared" si="33"/>
        <v>1w</v>
      </c>
      <c r="W1465" s="82">
        <f>_xll.qlCalendarAdvance(Calendar,W1464,V1465,"f",FALSE)</f>
        <v>49164</v>
      </c>
      <c r="X1465" s="91">
        <f>_xll.qlCalendarAdvance(Calendar,W1465,NDays&amp;"D")</f>
        <v>49164</v>
      </c>
      <c r="Y1465" s="92" t="e">
        <v>#N/A</v>
      </c>
      <c r="Z1465" s="94" t="e">
        <v>#N/A</v>
      </c>
    </row>
    <row r="1466" spans="22:26" x14ac:dyDescent="0.2">
      <c r="V1466" s="123" t="str">
        <f t="shared" si="33"/>
        <v>1w</v>
      </c>
      <c r="W1466" s="82">
        <f>_xll.qlCalendarAdvance(Calendar,W1465,V1466,"f",FALSE)</f>
        <v>49171</v>
      </c>
      <c r="X1466" s="91">
        <f>_xll.qlCalendarAdvance(Calendar,W1466,NDays&amp;"D")</f>
        <v>49171</v>
      </c>
      <c r="Y1466" s="92" t="e">
        <v>#N/A</v>
      </c>
      <c r="Z1466" s="94" t="e">
        <v>#N/A</v>
      </c>
    </row>
    <row r="1467" spans="22:26" x14ac:dyDescent="0.2">
      <c r="V1467" s="123" t="str">
        <f t="shared" si="33"/>
        <v>1w</v>
      </c>
      <c r="W1467" s="82">
        <f>_xll.qlCalendarAdvance(Calendar,W1466,V1467,"f",FALSE)</f>
        <v>49178</v>
      </c>
      <c r="X1467" s="91">
        <f>_xll.qlCalendarAdvance(Calendar,W1467,NDays&amp;"D")</f>
        <v>49178</v>
      </c>
      <c r="Y1467" s="92" t="e">
        <v>#N/A</v>
      </c>
      <c r="Z1467" s="94" t="e">
        <v>#N/A</v>
      </c>
    </row>
    <row r="1468" spans="22:26" x14ac:dyDescent="0.2">
      <c r="V1468" s="123" t="str">
        <f t="shared" si="33"/>
        <v>1w</v>
      </c>
      <c r="W1468" s="82">
        <f>_xll.qlCalendarAdvance(Calendar,W1467,V1468,"f",FALSE)</f>
        <v>49185</v>
      </c>
      <c r="X1468" s="91">
        <f>_xll.qlCalendarAdvance(Calendar,W1468,NDays&amp;"D")</f>
        <v>49185</v>
      </c>
      <c r="Y1468" s="92" t="e">
        <v>#N/A</v>
      </c>
      <c r="Z1468" s="94" t="e">
        <v>#N/A</v>
      </c>
    </row>
    <row r="1469" spans="22:26" x14ac:dyDescent="0.2">
      <c r="V1469" s="123" t="str">
        <f t="shared" si="33"/>
        <v>1w</v>
      </c>
      <c r="W1469" s="82">
        <f>_xll.qlCalendarAdvance(Calendar,W1468,V1469,"f",FALSE)</f>
        <v>49192</v>
      </c>
      <c r="X1469" s="91">
        <f>_xll.qlCalendarAdvance(Calendar,W1469,NDays&amp;"D")</f>
        <v>49192</v>
      </c>
      <c r="Y1469" s="92" t="e">
        <v>#N/A</v>
      </c>
      <c r="Z1469" s="94" t="e">
        <v>#N/A</v>
      </c>
    </row>
    <row r="1470" spans="22:26" x14ac:dyDescent="0.2">
      <c r="V1470" s="123" t="str">
        <f t="shared" si="33"/>
        <v>1w</v>
      </c>
      <c r="W1470" s="82">
        <f>_xll.qlCalendarAdvance(Calendar,W1469,V1470,"f",FALSE)</f>
        <v>49199</v>
      </c>
      <c r="X1470" s="91">
        <f>_xll.qlCalendarAdvance(Calendar,W1470,NDays&amp;"D")</f>
        <v>49199</v>
      </c>
      <c r="Y1470" s="92" t="e">
        <v>#N/A</v>
      </c>
      <c r="Z1470" s="94" t="e">
        <v>#N/A</v>
      </c>
    </row>
    <row r="1471" spans="22:26" x14ac:dyDescent="0.2">
      <c r="V1471" s="123" t="str">
        <f t="shared" si="33"/>
        <v>1w</v>
      </c>
      <c r="W1471" s="82">
        <f>_xll.qlCalendarAdvance(Calendar,W1470,V1471,"f",FALSE)</f>
        <v>49206</v>
      </c>
      <c r="X1471" s="91">
        <f>_xll.qlCalendarAdvance(Calendar,W1471,NDays&amp;"D")</f>
        <v>49206</v>
      </c>
      <c r="Y1471" s="92" t="e">
        <v>#N/A</v>
      </c>
      <c r="Z1471" s="94" t="e">
        <v>#N/A</v>
      </c>
    </row>
    <row r="1472" spans="22:26" x14ac:dyDescent="0.2">
      <c r="V1472" s="123" t="str">
        <f t="shared" si="33"/>
        <v>1w</v>
      </c>
      <c r="W1472" s="82">
        <f>_xll.qlCalendarAdvance(Calendar,W1471,V1472,"f",FALSE)</f>
        <v>49213</v>
      </c>
      <c r="X1472" s="91">
        <f>_xll.qlCalendarAdvance(Calendar,W1472,NDays&amp;"D")</f>
        <v>49213</v>
      </c>
      <c r="Y1472" s="92" t="e">
        <v>#N/A</v>
      </c>
      <c r="Z1472" s="94" t="e">
        <v>#N/A</v>
      </c>
    </row>
    <row r="1473" spans="22:26" x14ac:dyDescent="0.2">
      <c r="V1473" s="123" t="str">
        <f t="shared" si="33"/>
        <v>1w</v>
      </c>
      <c r="W1473" s="82">
        <f>_xll.qlCalendarAdvance(Calendar,W1472,V1473,"f",FALSE)</f>
        <v>49220</v>
      </c>
      <c r="X1473" s="91">
        <f>_xll.qlCalendarAdvance(Calendar,W1473,NDays&amp;"D")</f>
        <v>49220</v>
      </c>
      <c r="Y1473" s="92" t="e">
        <v>#N/A</v>
      </c>
      <c r="Z1473" s="94" t="e">
        <v>#N/A</v>
      </c>
    </row>
    <row r="1474" spans="22:26" x14ac:dyDescent="0.2">
      <c r="V1474" s="123" t="str">
        <f t="shared" si="33"/>
        <v>1w</v>
      </c>
      <c r="W1474" s="82">
        <f>_xll.qlCalendarAdvance(Calendar,W1473,V1474,"f",FALSE)</f>
        <v>49227</v>
      </c>
      <c r="X1474" s="91">
        <f>_xll.qlCalendarAdvance(Calendar,W1474,NDays&amp;"D")</f>
        <v>49227</v>
      </c>
      <c r="Y1474" s="92" t="e">
        <v>#N/A</v>
      </c>
      <c r="Z1474" s="94" t="e">
        <v>#N/A</v>
      </c>
    </row>
    <row r="1475" spans="22:26" x14ac:dyDescent="0.2">
      <c r="V1475" s="123" t="str">
        <f t="shared" si="33"/>
        <v>1w</v>
      </c>
      <c r="W1475" s="82">
        <f>_xll.qlCalendarAdvance(Calendar,W1474,V1475,"f",FALSE)</f>
        <v>49234</v>
      </c>
      <c r="X1475" s="91">
        <f>_xll.qlCalendarAdvance(Calendar,W1475,NDays&amp;"D")</f>
        <v>49234</v>
      </c>
      <c r="Y1475" s="92" t="e">
        <v>#N/A</v>
      </c>
      <c r="Z1475" s="94" t="e">
        <v>#N/A</v>
      </c>
    </row>
    <row r="1476" spans="22:26" x14ac:dyDescent="0.2">
      <c r="V1476" s="123" t="str">
        <f t="shared" si="33"/>
        <v>1w</v>
      </c>
      <c r="W1476" s="82">
        <f>_xll.qlCalendarAdvance(Calendar,W1475,V1476,"f",FALSE)</f>
        <v>49241</v>
      </c>
      <c r="X1476" s="91">
        <f>_xll.qlCalendarAdvance(Calendar,W1476,NDays&amp;"D")</f>
        <v>49241</v>
      </c>
      <c r="Y1476" s="92" t="e">
        <v>#N/A</v>
      </c>
      <c r="Z1476" s="94" t="e">
        <v>#N/A</v>
      </c>
    </row>
    <row r="1477" spans="22:26" x14ac:dyDescent="0.2">
      <c r="V1477" s="123" t="str">
        <f t="shared" si="33"/>
        <v>1w</v>
      </c>
      <c r="W1477" s="82">
        <f>_xll.qlCalendarAdvance(Calendar,W1476,V1477,"f",FALSE)</f>
        <v>49248</v>
      </c>
      <c r="X1477" s="91">
        <f>_xll.qlCalendarAdvance(Calendar,W1477,NDays&amp;"D")</f>
        <v>49248</v>
      </c>
      <c r="Y1477" s="92" t="e">
        <v>#N/A</v>
      </c>
      <c r="Z1477" s="94" t="e">
        <v>#N/A</v>
      </c>
    </row>
    <row r="1478" spans="22:26" x14ac:dyDescent="0.2">
      <c r="V1478" s="123" t="str">
        <f t="shared" si="33"/>
        <v>1w</v>
      </c>
      <c r="W1478" s="82">
        <f>_xll.qlCalendarAdvance(Calendar,W1477,V1478,"f",FALSE)</f>
        <v>49255</v>
      </c>
      <c r="X1478" s="91">
        <f>_xll.qlCalendarAdvance(Calendar,W1478,NDays&amp;"D")</f>
        <v>49255</v>
      </c>
      <c r="Y1478" s="92" t="e">
        <v>#N/A</v>
      </c>
      <c r="Z1478" s="94" t="e">
        <v>#N/A</v>
      </c>
    </row>
    <row r="1479" spans="22:26" x14ac:dyDescent="0.2">
      <c r="V1479" s="123" t="str">
        <f t="shared" si="33"/>
        <v>1w</v>
      </c>
      <c r="W1479" s="82">
        <f>_xll.qlCalendarAdvance(Calendar,W1478,V1479,"f",FALSE)</f>
        <v>49262</v>
      </c>
      <c r="X1479" s="91">
        <f>_xll.qlCalendarAdvance(Calendar,W1479,NDays&amp;"D")</f>
        <v>49262</v>
      </c>
      <c r="Y1479" s="92" t="e">
        <v>#N/A</v>
      </c>
      <c r="Z1479" s="94" t="e">
        <v>#N/A</v>
      </c>
    </row>
    <row r="1480" spans="22:26" x14ac:dyDescent="0.2">
      <c r="V1480" s="123" t="str">
        <f t="shared" si="33"/>
        <v>1w</v>
      </c>
      <c r="W1480" s="82">
        <f>_xll.qlCalendarAdvance(Calendar,W1479,V1480,"f",FALSE)</f>
        <v>49269</v>
      </c>
      <c r="X1480" s="91">
        <f>_xll.qlCalendarAdvance(Calendar,W1480,NDays&amp;"D")</f>
        <v>49269</v>
      </c>
      <c r="Y1480" s="92" t="e">
        <v>#N/A</v>
      </c>
      <c r="Z1480" s="94" t="e">
        <v>#N/A</v>
      </c>
    </row>
    <row r="1481" spans="22:26" x14ac:dyDescent="0.2">
      <c r="V1481" s="123" t="str">
        <f t="shared" si="33"/>
        <v>1w</v>
      </c>
      <c r="W1481" s="82">
        <f>_xll.qlCalendarAdvance(Calendar,W1480,V1481,"f",FALSE)</f>
        <v>49276</v>
      </c>
      <c r="X1481" s="91">
        <f>_xll.qlCalendarAdvance(Calendar,W1481,NDays&amp;"D")</f>
        <v>49276</v>
      </c>
      <c r="Y1481" s="92" t="e">
        <v>#N/A</v>
      </c>
      <c r="Z1481" s="94" t="e">
        <v>#N/A</v>
      </c>
    </row>
    <row r="1482" spans="22:26" x14ac:dyDescent="0.2">
      <c r="V1482" s="123" t="str">
        <f t="shared" si="33"/>
        <v>1w</v>
      </c>
      <c r="W1482" s="82">
        <f>_xll.qlCalendarAdvance(Calendar,W1481,V1482,"f",FALSE)</f>
        <v>49283</v>
      </c>
      <c r="X1482" s="91">
        <f>_xll.qlCalendarAdvance(Calendar,W1482,NDays&amp;"D")</f>
        <v>49283</v>
      </c>
      <c r="Y1482" s="92" t="e">
        <v>#N/A</v>
      </c>
      <c r="Z1482" s="94" t="e">
        <v>#N/A</v>
      </c>
    </row>
    <row r="1483" spans="22:26" x14ac:dyDescent="0.2">
      <c r="V1483" s="123" t="str">
        <f t="shared" si="33"/>
        <v>1w</v>
      </c>
      <c r="W1483" s="82">
        <f>_xll.qlCalendarAdvance(Calendar,W1482,V1483,"f",FALSE)</f>
        <v>49290</v>
      </c>
      <c r="X1483" s="91">
        <f>_xll.qlCalendarAdvance(Calendar,W1483,NDays&amp;"D")</f>
        <v>49290</v>
      </c>
      <c r="Y1483" s="92" t="e">
        <v>#N/A</v>
      </c>
      <c r="Z1483" s="94" t="e">
        <v>#N/A</v>
      </c>
    </row>
    <row r="1484" spans="22:26" x14ac:dyDescent="0.2">
      <c r="V1484" s="123" t="str">
        <f t="shared" si="33"/>
        <v>1w</v>
      </c>
      <c r="W1484" s="82">
        <f>_xll.qlCalendarAdvance(Calendar,W1483,V1484,"f",FALSE)</f>
        <v>49297</v>
      </c>
      <c r="X1484" s="91">
        <f>_xll.qlCalendarAdvance(Calendar,W1484,NDays&amp;"D")</f>
        <v>49297</v>
      </c>
      <c r="Y1484" s="92" t="e">
        <v>#N/A</v>
      </c>
      <c r="Z1484" s="94" t="e">
        <v>#N/A</v>
      </c>
    </row>
    <row r="1485" spans="22:26" x14ac:dyDescent="0.2">
      <c r="V1485" s="123" t="str">
        <f t="shared" si="33"/>
        <v>1w</v>
      </c>
      <c r="W1485" s="82">
        <f>_xll.qlCalendarAdvance(Calendar,W1484,V1485,"f",FALSE)</f>
        <v>49305</v>
      </c>
      <c r="X1485" s="91">
        <f>_xll.qlCalendarAdvance(Calendar,W1485,NDays&amp;"D")</f>
        <v>49305</v>
      </c>
      <c r="Y1485" s="92" t="e">
        <v>#N/A</v>
      </c>
      <c r="Z1485" s="94" t="e">
        <v>#N/A</v>
      </c>
    </row>
    <row r="1486" spans="22:26" x14ac:dyDescent="0.2">
      <c r="V1486" s="123" t="str">
        <f t="shared" si="33"/>
        <v>1w</v>
      </c>
      <c r="W1486" s="82">
        <f>_xll.qlCalendarAdvance(Calendar,W1485,V1486,"f",FALSE)</f>
        <v>49312</v>
      </c>
      <c r="X1486" s="91">
        <f>_xll.qlCalendarAdvance(Calendar,W1486,NDays&amp;"D")</f>
        <v>49312</v>
      </c>
      <c r="Y1486" s="92" t="e">
        <v>#N/A</v>
      </c>
      <c r="Z1486" s="94" t="e">
        <v>#N/A</v>
      </c>
    </row>
    <row r="1487" spans="22:26" x14ac:dyDescent="0.2">
      <c r="V1487" s="123" t="str">
        <f t="shared" si="33"/>
        <v>1w</v>
      </c>
      <c r="W1487" s="82">
        <f>_xll.qlCalendarAdvance(Calendar,W1486,V1487,"f",FALSE)</f>
        <v>49319</v>
      </c>
      <c r="X1487" s="91">
        <f>_xll.qlCalendarAdvance(Calendar,W1487,NDays&amp;"D")</f>
        <v>49319</v>
      </c>
      <c r="Y1487" s="92" t="e">
        <v>#N/A</v>
      </c>
      <c r="Z1487" s="94" t="e">
        <v>#N/A</v>
      </c>
    </row>
    <row r="1488" spans="22:26" x14ac:dyDescent="0.2">
      <c r="V1488" s="123" t="str">
        <f t="shared" si="33"/>
        <v>1w</v>
      </c>
      <c r="W1488" s="82">
        <f>_xll.qlCalendarAdvance(Calendar,W1487,V1488,"f",FALSE)</f>
        <v>49326</v>
      </c>
      <c r="X1488" s="91">
        <f>_xll.qlCalendarAdvance(Calendar,W1488,NDays&amp;"D")</f>
        <v>49326</v>
      </c>
      <c r="Y1488" s="92" t="e">
        <v>#N/A</v>
      </c>
      <c r="Z1488" s="94" t="e">
        <v>#N/A</v>
      </c>
    </row>
    <row r="1489" spans="22:26" x14ac:dyDescent="0.2">
      <c r="V1489" s="123" t="str">
        <f t="shared" si="33"/>
        <v>1w</v>
      </c>
      <c r="W1489" s="82">
        <f>_xll.qlCalendarAdvance(Calendar,W1488,V1489,"f",FALSE)</f>
        <v>49333</v>
      </c>
      <c r="X1489" s="91">
        <f>_xll.qlCalendarAdvance(Calendar,W1489,NDays&amp;"D")</f>
        <v>49333</v>
      </c>
      <c r="Y1489" s="92" t="e">
        <v>#N/A</v>
      </c>
      <c r="Z1489" s="94" t="e">
        <v>#N/A</v>
      </c>
    </row>
    <row r="1490" spans="22:26" x14ac:dyDescent="0.2">
      <c r="V1490" s="123" t="str">
        <f t="shared" si="33"/>
        <v>1w</v>
      </c>
      <c r="W1490" s="82">
        <f>_xll.qlCalendarAdvance(Calendar,W1489,V1490,"f",FALSE)</f>
        <v>49340</v>
      </c>
      <c r="X1490" s="91">
        <f>_xll.qlCalendarAdvance(Calendar,W1490,NDays&amp;"D")</f>
        <v>49340</v>
      </c>
      <c r="Y1490" s="92" t="e">
        <v>#N/A</v>
      </c>
      <c r="Z1490" s="94" t="e">
        <v>#N/A</v>
      </c>
    </row>
    <row r="1491" spans="22:26" x14ac:dyDescent="0.2">
      <c r="V1491" s="123" t="str">
        <f t="shared" si="33"/>
        <v>1w</v>
      </c>
      <c r="W1491" s="82">
        <f>_xll.qlCalendarAdvance(Calendar,W1490,V1491,"f",FALSE)</f>
        <v>49347</v>
      </c>
      <c r="X1491" s="91">
        <f>_xll.qlCalendarAdvance(Calendar,W1491,NDays&amp;"D")</f>
        <v>49347</v>
      </c>
      <c r="Y1491" s="92" t="e">
        <v>#N/A</v>
      </c>
      <c r="Z1491" s="94" t="e">
        <v>#N/A</v>
      </c>
    </row>
    <row r="1492" spans="22:26" x14ac:dyDescent="0.2">
      <c r="V1492" s="123" t="str">
        <f t="shared" si="33"/>
        <v>1w</v>
      </c>
      <c r="W1492" s="82">
        <f>_xll.qlCalendarAdvance(Calendar,W1491,V1492,"f",FALSE)</f>
        <v>49354</v>
      </c>
      <c r="X1492" s="91">
        <f>_xll.qlCalendarAdvance(Calendar,W1492,NDays&amp;"D")</f>
        <v>49354</v>
      </c>
      <c r="Y1492" s="92" t="e">
        <v>#N/A</v>
      </c>
      <c r="Z1492" s="94" t="e">
        <v>#N/A</v>
      </c>
    </row>
    <row r="1493" spans="22:26" x14ac:dyDescent="0.2">
      <c r="V1493" s="123" t="str">
        <f t="shared" ref="V1493:V1556" si="34">V1492</f>
        <v>1w</v>
      </c>
      <c r="W1493" s="82">
        <f>_xll.qlCalendarAdvance(Calendar,W1492,V1493,"f",FALSE)</f>
        <v>49361</v>
      </c>
      <c r="X1493" s="91">
        <f>_xll.qlCalendarAdvance(Calendar,W1493,NDays&amp;"D")</f>
        <v>49361</v>
      </c>
      <c r="Y1493" s="92" t="e">
        <v>#N/A</v>
      </c>
      <c r="Z1493" s="94" t="e">
        <v>#N/A</v>
      </c>
    </row>
    <row r="1494" spans="22:26" x14ac:dyDescent="0.2">
      <c r="V1494" s="123" t="str">
        <f t="shared" si="34"/>
        <v>1w</v>
      </c>
      <c r="W1494" s="82">
        <f>_xll.qlCalendarAdvance(Calendar,W1493,V1494,"f",FALSE)</f>
        <v>49368</v>
      </c>
      <c r="X1494" s="91">
        <f>_xll.qlCalendarAdvance(Calendar,W1494,NDays&amp;"D")</f>
        <v>49368</v>
      </c>
      <c r="Y1494" s="92" t="e">
        <v>#N/A</v>
      </c>
      <c r="Z1494" s="94" t="e">
        <v>#N/A</v>
      </c>
    </row>
    <row r="1495" spans="22:26" x14ac:dyDescent="0.2">
      <c r="V1495" s="123" t="str">
        <f t="shared" si="34"/>
        <v>1w</v>
      </c>
      <c r="W1495" s="82">
        <f>_xll.qlCalendarAdvance(Calendar,W1494,V1495,"f",FALSE)</f>
        <v>49375</v>
      </c>
      <c r="X1495" s="91">
        <f>_xll.qlCalendarAdvance(Calendar,W1495,NDays&amp;"D")</f>
        <v>49375</v>
      </c>
      <c r="Y1495" s="92" t="e">
        <v>#N/A</v>
      </c>
      <c r="Z1495" s="94" t="e">
        <v>#N/A</v>
      </c>
    </row>
    <row r="1496" spans="22:26" x14ac:dyDescent="0.2">
      <c r="V1496" s="123" t="str">
        <f t="shared" si="34"/>
        <v>1w</v>
      </c>
      <c r="W1496" s="82">
        <f>_xll.qlCalendarAdvance(Calendar,W1495,V1496,"f",FALSE)</f>
        <v>49382</v>
      </c>
      <c r="X1496" s="91">
        <f>_xll.qlCalendarAdvance(Calendar,W1496,NDays&amp;"D")</f>
        <v>49382</v>
      </c>
      <c r="Y1496" s="92" t="e">
        <v>#N/A</v>
      </c>
      <c r="Z1496" s="94" t="e">
        <v>#N/A</v>
      </c>
    </row>
    <row r="1497" spans="22:26" x14ac:dyDescent="0.2">
      <c r="V1497" s="123" t="str">
        <f t="shared" si="34"/>
        <v>1w</v>
      </c>
      <c r="W1497" s="82">
        <f>_xll.qlCalendarAdvance(Calendar,W1496,V1497,"f",FALSE)</f>
        <v>49389</v>
      </c>
      <c r="X1497" s="91">
        <f>_xll.qlCalendarAdvance(Calendar,W1497,NDays&amp;"D")</f>
        <v>49389</v>
      </c>
      <c r="Y1497" s="92" t="e">
        <v>#N/A</v>
      </c>
      <c r="Z1497" s="94" t="e">
        <v>#N/A</v>
      </c>
    </row>
    <row r="1498" spans="22:26" x14ac:dyDescent="0.2">
      <c r="V1498" s="123" t="str">
        <f t="shared" si="34"/>
        <v>1w</v>
      </c>
      <c r="W1498" s="82">
        <f>_xll.qlCalendarAdvance(Calendar,W1497,V1498,"f",FALSE)</f>
        <v>49396</v>
      </c>
      <c r="X1498" s="91">
        <f>_xll.qlCalendarAdvance(Calendar,W1498,NDays&amp;"D")</f>
        <v>49396</v>
      </c>
      <c r="Y1498" s="92" t="e">
        <v>#N/A</v>
      </c>
      <c r="Z1498" s="94" t="e">
        <v>#N/A</v>
      </c>
    </row>
    <row r="1499" spans="22:26" x14ac:dyDescent="0.2">
      <c r="V1499" s="123" t="str">
        <f t="shared" si="34"/>
        <v>1w</v>
      </c>
      <c r="W1499" s="82">
        <f>_xll.qlCalendarAdvance(Calendar,W1498,V1499,"f",FALSE)</f>
        <v>49403</v>
      </c>
      <c r="X1499" s="91">
        <f>_xll.qlCalendarAdvance(Calendar,W1499,NDays&amp;"D")</f>
        <v>49403</v>
      </c>
      <c r="Y1499" s="92" t="e">
        <v>#N/A</v>
      </c>
      <c r="Z1499" s="94" t="e">
        <v>#N/A</v>
      </c>
    </row>
    <row r="1500" spans="22:26" x14ac:dyDescent="0.2">
      <c r="V1500" s="123" t="str">
        <f t="shared" si="34"/>
        <v>1w</v>
      </c>
      <c r="W1500" s="82">
        <f>_xll.qlCalendarAdvance(Calendar,W1499,V1500,"f",FALSE)</f>
        <v>49410</v>
      </c>
      <c r="X1500" s="91">
        <f>_xll.qlCalendarAdvance(Calendar,W1500,NDays&amp;"D")</f>
        <v>49410</v>
      </c>
      <c r="Y1500" s="92" t="e">
        <v>#N/A</v>
      </c>
      <c r="Z1500" s="94" t="e">
        <v>#N/A</v>
      </c>
    </row>
    <row r="1501" spans="22:26" x14ac:dyDescent="0.2">
      <c r="V1501" s="123" t="str">
        <f t="shared" si="34"/>
        <v>1w</v>
      </c>
      <c r="W1501" s="82">
        <f>_xll.qlCalendarAdvance(Calendar,W1500,V1501,"f",FALSE)</f>
        <v>49417</v>
      </c>
      <c r="X1501" s="91">
        <f>_xll.qlCalendarAdvance(Calendar,W1501,NDays&amp;"D")</f>
        <v>49417</v>
      </c>
      <c r="Y1501" s="92" t="e">
        <v>#N/A</v>
      </c>
      <c r="Z1501" s="94" t="e">
        <v>#N/A</v>
      </c>
    </row>
    <row r="1502" spans="22:26" x14ac:dyDescent="0.2">
      <c r="V1502" s="123" t="str">
        <f t="shared" si="34"/>
        <v>1w</v>
      </c>
      <c r="W1502" s="82">
        <f>_xll.qlCalendarAdvance(Calendar,W1501,V1502,"f",FALSE)</f>
        <v>49424</v>
      </c>
      <c r="X1502" s="91">
        <f>_xll.qlCalendarAdvance(Calendar,W1502,NDays&amp;"D")</f>
        <v>49424</v>
      </c>
      <c r="Y1502" s="92" t="e">
        <v>#N/A</v>
      </c>
      <c r="Z1502" s="94" t="e">
        <v>#N/A</v>
      </c>
    </row>
    <row r="1503" spans="22:26" x14ac:dyDescent="0.2">
      <c r="V1503" s="123" t="str">
        <f t="shared" si="34"/>
        <v>1w</v>
      </c>
      <c r="W1503" s="82">
        <f>_xll.qlCalendarAdvance(Calendar,W1502,V1503,"f",FALSE)</f>
        <v>49431</v>
      </c>
      <c r="X1503" s="91">
        <f>_xll.qlCalendarAdvance(Calendar,W1503,NDays&amp;"D")</f>
        <v>49431</v>
      </c>
      <c r="Y1503" s="92" t="e">
        <v>#N/A</v>
      </c>
      <c r="Z1503" s="94" t="e">
        <v>#N/A</v>
      </c>
    </row>
    <row r="1504" spans="22:26" x14ac:dyDescent="0.2">
      <c r="V1504" s="123" t="str">
        <f t="shared" si="34"/>
        <v>1w</v>
      </c>
      <c r="W1504" s="82">
        <f>_xll.qlCalendarAdvance(Calendar,W1503,V1504,"f",FALSE)</f>
        <v>49438</v>
      </c>
      <c r="X1504" s="91">
        <f>_xll.qlCalendarAdvance(Calendar,W1504,NDays&amp;"D")</f>
        <v>49438</v>
      </c>
      <c r="Y1504" s="92" t="e">
        <v>#N/A</v>
      </c>
      <c r="Z1504" s="94" t="e">
        <v>#N/A</v>
      </c>
    </row>
    <row r="1505" spans="22:26" x14ac:dyDescent="0.2">
      <c r="V1505" s="123" t="str">
        <f t="shared" si="34"/>
        <v>1w</v>
      </c>
      <c r="W1505" s="82">
        <f>_xll.qlCalendarAdvance(Calendar,W1504,V1505,"f",FALSE)</f>
        <v>49445</v>
      </c>
      <c r="X1505" s="91">
        <f>_xll.qlCalendarAdvance(Calendar,W1505,NDays&amp;"D")</f>
        <v>49445</v>
      </c>
      <c r="Y1505" s="92" t="e">
        <v>#N/A</v>
      </c>
      <c r="Z1505" s="94" t="e">
        <v>#N/A</v>
      </c>
    </row>
    <row r="1506" spans="22:26" x14ac:dyDescent="0.2">
      <c r="V1506" s="123" t="str">
        <f t="shared" si="34"/>
        <v>1w</v>
      </c>
      <c r="W1506" s="82">
        <f>_xll.qlCalendarAdvance(Calendar,W1505,V1506,"f",FALSE)</f>
        <v>49452</v>
      </c>
      <c r="X1506" s="91">
        <f>_xll.qlCalendarAdvance(Calendar,W1506,NDays&amp;"D")</f>
        <v>49452</v>
      </c>
      <c r="Y1506" s="92" t="e">
        <v>#N/A</v>
      </c>
      <c r="Z1506" s="94" t="e">
        <v>#N/A</v>
      </c>
    </row>
    <row r="1507" spans="22:26" x14ac:dyDescent="0.2">
      <c r="V1507" s="123" t="str">
        <f t="shared" si="34"/>
        <v>1w</v>
      </c>
      <c r="W1507" s="82">
        <f>_xll.qlCalendarAdvance(Calendar,W1506,V1507,"f",FALSE)</f>
        <v>49459</v>
      </c>
      <c r="X1507" s="91">
        <f>_xll.qlCalendarAdvance(Calendar,W1507,NDays&amp;"D")</f>
        <v>49459</v>
      </c>
      <c r="Y1507" s="92" t="e">
        <v>#N/A</v>
      </c>
      <c r="Z1507" s="94" t="e">
        <v>#N/A</v>
      </c>
    </row>
    <row r="1508" spans="22:26" x14ac:dyDescent="0.2">
      <c r="V1508" s="123" t="str">
        <f t="shared" si="34"/>
        <v>1w</v>
      </c>
      <c r="W1508" s="82">
        <f>_xll.qlCalendarAdvance(Calendar,W1507,V1508,"f",FALSE)</f>
        <v>49466</v>
      </c>
      <c r="X1508" s="91">
        <f>_xll.qlCalendarAdvance(Calendar,W1508,NDays&amp;"D")</f>
        <v>49466</v>
      </c>
      <c r="Y1508" s="92" t="e">
        <v>#N/A</v>
      </c>
      <c r="Z1508" s="94" t="e">
        <v>#N/A</v>
      </c>
    </row>
    <row r="1509" spans="22:26" x14ac:dyDescent="0.2">
      <c r="V1509" s="123" t="str">
        <f t="shared" si="34"/>
        <v>1w</v>
      </c>
      <c r="W1509" s="82">
        <f>_xll.qlCalendarAdvance(Calendar,W1508,V1509,"f",FALSE)</f>
        <v>49473</v>
      </c>
      <c r="X1509" s="91">
        <f>_xll.qlCalendarAdvance(Calendar,W1509,NDays&amp;"D")</f>
        <v>49473</v>
      </c>
      <c r="Y1509" s="92" t="e">
        <v>#N/A</v>
      </c>
      <c r="Z1509" s="94" t="e">
        <v>#N/A</v>
      </c>
    </row>
    <row r="1510" spans="22:26" x14ac:dyDescent="0.2">
      <c r="V1510" s="123" t="str">
        <f t="shared" si="34"/>
        <v>1w</v>
      </c>
      <c r="W1510" s="82">
        <f>_xll.qlCalendarAdvance(Calendar,W1509,V1510,"f",FALSE)</f>
        <v>49480</v>
      </c>
      <c r="X1510" s="91">
        <f>_xll.qlCalendarAdvance(Calendar,W1510,NDays&amp;"D")</f>
        <v>49480</v>
      </c>
      <c r="Y1510" s="92" t="e">
        <v>#N/A</v>
      </c>
      <c r="Z1510" s="94" t="e">
        <v>#N/A</v>
      </c>
    </row>
    <row r="1511" spans="22:26" x14ac:dyDescent="0.2">
      <c r="V1511" s="123" t="str">
        <f t="shared" si="34"/>
        <v>1w</v>
      </c>
      <c r="W1511" s="82">
        <f>_xll.qlCalendarAdvance(Calendar,W1510,V1511,"f",FALSE)</f>
        <v>49487</v>
      </c>
      <c r="X1511" s="91">
        <f>_xll.qlCalendarAdvance(Calendar,W1511,NDays&amp;"D")</f>
        <v>49487</v>
      </c>
      <c r="Y1511" s="92" t="e">
        <v>#N/A</v>
      </c>
      <c r="Z1511" s="94" t="e">
        <v>#N/A</v>
      </c>
    </row>
    <row r="1512" spans="22:26" x14ac:dyDescent="0.2">
      <c r="V1512" s="123" t="str">
        <f t="shared" si="34"/>
        <v>1w</v>
      </c>
      <c r="W1512" s="82">
        <f>_xll.qlCalendarAdvance(Calendar,W1511,V1512,"f",FALSE)</f>
        <v>49494</v>
      </c>
      <c r="X1512" s="91">
        <f>_xll.qlCalendarAdvance(Calendar,W1512,NDays&amp;"D")</f>
        <v>49494</v>
      </c>
      <c r="Y1512" s="92" t="e">
        <v>#N/A</v>
      </c>
      <c r="Z1512" s="94" t="e">
        <v>#N/A</v>
      </c>
    </row>
    <row r="1513" spans="22:26" x14ac:dyDescent="0.2">
      <c r="V1513" s="123" t="str">
        <f t="shared" si="34"/>
        <v>1w</v>
      </c>
      <c r="W1513" s="82">
        <f>_xll.qlCalendarAdvance(Calendar,W1512,V1513,"f",FALSE)</f>
        <v>49501</v>
      </c>
      <c r="X1513" s="91">
        <f>_xll.qlCalendarAdvance(Calendar,W1513,NDays&amp;"D")</f>
        <v>49501</v>
      </c>
      <c r="Y1513" s="92" t="e">
        <v>#N/A</v>
      </c>
      <c r="Z1513" s="94" t="e">
        <v>#N/A</v>
      </c>
    </row>
    <row r="1514" spans="22:26" x14ac:dyDescent="0.2">
      <c r="V1514" s="123" t="str">
        <f t="shared" si="34"/>
        <v>1w</v>
      </c>
      <c r="W1514" s="82">
        <f>_xll.qlCalendarAdvance(Calendar,W1513,V1514,"f",FALSE)</f>
        <v>49508</v>
      </c>
      <c r="X1514" s="91">
        <f>_xll.qlCalendarAdvance(Calendar,W1514,NDays&amp;"D")</f>
        <v>49508</v>
      </c>
      <c r="Y1514" s="92" t="e">
        <v>#N/A</v>
      </c>
      <c r="Z1514" s="94" t="e">
        <v>#N/A</v>
      </c>
    </row>
    <row r="1515" spans="22:26" x14ac:dyDescent="0.2">
      <c r="V1515" s="123" t="str">
        <f t="shared" si="34"/>
        <v>1w</v>
      </c>
      <c r="W1515" s="82">
        <f>_xll.qlCalendarAdvance(Calendar,W1514,V1515,"f",FALSE)</f>
        <v>49515</v>
      </c>
      <c r="X1515" s="91">
        <f>_xll.qlCalendarAdvance(Calendar,W1515,NDays&amp;"D")</f>
        <v>49515</v>
      </c>
      <c r="Y1515" s="92" t="e">
        <v>#N/A</v>
      </c>
      <c r="Z1515" s="94" t="e">
        <v>#N/A</v>
      </c>
    </row>
    <row r="1516" spans="22:26" x14ac:dyDescent="0.2">
      <c r="V1516" s="123" t="str">
        <f t="shared" si="34"/>
        <v>1w</v>
      </c>
      <c r="W1516" s="82">
        <f>_xll.qlCalendarAdvance(Calendar,W1515,V1516,"f",FALSE)</f>
        <v>49522</v>
      </c>
      <c r="X1516" s="91">
        <f>_xll.qlCalendarAdvance(Calendar,W1516,NDays&amp;"D")</f>
        <v>49522</v>
      </c>
      <c r="Y1516" s="92" t="e">
        <v>#N/A</v>
      </c>
      <c r="Z1516" s="94" t="e">
        <v>#N/A</v>
      </c>
    </row>
    <row r="1517" spans="22:26" x14ac:dyDescent="0.2">
      <c r="V1517" s="123" t="str">
        <f t="shared" si="34"/>
        <v>1w</v>
      </c>
      <c r="W1517" s="82">
        <f>_xll.qlCalendarAdvance(Calendar,W1516,V1517,"f",FALSE)</f>
        <v>49529</v>
      </c>
      <c r="X1517" s="91">
        <f>_xll.qlCalendarAdvance(Calendar,W1517,NDays&amp;"D")</f>
        <v>49529</v>
      </c>
      <c r="Y1517" s="92" t="e">
        <v>#N/A</v>
      </c>
      <c r="Z1517" s="94" t="e">
        <v>#N/A</v>
      </c>
    </row>
    <row r="1518" spans="22:26" x14ac:dyDescent="0.2">
      <c r="V1518" s="123" t="str">
        <f t="shared" si="34"/>
        <v>1w</v>
      </c>
      <c r="W1518" s="82">
        <f>_xll.qlCalendarAdvance(Calendar,W1517,V1518,"f",FALSE)</f>
        <v>49536</v>
      </c>
      <c r="X1518" s="91">
        <f>_xll.qlCalendarAdvance(Calendar,W1518,NDays&amp;"D")</f>
        <v>49536</v>
      </c>
      <c r="Y1518" s="92" t="e">
        <v>#N/A</v>
      </c>
      <c r="Z1518" s="94" t="e">
        <v>#N/A</v>
      </c>
    </row>
    <row r="1519" spans="22:26" x14ac:dyDescent="0.2">
      <c r="V1519" s="123" t="str">
        <f t="shared" si="34"/>
        <v>1w</v>
      </c>
      <c r="W1519" s="82">
        <f>_xll.qlCalendarAdvance(Calendar,W1518,V1519,"f",FALSE)</f>
        <v>49543</v>
      </c>
      <c r="X1519" s="91">
        <f>_xll.qlCalendarAdvance(Calendar,W1519,NDays&amp;"D")</f>
        <v>49543</v>
      </c>
      <c r="Y1519" s="92" t="e">
        <v>#N/A</v>
      </c>
      <c r="Z1519" s="94" t="e">
        <v>#N/A</v>
      </c>
    </row>
    <row r="1520" spans="22:26" x14ac:dyDescent="0.2">
      <c r="V1520" s="123" t="str">
        <f t="shared" si="34"/>
        <v>1w</v>
      </c>
      <c r="W1520" s="82">
        <f>_xll.qlCalendarAdvance(Calendar,W1519,V1520,"f",FALSE)</f>
        <v>49550</v>
      </c>
      <c r="X1520" s="91">
        <f>_xll.qlCalendarAdvance(Calendar,W1520,NDays&amp;"D")</f>
        <v>49550</v>
      </c>
      <c r="Y1520" s="92" t="e">
        <v>#N/A</v>
      </c>
      <c r="Z1520" s="94" t="e">
        <v>#N/A</v>
      </c>
    </row>
    <row r="1521" spans="22:26" x14ac:dyDescent="0.2">
      <c r="V1521" s="123" t="str">
        <f t="shared" si="34"/>
        <v>1w</v>
      </c>
      <c r="W1521" s="82">
        <f>_xll.qlCalendarAdvance(Calendar,W1520,V1521,"f",FALSE)</f>
        <v>49557</v>
      </c>
      <c r="X1521" s="91">
        <f>_xll.qlCalendarAdvance(Calendar,W1521,NDays&amp;"D")</f>
        <v>49557</v>
      </c>
      <c r="Y1521" s="92" t="e">
        <v>#N/A</v>
      </c>
      <c r="Z1521" s="94" t="e">
        <v>#N/A</v>
      </c>
    </row>
    <row r="1522" spans="22:26" x14ac:dyDescent="0.2">
      <c r="V1522" s="123" t="str">
        <f t="shared" si="34"/>
        <v>1w</v>
      </c>
      <c r="W1522" s="82">
        <f>_xll.qlCalendarAdvance(Calendar,W1521,V1522,"f",FALSE)</f>
        <v>49564</v>
      </c>
      <c r="X1522" s="91">
        <f>_xll.qlCalendarAdvance(Calendar,W1522,NDays&amp;"D")</f>
        <v>49564</v>
      </c>
      <c r="Y1522" s="92" t="e">
        <v>#N/A</v>
      </c>
      <c r="Z1522" s="94" t="e">
        <v>#N/A</v>
      </c>
    </row>
    <row r="1523" spans="22:26" x14ac:dyDescent="0.2">
      <c r="V1523" s="123" t="str">
        <f t="shared" si="34"/>
        <v>1w</v>
      </c>
      <c r="W1523" s="82">
        <f>_xll.qlCalendarAdvance(Calendar,W1522,V1523,"f",FALSE)</f>
        <v>49571</v>
      </c>
      <c r="X1523" s="91">
        <f>_xll.qlCalendarAdvance(Calendar,W1523,NDays&amp;"D")</f>
        <v>49571</v>
      </c>
      <c r="Y1523" s="92" t="e">
        <v>#N/A</v>
      </c>
      <c r="Z1523" s="94" t="e">
        <v>#N/A</v>
      </c>
    </row>
    <row r="1524" spans="22:26" x14ac:dyDescent="0.2">
      <c r="V1524" s="123" t="str">
        <f t="shared" si="34"/>
        <v>1w</v>
      </c>
      <c r="W1524" s="82">
        <f>_xll.qlCalendarAdvance(Calendar,W1523,V1524,"f",FALSE)</f>
        <v>49578</v>
      </c>
      <c r="X1524" s="91">
        <f>_xll.qlCalendarAdvance(Calendar,W1524,NDays&amp;"D")</f>
        <v>49578</v>
      </c>
      <c r="Y1524" s="92" t="e">
        <v>#N/A</v>
      </c>
      <c r="Z1524" s="94" t="e">
        <v>#N/A</v>
      </c>
    </row>
    <row r="1525" spans="22:26" x14ac:dyDescent="0.2">
      <c r="V1525" s="123" t="str">
        <f t="shared" si="34"/>
        <v>1w</v>
      </c>
      <c r="W1525" s="82">
        <f>_xll.qlCalendarAdvance(Calendar,W1524,V1525,"f",FALSE)</f>
        <v>49585</v>
      </c>
      <c r="X1525" s="91">
        <f>_xll.qlCalendarAdvance(Calendar,W1525,NDays&amp;"D")</f>
        <v>49585</v>
      </c>
      <c r="Y1525" s="92" t="e">
        <v>#N/A</v>
      </c>
      <c r="Z1525" s="94" t="e">
        <v>#N/A</v>
      </c>
    </row>
    <row r="1526" spans="22:26" x14ac:dyDescent="0.2">
      <c r="V1526" s="123" t="str">
        <f t="shared" si="34"/>
        <v>1w</v>
      </c>
      <c r="W1526" s="82">
        <f>_xll.qlCalendarAdvance(Calendar,W1525,V1526,"f",FALSE)</f>
        <v>49592</v>
      </c>
      <c r="X1526" s="91">
        <f>_xll.qlCalendarAdvance(Calendar,W1526,NDays&amp;"D")</f>
        <v>49592</v>
      </c>
      <c r="Y1526" s="92" t="e">
        <v>#N/A</v>
      </c>
      <c r="Z1526" s="94" t="e">
        <v>#N/A</v>
      </c>
    </row>
    <row r="1527" spans="22:26" x14ac:dyDescent="0.2">
      <c r="V1527" s="123" t="str">
        <f t="shared" si="34"/>
        <v>1w</v>
      </c>
      <c r="W1527" s="82">
        <f>_xll.qlCalendarAdvance(Calendar,W1526,V1527,"f",FALSE)</f>
        <v>49599</v>
      </c>
      <c r="X1527" s="91">
        <f>_xll.qlCalendarAdvance(Calendar,W1527,NDays&amp;"D")</f>
        <v>49599</v>
      </c>
      <c r="Y1527" s="92" t="e">
        <v>#N/A</v>
      </c>
      <c r="Z1527" s="94" t="e">
        <v>#N/A</v>
      </c>
    </row>
    <row r="1528" spans="22:26" x14ac:dyDescent="0.2">
      <c r="V1528" s="123" t="str">
        <f t="shared" si="34"/>
        <v>1w</v>
      </c>
      <c r="W1528" s="82">
        <f>_xll.qlCalendarAdvance(Calendar,W1527,V1528,"f",FALSE)</f>
        <v>49606</v>
      </c>
      <c r="X1528" s="91">
        <f>_xll.qlCalendarAdvance(Calendar,W1528,NDays&amp;"D")</f>
        <v>49606</v>
      </c>
      <c r="Y1528" s="92" t="e">
        <v>#N/A</v>
      </c>
      <c r="Z1528" s="94" t="e">
        <v>#N/A</v>
      </c>
    </row>
    <row r="1529" spans="22:26" x14ac:dyDescent="0.2">
      <c r="V1529" s="123" t="str">
        <f t="shared" si="34"/>
        <v>1w</v>
      </c>
      <c r="W1529" s="82">
        <f>_xll.qlCalendarAdvance(Calendar,W1528,V1529,"f",FALSE)</f>
        <v>49613</v>
      </c>
      <c r="X1529" s="91">
        <f>_xll.qlCalendarAdvance(Calendar,W1529,NDays&amp;"D")</f>
        <v>49613</v>
      </c>
      <c r="Y1529" s="92" t="e">
        <v>#N/A</v>
      </c>
      <c r="Z1529" s="94" t="e">
        <v>#N/A</v>
      </c>
    </row>
    <row r="1530" spans="22:26" x14ac:dyDescent="0.2">
      <c r="V1530" s="123" t="str">
        <f t="shared" si="34"/>
        <v>1w</v>
      </c>
      <c r="W1530" s="82">
        <f>_xll.qlCalendarAdvance(Calendar,W1529,V1530,"f",FALSE)</f>
        <v>49620</v>
      </c>
      <c r="X1530" s="91">
        <f>_xll.qlCalendarAdvance(Calendar,W1530,NDays&amp;"D")</f>
        <v>49620</v>
      </c>
      <c r="Y1530" s="92" t="e">
        <v>#N/A</v>
      </c>
      <c r="Z1530" s="94" t="e">
        <v>#N/A</v>
      </c>
    </row>
    <row r="1531" spans="22:26" x14ac:dyDescent="0.2">
      <c r="V1531" s="123" t="str">
        <f t="shared" si="34"/>
        <v>1w</v>
      </c>
      <c r="W1531" s="82">
        <f>_xll.qlCalendarAdvance(Calendar,W1530,V1531,"f",FALSE)</f>
        <v>49627</v>
      </c>
      <c r="X1531" s="91">
        <f>_xll.qlCalendarAdvance(Calendar,W1531,NDays&amp;"D")</f>
        <v>49627</v>
      </c>
      <c r="Y1531" s="92" t="e">
        <v>#N/A</v>
      </c>
      <c r="Z1531" s="94" t="e">
        <v>#N/A</v>
      </c>
    </row>
    <row r="1532" spans="22:26" x14ac:dyDescent="0.2">
      <c r="V1532" s="123" t="str">
        <f t="shared" si="34"/>
        <v>1w</v>
      </c>
      <c r="W1532" s="82">
        <f>_xll.qlCalendarAdvance(Calendar,W1531,V1532,"f",FALSE)</f>
        <v>49634</v>
      </c>
      <c r="X1532" s="91">
        <f>_xll.qlCalendarAdvance(Calendar,W1532,NDays&amp;"D")</f>
        <v>49634</v>
      </c>
      <c r="Y1532" s="92" t="e">
        <v>#N/A</v>
      </c>
      <c r="Z1532" s="94" t="e">
        <v>#N/A</v>
      </c>
    </row>
    <row r="1533" spans="22:26" x14ac:dyDescent="0.2">
      <c r="V1533" s="123" t="str">
        <f t="shared" si="34"/>
        <v>1w</v>
      </c>
      <c r="W1533" s="82">
        <f>_xll.qlCalendarAdvance(Calendar,W1532,V1533,"f",FALSE)</f>
        <v>49641</v>
      </c>
      <c r="X1533" s="91">
        <f>_xll.qlCalendarAdvance(Calendar,W1533,NDays&amp;"D")</f>
        <v>49641</v>
      </c>
      <c r="Y1533" s="92" t="e">
        <v>#N/A</v>
      </c>
      <c r="Z1533" s="94" t="e">
        <v>#N/A</v>
      </c>
    </row>
    <row r="1534" spans="22:26" x14ac:dyDescent="0.2">
      <c r="V1534" s="123" t="str">
        <f t="shared" si="34"/>
        <v>1w</v>
      </c>
      <c r="W1534" s="82">
        <f>_xll.qlCalendarAdvance(Calendar,W1533,V1534,"f",FALSE)</f>
        <v>49648</v>
      </c>
      <c r="X1534" s="91">
        <f>_xll.qlCalendarAdvance(Calendar,W1534,NDays&amp;"D")</f>
        <v>49648</v>
      </c>
      <c r="Y1534" s="92" t="e">
        <v>#N/A</v>
      </c>
      <c r="Z1534" s="94" t="e">
        <v>#N/A</v>
      </c>
    </row>
    <row r="1535" spans="22:26" x14ac:dyDescent="0.2">
      <c r="V1535" s="123" t="str">
        <f t="shared" si="34"/>
        <v>1w</v>
      </c>
      <c r="W1535" s="82">
        <f>_xll.qlCalendarAdvance(Calendar,W1534,V1535,"f",FALSE)</f>
        <v>49655</v>
      </c>
      <c r="X1535" s="91">
        <f>_xll.qlCalendarAdvance(Calendar,W1535,NDays&amp;"D")</f>
        <v>49655</v>
      </c>
      <c r="Y1535" s="92" t="e">
        <v>#N/A</v>
      </c>
      <c r="Z1535" s="94" t="e">
        <v>#N/A</v>
      </c>
    </row>
    <row r="1536" spans="22:26" x14ac:dyDescent="0.2">
      <c r="V1536" s="123" t="str">
        <f t="shared" si="34"/>
        <v>1w</v>
      </c>
      <c r="W1536" s="82">
        <f>_xll.qlCalendarAdvance(Calendar,W1535,V1536,"f",FALSE)</f>
        <v>49662</v>
      </c>
      <c r="X1536" s="91">
        <f>_xll.qlCalendarAdvance(Calendar,W1536,NDays&amp;"D")</f>
        <v>49662</v>
      </c>
      <c r="Y1536" s="92" t="e">
        <v>#N/A</v>
      </c>
      <c r="Z1536" s="94" t="e">
        <v>#N/A</v>
      </c>
    </row>
    <row r="1537" spans="22:26" x14ac:dyDescent="0.2">
      <c r="V1537" s="123" t="str">
        <f t="shared" si="34"/>
        <v>1w</v>
      </c>
      <c r="W1537" s="82">
        <f>_xll.qlCalendarAdvance(Calendar,W1536,V1537,"f",FALSE)</f>
        <v>49670</v>
      </c>
      <c r="X1537" s="91">
        <f>_xll.qlCalendarAdvance(Calendar,W1537,NDays&amp;"D")</f>
        <v>49670</v>
      </c>
      <c r="Y1537" s="92" t="e">
        <v>#N/A</v>
      </c>
      <c r="Z1537" s="94" t="e">
        <v>#N/A</v>
      </c>
    </row>
    <row r="1538" spans="22:26" x14ac:dyDescent="0.2">
      <c r="V1538" s="123" t="str">
        <f t="shared" si="34"/>
        <v>1w</v>
      </c>
      <c r="W1538" s="82">
        <f>_xll.qlCalendarAdvance(Calendar,W1537,V1538,"f",FALSE)</f>
        <v>49677</v>
      </c>
      <c r="X1538" s="91">
        <f>_xll.qlCalendarAdvance(Calendar,W1538,NDays&amp;"D")</f>
        <v>49677</v>
      </c>
      <c r="Y1538" s="92" t="e">
        <v>#N/A</v>
      </c>
      <c r="Z1538" s="94" t="e">
        <v>#N/A</v>
      </c>
    </row>
    <row r="1539" spans="22:26" x14ac:dyDescent="0.2">
      <c r="V1539" s="123" t="str">
        <f t="shared" si="34"/>
        <v>1w</v>
      </c>
      <c r="W1539" s="82">
        <f>_xll.qlCalendarAdvance(Calendar,W1538,V1539,"f",FALSE)</f>
        <v>49684</v>
      </c>
      <c r="X1539" s="91">
        <f>_xll.qlCalendarAdvance(Calendar,W1539,NDays&amp;"D")</f>
        <v>49684</v>
      </c>
      <c r="Y1539" s="92" t="e">
        <v>#N/A</v>
      </c>
      <c r="Z1539" s="94" t="e">
        <v>#N/A</v>
      </c>
    </row>
    <row r="1540" spans="22:26" x14ac:dyDescent="0.2">
      <c r="V1540" s="123" t="str">
        <f t="shared" si="34"/>
        <v>1w</v>
      </c>
      <c r="W1540" s="82">
        <f>_xll.qlCalendarAdvance(Calendar,W1539,V1540,"f",FALSE)</f>
        <v>49691</v>
      </c>
      <c r="X1540" s="91">
        <f>_xll.qlCalendarAdvance(Calendar,W1540,NDays&amp;"D")</f>
        <v>49691</v>
      </c>
      <c r="Y1540" s="92" t="e">
        <v>#N/A</v>
      </c>
      <c r="Z1540" s="94" t="e">
        <v>#N/A</v>
      </c>
    </row>
    <row r="1541" spans="22:26" x14ac:dyDescent="0.2">
      <c r="V1541" s="123" t="str">
        <f t="shared" si="34"/>
        <v>1w</v>
      </c>
      <c r="W1541" s="82">
        <f>_xll.qlCalendarAdvance(Calendar,W1540,V1541,"f",FALSE)</f>
        <v>49698</v>
      </c>
      <c r="X1541" s="91">
        <f>_xll.qlCalendarAdvance(Calendar,W1541,NDays&amp;"D")</f>
        <v>49698</v>
      </c>
      <c r="Y1541" s="92" t="e">
        <v>#N/A</v>
      </c>
      <c r="Z1541" s="94" t="e">
        <v>#N/A</v>
      </c>
    </row>
    <row r="1542" spans="22:26" x14ac:dyDescent="0.2">
      <c r="V1542" s="123" t="str">
        <f t="shared" si="34"/>
        <v>1w</v>
      </c>
      <c r="W1542" s="82">
        <f>_xll.qlCalendarAdvance(Calendar,W1541,V1542,"f",FALSE)</f>
        <v>49705</v>
      </c>
      <c r="X1542" s="91">
        <f>_xll.qlCalendarAdvance(Calendar,W1542,NDays&amp;"D")</f>
        <v>49705</v>
      </c>
      <c r="Y1542" s="92" t="e">
        <v>#N/A</v>
      </c>
      <c r="Z1542" s="94" t="e">
        <v>#N/A</v>
      </c>
    </row>
    <row r="1543" spans="22:26" x14ac:dyDescent="0.2">
      <c r="V1543" s="123" t="str">
        <f t="shared" si="34"/>
        <v>1w</v>
      </c>
      <c r="W1543" s="82">
        <f>_xll.qlCalendarAdvance(Calendar,W1542,V1543,"f",FALSE)</f>
        <v>49712</v>
      </c>
      <c r="X1543" s="91">
        <f>_xll.qlCalendarAdvance(Calendar,W1543,NDays&amp;"D")</f>
        <v>49712</v>
      </c>
      <c r="Y1543" s="92" t="e">
        <v>#N/A</v>
      </c>
      <c r="Z1543" s="94" t="e">
        <v>#N/A</v>
      </c>
    </row>
    <row r="1544" spans="22:26" x14ac:dyDescent="0.2">
      <c r="V1544" s="123" t="str">
        <f t="shared" si="34"/>
        <v>1w</v>
      </c>
      <c r="W1544" s="82">
        <f>_xll.qlCalendarAdvance(Calendar,W1543,V1544,"f",FALSE)</f>
        <v>49719</v>
      </c>
      <c r="X1544" s="91">
        <f>_xll.qlCalendarAdvance(Calendar,W1544,NDays&amp;"D")</f>
        <v>49719</v>
      </c>
      <c r="Y1544" s="92" t="e">
        <v>#N/A</v>
      </c>
      <c r="Z1544" s="94" t="e">
        <v>#N/A</v>
      </c>
    </row>
    <row r="1545" spans="22:26" x14ac:dyDescent="0.2">
      <c r="V1545" s="123" t="str">
        <f t="shared" si="34"/>
        <v>1w</v>
      </c>
      <c r="W1545" s="82">
        <f>_xll.qlCalendarAdvance(Calendar,W1544,V1545,"f",FALSE)</f>
        <v>49726</v>
      </c>
      <c r="X1545" s="91">
        <f>_xll.qlCalendarAdvance(Calendar,W1545,NDays&amp;"D")</f>
        <v>49726</v>
      </c>
      <c r="Y1545" s="92" t="e">
        <v>#N/A</v>
      </c>
      <c r="Z1545" s="94" t="e">
        <v>#N/A</v>
      </c>
    </row>
    <row r="1546" spans="22:26" x14ac:dyDescent="0.2">
      <c r="V1546" s="123" t="str">
        <f t="shared" si="34"/>
        <v>1w</v>
      </c>
      <c r="W1546" s="82">
        <f>_xll.qlCalendarAdvance(Calendar,W1545,V1546,"f",FALSE)</f>
        <v>49733</v>
      </c>
      <c r="X1546" s="91">
        <f>_xll.qlCalendarAdvance(Calendar,W1546,NDays&amp;"D")</f>
        <v>49733</v>
      </c>
      <c r="Y1546" s="92" t="e">
        <v>#N/A</v>
      </c>
      <c r="Z1546" s="94" t="e">
        <v>#N/A</v>
      </c>
    </row>
    <row r="1547" spans="22:26" x14ac:dyDescent="0.2">
      <c r="V1547" s="123" t="str">
        <f t="shared" si="34"/>
        <v>1w</v>
      </c>
      <c r="W1547" s="82">
        <f>_xll.qlCalendarAdvance(Calendar,W1546,V1547,"f",FALSE)</f>
        <v>49740</v>
      </c>
      <c r="X1547" s="91">
        <f>_xll.qlCalendarAdvance(Calendar,W1547,NDays&amp;"D")</f>
        <v>49740</v>
      </c>
      <c r="Y1547" s="92" t="e">
        <v>#N/A</v>
      </c>
      <c r="Z1547" s="94" t="e">
        <v>#N/A</v>
      </c>
    </row>
    <row r="1548" spans="22:26" x14ac:dyDescent="0.2">
      <c r="V1548" s="123" t="str">
        <f t="shared" si="34"/>
        <v>1w</v>
      </c>
      <c r="W1548" s="82">
        <f>_xll.qlCalendarAdvance(Calendar,W1547,V1548,"f",FALSE)</f>
        <v>49747</v>
      </c>
      <c r="X1548" s="91">
        <f>_xll.qlCalendarAdvance(Calendar,W1548,NDays&amp;"D")</f>
        <v>49747</v>
      </c>
      <c r="Y1548" s="92" t="e">
        <v>#N/A</v>
      </c>
      <c r="Z1548" s="94" t="e">
        <v>#N/A</v>
      </c>
    </row>
    <row r="1549" spans="22:26" x14ac:dyDescent="0.2">
      <c r="V1549" s="123" t="str">
        <f t="shared" si="34"/>
        <v>1w</v>
      </c>
      <c r="W1549" s="82">
        <f>_xll.qlCalendarAdvance(Calendar,W1548,V1549,"f",FALSE)</f>
        <v>49754</v>
      </c>
      <c r="X1549" s="91">
        <f>_xll.qlCalendarAdvance(Calendar,W1549,NDays&amp;"D")</f>
        <v>49754</v>
      </c>
      <c r="Y1549" s="92" t="e">
        <v>#N/A</v>
      </c>
      <c r="Z1549" s="94" t="e">
        <v>#N/A</v>
      </c>
    </row>
    <row r="1550" spans="22:26" x14ac:dyDescent="0.2">
      <c r="V1550" s="123" t="str">
        <f t="shared" si="34"/>
        <v>1w</v>
      </c>
      <c r="W1550" s="82">
        <f>_xll.qlCalendarAdvance(Calendar,W1549,V1550,"f",FALSE)</f>
        <v>49761</v>
      </c>
      <c r="X1550" s="91">
        <f>_xll.qlCalendarAdvance(Calendar,W1550,NDays&amp;"D")</f>
        <v>49761</v>
      </c>
      <c r="Y1550" s="92" t="e">
        <v>#N/A</v>
      </c>
      <c r="Z1550" s="94" t="e">
        <v>#N/A</v>
      </c>
    </row>
    <row r="1551" spans="22:26" x14ac:dyDescent="0.2">
      <c r="V1551" s="123" t="str">
        <f t="shared" si="34"/>
        <v>1w</v>
      </c>
      <c r="W1551" s="82">
        <f>_xll.qlCalendarAdvance(Calendar,W1550,V1551,"f",FALSE)</f>
        <v>49768</v>
      </c>
      <c r="X1551" s="91">
        <f>_xll.qlCalendarAdvance(Calendar,W1551,NDays&amp;"D")</f>
        <v>49768</v>
      </c>
      <c r="Y1551" s="92" t="e">
        <v>#N/A</v>
      </c>
      <c r="Z1551" s="94" t="e">
        <v>#N/A</v>
      </c>
    </row>
    <row r="1552" spans="22:26" x14ac:dyDescent="0.2">
      <c r="V1552" s="123" t="str">
        <f t="shared" si="34"/>
        <v>1w</v>
      </c>
      <c r="W1552" s="82">
        <f>_xll.qlCalendarAdvance(Calendar,W1551,V1552,"f",FALSE)</f>
        <v>49775</v>
      </c>
      <c r="X1552" s="91">
        <f>_xll.qlCalendarAdvance(Calendar,W1552,NDays&amp;"D")</f>
        <v>49775</v>
      </c>
      <c r="Y1552" s="92" t="e">
        <v>#N/A</v>
      </c>
      <c r="Z1552" s="94" t="e">
        <v>#N/A</v>
      </c>
    </row>
    <row r="1553" spans="22:26" x14ac:dyDescent="0.2">
      <c r="V1553" s="123" t="str">
        <f t="shared" si="34"/>
        <v>1w</v>
      </c>
      <c r="W1553" s="82">
        <f>_xll.qlCalendarAdvance(Calendar,W1552,V1553,"f",FALSE)</f>
        <v>49782</v>
      </c>
      <c r="X1553" s="91">
        <f>_xll.qlCalendarAdvance(Calendar,W1553,NDays&amp;"D")</f>
        <v>49782</v>
      </c>
      <c r="Y1553" s="92" t="e">
        <v>#N/A</v>
      </c>
      <c r="Z1553" s="94" t="e">
        <v>#N/A</v>
      </c>
    </row>
    <row r="1554" spans="22:26" x14ac:dyDescent="0.2">
      <c r="V1554" s="123" t="str">
        <f t="shared" si="34"/>
        <v>1w</v>
      </c>
      <c r="W1554" s="82">
        <f>_xll.qlCalendarAdvance(Calendar,W1553,V1554,"f",FALSE)</f>
        <v>49789</v>
      </c>
      <c r="X1554" s="91">
        <f>_xll.qlCalendarAdvance(Calendar,W1554,NDays&amp;"D")</f>
        <v>49789</v>
      </c>
      <c r="Y1554" s="92" t="e">
        <v>#N/A</v>
      </c>
      <c r="Z1554" s="94" t="e">
        <v>#N/A</v>
      </c>
    </row>
    <row r="1555" spans="22:26" x14ac:dyDescent="0.2">
      <c r="V1555" s="123" t="str">
        <f t="shared" si="34"/>
        <v>1w</v>
      </c>
      <c r="W1555" s="82">
        <f>_xll.qlCalendarAdvance(Calendar,W1554,V1555,"f",FALSE)</f>
        <v>49797</v>
      </c>
      <c r="X1555" s="91">
        <f>_xll.qlCalendarAdvance(Calendar,W1555,NDays&amp;"D")</f>
        <v>49797</v>
      </c>
      <c r="Y1555" s="92" t="e">
        <v>#N/A</v>
      </c>
      <c r="Z1555" s="94" t="e">
        <v>#N/A</v>
      </c>
    </row>
    <row r="1556" spans="22:26" x14ac:dyDescent="0.2">
      <c r="V1556" s="123" t="str">
        <f t="shared" si="34"/>
        <v>1w</v>
      </c>
      <c r="W1556" s="82">
        <f>_xll.qlCalendarAdvance(Calendar,W1555,V1556,"f",FALSE)</f>
        <v>49804</v>
      </c>
      <c r="X1556" s="91">
        <f>_xll.qlCalendarAdvance(Calendar,W1556,NDays&amp;"D")</f>
        <v>49804</v>
      </c>
      <c r="Y1556" s="92" t="e">
        <v>#N/A</v>
      </c>
      <c r="Z1556" s="94" t="e">
        <v>#N/A</v>
      </c>
    </row>
    <row r="1557" spans="22:26" x14ac:dyDescent="0.2">
      <c r="V1557" s="123" t="str">
        <f t="shared" ref="V1557:V1620" si="35">V1556</f>
        <v>1w</v>
      </c>
      <c r="W1557" s="82">
        <f>_xll.qlCalendarAdvance(Calendar,W1556,V1557,"f",FALSE)</f>
        <v>49811</v>
      </c>
      <c r="X1557" s="91">
        <f>_xll.qlCalendarAdvance(Calendar,W1557,NDays&amp;"D")</f>
        <v>49811</v>
      </c>
      <c r="Y1557" s="92" t="e">
        <v>#N/A</v>
      </c>
      <c r="Z1557" s="94" t="e">
        <v>#N/A</v>
      </c>
    </row>
    <row r="1558" spans="22:26" x14ac:dyDescent="0.2">
      <c r="V1558" s="123" t="str">
        <f t="shared" si="35"/>
        <v>1w</v>
      </c>
      <c r="W1558" s="82">
        <f>_xll.qlCalendarAdvance(Calendar,W1557,V1558,"f",FALSE)</f>
        <v>49818</v>
      </c>
      <c r="X1558" s="91">
        <f>_xll.qlCalendarAdvance(Calendar,W1558,NDays&amp;"D")</f>
        <v>49818</v>
      </c>
      <c r="Y1558" s="92" t="e">
        <v>#N/A</v>
      </c>
      <c r="Z1558" s="94" t="e">
        <v>#N/A</v>
      </c>
    </row>
    <row r="1559" spans="22:26" x14ac:dyDescent="0.2">
      <c r="V1559" s="123" t="str">
        <f t="shared" si="35"/>
        <v>1w</v>
      </c>
      <c r="W1559" s="82">
        <f>_xll.qlCalendarAdvance(Calendar,W1558,V1559,"f",FALSE)</f>
        <v>49825</v>
      </c>
      <c r="X1559" s="91">
        <f>_xll.qlCalendarAdvance(Calendar,W1559,NDays&amp;"D")</f>
        <v>49825</v>
      </c>
      <c r="Y1559" s="92" t="e">
        <v>#N/A</v>
      </c>
      <c r="Z1559" s="94" t="e">
        <v>#N/A</v>
      </c>
    </row>
    <row r="1560" spans="22:26" x14ac:dyDescent="0.2">
      <c r="V1560" s="123" t="str">
        <f t="shared" si="35"/>
        <v>1w</v>
      </c>
      <c r="W1560" s="82">
        <f>_xll.qlCalendarAdvance(Calendar,W1559,V1560,"f",FALSE)</f>
        <v>49832</v>
      </c>
      <c r="X1560" s="91">
        <f>_xll.qlCalendarAdvance(Calendar,W1560,NDays&amp;"D")</f>
        <v>49832</v>
      </c>
      <c r="Y1560" s="92" t="e">
        <v>#N/A</v>
      </c>
      <c r="Z1560" s="94" t="e">
        <v>#N/A</v>
      </c>
    </row>
    <row r="1561" spans="22:26" x14ac:dyDescent="0.2">
      <c r="V1561" s="123" t="str">
        <f t="shared" si="35"/>
        <v>1w</v>
      </c>
      <c r="W1561" s="82">
        <f>_xll.qlCalendarAdvance(Calendar,W1560,V1561,"f",FALSE)</f>
        <v>49839</v>
      </c>
      <c r="X1561" s="91">
        <f>_xll.qlCalendarAdvance(Calendar,W1561,NDays&amp;"D")</f>
        <v>49839</v>
      </c>
      <c r="Y1561" s="92" t="e">
        <v>#N/A</v>
      </c>
      <c r="Z1561" s="94" t="e">
        <v>#N/A</v>
      </c>
    </row>
    <row r="1562" spans="22:26" x14ac:dyDescent="0.2">
      <c r="V1562" s="123" t="str">
        <f t="shared" si="35"/>
        <v>1w</v>
      </c>
      <c r="W1562" s="82">
        <f>_xll.qlCalendarAdvance(Calendar,W1561,V1562,"f",FALSE)</f>
        <v>49846</v>
      </c>
      <c r="X1562" s="91">
        <f>_xll.qlCalendarAdvance(Calendar,W1562,NDays&amp;"D")</f>
        <v>49846</v>
      </c>
      <c r="Y1562" s="92" t="e">
        <v>#N/A</v>
      </c>
      <c r="Z1562" s="94" t="e">
        <v>#N/A</v>
      </c>
    </row>
    <row r="1563" spans="22:26" x14ac:dyDescent="0.2">
      <c r="V1563" s="123" t="str">
        <f t="shared" si="35"/>
        <v>1w</v>
      </c>
      <c r="W1563" s="82">
        <f>_xll.qlCalendarAdvance(Calendar,W1562,V1563,"f",FALSE)</f>
        <v>49853</v>
      </c>
      <c r="X1563" s="91">
        <f>_xll.qlCalendarAdvance(Calendar,W1563,NDays&amp;"D")</f>
        <v>49853</v>
      </c>
      <c r="Y1563" s="92" t="e">
        <v>#N/A</v>
      </c>
      <c r="Z1563" s="94" t="e">
        <v>#N/A</v>
      </c>
    </row>
    <row r="1564" spans="22:26" x14ac:dyDescent="0.2">
      <c r="V1564" s="123" t="str">
        <f t="shared" si="35"/>
        <v>1w</v>
      </c>
      <c r="W1564" s="82">
        <f>_xll.qlCalendarAdvance(Calendar,W1563,V1564,"f",FALSE)</f>
        <v>49860</v>
      </c>
      <c r="X1564" s="91">
        <f>_xll.qlCalendarAdvance(Calendar,W1564,NDays&amp;"D")</f>
        <v>49860</v>
      </c>
      <c r="Y1564" s="92" t="e">
        <v>#N/A</v>
      </c>
      <c r="Z1564" s="94" t="e">
        <v>#N/A</v>
      </c>
    </row>
    <row r="1565" spans="22:26" x14ac:dyDescent="0.2">
      <c r="V1565" s="123" t="str">
        <f t="shared" si="35"/>
        <v>1w</v>
      </c>
      <c r="W1565" s="82">
        <f>_xll.qlCalendarAdvance(Calendar,W1564,V1565,"f",FALSE)</f>
        <v>49867</v>
      </c>
      <c r="X1565" s="91">
        <f>_xll.qlCalendarAdvance(Calendar,W1565,NDays&amp;"D")</f>
        <v>49867</v>
      </c>
      <c r="Y1565" s="92" t="e">
        <v>#N/A</v>
      </c>
      <c r="Z1565" s="94" t="e">
        <v>#N/A</v>
      </c>
    </row>
    <row r="1566" spans="22:26" x14ac:dyDescent="0.2">
      <c r="V1566" s="123" t="str">
        <f t="shared" si="35"/>
        <v>1w</v>
      </c>
      <c r="W1566" s="82">
        <f>_xll.qlCalendarAdvance(Calendar,W1565,V1566,"f",FALSE)</f>
        <v>49874</v>
      </c>
      <c r="X1566" s="91">
        <f>_xll.qlCalendarAdvance(Calendar,W1566,NDays&amp;"D")</f>
        <v>49874</v>
      </c>
      <c r="Y1566" s="92" t="e">
        <v>#N/A</v>
      </c>
      <c r="Z1566" s="94" t="e">
        <v>#N/A</v>
      </c>
    </row>
    <row r="1567" spans="22:26" x14ac:dyDescent="0.2">
      <c r="V1567" s="123" t="str">
        <f t="shared" si="35"/>
        <v>1w</v>
      </c>
      <c r="W1567" s="82">
        <f>_xll.qlCalendarAdvance(Calendar,W1566,V1567,"f",FALSE)</f>
        <v>49881</v>
      </c>
      <c r="X1567" s="91">
        <f>_xll.qlCalendarAdvance(Calendar,W1567,NDays&amp;"D")</f>
        <v>49881</v>
      </c>
      <c r="Y1567" s="92" t="e">
        <v>#N/A</v>
      </c>
      <c r="Z1567" s="94" t="e">
        <v>#N/A</v>
      </c>
    </row>
    <row r="1568" spans="22:26" x14ac:dyDescent="0.2">
      <c r="V1568" s="123" t="str">
        <f t="shared" si="35"/>
        <v>1w</v>
      </c>
      <c r="W1568" s="82">
        <f>_xll.qlCalendarAdvance(Calendar,W1567,V1568,"f",FALSE)</f>
        <v>49888</v>
      </c>
      <c r="X1568" s="91">
        <f>_xll.qlCalendarAdvance(Calendar,W1568,NDays&amp;"D")</f>
        <v>49888</v>
      </c>
      <c r="Y1568" s="92" t="e">
        <v>#N/A</v>
      </c>
      <c r="Z1568" s="94" t="e">
        <v>#N/A</v>
      </c>
    </row>
    <row r="1569" spans="22:26" x14ac:dyDescent="0.2">
      <c r="V1569" s="123" t="str">
        <f t="shared" si="35"/>
        <v>1w</v>
      </c>
      <c r="W1569" s="82">
        <f>_xll.qlCalendarAdvance(Calendar,W1568,V1569,"f",FALSE)</f>
        <v>49895</v>
      </c>
      <c r="X1569" s="91">
        <f>_xll.qlCalendarAdvance(Calendar,W1569,NDays&amp;"D")</f>
        <v>49895</v>
      </c>
      <c r="Y1569" s="92" t="e">
        <v>#N/A</v>
      </c>
      <c r="Z1569" s="94" t="e">
        <v>#N/A</v>
      </c>
    </row>
    <row r="1570" spans="22:26" x14ac:dyDescent="0.2">
      <c r="V1570" s="123" t="str">
        <f t="shared" si="35"/>
        <v>1w</v>
      </c>
      <c r="W1570" s="82">
        <f>_xll.qlCalendarAdvance(Calendar,W1569,V1570,"f",FALSE)</f>
        <v>49902</v>
      </c>
      <c r="X1570" s="91">
        <f>_xll.qlCalendarAdvance(Calendar,W1570,NDays&amp;"D")</f>
        <v>49902</v>
      </c>
      <c r="Y1570" s="92" t="e">
        <v>#N/A</v>
      </c>
      <c r="Z1570" s="94" t="e">
        <v>#N/A</v>
      </c>
    </row>
    <row r="1571" spans="22:26" x14ac:dyDescent="0.2">
      <c r="V1571" s="123" t="str">
        <f t="shared" si="35"/>
        <v>1w</v>
      </c>
      <c r="W1571" s="82">
        <f>_xll.qlCalendarAdvance(Calendar,W1570,V1571,"f",FALSE)</f>
        <v>49909</v>
      </c>
      <c r="X1571" s="91">
        <f>_xll.qlCalendarAdvance(Calendar,W1571,NDays&amp;"D")</f>
        <v>49909</v>
      </c>
      <c r="Y1571" s="92" t="e">
        <v>#N/A</v>
      </c>
      <c r="Z1571" s="94" t="e">
        <v>#N/A</v>
      </c>
    </row>
    <row r="1572" spans="22:26" x14ac:dyDescent="0.2">
      <c r="V1572" s="123" t="str">
        <f t="shared" si="35"/>
        <v>1w</v>
      </c>
      <c r="W1572" s="82">
        <f>_xll.qlCalendarAdvance(Calendar,W1571,V1572,"f",FALSE)</f>
        <v>49916</v>
      </c>
      <c r="X1572" s="91">
        <f>_xll.qlCalendarAdvance(Calendar,W1572,NDays&amp;"D")</f>
        <v>49916</v>
      </c>
      <c r="Y1572" s="92" t="e">
        <v>#N/A</v>
      </c>
      <c r="Z1572" s="94" t="e">
        <v>#N/A</v>
      </c>
    </row>
    <row r="1573" spans="22:26" x14ac:dyDescent="0.2">
      <c r="V1573" s="123" t="str">
        <f t="shared" si="35"/>
        <v>1w</v>
      </c>
      <c r="W1573" s="82">
        <f>_xll.qlCalendarAdvance(Calendar,W1572,V1573,"f",FALSE)</f>
        <v>49923</v>
      </c>
      <c r="X1573" s="91">
        <f>_xll.qlCalendarAdvance(Calendar,W1573,NDays&amp;"D")</f>
        <v>49923</v>
      </c>
      <c r="Y1573" s="92" t="e">
        <v>#N/A</v>
      </c>
      <c r="Z1573" s="94" t="e">
        <v>#N/A</v>
      </c>
    </row>
    <row r="1574" spans="22:26" x14ac:dyDescent="0.2">
      <c r="V1574" s="123" t="str">
        <f t="shared" si="35"/>
        <v>1w</v>
      </c>
      <c r="W1574" s="82">
        <f>_xll.qlCalendarAdvance(Calendar,W1573,V1574,"f",FALSE)</f>
        <v>49930</v>
      </c>
      <c r="X1574" s="91">
        <f>_xll.qlCalendarAdvance(Calendar,W1574,NDays&amp;"D")</f>
        <v>49930</v>
      </c>
      <c r="Y1574" s="92" t="e">
        <v>#N/A</v>
      </c>
      <c r="Z1574" s="94" t="e">
        <v>#N/A</v>
      </c>
    </row>
    <row r="1575" spans="22:26" x14ac:dyDescent="0.2">
      <c r="V1575" s="123" t="str">
        <f t="shared" si="35"/>
        <v>1w</v>
      </c>
      <c r="W1575" s="82">
        <f>_xll.qlCalendarAdvance(Calendar,W1574,V1575,"f",FALSE)</f>
        <v>49937</v>
      </c>
      <c r="X1575" s="91">
        <f>_xll.qlCalendarAdvance(Calendar,W1575,NDays&amp;"D")</f>
        <v>49937</v>
      </c>
      <c r="Y1575" s="92" t="e">
        <v>#N/A</v>
      </c>
      <c r="Z1575" s="94" t="e">
        <v>#N/A</v>
      </c>
    </row>
    <row r="1576" spans="22:26" x14ac:dyDescent="0.2">
      <c r="V1576" s="123" t="str">
        <f t="shared" si="35"/>
        <v>1w</v>
      </c>
      <c r="W1576" s="82">
        <f>_xll.qlCalendarAdvance(Calendar,W1575,V1576,"f",FALSE)</f>
        <v>49944</v>
      </c>
      <c r="X1576" s="91">
        <f>_xll.qlCalendarAdvance(Calendar,W1576,NDays&amp;"D")</f>
        <v>49944</v>
      </c>
      <c r="Y1576" s="92" t="e">
        <v>#N/A</v>
      </c>
      <c r="Z1576" s="94" t="e">
        <v>#N/A</v>
      </c>
    </row>
    <row r="1577" spans="22:26" x14ac:dyDescent="0.2">
      <c r="V1577" s="123" t="str">
        <f t="shared" si="35"/>
        <v>1w</v>
      </c>
      <c r="W1577" s="82">
        <f>_xll.qlCalendarAdvance(Calendar,W1576,V1577,"f",FALSE)</f>
        <v>49951</v>
      </c>
      <c r="X1577" s="91">
        <f>_xll.qlCalendarAdvance(Calendar,W1577,NDays&amp;"D")</f>
        <v>49951</v>
      </c>
      <c r="Y1577" s="92" t="e">
        <v>#N/A</v>
      </c>
      <c r="Z1577" s="94" t="e">
        <v>#N/A</v>
      </c>
    </row>
    <row r="1578" spans="22:26" x14ac:dyDescent="0.2">
      <c r="V1578" s="123" t="str">
        <f t="shared" si="35"/>
        <v>1w</v>
      </c>
      <c r="W1578" s="82">
        <f>_xll.qlCalendarAdvance(Calendar,W1577,V1578,"f",FALSE)</f>
        <v>49958</v>
      </c>
      <c r="X1578" s="91">
        <f>_xll.qlCalendarAdvance(Calendar,W1578,NDays&amp;"D")</f>
        <v>49958</v>
      </c>
      <c r="Y1578" s="92" t="e">
        <v>#N/A</v>
      </c>
      <c r="Z1578" s="94" t="e">
        <v>#N/A</v>
      </c>
    </row>
    <row r="1579" spans="22:26" x14ac:dyDescent="0.2">
      <c r="V1579" s="123" t="str">
        <f t="shared" si="35"/>
        <v>1w</v>
      </c>
      <c r="W1579" s="82">
        <f>_xll.qlCalendarAdvance(Calendar,W1578,V1579,"f",FALSE)</f>
        <v>49965</v>
      </c>
      <c r="X1579" s="91">
        <f>_xll.qlCalendarAdvance(Calendar,W1579,NDays&amp;"D")</f>
        <v>49965</v>
      </c>
      <c r="Y1579" s="92" t="e">
        <v>#N/A</v>
      </c>
      <c r="Z1579" s="94" t="e">
        <v>#N/A</v>
      </c>
    </row>
    <row r="1580" spans="22:26" x14ac:dyDescent="0.2">
      <c r="V1580" s="123" t="str">
        <f t="shared" si="35"/>
        <v>1w</v>
      </c>
      <c r="W1580" s="82">
        <f>_xll.qlCalendarAdvance(Calendar,W1579,V1580,"f",FALSE)</f>
        <v>49972</v>
      </c>
      <c r="X1580" s="91">
        <f>_xll.qlCalendarAdvance(Calendar,W1580,NDays&amp;"D")</f>
        <v>49972</v>
      </c>
      <c r="Y1580" s="92" t="e">
        <v>#N/A</v>
      </c>
      <c r="Z1580" s="94" t="e">
        <v>#N/A</v>
      </c>
    </row>
    <row r="1581" spans="22:26" x14ac:dyDescent="0.2">
      <c r="V1581" s="123" t="str">
        <f t="shared" si="35"/>
        <v>1w</v>
      </c>
      <c r="W1581" s="82">
        <f>_xll.qlCalendarAdvance(Calendar,W1580,V1581,"f",FALSE)</f>
        <v>49979</v>
      </c>
      <c r="X1581" s="91">
        <f>_xll.qlCalendarAdvance(Calendar,W1581,NDays&amp;"D")</f>
        <v>49979</v>
      </c>
      <c r="Y1581" s="92" t="e">
        <v>#N/A</v>
      </c>
      <c r="Z1581" s="94" t="e">
        <v>#N/A</v>
      </c>
    </row>
    <row r="1582" spans="22:26" x14ac:dyDescent="0.2">
      <c r="V1582" s="123" t="str">
        <f t="shared" si="35"/>
        <v>1w</v>
      </c>
      <c r="W1582" s="82">
        <f>_xll.qlCalendarAdvance(Calendar,W1581,V1582,"f",FALSE)</f>
        <v>49986</v>
      </c>
      <c r="X1582" s="91">
        <f>_xll.qlCalendarAdvance(Calendar,W1582,NDays&amp;"D")</f>
        <v>49986</v>
      </c>
      <c r="Y1582" s="92" t="e">
        <v>#N/A</v>
      </c>
      <c r="Z1582" s="94" t="e">
        <v>#N/A</v>
      </c>
    </row>
    <row r="1583" spans="22:26" x14ac:dyDescent="0.2">
      <c r="V1583" s="123" t="str">
        <f t="shared" si="35"/>
        <v>1w</v>
      </c>
      <c r="W1583" s="82">
        <f>_xll.qlCalendarAdvance(Calendar,W1582,V1583,"f",FALSE)</f>
        <v>49993</v>
      </c>
      <c r="X1583" s="91">
        <f>_xll.qlCalendarAdvance(Calendar,W1583,NDays&amp;"D")</f>
        <v>49993</v>
      </c>
      <c r="Y1583" s="92" t="e">
        <v>#N/A</v>
      </c>
      <c r="Z1583" s="94" t="e">
        <v>#N/A</v>
      </c>
    </row>
    <row r="1584" spans="22:26" x14ac:dyDescent="0.2">
      <c r="V1584" s="123" t="str">
        <f t="shared" si="35"/>
        <v>1w</v>
      </c>
      <c r="W1584" s="82">
        <f>_xll.qlCalendarAdvance(Calendar,W1583,V1584,"f",FALSE)</f>
        <v>50000</v>
      </c>
      <c r="X1584" s="91">
        <f>_xll.qlCalendarAdvance(Calendar,W1584,NDays&amp;"D")</f>
        <v>50000</v>
      </c>
      <c r="Y1584" s="92" t="e">
        <v>#N/A</v>
      </c>
      <c r="Z1584" s="94" t="e">
        <v>#N/A</v>
      </c>
    </row>
    <row r="1585" spans="22:26" x14ac:dyDescent="0.2">
      <c r="V1585" s="123" t="str">
        <f t="shared" si="35"/>
        <v>1w</v>
      </c>
      <c r="W1585" s="82">
        <f>_xll.qlCalendarAdvance(Calendar,W1584,V1585,"f",FALSE)</f>
        <v>50007</v>
      </c>
      <c r="X1585" s="91">
        <f>_xll.qlCalendarAdvance(Calendar,W1585,NDays&amp;"D")</f>
        <v>50007</v>
      </c>
      <c r="Y1585" s="92" t="e">
        <v>#N/A</v>
      </c>
      <c r="Z1585" s="94" t="e">
        <v>#N/A</v>
      </c>
    </row>
    <row r="1586" spans="22:26" x14ac:dyDescent="0.2">
      <c r="V1586" s="123" t="str">
        <f t="shared" si="35"/>
        <v>1w</v>
      </c>
      <c r="W1586" s="82">
        <f>_xll.qlCalendarAdvance(Calendar,W1585,V1586,"f",FALSE)</f>
        <v>50014</v>
      </c>
      <c r="X1586" s="91">
        <f>_xll.qlCalendarAdvance(Calendar,W1586,NDays&amp;"D")</f>
        <v>50014</v>
      </c>
      <c r="Y1586" s="92" t="e">
        <v>#N/A</v>
      </c>
      <c r="Z1586" s="94" t="e">
        <v>#N/A</v>
      </c>
    </row>
    <row r="1587" spans="22:26" x14ac:dyDescent="0.2">
      <c r="V1587" s="123" t="str">
        <f t="shared" si="35"/>
        <v>1w</v>
      </c>
      <c r="W1587" s="82">
        <f>_xll.qlCalendarAdvance(Calendar,W1586,V1587,"f",FALSE)</f>
        <v>50021</v>
      </c>
      <c r="X1587" s="91">
        <f>_xll.qlCalendarAdvance(Calendar,W1587,NDays&amp;"D")</f>
        <v>50021</v>
      </c>
      <c r="Y1587" s="92" t="e">
        <v>#N/A</v>
      </c>
      <c r="Z1587" s="94" t="e">
        <v>#N/A</v>
      </c>
    </row>
    <row r="1588" spans="22:26" x14ac:dyDescent="0.2">
      <c r="V1588" s="123" t="str">
        <f t="shared" si="35"/>
        <v>1w</v>
      </c>
      <c r="W1588" s="82">
        <f>_xll.qlCalendarAdvance(Calendar,W1587,V1588,"f",FALSE)</f>
        <v>50028</v>
      </c>
      <c r="X1588" s="91">
        <f>_xll.qlCalendarAdvance(Calendar,W1588,NDays&amp;"D")</f>
        <v>50028</v>
      </c>
      <c r="Y1588" s="92" t="e">
        <v>#N/A</v>
      </c>
      <c r="Z1588" s="94" t="e">
        <v>#N/A</v>
      </c>
    </row>
    <row r="1589" spans="22:26" x14ac:dyDescent="0.2">
      <c r="V1589" s="123" t="str">
        <f t="shared" si="35"/>
        <v>1w</v>
      </c>
      <c r="W1589" s="82">
        <f>_xll.qlCalendarAdvance(Calendar,W1588,V1589,"f",FALSE)</f>
        <v>50038</v>
      </c>
      <c r="X1589" s="91">
        <f>_xll.qlCalendarAdvance(Calendar,W1589,NDays&amp;"D")</f>
        <v>50038</v>
      </c>
      <c r="Y1589" s="92" t="e">
        <v>#N/A</v>
      </c>
      <c r="Z1589" s="94" t="e">
        <v>#N/A</v>
      </c>
    </row>
    <row r="1590" spans="22:26" x14ac:dyDescent="0.2">
      <c r="V1590" s="123" t="str">
        <f t="shared" si="35"/>
        <v>1w</v>
      </c>
      <c r="W1590" s="82">
        <f>_xll.qlCalendarAdvance(Calendar,W1589,V1590,"f",FALSE)</f>
        <v>50045</v>
      </c>
      <c r="X1590" s="91">
        <f>_xll.qlCalendarAdvance(Calendar,W1590,NDays&amp;"D")</f>
        <v>50045</v>
      </c>
      <c r="Y1590" s="92" t="e">
        <v>#N/A</v>
      </c>
      <c r="Z1590" s="94" t="e">
        <v>#N/A</v>
      </c>
    </row>
    <row r="1591" spans="22:26" x14ac:dyDescent="0.2">
      <c r="V1591" s="123" t="str">
        <f t="shared" si="35"/>
        <v>1w</v>
      </c>
      <c r="W1591" s="82">
        <f>_xll.qlCalendarAdvance(Calendar,W1590,V1591,"f",FALSE)</f>
        <v>50052</v>
      </c>
      <c r="X1591" s="91">
        <f>_xll.qlCalendarAdvance(Calendar,W1591,NDays&amp;"D")</f>
        <v>50052</v>
      </c>
      <c r="Y1591" s="92" t="e">
        <v>#N/A</v>
      </c>
      <c r="Z1591" s="94" t="e">
        <v>#N/A</v>
      </c>
    </row>
    <row r="1592" spans="22:26" x14ac:dyDescent="0.2">
      <c r="V1592" s="123" t="str">
        <f t="shared" si="35"/>
        <v>1w</v>
      </c>
      <c r="W1592" s="82">
        <f>_xll.qlCalendarAdvance(Calendar,W1591,V1592,"f",FALSE)</f>
        <v>50059</v>
      </c>
      <c r="X1592" s="91">
        <f>_xll.qlCalendarAdvance(Calendar,W1592,NDays&amp;"D")</f>
        <v>50059</v>
      </c>
      <c r="Y1592" s="92" t="e">
        <v>#N/A</v>
      </c>
      <c r="Z1592" s="94" t="e">
        <v>#N/A</v>
      </c>
    </row>
    <row r="1593" spans="22:26" x14ac:dyDescent="0.2">
      <c r="V1593" s="123" t="str">
        <f t="shared" si="35"/>
        <v>1w</v>
      </c>
      <c r="W1593" s="82">
        <f>_xll.qlCalendarAdvance(Calendar,W1592,V1593,"f",FALSE)</f>
        <v>50066</v>
      </c>
      <c r="X1593" s="91">
        <f>_xll.qlCalendarAdvance(Calendar,W1593,NDays&amp;"D")</f>
        <v>50066</v>
      </c>
      <c r="Y1593" s="92" t="e">
        <v>#N/A</v>
      </c>
      <c r="Z1593" s="94" t="e">
        <v>#N/A</v>
      </c>
    </row>
    <row r="1594" spans="22:26" x14ac:dyDescent="0.2">
      <c r="V1594" s="123" t="str">
        <f t="shared" si="35"/>
        <v>1w</v>
      </c>
      <c r="W1594" s="82">
        <f>_xll.qlCalendarAdvance(Calendar,W1593,V1594,"f",FALSE)</f>
        <v>50073</v>
      </c>
      <c r="X1594" s="91">
        <f>_xll.qlCalendarAdvance(Calendar,W1594,NDays&amp;"D")</f>
        <v>50073</v>
      </c>
      <c r="Y1594" s="92" t="e">
        <v>#N/A</v>
      </c>
      <c r="Z1594" s="94" t="e">
        <v>#N/A</v>
      </c>
    </row>
    <row r="1595" spans="22:26" x14ac:dyDescent="0.2">
      <c r="V1595" s="123" t="str">
        <f t="shared" si="35"/>
        <v>1w</v>
      </c>
      <c r="W1595" s="82">
        <f>_xll.qlCalendarAdvance(Calendar,W1594,V1595,"f",FALSE)</f>
        <v>50080</v>
      </c>
      <c r="X1595" s="91">
        <f>_xll.qlCalendarAdvance(Calendar,W1595,NDays&amp;"D")</f>
        <v>50080</v>
      </c>
      <c r="Y1595" s="92" t="e">
        <v>#N/A</v>
      </c>
      <c r="Z1595" s="94" t="e">
        <v>#N/A</v>
      </c>
    </row>
    <row r="1596" spans="22:26" x14ac:dyDescent="0.2">
      <c r="V1596" s="123" t="str">
        <f t="shared" si="35"/>
        <v>1w</v>
      </c>
      <c r="W1596" s="82">
        <f>_xll.qlCalendarAdvance(Calendar,W1595,V1596,"f",FALSE)</f>
        <v>50087</v>
      </c>
      <c r="X1596" s="91">
        <f>_xll.qlCalendarAdvance(Calendar,W1596,NDays&amp;"D")</f>
        <v>50087</v>
      </c>
      <c r="Y1596" s="92" t="e">
        <v>#N/A</v>
      </c>
      <c r="Z1596" s="94" t="e">
        <v>#N/A</v>
      </c>
    </row>
    <row r="1597" spans="22:26" x14ac:dyDescent="0.2">
      <c r="V1597" s="123" t="str">
        <f t="shared" si="35"/>
        <v>1w</v>
      </c>
      <c r="W1597" s="82">
        <f>_xll.qlCalendarAdvance(Calendar,W1596,V1597,"f",FALSE)</f>
        <v>50094</v>
      </c>
      <c r="X1597" s="91">
        <f>_xll.qlCalendarAdvance(Calendar,W1597,NDays&amp;"D")</f>
        <v>50094</v>
      </c>
      <c r="Y1597" s="92" t="e">
        <v>#N/A</v>
      </c>
      <c r="Z1597" s="94" t="e">
        <v>#N/A</v>
      </c>
    </row>
    <row r="1598" spans="22:26" x14ac:dyDescent="0.2">
      <c r="V1598" s="123" t="str">
        <f t="shared" si="35"/>
        <v>1w</v>
      </c>
      <c r="W1598" s="82">
        <f>_xll.qlCalendarAdvance(Calendar,W1597,V1598,"f",FALSE)</f>
        <v>50101</v>
      </c>
      <c r="X1598" s="91">
        <f>_xll.qlCalendarAdvance(Calendar,W1598,NDays&amp;"D")</f>
        <v>50101</v>
      </c>
      <c r="Y1598" s="92" t="e">
        <v>#N/A</v>
      </c>
      <c r="Z1598" s="94" t="e">
        <v>#N/A</v>
      </c>
    </row>
    <row r="1599" spans="22:26" x14ac:dyDescent="0.2">
      <c r="V1599" s="123" t="str">
        <f t="shared" si="35"/>
        <v>1w</v>
      </c>
      <c r="W1599" s="82">
        <f>_xll.qlCalendarAdvance(Calendar,W1598,V1599,"f",FALSE)</f>
        <v>50108</v>
      </c>
      <c r="X1599" s="91">
        <f>_xll.qlCalendarAdvance(Calendar,W1599,NDays&amp;"D")</f>
        <v>50108</v>
      </c>
      <c r="Y1599" s="92" t="e">
        <v>#N/A</v>
      </c>
      <c r="Z1599" s="94" t="e">
        <v>#N/A</v>
      </c>
    </row>
    <row r="1600" spans="22:26" x14ac:dyDescent="0.2">
      <c r="V1600" s="123" t="str">
        <f t="shared" si="35"/>
        <v>1w</v>
      </c>
      <c r="W1600" s="82">
        <f>_xll.qlCalendarAdvance(Calendar,W1599,V1600,"f",FALSE)</f>
        <v>50115</v>
      </c>
      <c r="X1600" s="91">
        <f>_xll.qlCalendarAdvance(Calendar,W1600,NDays&amp;"D")</f>
        <v>50115</v>
      </c>
      <c r="Y1600" s="92" t="e">
        <v>#N/A</v>
      </c>
      <c r="Z1600" s="94" t="e">
        <v>#N/A</v>
      </c>
    </row>
    <row r="1601" spans="22:26" x14ac:dyDescent="0.2">
      <c r="V1601" s="123" t="str">
        <f t="shared" si="35"/>
        <v>1w</v>
      </c>
      <c r="W1601" s="82">
        <f>_xll.qlCalendarAdvance(Calendar,W1600,V1601,"f",FALSE)</f>
        <v>50122</v>
      </c>
      <c r="X1601" s="91">
        <f>_xll.qlCalendarAdvance(Calendar,W1601,NDays&amp;"D")</f>
        <v>50122</v>
      </c>
      <c r="Y1601" s="92" t="e">
        <v>#N/A</v>
      </c>
      <c r="Z1601" s="94" t="e">
        <v>#N/A</v>
      </c>
    </row>
    <row r="1602" spans="22:26" x14ac:dyDescent="0.2">
      <c r="V1602" s="123" t="str">
        <f t="shared" si="35"/>
        <v>1w</v>
      </c>
      <c r="W1602" s="82">
        <f>_xll.qlCalendarAdvance(Calendar,W1601,V1602,"f",FALSE)</f>
        <v>50129</v>
      </c>
      <c r="X1602" s="91">
        <f>_xll.qlCalendarAdvance(Calendar,W1602,NDays&amp;"D")</f>
        <v>50129</v>
      </c>
      <c r="Y1602" s="92" t="e">
        <v>#N/A</v>
      </c>
      <c r="Z1602" s="94" t="e">
        <v>#N/A</v>
      </c>
    </row>
    <row r="1603" spans="22:26" x14ac:dyDescent="0.2">
      <c r="V1603" s="123" t="str">
        <f t="shared" si="35"/>
        <v>1w</v>
      </c>
      <c r="W1603" s="82">
        <f>_xll.qlCalendarAdvance(Calendar,W1602,V1603,"f",FALSE)</f>
        <v>50137</v>
      </c>
      <c r="X1603" s="91">
        <f>_xll.qlCalendarAdvance(Calendar,W1603,NDays&amp;"D")</f>
        <v>50137</v>
      </c>
      <c r="Y1603" s="92" t="e">
        <v>#N/A</v>
      </c>
      <c r="Z1603" s="94" t="e">
        <v>#N/A</v>
      </c>
    </row>
    <row r="1604" spans="22:26" x14ac:dyDescent="0.2">
      <c r="V1604" s="123" t="str">
        <f t="shared" si="35"/>
        <v>1w</v>
      </c>
      <c r="W1604" s="82">
        <f>_xll.qlCalendarAdvance(Calendar,W1603,V1604,"f",FALSE)</f>
        <v>50144</v>
      </c>
      <c r="X1604" s="91">
        <f>_xll.qlCalendarAdvance(Calendar,W1604,NDays&amp;"D")</f>
        <v>50144</v>
      </c>
      <c r="Y1604" s="92" t="e">
        <v>#N/A</v>
      </c>
      <c r="Z1604" s="94" t="e">
        <v>#N/A</v>
      </c>
    </row>
    <row r="1605" spans="22:26" x14ac:dyDescent="0.2">
      <c r="V1605" s="123" t="str">
        <f t="shared" si="35"/>
        <v>1w</v>
      </c>
      <c r="W1605" s="82">
        <f>_xll.qlCalendarAdvance(Calendar,W1604,V1605,"f",FALSE)</f>
        <v>50151</v>
      </c>
      <c r="X1605" s="91">
        <f>_xll.qlCalendarAdvance(Calendar,W1605,NDays&amp;"D")</f>
        <v>50151</v>
      </c>
      <c r="Y1605" s="92" t="e">
        <v>#N/A</v>
      </c>
      <c r="Z1605" s="94" t="e">
        <v>#N/A</v>
      </c>
    </row>
    <row r="1606" spans="22:26" x14ac:dyDescent="0.2">
      <c r="V1606" s="123" t="str">
        <f t="shared" si="35"/>
        <v>1w</v>
      </c>
      <c r="W1606" s="82">
        <f>_xll.qlCalendarAdvance(Calendar,W1605,V1606,"f",FALSE)</f>
        <v>50158</v>
      </c>
      <c r="X1606" s="91">
        <f>_xll.qlCalendarAdvance(Calendar,W1606,NDays&amp;"D")</f>
        <v>50158</v>
      </c>
      <c r="Y1606" s="92" t="e">
        <v>#N/A</v>
      </c>
      <c r="Z1606" s="94" t="e">
        <v>#N/A</v>
      </c>
    </row>
    <row r="1607" spans="22:26" x14ac:dyDescent="0.2">
      <c r="V1607" s="123" t="str">
        <f t="shared" si="35"/>
        <v>1w</v>
      </c>
      <c r="W1607" s="82">
        <f>_xll.qlCalendarAdvance(Calendar,W1606,V1607,"f",FALSE)</f>
        <v>50165</v>
      </c>
      <c r="X1607" s="91">
        <f>_xll.qlCalendarAdvance(Calendar,W1607,NDays&amp;"D")</f>
        <v>50165</v>
      </c>
      <c r="Y1607" s="92" t="e">
        <v>#N/A</v>
      </c>
      <c r="Z1607" s="94" t="e">
        <v>#N/A</v>
      </c>
    </row>
    <row r="1608" spans="22:26" x14ac:dyDescent="0.2">
      <c r="V1608" s="123" t="str">
        <f t="shared" si="35"/>
        <v>1w</v>
      </c>
      <c r="W1608" s="82">
        <f>_xll.qlCalendarAdvance(Calendar,W1607,V1608,"f",FALSE)</f>
        <v>50172</v>
      </c>
      <c r="X1608" s="91">
        <f>_xll.qlCalendarAdvance(Calendar,W1608,NDays&amp;"D")</f>
        <v>50172</v>
      </c>
      <c r="Y1608" s="92" t="e">
        <v>#N/A</v>
      </c>
      <c r="Z1608" s="94" t="e">
        <v>#N/A</v>
      </c>
    </row>
    <row r="1609" spans="22:26" x14ac:dyDescent="0.2">
      <c r="V1609" s="123" t="str">
        <f t="shared" si="35"/>
        <v>1w</v>
      </c>
      <c r="W1609" s="82">
        <f>_xll.qlCalendarAdvance(Calendar,W1608,V1609,"f",FALSE)</f>
        <v>50179</v>
      </c>
      <c r="X1609" s="91">
        <f>_xll.qlCalendarAdvance(Calendar,W1609,NDays&amp;"D")</f>
        <v>50179</v>
      </c>
      <c r="Y1609" s="92" t="e">
        <v>#N/A</v>
      </c>
      <c r="Z1609" s="94" t="e">
        <v>#N/A</v>
      </c>
    </row>
    <row r="1610" spans="22:26" x14ac:dyDescent="0.2">
      <c r="V1610" s="123" t="str">
        <f t="shared" si="35"/>
        <v>1w</v>
      </c>
      <c r="W1610" s="82">
        <f>_xll.qlCalendarAdvance(Calendar,W1609,V1610,"f",FALSE)</f>
        <v>50186</v>
      </c>
      <c r="X1610" s="91">
        <f>_xll.qlCalendarAdvance(Calendar,W1610,NDays&amp;"D")</f>
        <v>50186</v>
      </c>
      <c r="Y1610" s="92" t="e">
        <v>#N/A</v>
      </c>
      <c r="Z1610" s="94" t="e">
        <v>#N/A</v>
      </c>
    </row>
    <row r="1611" spans="22:26" x14ac:dyDescent="0.2">
      <c r="V1611" s="123" t="str">
        <f t="shared" si="35"/>
        <v>1w</v>
      </c>
      <c r="W1611" s="82">
        <f>_xll.qlCalendarAdvance(Calendar,W1610,V1611,"f",FALSE)</f>
        <v>50193</v>
      </c>
      <c r="X1611" s="91">
        <f>_xll.qlCalendarAdvance(Calendar,W1611,NDays&amp;"D")</f>
        <v>50193</v>
      </c>
      <c r="Y1611" s="92" t="e">
        <v>#N/A</v>
      </c>
      <c r="Z1611" s="94" t="e">
        <v>#N/A</v>
      </c>
    </row>
    <row r="1612" spans="22:26" x14ac:dyDescent="0.2">
      <c r="V1612" s="123" t="str">
        <f t="shared" si="35"/>
        <v>1w</v>
      </c>
      <c r="W1612" s="82">
        <f>_xll.qlCalendarAdvance(Calendar,W1611,V1612,"f",FALSE)</f>
        <v>50200</v>
      </c>
      <c r="X1612" s="91">
        <f>_xll.qlCalendarAdvance(Calendar,W1612,NDays&amp;"D")</f>
        <v>50200</v>
      </c>
      <c r="Y1612" s="92" t="e">
        <v>#N/A</v>
      </c>
      <c r="Z1612" s="94" t="e">
        <v>#N/A</v>
      </c>
    </row>
    <row r="1613" spans="22:26" x14ac:dyDescent="0.2">
      <c r="V1613" s="123" t="str">
        <f t="shared" si="35"/>
        <v>1w</v>
      </c>
      <c r="W1613" s="82">
        <f>_xll.qlCalendarAdvance(Calendar,W1612,V1613,"f",FALSE)</f>
        <v>50207</v>
      </c>
      <c r="X1613" s="91">
        <f>_xll.qlCalendarAdvance(Calendar,W1613,NDays&amp;"D")</f>
        <v>50207</v>
      </c>
      <c r="Y1613" s="92" t="e">
        <v>#N/A</v>
      </c>
      <c r="Z1613" s="94" t="e">
        <v>#N/A</v>
      </c>
    </row>
    <row r="1614" spans="22:26" x14ac:dyDescent="0.2">
      <c r="V1614" s="123" t="str">
        <f t="shared" si="35"/>
        <v>1w</v>
      </c>
      <c r="W1614" s="82">
        <f>_xll.qlCalendarAdvance(Calendar,W1613,V1614,"f",FALSE)</f>
        <v>50214</v>
      </c>
      <c r="X1614" s="91">
        <f>_xll.qlCalendarAdvance(Calendar,W1614,NDays&amp;"D")</f>
        <v>50214</v>
      </c>
      <c r="Y1614" s="92" t="e">
        <v>#N/A</v>
      </c>
      <c r="Z1614" s="94" t="e">
        <v>#N/A</v>
      </c>
    </row>
    <row r="1615" spans="22:26" x14ac:dyDescent="0.2">
      <c r="V1615" s="123" t="str">
        <f t="shared" si="35"/>
        <v>1w</v>
      </c>
      <c r="W1615" s="82">
        <f>_xll.qlCalendarAdvance(Calendar,W1614,V1615,"f",FALSE)</f>
        <v>50221</v>
      </c>
      <c r="X1615" s="91">
        <f>_xll.qlCalendarAdvance(Calendar,W1615,NDays&amp;"D")</f>
        <v>50221</v>
      </c>
      <c r="Y1615" s="92" t="e">
        <v>#N/A</v>
      </c>
      <c r="Z1615" s="94" t="e">
        <v>#N/A</v>
      </c>
    </row>
    <row r="1616" spans="22:26" x14ac:dyDescent="0.2">
      <c r="V1616" s="123" t="str">
        <f t="shared" si="35"/>
        <v>1w</v>
      </c>
      <c r="W1616" s="82">
        <f>_xll.qlCalendarAdvance(Calendar,W1615,V1616,"f",FALSE)</f>
        <v>50228</v>
      </c>
      <c r="X1616" s="91">
        <f>_xll.qlCalendarAdvance(Calendar,W1616,NDays&amp;"D")</f>
        <v>50228</v>
      </c>
      <c r="Y1616" s="92" t="e">
        <v>#N/A</v>
      </c>
      <c r="Z1616" s="94" t="e">
        <v>#N/A</v>
      </c>
    </row>
    <row r="1617" spans="22:26" x14ac:dyDescent="0.2">
      <c r="V1617" s="123" t="str">
        <f t="shared" si="35"/>
        <v>1w</v>
      </c>
      <c r="W1617" s="82">
        <f>_xll.qlCalendarAdvance(Calendar,W1616,V1617,"f",FALSE)</f>
        <v>50235</v>
      </c>
      <c r="X1617" s="91">
        <f>_xll.qlCalendarAdvance(Calendar,W1617,NDays&amp;"D")</f>
        <v>50235</v>
      </c>
      <c r="Y1617" s="92" t="e">
        <v>#N/A</v>
      </c>
      <c r="Z1617" s="94" t="e">
        <v>#N/A</v>
      </c>
    </row>
    <row r="1618" spans="22:26" x14ac:dyDescent="0.2">
      <c r="V1618" s="123" t="str">
        <f t="shared" si="35"/>
        <v>1w</v>
      </c>
      <c r="W1618" s="82">
        <f>_xll.qlCalendarAdvance(Calendar,W1617,V1618,"f",FALSE)</f>
        <v>50242</v>
      </c>
      <c r="X1618" s="91">
        <f>_xll.qlCalendarAdvance(Calendar,W1618,NDays&amp;"D")</f>
        <v>50242</v>
      </c>
      <c r="Y1618" s="92" t="e">
        <v>#N/A</v>
      </c>
      <c r="Z1618" s="94" t="e">
        <v>#N/A</v>
      </c>
    </row>
    <row r="1619" spans="22:26" x14ac:dyDescent="0.2">
      <c r="V1619" s="123" t="str">
        <f t="shared" si="35"/>
        <v>1w</v>
      </c>
      <c r="W1619" s="82">
        <f>_xll.qlCalendarAdvance(Calendar,W1618,V1619,"f",FALSE)</f>
        <v>50249</v>
      </c>
      <c r="X1619" s="91">
        <f>_xll.qlCalendarAdvance(Calendar,W1619,NDays&amp;"D")</f>
        <v>50249</v>
      </c>
      <c r="Y1619" s="92" t="e">
        <v>#N/A</v>
      </c>
      <c r="Z1619" s="94" t="e">
        <v>#N/A</v>
      </c>
    </row>
    <row r="1620" spans="22:26" x14ac:dyDescent="0.2">
      <c r="V1620" s="123" t="str">
        <f t="shared" si="35"/>
        <v>1w</v>
      </c>
      <c r="W1620" s="82">
        <f>_xll.qlCalendarAdvance(Calendar,W1619,V1620,"f",FALSE)</f>
        <v>50256</v>
      </c>
      <c r="X1620" s="91">
        <f>_xll.qlCalendarAdvance(Calendar,W1620,NDays&amp;"D")</f>
        <v>50256</v>
      </c>
      <c r="Y1620" s="92" t="e">
        <v>#N/A</v>
      </c>
      <c r="Z1620" s="94" t="e">
        <v>#N/A</v>
      </c>
    </row>
    <row r="1621" spans="22:26" x14ac:dyDescent="0.2">
      <c r="V1621" s="123" t="str">
        <f t="shared" ref="V1621:V1684" si="36">V1620</f>
        <v>1w</v>
      </c>
      <c r="W1621" s="82">
        <f>_xll.qlCalendarAdvance(Calendar,W1620,V1621,"f",FALSE)</f>
        <v>50263</v>
      </c>
      <c r="X1621" s="91">
        <f>_xll.qlCalendarAdvance(Calendar,W1621,NDays&amp;"D")</f>
        <v>50263</v>
      </c>
      <c r="Y1621" s="92" t="e">
        <v>#N/A</v>
      </c>
      <c r="Z1621" s="94" t="e">
        <v>#N/A</v>
      </c>
    </row>
    <row r="1622" spans="22:26" x14ac:dyDescent="0.2">
      <c r="V1622" s="123" t="str">
        <f t="shared" si="36"/>
        <v>1w</v>
      </c>
      <c r="W1622" s="82">
        <f>_xll.qlCalendarAdvance(Calendar,W1621,V1622,"f",FALSE)</f>
        <v>50270</v>
      </c>
      <c r="X1622" s="91">
        <f>_xll.qlCalendarAdvance(Calendar,W1622,NDays&amp;"D")</f>
        <v>50270</v>
      </c>
      <c r="Y1622" s="92" t="e">
        <v>#N/A</v>
      </c>
      <c r="Z1622" s="94" t="e">
        <v>#N/A</v>
      </c>
    </row>
    <row r="1623" spans="22:26" x14ac:dyDescent="0.2">
      <c r="V1623" s="123" t="str">
        <f t="shared" si="36"/>
        <v>1w</v>
      </c>
      <c r="W1623" s="82">
        <f>_xll.qlCalendarAdvance(Calendar,W1622,V1623,"f",FALSE)</f>
        <v>50277</v>
      </c>
      <c r="X1623" s="91">
        <f>_xll.qlCalendarAdvance(Calendar,W1623,NDays&amp;"D")</f>
        <v>50277</v>
      </c>
      <c r="Y1623" s="92" t="e">
        <v>#N/A</v>
      </c>
      <c r="Z1623" s="94" t="e">
        <v>#N/A</v>
      </c>
    </row>
    <row r="1624" spans="22:26" x14ac:dyDescent="0.2">
      <c r="V1624" s="123" t="str">
        <f t="shared" si="36"/>
        <v>1w</v>
      </c>
      <c r="W1624" s="82">
        <f>_xll.qlCalendarAdvance(Calendar,W1623,V1624,"f",FALSE)</f>
        <v>50284</v>
      </c>
      <c r="X1624" s="91">
        <f>_xll.qlCalendarAdvance(Calendar,W1624,NDays&amp;"D")</f>
        <v>50284</v>
      </c>
      <c r="Y1624" s="92" t="e">
        <v>#N/A</v>
      </c>
      <c r="Z1624" s="94" t="e">
        <v>#N/A</v>
      </c>
    </row>
    <row r="1625" spans="22:26" x14ac:dyDescent="0.2">
      <c r="V1625" s="123" t="str">
        <f t="shared" si="36"/>
        <v>1w</v>
      </c>
      <c r="W1625" s="82">
        <f>_xll.qlCalendarAdvance(Calendar,W1624,V1625,"f",FALSE)</f>
        <v>50291</v>
      </c>
      <c r="X1625" s="91">
        <f>_xll.qlCalendarAdvance(Calendar,W1625,NDays&amp;"D")</f>
        <v>50291</v>
      </c>
      <c r="Y1625" s="92" t="e">
        <v>#N/A</v>
      </c>
      <c r="Z1625" s="94" t="e">
        <v>#N/A</v>
      </c>
    </row>
    <row r="1626" spans="22:26" x14ac:dyDescent="0.2">
      <c r="V1626" s="123" t="str">
        <f t="shared" si="36"/>
        <v>1w</v>
      </c>
      <c r="W1626" s="82">
        <f>_xll.qlCalendarAdvance(Calendar,W1625,V1626,"f",FALSE)</f>
        <v>50298</v>
      </c>
      <c r="X1626" s="91">
        <f>_xll.qlCalendarAdvance(Calendar,W1626,NDays&amp;"D")</f>
        <v>50298</v>
      </c>
      <c r="Y1626" s="92" t="e">
        <v>#N/A</v>
      </c>
      <c r="Z1626" s="94" t="e">
        <v>#N/A</v>
      </c>
    </row>
    <row r="1627" spans="22:26" x14ac:dyDescent="0.2">
      <c r="V1627" s="123" t="str">
        <f t="shared" si="36"/>
        <v>1w</v>
      </c>
      <c r="W1627" s="82">
        <f>_xll.qlCalendarAdvance(Calendar,W1626,V1627,"f",FALSE)</f>
        <v>50305</v>
      </c>
      <c r="X1627" s="91">
        <f>_xll.qlCalendarAdvance(Calendar,W1627,NDays&amp;"D")</f>
        <v>50305</v>
      </c>
      <c r="Y1627" s="92" t="e">
        <v>#N/A</v>
      </c>
      <c r="Z1627" s="94" t="e">
        <v>#N/A</v>
      </c>
    </row>
    <row r="1628" spans="22:26" x14ac:dyDescent="0.2">
      <c r="V1628" s="123" t="str">
        <f t="shared" si="36"/>
        <v>1w</v>
      </c>
      <c r="W1628" s="82">
        <f>_xll.qlCalendarAdvance(Calendar,W1627,V1628,"f",FALSE)</f>
        <v>50312</v>
      </c>
      <c r="X1628" s="91">
        <f>_xll.qlCalendarAdvance(Calendar,W1628,NDays&amp;"D")</f>
        <v>50312</v>
      </c>
      <c r="Y1628" s="92" t="e">
        <v>#N/A</v>
      </c>
      <c r="Z1628" s="94" t="e">
        <v>#N/A</v>
      </c>
    </row>
    <row r="1629" spans="22:26" x14ac:dyDescent="0.2">
      <c r="V1629" s="123" t="str">
        <f t="shared" si="36"/>
        <v>1w</v>
      </c>
      <c r="W1629" s="82">
        <f>_xll.qlCalendarAdvance(Calendar,W1628,V1629,"f",FALSE)</f>
        <v>50319</v>
      </c>
      <c r="X1629" s="91">
        <f>_xll.qlCalendarAdvance(Calendar,W1629,NDays&amp;"D")</f>
        <v>50319</v>
      </c>
      <c r="Y1629" s="92" t="e">
        <v>#N/A</v>
      </c>
      <c r="Z1629" s="94" t="e">
        <v>#N/A</v>
      </c>
    </row>
    <row r="1630" spans="22:26" x14ac:dyDescent="0.2">
      <c r="V1630" s="123" t="str">
        <f t="shared" si="36"/>
        <v>1w</v>
      </c>
      <c r="W1630" s="82">
        <f>_xll.qlCalendarAdvance(Calendar,W1629,V1630,"f",FALSE)</f>
        <v>50326</v>
      </c>
      <c r="X1630" s="91">
        <f>_xll.qlCalendarAdvance(Calendar,W1630,NDays&amp;"D")</f>
        <v>50326</v>
      </c>
      <c r="Y1630" s="92" t="e">
        <v>#N/A</v>
      </c>
      <c r="Z1630" s="94" t="e">
        <v>#N/A</v>
      </c>
    </row>
    <row r="1631" spans="22:26" x14ac:dyDescent="0.2">
      <c r="V1631" s="123" t="str">
        <f t="shared" si="36"/>
        <v>1w</v>
      </c>
      <c r="W1631" s="82">
        <f>_xll.qlCalendarAdvance(Calendar,W1630,V1631,"f",FALSE)</f>
        <v>50333</v>
      </c>
      <c r="X1631" s="91">
        <f>_xll.qlCalendarAdvance(Calendar,W1631,NDays&amp;"D")</f>
        <v>50333</v>
      </c>
      <c r="Y1631" s="92" t="e">
        <v>#N/A</v>
      </c>
      <c r="Z1631" s="94" t="e">
        <v>#N/A</v>
      </c>
    </row>
    <row r="1632" spans="22:26" x14ac:dyDescent="0.2">
      <c r="V1632" s="123" t="str">
        <f t="shared" si="36"/>
        <v>1w</v>
      </c>
      <c r="W1632" s="82">
        <f>_xll.qlCalendarAdvance(Calendar,W1631,V1632,"f",FALSE)</f>
        <v>50340</v>
      </c>
      <c r="X1632" s="91">
        <f>_xll.qlCalendarAdvance(Calendar,W1632,NDays&amp;"D")</f>
        <v>50340</v>
      </c>
      <c r="Y1632" s="92" t="e">
        <v>#N/A</v>
      </c>
      <c r="Z1632" s="94" t="e">
        <v>#N/A</v>
      </c>
    </row>
    <row r="1633" spans="22:26" x14ac:dyDescent="0.2">
      <c r="V1633" s="123" t="str">
        <f t="shared" si="36"/>
        <v>1w</v>
      </c>
      <c r="W1633" s="82">
        <f>_xll.qlCalendarAdvance(Calendar,W1632,V1633,"f",FALSE)</f>
        <v>50347</v>
      </c>
      <c r="X1633" s="91">
        <f>_xll.qlCalendarAdvance(Calendar,W1633,NDays&amp;"D")</f>
        <v>50347</v>
      </c>
      <c r="Y1633" s="92" t="e">
        <v>#N/A</v>
      </c>
      <c r="Z1633" s="94" t="e">
        <v>#N/A</v>
      </c>
    </row>
    <row r="1634" spans="22:26" x14ac:dyDescent="0.2">
      <c r="V1634" s="123" t="str">
        <f t="shared" si="36"/>
        <v>1w</v>
      </c>
      <c r="W1634" s="82">
        <f>_xll.qlCalendarAdvance(Calendar,W1633,V1634,"f",FALSE)</f>
        <v>50354</v>
      </c>
      <c r="X1634" s="91">
        <f>_xll.qlCalendarAdvance(Calendar,W1634,NDays&amp;"D")</f>
        <v>50354</v>
      </c>
      <c r="Y1634" s="92" t="e">
        <v>#N/A</v>
      </c>
      <c r="Z1634" s="94" t="e">
        <v>#N/A</v>
      </c>
    </row>
    <row r="1635" spans="22:26" x14ac:dyDescent="0.2">
      <c r="V1635" s="123" t="str">
        <f t="shared" si="36"/>
        <v>1w</v>
      </c>
      <c r="W1635" s="82">
        <f>_xll.qlCalendarAdvance(Calendar,W1634,V1635,"f",FALSE)</f>
        <v>50361</v>
      </c>
      <c r="X1635" s="91">
        <f>_xll.qlCalendarAdvance(Calendar,W1635,NDays&amp;"D")</f>
        <v>50361</v>
      </c>
      <c r="Y1635" s="92" t="e">
        <v>#N/A</v>
      </c>
      <c r="Z1635" s="94" t="e">
        <v>#N/A</v>
      </c>
    </row>
    <row r="1636" spans="22:26" x14ac:dyDescent="0.2">
      <c r="V1636" s="123" t="str">
        <f t="shared" si="36"/>
        <v>1w</v>
      </c>
      <c r="W1636" s="82">
        <f>_xll.qlCalendarAdvance(Calendar,W1635,V1636,"f",FALSE)</f>
        <v>50368</v>
      </c>
      <c r="X1636" s="91">
        <f>_xll.qlCalendarAdvance(Calendar,W1636,NDays&amp;"D")</f>
        <v>50368</v>
      </c>
      <c r="Y1636" s="92" t="e">
        <v>#N/A</v>
      </c>
      <c r="Z1636" s="94" t="e">
        <v>#N/A</v>
      </c>
    </row>
    <row r="1637" spans="22:26" x14ac:dyDescent="0.2">
      <c r="V1637" s="123" t="str">
        <f t="shared" si="36"/>
        <v>1w</v>
      </c>
      <c r="W1637" s="82">
        <f>_xll.qlCalendarAdvance(Calendar,W1636,V1637,"f",FALSE)</f>
        <v>50375</v>
      </c>
      <c r="X1637" s="91">
        <f>_xll.qlCalendarAdvance(Calendar,W1637,NDays&amp;"D")</f>
        <v>50375</v>
      </c>
      <c r="Y1637" s="92" t="e">
        <v>#N/A</v>
      </c>
      <c r="Z1637" s="94" t="e">
        <v>#N/A</v>
      </c>
    </row>
    <row r="1638" spans="22:26" x14ac:dyDescent="0.2">
      <c r="V1638" s="123" t="str">
        <f t="shared" si="36"/>
        <v>1w</v>
      </c>
      <c r="W1638" s="82">
        <f>_xll.qlCalendarAdvance(Calendar,W1637,V1638,"f",FALSE)</f>
        <v>50382</v>
      </c>
      <c r="X1638" s="91">
        <f>_xll.qlCalendarAdvance(Calendar,W1638,NDays&amp;"D")</f>
        <v>50382</v>
      </c>
      <c r="Y1638" s="92" t="e">
        <v>#N/A</v>
      </c>
      <c r="Z1638" s="94" t="e">
        <v>#N/A</v>
      </c>
    </row>
    <row r="1639" spans="22:26" x14ac:dyDescent="0.2">
      <c r="V1639" s="123" t="str">
        <f t="shared" si="36"/>
        <v>1w</v>
      </c>
      <c r="W1639" s="82">
        <f>_xll.qlCalendarAdvance(Calendar,W1638,V1639,"f",FALSE)</f>
        <v>50389</v>
      </c>
      <c r="X1639" s="91">
        <f>_xll.qlCalendarAdvance(Calendar,W1639,NDays&amp;"D")</f>
        <v>50389</v>
      </c>
      <c r="Y1639" s="92" t="e">
        <v>#N/A</v>
      </c>
      <c r="Z1639" s="94" t="e">
        <v>#N/A</v>
      </c>
    </row>
    <row r="1640" spans="22:26" x14ac:dyDescent="0.2">
      <c r="V1640" s="123" t="str">
        <f t="shared" si="36"/>
        <v>1w</v>
      </c>
      <c r="W1640" s="82">
        <f>_xll.qlCalendarAdvance(Calendar,W1639,V1640,"f",FALSE)</f>
        <v>50396</v>
      </c>
      <c r="X1640" s="91">
        <f>_xll.qlCalendarAdvance(Calendar,W1640,NDays&amp;"D")</f>
        <v>50396</v>
      </c>
      <c r="Y1640" s="92" t="e">
        <v>#N/A</v>
      </c>
      <c r="Z1640" s="94" t="e">
        <v>#N/A</v>
      </c>
    </row>
    <row r="1641" spans="22:26" x14ac:dyDescent="0.2">
      <c r="V1641" s="123" t="str">
        <f t="shared" si="36"/>
        <v>1w</v>
      </c>
      <c r="W1641" s="82">
        <f>_xll.qlCalendarAdvance(Calendar,W1640,V1641,"f",FALSE)</f>
        <v>50403</v>
      </c>
      <c r="X1641" s="91">
        <f>_xll.qlCalendarAdvance(Calendar,W1641,NDays&amp;"D")</f>
        <v>50403</v>
      </c>
      <c r="Y1641" s="92" t="e">
        <v>#N/A</v>
      </c>
      <c r="Z1641" s="94" t="e">
        <v>#N/A</v>
      </c>
    </row>
    <row r="1642" spans="22:26" x14ac:dyDescent="0.2">
      <c r="V1642" s="123" t="str">
        <f t="shared" si="36"/>
        <v>1w</v>
      </c>
      <c r="W1642" s="82">
        <f>_xll.qlCalendarAdvance(Calendar,W1641,V1642,"f",FALSE)</f>
        <v>50410</v>
      </c>
      <c r="X1642" s="91">
        <f>_xll.qlCalendarAdvance(Calendar,W1642,NDays&amp;"D")</f>
        <v>50410</v>
      </c>
      <c r="Y1642" s="92" t="e">
        <v>#N/A</v>
      </c>
      <c r="Z1642" s="94" t="e">
        <v>#N/A</v>
      </c>
    </row>
    <row r="1643" spans="22:26" x14ac:dyDescent="0.2">
      <c r="V1643" s="123" t="str">
        <f t="shared" si="36"/>
        <v>1w</v>
      </c>
      <c r="W1643" s="82">
        <f>_xll.qlCalendarAdvance(Calendar,W1642,V1643,"f",FALSE)</f>
        <v>50417</v>
      </c>
      <c r="X1643" s="91">
        <f>_xll.qlCalendarAdvance(Calendar,W1643,NDays&amp;"D")</f>
        <v>50417</v>
      </c>
      <c r="Y1643" s="92" t="e">
        <v>#N/A</v>
      </c>
      <c r="Z1643" s="94" t="e">
        <v>#N/A</v>
      </c>
    </row>
    <row r="1644" spans="22:26" x14ac:dyDescent="0.2">
      <c r="V1644" s="123" t="str">
        <f t="shared" si="36"/>
        <v>1w</v>
      </c>
      <c r="W1644" s="82">
        <f>_xll.qlCalendarAdvance(Calendar,W1643,V1644,"f",FALSE)</f>
        <v>50424</v>
      </c>
      <c r="X1644" s="91">
        <f>_xll.qlCalendarAdvance(Calendar,W1644,NDays&amp;"D")</f>
        <v>50424</v>
      </c>
      <c r="Y1644" s="92" t="e">
        <v>#N/A</v>
      </c>
      <c r="Z1644" s="94" t="e">
        <v>#N/A</v>
      </c>
    </row>
    <row r="1645" spans="22:26" x14ac:dyDescent="0.2">
      <c r="V1645" s="123" t="str">
        <f t="shared" si="36"/>
        <v>1w</v>
      </c>
      <c r="W1645" s="82">
        <f>_xll.qlCalendarAdvance(Calendar,W1644,V1645,"f",FALSE)</f>
        <v>50431</v>
      </c>
      <c r="X1645" s="91">
        <f>_xll.qlCalendarAdvance(Calendar,W1645,NDays&amp;"D")</f>
        <v>50431</v>
      </c>
      <c r="Y1645" s="92" t="e">
        <v>#N/A</v>
      </c>
      <c r="Z1645" s="94" t="e">
        <v>#N/A</v>
      </c>
    </row>
    <row r="1646" spans="22:26" x14ac:dyDescent="0.2">
      <c r="V1646" s="123" t="str">
        <f t="shared" si="36"/>
        <v>1w</v>
      </c>
      <c r="W1646" s="82">
        <f>_xll.qlCalendarAdvance(Calendar,W1645,V1646,"f",FALSE)</f>
        <v>50438</v>
      </c>
      <c r="X1646" s="91">
        <f>_xll.qlCalendarAdvance(Calendar,W1646,NDays&amp;"D")</f>
        <v>50438</v>
      </c>
      <c r="Y1646" s="92" t="e">
        <v>#N/A</v>
      </c>
      <c r="Z1646" s="94" t="e">
        <v>#N/A</v>
      </c>
    </row>
    <row r="1647" spans="22:26" x14ac:dyDescent="0.2">
      <c r="V1647" s="123" t="str">
        <f t="shared" si="36"/>
        <v>1w</v>
      </c>
      <c r="W1647" s="82">
        <f>_xll.qlCalendarAdvance(Calendar,W1646,V1647,"f",FALSE)</f>
        <v>50445</v>
      </c>
      <c r="X1647" s="91">
        <f>_xll.qlCalendarAdvance(Calendar,W1647,NDays&amp;"D")</f>
        <v>50445</v>
      </c>
      <c r="Y1647" s="92" t="e">
        <v>#N/A</v>
      </c>
      <c r="Z1647" s="94" t="e">
        <v>#N/A</v>
      </c>
    </row>
    <row r="1648" spans="22:26" x14ac:dyDescent="0.2">
      <c r="V1648" s="123" t="str">
        <f t="shared" si="36"/>
        <v>1w</v>
      </c>
      <c r="W1648" s="82">
        <f>_xll.qlCalendarAdvance(Calendar,W1647,V1648,"f",FALSE)</f>
        <v>50452</v>
      </c>
      <c r="X1648" s="91">
        <f>_xll.qlCalendarAdvance(Calendar,W1648,NDays&amp;"D")</f>
        <v>50452</v>
      </c>
      <c r="Y1648" s="92" t="e">
        <v>#N/A</v>
      </c>
      <c r="Z1648" s="94" t="e">
        <v>#N/A</v>
      </c>
    </row>
    <row r="1649" spans="22:26" x14ac:dyDescent="0.2">
      <c r="V1649" s="123" t="str">
        <f t="shared" si="36"/>
        <v>1w</v>
      </c>
      <c r="W1649" s="82">
        <f>_xll.qlCalendarAdvance(Calendar,W1648,V1649,"f",FALSE)</f>
        <v>50459</v>
      </c>
      <c r="X1649" s="91">
        <f>_xll.qlCalendarAdvance(Calendar,W1649,NDays&amp;"D")</f>
        <v>50459</v>
      </c>
      <c r="Y1649" s="92" t="e">
        <v>#N/A</v>
      </c>
      <c r="Z1649" s="94" t="e">
        <v>#N/A</v>
      </c>
    </row>
    <row r="1650" spans="22:26" x14ac:dyDescent="0.2">
      <c r="V1650" s="123" t="str">
        <f t="shared" si="36"/>
        <v>1w</v>
      </c>
      <c r="W1650" s="82">
        <f>_xll.qlCalendarAdvance(Calendar,W1649,V1650,"f",FALSE)</f>
        <v>50466</v>
      </c>
      <c r="X1650" s="91">
        <f>_xll.qlCalendarAdvance(Calendar,W1650,NDays&amp;"D")</f>
        <v>50466</v>
      </c>
      <c r="Y1650" s="92" t="e">
        <v>#N/A</v>
      </c>
      <c r="Z1650" s="94" t="e">
        <v>#N/A</v>
      </c>
    </row>
    <row r="1651" spans="22:26" x14ac:dyDescent="0.2">
      <c r="V1651" s="123" t="str">
        <f t="shared" si="36"/>
        <v>1w</v>
      </c>
      <c r="W1651" s="82">
        <f>_xll.qlCalendarAdvance(Calendar,W1650,V1651,"f",FALSE)</f>
        <v>50473</v>
      </c>
      <c r="X1651" s="91">
        <f>_xll.qlCalendarAdvance(Calendar,W1651,NDays&amp;"D")</f>
        <v>50473</v>
      </c>
      <c r="Y1651" s="92" t="e">
        <v>#N/A</v>
      </c>
      <c r="Z1651" s="94" t="e">
        <v>#N/A</v>
      </c>
    </row>
    <row r="1652" spans="22:26" x14ac:dyDescent="0.2">
      <c r="V1652" s="123" t="str">
        <f t="shared" si="36"/>
        <v>1w</v>
      </c>
      <c r="W1652" s="82">
        <f>_xll.qlCalendarAdvance(Calendar,W1651,V1652,"f",FALSE)</f>
        <v>50480</v>
      </c>
      <c r="X1652" s="91">
        <f>_xll.qlCalendarAdvance(Calendar,W1652,NDays&amp;"D")</f>
        <v>50480</v>
      </c>
      <c r="Y1652" s="92" t="e">
        <v>#N/A</v>
      </c>
      <c r="Z1652" s="94" t="e">
        <v>#N/A</v>
      </c>
    </row>
    <row r="1653" spans="22:26" x14ac:dyDescent="0.2">
      <c r="V1653" s="123" t="str">
        <f t="shared" si="36"/>
        <v>1w</v>
      </c>
      <c r="W1653" s="82">
        <f>_xll.qlCalendarAdvance(Calendar,W1652,V1653,"f",FALSE)</f>
        <v>50487</v>
      </c>
      <c r="X1653" s="91">
        <f>_xll.qlCalendarAdvance(Calendar,W1653,NDays&amp;"D")</f>
        <v>50487</v>
      </c>
      <c r="Y1653" s="92" t="e">
        <v>#N/A</v>
      </c>
      <c r="Z1653" s="94" t="e">
        <v>#N/A</v>
      </c>
    </row>
    <row r="1654" spans="22:26" x14ac:dyDescent="0.2">
      <c r="V1654" s="123" t="str">
        <f t="shared" si="36"/>
        <v>1w</v>
      </c>
      <c r="W1654" s="82">
        <f>_xll.qlCalendarAdvance(Calendar,W1653,V1654,"f",FALSE)</f>
        <v>50494</v>
      </c>
      <c r="X1654" s="91">
        <f>_xll.qlCalendarAdvance(Calendar,W1654,NDays&amp;"D")</f>
        <v>50494</v>
      </c>
      <c r="Y1654" s="92" t="e">
        <v>#N/A</v>
      </c>
      <c r="Z1654" s="94" t="e">
        <v>#N/A</v>
      </c>
    </row>
    <row r="1655" spans="22:26" x14ac:dyDescent="0.2">
      <c r="V1655" s="123" t="str">
        <f t="shared" si="36"/>
        <v>1w</v>
      </c>
      <c r="W1655" s="82">
        <f>_xll.qlCalendarAdvance(Calendar,W1654,V1655,"f",FALSE)</f>
        <v>50501</v>
      </c>
      <c r="X1655" s="91">
        <f>_xll.qlCalendarAdvance(Calendar,W1655,NDays&amp;"D")</f>
        <v>50501</v>
      </c>
      <c r="Y1655" s="92" t="e">
        <v>#N/A</v>
      </c>
      <c r="Z1655" s="94" t="e">
        <v>#N/A</v>
      </c>
    </row>
    <row r="1656" spans="22:26" x14ac:dyDescent="0.2">
      <c r="V1656" s="123" t="str">
        <f t="shared" si="36"/>
        <v>1w</v>
      </c>
      <c r="W1656" s="82">
        <f>_xll.qlCalendarAdvance(Calendar,W1655,V1656,"f",FALSE)</f>
        <v>50508</v>
      </c>
      <c r="X1656" s="91">
        <f>_xll.qlCalendarAdvance(Calendar,W1656,NDays&amp;"D")</f>
        <v>50508</v>
      </c>
      <c r="Y1656" s="92" t="e">
        <v>#N/A</v>
      </c>
      <c r="Z1656" s="94" t="e">
        <v>#N/A</v>
      </c>
    </row>
    <row r="1657" spans="22:26" x14ac:dyDescent="0.2">
      <c r="V1657" s="123" t="str">
        <f t="shared" si="36"/>
        <v>1w</v>
      </c>
      <c r="W1657" s="82">
        <f>_xll.qlCalendarAdvance(Calendar,W1656,V1657,"f",FALSE)</f>
        <v>50515</v>
      </c>
      <c r="X1657" s="91">
        <f>_xll.qlCalendarAdvance(Calendar,W1657,NDays&amp;"D")</f>
        <v>50515</v>
      </c>
      <c r="Y1657" s="92" t="e">
        <v>#N/A</v>
      </c>
      <c r="Z1657" s="94" t="e">
        <v>#N/A</v>
      </c>
    </row>
    <row r="1658" spans="22:26" x14ac:dyDescent="0.2">
      <c r="V1658" s="123" t="str">
        <f t="shared" si="36"/>
        <v>1w</v>
      </c>
      <c r="W1658" s="82">
        <f>_xll.qlCalendarAdvance(Calendar,W1657,V1658,"f",FALSE)</f>
        <v>50522</v>
      </c>
      <c r="X1658" s="91">
        <f>_xll.qlCalendarAdvance(Calendar,W1658,NDays&amp;"D")</f>
        <v>50522</v>
      </c>
      <c r="Y1658" s="92" t="e">
        <v>#N/A</v>
      </c>
      <c r="Z1658" s="94" t="e">
        <v>#N/A</v>
      </c>
    </row>
    <row r="1659" spans="22:26" x14ac:dyDescent="0.2">
      <c r="V1659" s="123" t="str">
        <f t="shared" si="36"/>
        <v>1w</v>
      </c>
      <c r="W1659" s="82">
        <f>_xll.qlCalendarAdvance(Calendar,W1658,V1659,"f",FALSE)</f>
        <v>50529</v>
      </c>
      <c r="X1659" s="91">
        <f>_xll.qlCalendarAdvance(Calendar,W1659,NDays&amp;"D")</f>
        <v>50529</v>
      </c>
      <c r="Y1659" s="92" t="e">
        <v>#N/A</v>
      </c>
      <c r="Z1659" s="94" t="e">
        <v>#N/A</v>
      </c>
    </row>
    <row r="1660" spans="22:26" x14ac:dyDescent="0.2">
      <c r="V1660" s="123" t="str">
        <f t="shared" si="36"/>
        <v>1w</v>
      </c>
      <c r="W1660" s="82">
        <f>_xll.qlCalendarAdvance(Calendar,W1659,V1660,"f",FALSE)</f>
        <v>50536</v>
      </c>
      <c r="X1660" s="91">
        <f>_xll.qlCalendarAdvance(Calendar,W1660,NDays&amp;"D")</f>
        <v>50536</v>
      </c>
      <c r="Y1660" s="92" t="e">
        <v>#N/A</v>
      </c>
      <c r="Z1660" s="94" t="e">
        <v>#N/A</v>
      </c>
    </row>
    <row r="1661" spans="22:26" x14ac:dyDescent="0.2">
      <c r="V1661" s="123" t="str">
        <f t="shared" si="36"/>
        <v>1w</v>
      </c>
      <c r="W1661" s="82">
        <f>_xll.qlCalendarAdvance(Calendar,W1660,V1661,"f",FALSE)</f>
        <v>50543</v>
      </c>
      <c r="X1661" s="91">
        <f>_xll.qlCalendarAdvance(Calendar,W1661,NDays&amp;"D")</f>
        <v>50543</v>
      </c>
      <c r="Y1661" s="92" t="e">
        <v>#N/A</v>
      </c>
      <c r="Z1661" s="94" t="e">
        <v>#N/A</v>
      </c>
    </row>
    <row r="1662" spans="22:26" x14ac:dyDescent="0.2">
      <c r="V1662" s="123" t="str">
        <f t="shared" si="36"/>
        <v>1w</v>
      </c>
      <c r="W1662" s="82">
        <f>_xll.qlCalendarAdvance(Calendar,W1661,V1662,"f",FALSE)</f>
        <v>50550</v>
      </c>
      <c r="X1662" s="91">
        <f>_xll.qlCalendarAdvance(Calendar,W1662,NDays&amp;"D")</f>
        <v>50550</v>
      </c>
      <c r="Y1662" s="92" t="e">
        <v>#N/A</v>
      </c>
      <c r="Z1662" s="94" t="e">
        <v>#N/A</v>
      </c>
    </row>
    <row r="1663" spans="22:26" x14ac:dyDescent="0.2">
      <c r="V1663" s="123" t="str">
        <f t="shared" si="36"/>
        <v>1w</v>
      </c>
      <c r="W1663" s="82">
        <f>_xll.qlCalendarAdvance(Calendar,W1662,V1663,"f",FALSE)</f>
        <v>50557</v>
      </c>
      <c r="X1663" s="91">
        <f>_xll.qlCalendarAdvance(Calendar,W1663,NDays&amp;"D")</f>
        <v>50557</v>
      </c>
      <c r="Y1663" s="92" t="e">
        <v>#N/A</v>
      </c>
      <c r="Z1663" s="94" t="e">
        <v>#N/A</v>
      </c>
    </row>
    <row r="1664" spans="22:26" x14ac:dyDescent="0.2">
      <c r="V1664" s="123" t="str">
        <f t="shared" si="36"/>
        <v>1w</v>
      </c>
      <c r="W1664" s="82">
        <f>_xll.qlCalendarAdvance(Calendar,W1663,V1664,"f",FALSE)</f>
        <v>50564</v>
      </c>
      <c r="X1664" s="91">
        <f>_xll.qlCalendarAdvance(Calendar,W1664,NDays&amp;"D")</f>
        <v>50564</v>
      </c>
      <c r="Y1664" s="92" t="e">
        <v>#N/A</v>
      </c>
      <c r="Z1664" s="94" t="e">
        <v>#N/A</v>
      </c>
    </row>
    <row r="1665" spans="22:26" x14ac:dyDescent="0.2">
      <c r="V1665" s="123" t="str">
        <f t="shared" si="36"/>
        <v>1w</v>
      </c>
      <c r="W1665" s="82">
        <f>_xll.qlCalendarAdvance(Calendar,W1664,V1665,"f",FALSE)</f>
        <v>50571</v>
      </c>
      <c r="X1665" s="91">
        <f>_xll.qlCalendarAdvance(Calendar,W1665,NDays&amp;"D")</f>
        <v>50571</v>
      </c>
      <c r="Y1665" s="92" t="e">
        <v>#N/A</v>
      </c>
      <c r="Z1665" s="94" t="e">
        <v>#N/A</v>
      </c>
    </row>
    <row r="1666" spans="22:26" x14ac:dyDescent="0.2">
      <c r="V1666" s="123" t="str">
        <f t="shared" si="36"/>
        <v>1w</v>
      </c>
      <c r="W1666" s="82">
        <f>_xll.qlCalendarAdvance(Calendar,W1665,V1666,"f",FALSE)</f>
        <v>50578</v>
      </c>
      <c r="X1666" s="91">
        <f>_xll.qlCalendarAdvance(Calendar,W1666,NDays&amp;"D")</f>
        <v>50578</v>
      </c>
      <c r="Y1666" s="92" t="e">
        <v>#N/A</v>
      </c>
      <c r="Z1666" s="94" t="e">
        <v>#N/A</v>
      </c>
    </row>
    <row r="1667" spans="22:26" x14ac:dyDescent="0.2">
      <c r="V1667" s="123" t="str">
        <f t="shared" si="36"/>
        <v>1w</v>
      </c>
      <c r="W1667" s="82">
        <f>_xll.qlCalendarAdvance(Calendar,W1666,V1667,"f",FALSE)</f>
        <v>50585</v>
      </c>
      <c r="X1667" s="91">
        <f>_xll.qlCalendarAdvance(Calendar,W1667,NDays&amp;"D")</f>
        <v>50585</v>
      </c>
      <c r="Y1667" s="92" t="e">
        <v>#N/A</v>
      </c>
      <c r="Z1667" s="94" t="e">
        <v>#N/A</v>
      </c>
    </row>
    <row r="1668" spans="22:26" x14ac:dyDescent="0.2">
      <c r="V1668" s="123" t="str">
        <f t="shared" si="36"/>
        <v>1w</v>
      </c>
      <c r="W1668" s="82">
        <f>_xll.qlCalendarAdvance(Calendar,W1667,V1668,"f",FALSE)</f>
        <v>50592</v>
      </c>
      <c r="X1668" s="91">
        <f>_xll.qlCalendarAdvance(Calendar,W1668,NDays&amp;"D")</f>
        <v>50592</v>
      </c>
      <c r="Y1668" s="92" t="e">
        <v>#N/A</v>
      </c>
      <c r="Z1668" s="94" t="e">
        <v>#N/A</v>
      </c>
    </row>
    <row r="1669" spans="22:26" x14ac:dyDescent="0.2">
      <c r="V1669" s="123" t="str">
        <f t="shared" si="36"/>
        <v>1w</v>
      </c>
      <c r="W1669" s="82">
        <f>_xll.qlCalendarAdvance(Calendar,W1668,V1669,"f",FALSE)</f>
        <v>50599</v>
      </c>
      <c r="X1669" s="91">
        <f>_xll.qlCalendarAdvance(Calendar,W1669,NDays&amp;"D")</f>
        <v>50599</v>
      </c>
      <c r="Y1669" s="92" t="e">
        <v>#N/A</v>
      </c>
      <c r="Z1669" s="94" t="e">
        <v>#N/A</v>
      </c>
    </row>
    <row r="1670" spans="22:26" x14ac:dyDescent="0.2">
      <c r="V1670" s="123" t="str">
        <f t="shared" si="36"/>
        <v>1w</v>
      </c>
      <c r="W1670" s="82">
        <f>_xll.qlCalendarAdvance(Calendar,W1669,V1670,"f",FALSE)</f>
        <v>50606</v>
      </c>
      <c r="X1670" s="91">
        <f>_xll.qlCalendarAdvance(Calendar,W1670,NDays&amp;"D")</f>
        <v>50606</v>
      </c>
      <c r="Y1670" s="92" t="e">
        <v>#N/A</v>
      </c>
      <c r="Z1670" s="94" t="e">
        <v>#N/A</v>
      </c>
    </row>
    <row r="1671" spans="22:26" x14ac:dyDescent="0.2">
      <c r="V1671" s="123" t="str">
        <f t="shared" si="36"/>
        <v>1w</v>
      </c>
      <c r="W1671" s="82">
        <f>_xll.qlCalendarAdvance(Calendar,W1670,V1671,"f",FALSE)</f>
        <v>50613</v>
      </c>
      <c r="X1671" s="91">
        <f>_xll.qlCalendarAdvance(Calendar,W1671,NDays&amp;"D")</f>
        <v>50613</v>
      </c>
      <c r="Y1671" s="92" t="e">
        <v>#N/A</v>
      </c>
      <c r="Z1671" s="94" t="e">
        <v>#N/A</v>
      </c>
    </row>
    <row r="1672" spans="22:26" x14ac:dyDescent="0.2">
      <c r="V1672" s="123" t="str">
        <f t="shared" si="36"/>
        <v>1w</v>
      </c>
      <c r="W1672" s="82">
        <f>_xll.qlCalendarAdvance(Calendar,W1671,V1672,"f",FALSE)</f>
        <v>50620</v>
      </c>
      <c r="X1672" s="91">
        <f>_xll.qlCalendarAdvance(Calendar,W1672,NDays&amp;"D")</f>
        <v>50620</v>
      </c>
      <c r="Y1672" s="92" t="e">
        <v>#N/A</v>
      </c>
      <c r="Z1672" s="94" t="e">
        <v>#N/A</v>
      </c>
    </row>
    <row r="1673" spans="22:26" x14ac:dyDescent="0.2">
      <c r="V1673" s="123" t="str">
        <f t="shared" si="36"/>
        <v>1w</v>
      </c>
      <c r="W1673" s="82">
        <f>_xll.qlCalendarAdvance(Calendar,W1672,V1673,"f",FALSE)</f>
        <v>50627</v>
      </c>
      <c r="X1673" s="91">
        <f>_xll.qlCalendarAdvance(Calendar,W1673,NDays&amp;"D")</f>
        <v>50627</v>
      </c>
      <c r="Y1673" s="92" t="e">
        <v>#N/A</v>
      </c>
      <c r="Z1673" s="94" t="e">
        <v>#N/A</v>
      </c>
    </row>
    <row r="1674" spans="22:26" x14ac:dyDescent="0.2">
      <c r="V1674" s="123" t="str">
        <f t="shared" si="36"/>
        <v>1w</v>
      </c>
      <c r="W1674" s="82">
        <f>_xll.qlCalendarAdvance(Calendar,W1673,V1674,"f",FALSE)</f>
        <v>50634</v>
      </c>
      <c r="X1674" s="91">
        <f>_xll.qlCalendarAdvance(Calendar,W1674,NDays&amp;"D")</f>
        <v>50634</v>
      </c>
      <c r="Y1674" s="92" t="e">
        <v>#N/A</v>
      </c>
      <c r="Z1674" s="94" t="e">
        <v>#N/A</v>
      </c>
    </row>
    <row r="1675" spans="22:26" x14ac:dyDescent="0.2">
      <c r="V1675" s="123" t="str">
        <f t="shared" si="36"/>
        <v>1w</v>
      </c>
      <c r="W1675" s="82">
        <f>_xll.qlCalendarAdvance(Calendar,W1674,V1675,"f",FALSE)</f>
        <v>50641</v>
      </c>
      <c r="X1675" s="91">
        <f>_xll.qlCalendarAdvance(Calendar,W1675,NDays&amp;"D")</f>
        <v>50641</v>
      </c>
      <c r="Y1675" s="92" t="e">
        <v>#N/A</v>
      </c>
      <c r="Z1675" s="94" t="e">
        <v>#N/A</v>
      </c>
    </row>
    <row r="1676" spans="22:26" x14ac:dyDescent="0.2">
      <c r="V1676" s="123" t="str">
        <f t="shared" si="36"/>
        <v>1w</v>
      </c>
      <c r="W1676" s="82">
        <f>_xll.qlCalendarAdvance(Calendar,W1675,V1676,"f",FALSE)</f>
        <v>50648</v>
      </c>
      <c r="X1676" s="91">
        <f>_xll.qlCalendarAdvance(Calendar,W1676,NDays&amp;"D")</f>
        <v>50648</v>
      </c>
      <c r="Y1676" s="92" t="e">
        <v>#N/A</v>
      </c>
      <c r="Z1676" s="94" t="e">
        <v>#N/A</v>
      </c>
    </row>
    <row r="1677" spans="22:26" x14ac:dyDescent="0.2">
      <c r="V1677" s="123" t="str">
        <f t="shared" si="36"/>
        <v>1w</v>
      </c>
      <c r="W1677" s="82">
        <f>_xll.qlCalendarAdvance(Calendar,W1676,V1677,"f",FALSE)</f>
        <v>50655</v>
      </c>
      <c r="X1677" s="91">
        <f>_xll.qlCalendarAdvance(Calendar,W1677,NDays&amp;"D")</f>
        <v>50655</v>
      </c>
      <c r="Y1677" s="92" t="e">
        <v>#N/A</v>
      </c>
      <c r="Z1677" s="94" t="e">
        <v>#N/A</v>
      </c>
    </row>
    <row r="1678" spans="22:26" x14ac:dyDescent="0.2">
      <c r="V1678" s="123" t="str">
        <f t="shared" si="36"/>
        <v>1w</v>
      </c>
      <c r="W1678" s="82">
        <f>_xll.qlCalendarAdvance(Calendar,W1677,V1678,"f",FALSE)</f>
        <v>50662</v>
      </c>
      <c r="X1678" s="91">
        <f>_xll.qlCalendarAdvance(Calendar,W1678,NDays&amp;"D")</f>
        <v>50662</v>
      </c>
      <c r="Y1678" s="92" t="e">
        <v>#N/A</v>
      </c>
      <c r="Z1678" s="94" t="e">
        <v>#N/A</v>
      </c>
    </row>
    <row r="1679" spans="22:26" x14ac:dyDescent="0.2">
      <c r="V1679" s="123" t="str">
        <f t="shared" si="36"/>
        <v>1w</v>
      </c>
      <c r="W1679" s="82">
        <f>_xll.qlCalendarAdvance(Calendar,W1678,V1679,"f",FALSE)</f>
        <v>50669</v>
      </c>
      <c r="X1679" s="91">
        <f>_xll.qlCalendarAdvance(Calendar,W1679,NDays&amp;"D")</f>
        <v>50669</v>
      </c>
      <c r="Y1679" s="92" t="e">
        <v>#N/A</v>
      </c>
      <c r="Z1679" s="94" t="e">
        <v>#N/A</v>
      </c>
    </row>
    <row r="1680" spans="22:26" x14ac:dyDescent="0.2">
      <c r="V1680" s="123" t="str">
        <f t="shared" si="36"/>
        <v>1w</v>
      </c>
      <c r="W1680" s="82">
        <f>_xll.qlCalendarAdvance(Calendar,W1679,V1680,"f",FALSE)</f>
        <v>50676</v>
      </c>
      <c r="X1680" s="91">
        <f>_xll.qlCalendarAdvance(Calendar,W1680,NDays&amp;"D")</f>
        <v>50676</v>
      </c>
      <c r="Y1680" s="92" t="e">
        <v>#N/A</v>
      </c>
      <c r="Z1680" s="94" t="e">
        <v>#N/A</v>
      </c>
    </row>
    <row r="1681" spans="22:26" x14ac:dyDescent="0.2">
      <c r="V1681" s="123" t="str">
        <f t="shared" si="36"/>
        <v>1w</v>
      </c>
      <c r="W1681" s="82">
        <f>_xll.qlCalendarAdvance(Calendar,W1680,V1681,"f",FALSE)</f>
        <v>50683</v>
      </c>
      <c r="X1681" s="91">
        <f>_xll.qlCalendarAdvance(Calendar,W1681,NDays&amp;"D")</f>
        <v>50683</v>
      </c>
      <c r="Y1681" s="92" t="e">
        <v>#N/A</v>
      </c>
      <c r="Z1681" s="94" t="e">
        <v>#N/A</v>
      </c>
    </row>
    <row r="1682" spans="22:26" x14ac:dyDescent="0.2">
      <c r="V1682" s="123" t="str">
        <f t="shared" si="36"/>
        <v>1w</v>
      </c>
      <c r="W1682" s="82">
        <f>_xll.qlCalendarAdvance(Calendar,W1681,V1682,"f",FALSE)</f>
        <v>50690</v>
      </c>
      <c r="X1682" s="91">
        <f>_xll.qlCalendarAdvance(Calendar,W1682,NDays&amp;"D")</f>
        <v>50690</v>
      </c>
      <c r="Y1682" s="92" t="e">
        <v>#N/A</v>
      </c>
      <c r="Z1682" s="94" t="e">
        <v>#N/A</v>
      </c>
    </row>
    <row r="1683" spans="22:26" x14ac:dyDescent="0.2">
      <c r="V1683" s="123" t="str">
        <f t="shared" si="36"/>
        <v>1w</v>
      </c>
      <c r="W1683" s="82">
        <f>_xll.qlCalendarAdvance(Calendar,W1682,V1683,"f",FALSE)</f>
        <v>50697</v>
      </c>
      <c r="X1683" s="91">
        <f>_xll.qlCalendarAdvance(Calendar,W1683,NDays&amp;"D")</f>
        <v>50697</v>
      </c>
      <c r="Y1683" s="92" t="e">
        <v>#N/A</v>
      </c>
      <c r="Z1683" s="94" t="e">
        <v>#N/A</v>
      </c>
    </row>
    <row r="1684" spans="22:26" x14ac:dyDescent="0.2">
      <c r="V1684" s="123" t="str">
        <f t="shared" si="36"/>
        <v>1w</v>
      </c>
      <c r="W1684" s="82">
        <f>_xll.qlCalendarAdvance(Calendar,W1683,V1684,"f",FALSE)</f>
        <v>50704</v>
      </c>
      <c r="X1684" s="91">
        <f>_xll.qlCalendarAdvance(Calendar,W1684,NDays&amp;"D")</f>
        <v>50704</v>
      </c>
      <c r="Y1684" s="92" t="e">
        <v>#N/A</v>
      </c>
      <c r="Z1684" s="94" t="e">
        <v>#N/A</v>
      </c>
    </row>
    <row r="1685" spans="22:26" x14ac:dyDescent="0.2">
      <c r="V1685" s="123" t="str">
        <f t="shared" ref="V1685:V1748" si="37">V1684</f>
        <v>1w</v>
      </c>
      <c r="W1685" s="82">
        <f>_xll.qlCalendarAdvance(Calendar,W1684,V1685,"f",FALSE)</f>
        <v>50711</v>
      </c>
      <c r="X1685" s="91">
        <f>_xll.qlCalendarAdvance(Calendar,W1685,NDays&amp;"D")</f>
        <v>50711</v>
      </c>
      <c r="Y1685" s="92" t="e">
        <v>#N/A</v>
      </c>
      <c r="Z1685" s="94" t="e">
        <v>#N/A</v>
      </c>
    </row>
    <row r="1686" spans="22:26" x14ac:dyDescent="0.2">
      <c r="V1686" s="123" t="str">
        <f t="shared" si="37"/>
        <v>1w</v>
      </c>
      <c r="W1686" s="82">
        <f>_xll.qlCalendarAdvance(Calendar,W1685,V1686,"f",FALSE)</f>
        <v>50718</v>
      </c>
      <c r="X1686" s="91">
        <f>_xll.qlCalendarAdvance(Calendar,W1686,NDays&amp;"D")</f>
        <v>50718</v>
      </c>
      <c r="Y1686" s="92" t="e">
        <v>#N/A</v>
      </c>
      <c r="Z1686" s="94" t="e">
        <v>#N/A</v>
      </c>
    </row>
    <row r="1687" spans="22:26" x14ac:dyDescent="0.2">
      <c r="V1687" s="123" t="str">
        <f t="shared" si="37"/>
        <v>1w</v>
      </c>
      <c r="W1687" s="82">
        <f>_xll.qlCalendarAdvance(Calendar,W1686,V1687,"f",FALSE)</f>
        <v>50725</v>
      </c>
      <c r="X1687" s="91">
        <f>_xll.qlCalendarAdvance(Calendar,W1687,NDays&amp;"D")</f>
        <v>50725</v>
      </c>
      <c r="Y1687" s="92" t="e">
        <v>#N/A</v>
      </c>
      <c r="Z1687" s="94" t="e">
        <v>#N/A</v>
      </c>
    </row>
    <row r="1688" spans="22:26" x14ac:dyDescent="0.2">
      <c r="V1688" s="123" t="str">
        <f t="shared" si="37"/>
        <v>1w</v>
      </c>
      <c r="W1688" s="82">
        <f>_xll.qlCalendarAdvance(Calendar,W1687,V1688,"f",FALSE)</f>
        <v>50732</v>
      </c>
      <c r="X1688" s="91">
        <f>_xll.qlCalendarAdvance(Calendar,W1688,NDays&amp;"D")</f>
        <v>50732</v>
      </c>
      <c r="Y1688" s="92" t="e">
        <v>#N/A</v>
      </c>
      <c r="Z1688" s="94" t="e">
        <v>#N/A</v>
      </c>
    </row>
    <row r="1689" spans="22:26" x14ac:dyDescent="0.2">
      <c r="V1689" s="123" t="str">
        <f t="shared" si="37"/>
        <v>1w</v>
      </c>
      <c r="W1689" s="82">
        <f>_xll.qlCalendarAdvance(Calendar,W1688,V1689,"f",FALSE)</f>
        <v>50739</v>
      </c>
      <c r="X1689" s="91">
        <f>_xll.qlCalendarAdvance(Calendar,W1689,NDays&amp;"D")</f>
        <v>50739</v>
      </c>
      <c r="Y1689" s="92" t="e">
        <v>#N/A</v>
      </c>
      <c r="Z1689" s="94" t="e">
        <v>#N/A</v>
      </c>
    </row>
    <row r="1690" spans="22:26" x14ac:dyDescent="0.2">
      <c r="V1690" s="123" t="str">
        <f t="shared" si="37"/>
        <v>1w</v>
      </c>
      <c r="W1690" s="82">
        <f>_xll.qlCalendarAdvance(Calendar,W1689,V1690,"f",FALSE)</f>
        <v>50746</v>
      </c>
      <c r="X1690" s="91">
        <f>_xll.qlCalendarAdvance(Calendar,W1690,NDays&amp;"D")</f>
        <v>50746</v>
      </c>
      <c r="Y1690" s="92" t="e">
        <v>#N/A</v>
      </c>
      <c r="Z1690" s="94" t="e">
        <v>#N/A</v>
      </c>
    </row>
    <row r="1691" spans="22:26" x14ac:dyDescent="0.2">
      <c r="V1691" s="123" t="str">
        <f t="shared" si="37"/>
        <v>1w</v>
      </c>
      <c r="W1691" s="82">
        <f>_xll.qlCalendarAdvance(Calendar,W1690,V1691,"f",FALSE)</f>
        <v>50753</v>
      </c>
      <c r="X1691" s="91">
        <f>_xll.qlCalendarAdvance(Calendar,W1691,NDays&amp;"D")</f>
        <v>50753</v>
      </c>
      <c r="Y1691" s="92" t="e">
        <v>#N/A</v>
      </c>
      <c r="Z1691" s="94" t="e">
        <v>#N/A</v>
      </c>
    </row>
    <row r="1692" spans="22:26" x14ac:dyDescent="0.2">
      <c r="V1692" s="123" t="str">
        <f t="shared" si="37"/>
        <v>1w</v>
      </c>
      <c r="W1692" s="82">
        <f>_xll.qlCalendarAdvance(Calendar,W1691,V1692,"f",FALSE)</f>
        <v>50760</v>
      </c>
      <c r="X1692" s="91">
        <f>_xll.qlCalendarAdvance(Calendar,W1692,NDays&amp;"D")</f>
        <v>50760</v>
      </c>
      <c r="Y1692" s="92" t="e">
        <v>#N/A</v>
      </c>
      <c r="Z1692" s="94" t="e">
        <v>#N/A</v>
      </c>
    </row>
    <row r="1693" spans="22:26" x14ac:dyDescent="0.2">
      <c r="V1693" s="123" t="str">
        <f t="shared" si="37"/>
        <v>1w</v>
      </c>
      <c r="W1693" s="82">
        <f>_xll.qlCalendarAdvance(Calendar,W1692,V1693,"f",FALSE)</f>
        <v>50767</v>
      </c>
      <c r="X1693" s="91">
        <f>_xll.qlCalendarAdvance(Calendar,W1693,NDays&amp;"D")</f>
        <v>50767</v>
      </c>
      <c r="Y1693" s="92" t="e">
        <v>#N/A</v>
      </c>
      <c r="Z1693" s="94" t="e">
        <v>#N/A</v>
      </c>
    </row>
    <row r="1694" spans="22:26" x14ac:dyDescent="0.2">
      <c r="V1694" s="123" t="str">
        <f t="shared" si="37"/>
        <v>1w</v>
      </c>
      <c r="W1694" s="82">
        <f>_xll.qlCalendarAdvance(Calendar,W1693,V1694,"f",FALSE)</f>
        <v>50774</v>
      </c>
      <c r="X1694" s="91">
        <f>_xll.qlCalendarAdvance(Calendar,W1694,NDays&amp;"D")</f>
        <v>50774</v>
      </c>
      <c r="Y1694" s="92" t="e">
        <v>#N/A</v>
      </c>
      <c r="Z1694" s="94" t="e">
        <v>#N/A</v>
      </c>
    </row>
    <row r="1695" spans="22:26" x14ac:dyDescent="0.2">
      <c r="V1695" s="123" t="str">
        <f t="shared" si="37"/>
        <v>1w</v>
      </c>
      <c r="W1695" s="82">
        <f>_xll.qlCalendarAdvance(Calendar,W1694,V1695,"f",FALSE)</f>
        <v>50781</v>
      </c>
      <c r="X1695" s="91">
        <f>_xll.qlCalendarAdvance(Calendar,W1695,NDays&amp;"D")</f>
        <v>50781</v>
      </c>
      <c r="Y1695" s="92" t="e">
        <v>#N/A</v>
      </c>
      <c r="Z1695" s="94" t="e">
        <v>#N/A</v>
      </c>
    </row>
    <row r="1696" spans="22:26" x14ac:dyDescent="0.2">
      <c r="V1696" s="123" t="str">
        <f t="shared" si="37"/>
        <v>1w</v>
      </c>
      <c r="W1696" s="82">
        <f>_xll.qlCalendarAdvance(Calendar,W1695,V1696,"f",FALSE)</f>
        <v>50788</v>
      </c>
      <c r="X1696" s="91">
        <f>_xll.qlCalendarAdvance(Calendar,W1696,NDays&amp;"D")</f>
        <v>50788</v>
      </c>
      <c r="Y1696" s="92" t="e">
        <v>#N/A</v>
      </c>
      <c r="Z1696" s="94" t="e">
        <v>#N/A</v>
      </c>
    </row>
    <row r="1697" spans="22:26" x14ac:dyDescent="0.2">
      <c r="V1697" s="123" t="str">
        <f t="shared" si="37"/>
        <v>1w</v>
      </c>
      <c r="W1697" s="82">
        <f>_xll.qlCalendarAdvance(Calendar,W1696,V1697,"f",FALSE)</f>
        <v>50795</v>
      </c>
      <c r="X1697" s="91">
        <f>_xll.qlCalendarAdvance(Calendar,W1697,NDays&amp;"D")</f>
        <v>50795</v>
      </c>
      <c r="Y1697" s="92" t="e">
        <v>#N/A</v>
      </c>
      <c r="Z1697" s="94" t="e">
        <v>#N/A</v>
      </c>
    </row>
    <row r="1698" spans="22:26" x14ac:dyDescent="0.2">
      <c r="V1698" s="123" t="str">
        <f t="shared" si="37"/>
        <v>1w</v>
      </c>
      <c r="W1698" s="82">
        <f>_xll.qlCalendarAdvance(Calendar,W1697,V1698,"f",FALSE)</f>
        <v>50802</v>
      </c>
      <c r="X1698" s="91">
        <f>_xll.qlCalendarAdvance(Calendar,W1698,NDays&amp;"D")</f>
        <v>50802</v>
      </c>
      <c r="Y1698" s="92" t="e">
        <v>#N/A</v>
      </c>
      <c r="Z1698" s="94" t="e">
        <v>#N/A</v>
      </c>
    </row>
    <row r="1699" spans="22:26" x14ac:dyDescent="0.2">
      <c r="V1699" s="123" t="str">
        <f t="shared" si="37"/>
        <v>1w</v>
      </c>
      <c r="W1699" s="82">
        <f>_xll.qlCalendarAdvance(Calendar,W1698,V1699,"f",FALSE)</f>
        <v>50809</v>
      </c>
      <c r="X1699" s="91">
        <f>_xll.qlCalendarAdvance(Calendar,W1699,NDays&amp;"D")</f>
        <v>50809</v>
      </c>
      <c r="Y1699" s="92" t="e">
        <v>#N/A</v>
      </c>
      <c r="Z1699" s="94" t="e">
        <v>#N/A</v>
      </c>
    </row>
    <row r="1700" spans="22:26" x14ac:dyDescent="0.2">
      <c r="V1700" s="123" t="str">
        <f t="shared" si="37"/>
        <v>1w</v>
      </c>
      <c r="W1700" s="82">
        <f>_xll.qlCalendarAdvance(Calendar,W1699,V1700,"f",FALSE)</f>
        <v>50816</v>
      </c>
      <c r="X1700" s="91">
        <f>_xll.qlCalendarAdvance(Calendar,W1700,NDays&amp;"D")</f>
        <v>50816</v>
      </c>
      <c r="Y1700" s="92" t="e">
        <v>#N/A</v>
      </c>
      <c r="Z1700" s="94" t="e">
        <v>#N/A</v>
      </c>
    </row>
    <row r="1701" spans="22:26" x14ac:dyDescent="0.2">
      <c r="V1701" s="123" t="str">
        <f t="shared" si="37"/>
        <v>1w</v>
      </c>
      <c r="W1701" s="82">
        <f>_xll.qlCalendarAdvance(Calendar,W1700,V1701,"f",FALSE)</f>
        <v>50823</v>
      </c>
      <c r="X1701" s="91">
        <f>_xll.qlCalendarAdvance(Calendar,W1701,NDays&amp;"D")</f>
        <v>50823</v>
      </c>
      <c r="Y1701" s="92" t="e">
        <v>#N/A</v>
      </c>
      <c r="Z1701" s="94" t="e">
        <v>#N/A</v>
      </c>
    </row>
    <row r="1702" spans="22:26" x14ac:dyDescent="0.2">
      <c r="V1702" s="123" t="str">
        <f t="shared" si="37"/>
        <v>1w</v>
      </c>
      <c r="W1702" s="82">
        <f>_xll.qlCalendarAdvance(Calendar,W1701,V1702,"f",FALSE)</f>
        <v>50830</v>
      </c>
      <c r="X1702" s="91">
        <f>_xll.qlCalendarAdvance(Calendar,W1702,NDays&amp;"D")</f>
        <v>50830</v>
      </c>
      <c r="Y1702" s="92" t="e">
        <v>#N/A</v>
      </c>
      <c r="Z1702" s="94" t="e">
        <v>#N/A</v>
      </c>
    </row>
    <row r="1703" spans="22:26" x14ac:dyDescent="0.2">
      <c r="V1703" s="123" t="str">
        <f t="shared" si="37"/>
        <v>1w</v>
      </c>
      <c r="W1703" s="82">
        <f>_xll.qlCalendarAdvance(Calendar,W1702,V1703,"f",FALSE)</f>
        <v>50837</v>
      </c>
      <c r="X1703" s="91">
        <f>_xll.qlCalendarAdvance(Calendar,W1703,NDays&amp;"D")</f>
        <v>50837</v>
      </c>
      <c r="Y1703" s="92" t="e">
        <v>#N/A</v>
      </c>
      <c r="Z1703" s="94" t="e">
        <v>#N/A</v>
      </c>
    </row>
    <row r="1704" spans="22:26" x14ac:dyDescent="0.2">
      <c r="V1704" s="123" t="str">
        <f t="shared" si="37"/>
        <v>1w</v>
      </c>
      <c r="W1704" s="82">
        <f>_xll.qlCalendarAdvance(Calendar,W1703,V1704,"f",FALSE)</f>
        <v>50844</v>
      </c>
      <c r="X1704" s="91">
        <f>_xll.qlCalendarAdvance(Calendar,W1704,NDays&amp;"D")</f>
        <v>50844</v>
      </c>
      <c r="Y1704" s="92" t="e">
        <v>#N/A</v>
      </c>
      <c r="Z1704" s="94" t="e">
        <v>#N/A</v>
      </c>
    </row>
    <row r="1705" spans="22:26" x14ac:dyDescent="0.2">
      <c r="V1705" s="123" t="str">
        <f t="shared" si="37"/>
        <v>1w</v>
      </c>
      <c r="W1705" s="82">
        <f>_xll.qlCalendarAdvance(Calendar,W1704,V1705,"f",FALSE)</f>
        <v>50851</v>
      </c>
      <c r="X1705" s="91">
        <f>_xll.qlCalendarAdvance(Calendar,W1705,NDays&amp;"D")</f>
        <v>50851</v>
      </c>
      <c r="Y1705" s="92" t="e">
        <v>#N/A</v>
      </c>
      <c r="Z1705" s="94" t="e">
        <v>#N/A</v>
      </c>
    </row>
    <row r="1706" spans="22:26" x14ac:dyDescent="0.2">
      <c r="V1706" s="123" t="str">
        <f t="shared" si="37"/>
        <v>1w</v>
      </c>
      <c r="W1706" s="82">
        <f>_xll.qlCalendarAdvance(Calendar,W1705,V1706,"f",FALSE)</f>
        <v>50858</v>
      </c>
      <c r="X1706" s="91">
        <f>_xll.qlCalendarAdvance(Calendar,W1706,NDays&amp;"D")</f>
        <v>50858</v>
      </c>
      <c r="Y1706" s="92" t="e">
        <v>#N/A</v>
      </c>
      <c r="Z1706" s="94" t="e">
        <v>#N/A</v>
      </c>
    </row>
    <row r="1707" spans="22:26" x14ac:dyDescent="0.2">
      <c r="V1707" s="123" t="str">
        <f t="shared" si="37"/>
        <v>1w</v>
      </c>
      <c r="W1707" s="82">
        <f>_xll.qlCalendarAdvance(Calendar,W1706,V1707,"f",FALSE)</f>
        <v>50865</v>
      </c>
      <c r="X1707" s="91">
        <f>_xll.qlCalendarAdvance(Calendar,W1707,NDays&amp;"D")</f>
        <v>50865</v>
      </c>
      <c r="Y1707" s="92" t="e">
        <v>#N/A</v>
      </c>
      <c r="Z1707" s="94" t="e">
        <v>#N/A</v>
      </c>
    </row>
    <row r="1708" spans="22:26" x14ac:dyDescent="0.2">
      <c r="V1708" s="123" t="str">
        <f t="shared" si="37"/>
        <v>1w</v>
      </c>
      <c r="W1708" s="82">
        <f>_xll.qlCalendarAdvance(Calendar,W1707,V1708,"f",FALSE)</f>
        <v>50872</v>
      </c>
      <c r="X1708" s="91">
        <f>_xll.qlCalendarAdvance(Calendar,W1708,NDays&amp;"D")</f>
        <v>50872</v>
      </c>
      <c r="Y1708" s="92" t="e">
        <v>#N/A</v>
      </c>
      <c r="Z1708" s="94" t="e">
        <v>#N/A</v>
      </c>
    </row>
    <row r="1709" spans="22:26" x14ac:dyDescent="0.2">
      <c r="V1709" s="123" t="str">
        <f t="shared" si="37"/>
        <v>1w</v>
      </c>
      <c r="W1709" s="82">
        <f>_xll.qlCalendarAdvance(Calendar,W1708,V1709,"f",FALSE)</f>
        <v>50879</v>
      </c>
      <c r="X1709" s="91">
        <f>_xll.qlCalendarAdvance(Calendar,W1709,NDays&amp;"D")</f>
        <v>50879</v>
      </c>
      <c r="Y1709" s="92" t="e">
        <v>#N/A</v>
      </c>
      <c r="Z1709" s="94" t="e">
        <v>#N/A</v>
      </c>
    </row>
    <row r="1710" spans="22:26" x14ac:dyDescent="0.2">
      <c r="V1710" s="123" t="str">
        <f t="shared" si="37"/>
        <v>1w</v>
      </c>
      <c r="W1710" s="82">
        <f>_xll.qlCalendarAdvance(Calendar,W1709,V1710,"f",FALSE)</f>
        <v>50886</v>
      </c>
      <c r="X1710" s="91">
        <f>_xll.qlCalendarAdvance(Calendar,W1710,NDays&amp;"D")</f>
        <v>50886</v>
      </c>
      <c r="Y1710" s="92" t="e">
        <v>#N/A</v>
      </c>
      <c r="Z1710" s="94" t="e">
        <v>#N/A</v>
      </c>
    </row>
    <row r="1711" spans="22:26" x14ac:dyDescent="0.2">
      <c r="V1711" s="123" t="str">
        <f t="shared" si="37"/>
        <v>1w</v>
      </c>
      <c r="W1711" s="82">
        <f>_xll.qlCalendarAdvance(Calendar,W1710,V1711,"f",FALSE)</f>
        <v>50893</v>
      </c>
      <c r="X1711" s="91">
        <f>_xll.qlCalendarAdvance(Calendar,W1711,NDays&amp;"D")</f>
        <v>50893</v>
      </c>
      <c r="Y1711" s="92" t="e">
        <v>#N/A</v>
      </c>
      <c r="Z1711" s="94" t="e">
        <v>#N/A</v>
      </c>
    </row>
    <row r="1712" spans="22:26" x14ac:dyDescent="0.2">
      <c r="V1712" s="123" t="str">
        <f t="shared" si="37"/>
        <v>1w</v>
      </c>
      <c r="W1712" s="82">
        <f>_xll.qlCalendarAdvance(Calendar,W1711,V1712,"f",FALSE)</f>
        <v>50900</v>
      </c>
      <c r="X1712" s="91">
        <f>_xll.qlCalendarAdvance(Calendar,W1712,NDays&amp;"D")</f>
        <v>50900</v>
      </c>
      <c r="Y1712" s="92" t="e">
        <v>#N/A</v>
      </c>
      <c r="Z1712" s="94" t="e">
        <v>#N/A</v>
      </c>
    </row>
    <row r="1713" spans="22:26" x14ac:dyDescent="0.2">
      <c r="V1713" s="123" t="str">
        <f t="shared" si="37"/>
        <v>1w</v>
      </c>
      <c r="W1713" s="82">
        <f>_xll.qlCalendarAdvance(Calendar,W1712,V1713,"f",FALSE)</f>
        <v>50907</v>
      </c>
      <c r="X1713" s="91">
        <f>_xll.qlCalendarAdvance(Calendar,W1713,NDays&amp;"D")</f>
        <v>50907</v>
      </c>
      <c r="Y1713" s="92" t="e">
        <v>#N/A</v>
      </c>
      <c r="Z1713" s="94" t="e">
        <v>#N/A</v>
      </c>
    </row>
    <row r="1714" spans="22:26" x14ac:dyDescent="0.2">
      <c r="V1714" s="123" t="str">
        <f t="shared" si="37"/>
        <v>1w</v>
      </c>
      <c r="W1714" s="82">
        <f>_xll.qlCalendarAdvance(Calendar,W1713,V1714,"f",FALSE)</f>
        <v>50914</v>
      </c>
      <c r="X1714" s="91">
        <f>_xll.qlCalendarAdvance(Calendar,W1714,NDays&amp;"D")</f>
        <v>50914</v>
      </c>
      <c r="Y1714" s="92" t="e">
        <v>#N/A</v>
      </c>
      <c r="Z1714" s="94" t="e">
        <v>#N/A</v>
      </c>
    </row>
    <row r="1715" spans="22:26" x14ac:dyDescent="0.2">
      <c r="V1715" s="123" t="str">
        <f t="shared" si="37"/>
        <v>1w</v>
      </c>
      <c r="W1715" s="82">
        <f>_xll.qlCalendarAdvance(Calendar,W1714,V1715,"f",FALSE)</f>
        <v>50921</v>
      </c>
      <c r="X1715" s="91">
        <f>_xll.qlCalendarAdvance(Calendar,W1715,NDays&amp;"D")</f>
        <v>50921</v>
      </c>
      <c r="Y1715" s="92" t="e">
        <v>#N/A</v>
      </c>
      <c r="Z1715" s="94" t="e">
        <v>#N/A</v>
      </c>
    </row>
    <row r="1716" spans="22:26" x14ac:dyDescent="0.2">
      <c r="V1716" s="123" t="str">
        <f t="shared" si="37"/>
        <v>1w</v>
      </c>
      <c r="W1716" s="82">
        <f>_xll.qlCalendarAdvance(Calendar,W1715,V1716,"f",FALSE)</f>
        <v>50928</v>
      </c>
      <c r="X1716" s="91">
        <f>_xll.qlCalendarAdvance(Calendar,W1716,NDays&amp;"D")</f>
        <v>50928</v>
      </c>
      <c r="Y1716" s="92" t="e">
        <v>#N/A</v>
      </c>
      <c r="Z1716" s="94" t="e">
        <v>#N/A</v>
      </c>
    </row>
    <row r="1717" spans="22:26" x14ac:dyDescent="0.2">
      <c r="V1717" s="123" t="str">
        <f t="shared" si="37"/>
        <v>1w</v>
      </c>
      <c r="W1717" s="82">
        <f>_xll.qlCalendarAdvance(Calendar,W1716,V1717,"f",FALSE)</f>
        <v>50935</v>
      </c>
      <c r="X1717" s="91">
        <f>_xll.qlCalendarAdvance(Calendar,W1717,NDays&amp;"D")</f>
        <v>50935</v>
      </c>
      <c r="Y1717" s="92" t="e">
        <v>#N/A</v>
      </c>
      <c r="Z1717" s="94" t="e">
        <v>#N/A</v>
      </c>
    </row>
    <row r="1718" spans="22:26" x14ac:dyDescent="0.2">
      <c r="V1718" s="123" t="str">
        <f t="shared" si="37"/>
        <v>1w</v>
      </c>
      <c r="W1718" s="82">
        <f>_xll.qlCalendarAdvance(Calendar,W1717,V1718,"f",FALSE)</f>
        <v>50942</v>
      </c>
      <c r="X1718" s="91">
        <f>_xll.qlCalendarAdvance(Calendar,W1718,NDays&amp;"D")</f>
        <v>50942</v>
      </c>
      <c r="Y1718" s="92" t="e">
        <v>#N/A</v>
      </c>
      <c r="Z1718" s="94" t="e">
        <v>#N/A</v>
      </c>
    </row>
    <row r="1719" spans="22:26" x14ac:dyDescent="0.2">
      <c r="V1719" s="123" t="str">
        <f t="shared" si="37"/>
        <v>1w</v>
      </c>
      <c r="W1719" s="82">
        <f>_xll.qlCalendarAdvance(Calendar,W1718,V1719,"f",FALSE)</f>
        <v>50949</v>
      </c>
      <c r="X1719" s="91">
        <f>_xll.qlCalendarAdvance(Calendar,W1719,NDays&amp;"D")</f>
        <v>50949</v>
      </c>
      <c r="Y1719" s="92" t="e">
        <v>#N/A</v>
      </c>
      <c r="Z1719" s="94" t="e">
        <v>#N/A</v>
      </c>
    </row>
    <row r="1720" spans="22:26" x14ac:dyDescent="0.2">
      <c r="V1720" s="123" t="str">
        <f t="shared" si="37"/>
        <v>1w</v>
      </c>
      <c r="W1720" s="82">
        <f>_xll.qlCalendarAdvance(Calendar,W1719,V1720,"f",FALSE)</f>
        <v>50956</v>
      </c>
      <c r="X1720" s="91">
        <f>_xll.qlCalendarAdvance(Calendar,W1720,NDays&amp;"D")</f>
        <v>50956</v>
      </c>
      <c r="Y1720" s="92" t="e">
        <v>#N/A</v>
      </c>
      <c r="Z1720" s="94" t="e">
        <v>#N/A</v>
      </c>
    </row>
    <row r="1721" spans="22:26" x14ac:dyDescent="0.2">
      <c r="V1721" s="123" t="str">
        <f t="shared" si="37"/>
        <v>1w</v>
      </c>
      <c r="W1721" s="82">
        <f>_xll.qlCalendarAdvance(Calendar,W1720,V1721,"f",FALSE)</f>
        <v>50963</v>
      </c>
      <c r="X1721" s="91">
        <f>_xll.qlCalendarAdvance(Calendar,W1721,NDays&amp;"D")</f>
        <v>50963</v>
      </c>
      <c r="Y1721" s="92" t="e">
        <v>#N/A</v>
      </c>
      <c r="Z1721" s="94" t="e">
        <v>#N/A</v>
      </c>
    </row>
    <row r="1722" spans="22:26" x14ac:dyDescent="0.2">
      <c r="V1722" s="123" t="str">
        <f t="shared" si="37"/>
        <v>1w</v>
      </c>
      <c r="W1722" s="82">
        <f>_xll.qlCalendarAdvance(Calendar,W1721,V1722,"f",FALSE)</f>
        <v>50970</v>
      </c>
      <c r="X1722" s="91">
        <f>_xll.qlCalendarAdvance(Calendar,W1722,NDays&amp;"D")</f>
        <v>50970</v>
      </c>
      <c r="Y1722" s="92" t="e">
        <v>#N/A</v>
      </c>
      <c r="Z1722" s="94" t="e">
        <v>#N/A</v>
      </c>
    </row>
    <row r="1723" spans="22:26" x14ac:dyDescent="0.2">
      <c r="V1723" s="123" t="str">
        <f t="shared" si="37"/>
        <v>1w</v>
      </c>
      <c r="W1723" s="82">
        <f>_xll.qlCalendarAdvance(Calendar,W1722,V1723,"f",FALSE)</f>
        <v>50977</v>
      </c>
      <c r="X1723" s="91">
        <f>_xll.qlCalendarAdvance(Calendar,W1723,NDays&amp;"D")</f>
        <v>50977</v>
      </c>
      <c r="Y1723" s="92" t="e">
        <v>#N/A</v>
      </c>
      <c r="Z1723" s="94" t="e">
        <v>#N/A</v>
      </c>
    </row>
    <row r="1724" spans="22:26" x14ac:dyDescent="0.2">
      <c r="V1724" s="123" t="str">
        <f t="shared" si="37"/>
        <v>1w</v>
      </c>
      <c r="W1724" s="82">
        <f>_xll.qlCalendarAdvance(Calendar,W1723,V1724,"f",FALSE)</f>
        <v>50984</v>
      </c>
      <c r="X1724" s="91">
        <f>_xll.qlCalendarAdvance(Calendar,W1724,NDays&amp;"D")</f>
        <v>50984</v>
      </c>
      <c r="Y1724" s="92" t="e">
        <v>#N/A</v>
      </c>
      <c r="Z1724" s="94" t="e">
        <v>#N/A</v>
      </c>
    </row>
    <row r="1725" spans="22:26" x14ac:dyDescent="0.2">
      <c r="V1725" s="123" t="str">
        <f t="shared" si="37"/>
        <v>1w</v>
      </c>
      <c r="W1725" s="82">
        <f>_xll.qlCalendarAdvance(Calendar,W1724,V1725,"f",FALSE)</f>
        <v>50991</v>
      </c>
      <c r="X1725" s="91">
        <f>_xll.qlCalendarAdvance(Calendar,W1725,NDays&amp;"D")</f>
        <v>50991</v>
      </c>
      <c r="Y1725" s="92" t="e">
        <v>#N/A</v>
      </c>
      <c r="Z1725" s="94" t="e">
        <v>#N/A</v>
      </c>
    </row>
    <row r="1726" spans="22:26" x14ac:dyDescent="0.2">
      <c r="V1726" s="123" t="str">
        <f t="shared" si="37"/>
        <v>1w</v>
      </c>
      <c r="W1726" s="82">
        <f>_xll.qlCalendarAdvance(Calendar,W1725,V1726,"f",FALSE)</f>
        <v>50998</v>
      </c>
      <c r="X1726" s="91">
        <f>_xll.qlCalendarAdvance(Calendar,W1726,NDays&amp;"D")</f>
        <v>50998</v>
      </c>
      <c r="Y1726" s="92" t="e">
        <v>#N/A</v>
      </c>
      <c r="Z1726" s="94" t="e">
        <v>#N/A</v>
      </c>
    </row>
    <row r="1727" spans="22:26" x14ac:dyDescent="0.2">
      <c r="V1727" s="123" t="str">
        <f t="shared" si="37"/>
        <v>1w</v>
      </c>
      <c r="W1727" s="82">
        <f>_xll.qlCalendarAdvance(Calendar,W1726,V1727,"f",FALSE)</f>
        <v>51005</v>
      </c>
      <c r="X1727" s="91">
        <f>_xll.qlCalendarAdvance(Calendar,W1727,NDays&amp;"D")</f>
        <v>51005</v>
      </c>
      <c r="Y1727" s="92" t="e">
        <v>#N/A</v>
      </c>
      <c r="Z1727" s="94" t="e">
        <v>#N/A</v>
      </c>
    </row>
    <row r="1728" spans="22:26" x14ac:dyDescent="0.2">
      <c r="V1728" s="123" t="str">
        <f t="shared" si="37"/>
        <v>1w</v>
      </c>
      <c r="W1728" s="82">
        <f>_xll.qlCalendarAdvance(Calendar,W1727,V1728,"f",FALSE)</f>
        <v>51012</v>
      </c>
      <c r="X1728" s="91">
        <f>_xll.qlCalendarAdvance(Calendar,W1728,NDays&amp;"D")</f>
        <v>51012</v>
      </c>
      <c r="Y1728" s="92" t="e">
        <v>#N/A</v>
      </c>
      <c r="Z1728" s="94" t="e">
        <v>#N/A</v>
      </c>
    </row>
    <row r="1729" spans="22:26" x14ac:dyDescent="0.2">
      <c r="V1729" s="123" t="str">
        <f t="shared" si="37"/>
        <v>1w</v>
      </c>
      <c r="W1729" s="82">
        <f>_xll.qlCalendarAdvance(Calendar,W1728,V1729,"f",FALSE)</f>
        <v>51019</v>
      </c>
      <c r="X1729" s="91">
        <f>_xll.qlCalendarAdvance(Calendar,W1729,NDays&amp;"D")</f>
        <v>51019</v>
      </c>
      <c r="Y1729" s="92" t="e">
        <v>#N/A</v>
      </c>
      <c r="Z1729" s="94" t="e">
        <v>#N/A</v>
      </c>
    </row>
    <row r="1730" spans="22:26" x14ac:dyDescent="0.2">
      <c r="V1730" s="123" t="str">
        <f t="shared" si="37"/>
        <v>1w</v>
      </c>
      <c r="W1730" s="82">
        <f>_xll.qlCalendarAdvance(Calendar,W1729,V1730,"f",FALSE)</f>
        <v>51026</v>
      </c>
      <c r="X1730" s="91">
        <f>_xll.qlCalendarAdvance(Calendar,W1730,NDays&amp;"D")</f>
        <v>51026</v>
      </c>
      <c r="Y1730" s="92" t="e">
        <v>#N/A</v>
      </c>
      <c r="Z1730" s="94" t="e">
        <v>#N/A</v>
      </c>
    </row>
    <row r="1731" spans="22:26" x14ac:dyDescent="0.2">
      <c r="V1731" s="123" t="str">
        <f t="shared" si="37"/>
        <v>1w</v>
      </c>
      <c r="W1731" s="82">
        <f>_xll.qlCalendarAdvance(Calendar,W1730,V1731,"f",FALSE)</f>
        <v>51033</v>
      </c>
      <c r="X1731" s="91">
        <f>_xll.qlCalendarAdvance(Calendar,W1731,NDays&amp;"D")</f>
        <v>51033</v>
      </c>
      <c r="Y1731" s="92" t="e">
        <v>#N/A</v>
      </c>
      <c r="Z1731" s="94" t="e">
        <v>#N/A</v>
      </c>
    </row>
    <row r="1732" spans="22:26" x14ac:dyDescent="0.2">
      <c r="V1732" s="123" t="str">
        <f t="shared" si="37"/>
        <v>1w</v>
      </c>
      <c r="W1732" s="82">
        <f>_xll.qlCalendarAdvance(Calendar,W1731,V1732,"f",FALSE)</f>
        <v>51040</v>
      </c>
      <c r="X1732" s="91">
        <f>_xll.qlCalendarAdvance(Calendar,W1732,NDays&amp;"D")</f>
        <v>51040</v>
      </c>
      <c r="Y1732" s="92" t="e">
        <v>#N/A</v>
      </c>
      <c r="Z1732" s="94" t="e">
        <v>#N/A</v>
      </c>
    </row>
    <row r="1733" spans="22:26" x14ac:dyDescent="0.2">
      <c r="V1733" s="123" t="str">
        <f t="shared" si="37"/>
        <v>1w</v>
      </c>
      <c r="W1733" s="82">
        <f>_xll.qlCalendarAdvance(Calendar,W1732,V1733,"f",FALSE)</f>
        <v>51047</v>
      </c>
      <c r="X1733" s="91">
        <f>_xll.qlCalendarAdvance(Calendar,W1733,NDays&amp;"D")</f>
        <v>51047</v>
      </c>
      <c r="Y1733" s="92" t="e">
        <v>#N/A</v>
      </c>
      <c r="Z1733" s="94" t="e">
        <v>#N/A</v>
      </c>
    </row>
    <row r="1734" spans="22:26" x14ac:dyDescent="0.2">
      <c r="V1734" s="123" t="str">
        <f t="shared" si="37"/>
        <v>1w</v>
      </c>
      <c r="W1734" s="82">
        <f>_xll.qlCalendarAdvance(Calendar,W1733,V1734,"f",FALSE)</f>
        <v>51054</v>
      </c>
      <c r="X1734" s="91">
        <f>_xll.qlCalendarAdvance(Calendar,W1734,NDays&amp;"D")</f>
        <v>51054</v>
      </c>
      <c r="Y1734" s="92" t="e">
        <v>#N/A</v>
      </c>
      <c r="Z1734" s="94" t="e">
        <v>#N/A</v>
      </c>
    </row>
    <row r="1735" spans="22:26" x14ac:dyDescent="0.2">
      <c r="V1735" s="123" t="str">
        <f t="shared" si="37"/>
        <v>1w</v>
      </c>
      <c r="W1735" s="82">
        <f>_xll.qlCalendarAdvance(Calendar,W1734,V1735,"f",FALSE)</f>
        <v>51061</v>
      </c>
      <c r="X1735" s="91">
        <f>_xll.qlCalendarAdvance(Calendar,W1735,NDays&amp;"D")</f>
        <v>51061</v>
      </c>
      <c r="Y1735" s="92" t="e">
        <v>#N/A</v>
      </c>
      <c r="Z1735" s="94" t="e">
        <v>#N/A</v>
      </c>
    </row>
    <row r="1736" spans="22:26" x14ac:dyDescent="0.2">
      <c r="V1736" s="123" t="str">
        <f t="shared" si="37"/>
        <v>1w</v>
      </c>
      <c r="W1736" s="82">
        <f>_xll.qlCalendarAdvance(Calendar,W1735,V1736,"f",FALSE)</f>
        <v>51068</v>
      </c>
      <c r="X1736" s="91">
        <f>_xll.qlCalendarAdvance(Calendar,W1736,NDays&amp;"D")</f>
        <v>51068</v>
      </c>
      <c r="Y1736" s="92" t="e">
        <v>#N/A</v>
      </c>
      <c r="Z1736" s="94" t="e">
        <v>#N/A</v>
      </c>
    </row>
    <row r="1737" spans="22:26" x14ac:dyDescent="0.2">
      <c r="V1737" s="123" t="str">
        <f t="shared" si="37"/>
        <v>1w</v>
      </c>
      <c r="W1737" s="82">
        <f>_xll.qlCalendarAdvance(Calendar,W1736,V1737,"f",FALSE)</f>
        <v>51075</v>
      </c>
      <c r="X1737" s="91">
        <f>_xll.qlCalendarAdvance(Calendar,W1737,NDays&amp;"D")</f>
        <v>51075</v>
      </c>
      <c r="Y1737" s="92" t="e">
        <v>#N/A</v>
      </c>
      <c r="Z1737" s="94" t="e">
        <v>#N/A</v>
      </c>
    </row>
    <row r="1738" spans="22:26" x14ac:dyDescent="0.2">
      <c r="V1738" s="123" t="str">
        <f t="shared" si="37"/>
        <v>1w</v>
      </c>
      <c r="W1738" s="82">
        <f>_xll.qlCalendarAdvance(Calendar,W1737,V1738,"f",FALSE)</f>
        <v>51082</v>
      </c>
      <c r="X1738" s="91">
        <f>_xll.qlCalendarAdvance(Calendar,W1738,NDays&amp;"D")</f>
        <v>51082</v>
      </c>
      <c r="Y1738" s="92" t="e">
        <v>#N/A</v>
      </c>
      <c r="Z1738" s="94" t="e">
        <v>#N/A</v>
      </c>
    </row>
    <row r="1739" spans="22:26" x14ac:dyDescent="0.2">
      <c r="V1739" s="123" t="str">
        <f t="shared" si="37"/>
        <v>1w</v>
      </c>
      <c r="W1739" s="82">
        <f>_xll.qlCalendarAdvance(Calendar,W1738,V1739,"f",FALSE)</f>
        <v>51089</v>
      </c>
      <c r="X1739" s="91">
        <f>_xll.qlCalendarAdvance(Calendar,W1739,NDays&amp;"D")</f>
        <v>51089</v>
      </c>
      <c r="Y1739" s="92" t="e">
        <v>#N/A</v>
      </c>
      <c r="Z1739" s="94" t="e">
        <v>#N/A</v>
      </c>
    </row>
    <row r="1740" spans="22:26" x14ac:dyDescent="0.2">
      <c r="V1740" s="123" t="str">
        <f t="shared" si="37"/>
        <v>1w</v>
      </c>
      <c r="W1740" s="82">
        <f>_xll.qlCalendarAdvance(Calendar,W1739,V1740,"f",FALSE)</f>
        <v>51096</v>
      </c>
      <c r="X1740" s="91">
        <f>_xll.qlCalendarAdvance(Calendar,W1740,NDays&amp;"D")</f>
        <v>51096</v>
      </c>
      <c r="Y1740" s="92" t="e">
        <v>#N/A</v>
      </c>
      <c r="Z1740" s="94" t="e">
        <v>#N/A</v>
      </c>
    </row>
    <row r="1741" spans="22:26" x14ac:dyDescent="0.2">
      <c r="V1741" s="123" t="str">
        <f t="shared" si="37"/>
        <v>1w</v>
      </c>
      <c r="W1741" s="82">
        <f>_xll.qlCalendarAdvance(Calendar,W1740,V1741,"f",FALSE)</f>
        <v>51103</v>
      </c>
      <c r="X1741" s="91">
        <f>_xll.qlCalendarAdvance(Calendar,W1741,NDays&amp;"D")</f>
        <v>51103</v>
      </c>
      <c r="Y1741" s="92" t="e">
        <v>#N/A</v>
      </c>
      <c r="Z1741" s="94" t="e">
        <v>#N/A</v>
      </c>
    </row>
    <row r="1742" spans="22:26" x14ac:dyDescent="0.2">
      <c r="V1742" s="123" t="str">
        <f t="shared" si="37"/>
        <v>1w</v>
      </c>
      <c r="W1742" s="82">
        <f>_xll.qlCalendarAdvance(Calendar,W1741,V1742,"f",FALSE)</f>
        <v>51110</v>
      </c>
      <c r="X1742" s="91">
        <f>_xll.qlCalendarAdvance(Calendar,W1742,NDays&amp;"D")</f>
        <v>51110</v>
      </c>
      <c r="Y1742" s="92" t="e">
        <v>#N/A</v>
      </c>
      <c r="Z1742" s="94" t="e">
        <v>#N/A</v>
      </c>
    </row>
    <row r="1743" spans="22:26" x14ac:dyDescent="0.2">
      <c r="V1743" s="123" t="str">
        <f t="shared" si="37"/>
        <v>1w</v>
      </c>
      <c r="W1743" s="82">
        <f>_xll.qlCalendarAdvance(Calendar,W1742,V1743,"f",FALSE)</f>
        <v>51117</v>
      </c>
      <c r="X1743" s="91">
        <f>_xll.qlCalendarAdvance(Calendar,W1743,NDays&amp;"D")</f>
        <v>51117</v>
      </c>
      <c r="Y1743" s="92" t="e">
        <v>#N/A</v>
      </c>
      <c r="Z1743" s="94" t="e">
        <v>#N/A</v>
      </c>
    </row>
    <row r="1744" spans="22:26" x14ac:dyDescent="0.2">
      <c r="V1744" s="123" t="str">
        <f t="shared" si="37"/>
        <v>1w</v>
      </c>
      <c r="W1744" s="82">
        <f>_xll.qlCalendarAdvance(Calendar,W1743,V1744,"f",FALSE)</f>
        <v>51124</v>
      </c>
      <c r="X1744" s="91">
        <f>_xll.qlCalendarAdvance(Calendar,W1744,NDays&amp;"D")</f>
        <v>51124</v>
      </c>
      <c r="Y1744" s="92" t="e">
        <v>#N/A</v>
      </c>
      <c r="Z1744" s="94" t="e">
        <v>#N/A</v>
      </c>
    </row>
    <row r="1745" spans="22:26" x14ac:dyDescent="0.2">
      <c r="V1745" s="123" t="str">
        <f t="shared" si="37"/>
        <v>1w</v>
      </c>
      <c r="W1745" s="82">
        <f>_xll.qlCalendarAdvance(Calendar,W1744,V1745,"f",FALSE)</f>
        <v>51131</v>
      </c>
      <c r="X1745" s="91">
        <f>_xll.qlCalendarAdvance(Calendar,W1745,NDays&amp;"D")</f>
        <v>51131</v>
      </c>
      <c r="Y1745" s="92" t="e">
        <v>#N/A</v>
      </c>
      <c r="Z1745" s="94" t="e">
        <v>#N/A</v>
      </c>
    </row>
    <row r="1746" spans="22:26" x14ac:dyDescent="0.2">
      <c r="V1746" s="123" t="str">
        <f t="shared" si="37"/>
        <v>1w</v>
      </c>
      <c r="W1746" s="82">
        <f>_xll.qlCalendarAdvance(Calendar,W1745,V1746,"f",FALSE)</f>
        <v>51138</v>
      </c>
      <c r="X1746" s="91">
        <f>_xll.qlCalendarAdvance(Calendar,W1746,NDays&amp;"D")</f>
        <v>51138</v>
      </c>
      <c r="Y1746" s="92" t="e">
        <v>#N/A</v>
      </c>
      <c r="Z1746" s="94" t="e">
        <v>#N/A</v>
      </c>
    </row>
    <row r="1747" spans="22:26" x14ac:dyDescent="0.2">
      <c r="V1747" s="123" t="str">
        <f t="shared" si="37"/>
        <v>1w</v>
      </c>
      <c r="W1747" s="82">
        <f>_xll.qlCalendarAdvance(Calendar,W1746,V1747,"f",FALSE)</f>
        <v>51145</v>
      </c>
      <c r="X1747" s="91">
        <f>_xll.qlCalendarAdvance(Calendar,W1747,NDays&amp;"D")</f>
        <v>51145</v>
      </c>
      <c r="Y1747" s="92" t="e">
        <v>#N/A</v>
      </c>
      <c r="Z1747" s="94" t="e">
        <v>#N/A</v>
      </c>
    </row>
    <row r="1748" spans="22:26" x14ac:dyDescent="0.2">
      <c r="V1748" s="123" t="str">
        <f t="shared" si="37"/>
        <v>1w</v>
      </c>
      <c r="W1748" s="82">
        <f>_xll.qlCalendarAdvance(Calendar,W1747,V1748,"f",FALSE)</f>
        <v>51152</v>
      </c>
      <c r="X1748" s="91">
        <f>_xll.qlCalendarAdvance(Calendar,W1748,NDays&amp;"D")</f>
        <v>51152</v>
      </c>
      <c r="Y1748" s="92" t="e">
        <v>#N/A</v>
      </c>
      <c r="Z1748" s="94" t="e">
        <v>#N/A</v>
      </c>
    </row>
    <row r="1749" spans="22:26" x14ac:dyDescent="0.2">
      <c r="V1749" s="123" t="str">
        <f t="shared" ref="V1749:V1812" si="38">V1748</f>
        <v>1w</v>
      </c>
      <c r="W1749" s="82">
        <f>_xll.qlCalendarAdvance(Calendar,W1748,V1749,"f",FALSE)</f>
        <v>51159</v>
      </c>
      <c r="X1749" s="91">
        <f>_xll.qlCalendarAdvance(Calendar,W1749,NDays&amp;"D")</f>
        <v>51159</v>
      </c>
      <c r="Y1749" s="92" t="e">
        <v>#N/A</v>
      </c>
      <c r="Z1749" s="94" t="e">
        <v>#N/A</v>
      </c>
    </row>
    <row r="1750" spans="22:26" x14ac:dyDescent="0.2">
      <c r="V1750" s="123" t="str">
        <f t="shared" si="38"/>
        <v>1w</v>
      </c>
      <c r="W1750" s="82">
        <f>_xll.qlCalendarAdvance(Calendar,W1749,V1750,"f",FALSE)</f>
        <v>51166</v>
      </c>
      <c r="X1750" s="91">
        <f>_xll.qlCalendarAdvance(Calendar,W1750,NDays&amp;"D")</f>
        <v>51166</v>
      </c>
      <c r="Y1750" s="92" t="e">
        <v>#N/A</v>
      </c>
      <c r="Z1750" s="94" t="e">
        <v>#N/A</v>
      </c>
    </row>
    <row r="1751" spans="22:26" x14ac:dyDescent="0.2">
      <c r="V1751" s="123" t="str">
        <f t="shared" si="38"/>
        <v>1w</v>
      </c>
      <c r="W1751" s="82">
        <f>_xll.qlCalendarAdvance(Calendar,W1750,V1751,"f",FALSE)</f>
        <v>51173</v>
      </c>
      <c r="X1751" s="91">
        <f>_xll.qlCalendarAdvance(Calendar,W1751,NDays&amp;"D")</f>
        <v>51173</v>
      </c>
      <c r="Y1751" s="92" t="e">
        <v>#N/A</v>
      </c>
      <c r="Z1751" s="94" t="e">
        <v>#N/A</v>
      </c>
    </row>
    <row r="1752" spans="22:26" x14ac:dyDescent="0.2">
      <c r="V1752" s="123" t="str">
        <f t="shared" si="38"/>
        <v>1w</v>
      </c>
      <c r="W1752" s="82">
        <f>_xll.qlCalendarAdvance(Calendar,W1751,V1752,"f",FALSE)</f>
        <v>51180</v>
      </c>
      <c r="X1752" s="91">
        <f>_xll.qlCalendarAdvance(Calendar,W1752,NDays&amp;"D")</f>
        <v>51180</v>
      </c>
      <c r="Y1752" s="92" t="e">
        <v>#N/A</v>
      </c>
      <c r="Z1752" s="94" t="e">
        <v>#N/A</v>
      </c>
    </row>
    <row r="1753" spans="22:26" x14ac:dyDescent="0.2">
      <c r="V1753" s="123" t="str">
        <f t="shared" si="38"/>
        <v>1w</v>
      </c>
      <c r="W1753" s="82">
        <f>_xll.qlCalendarAdvance(Calendar,W1752,V1753,"f",FALSE)</f>
        <v>51187</v>
      </c>
      <c r="X1753" s="91">
        <f>_xll.qlCalendarAdvance(Calendar,W1753,NDays&amp;"D")</f>
        <v>51187</v>
      </c>
      <c r="Y1753" s="92" t="e">
        <v>#N/A</v>
      </c>
      <c r="Z1753" s="94" t="e">
        <v>#N/A</v>
      </c>
    </row>
    <row r="1754" spans="22:26" x14ac:dyDescent="0.2">
      <c r="V1754" s="123" t="str">
        <f t="shared" si="38"/>
        <v>1w</v>
      </c>
      <c r="W1754" s="82">
        <f>_xll.qlCalendarAdvance(Calendar,W1753,V1754,"f",FALSE)</f>
        <v>51194</v>
      </c>
      <c r="X1754" s="91">
        <f>_xll.qlCalendarAdvance(Calendar,W1754,NDays&amp;"D")</f>
        <v>51194</v>
      </c>
      <c r="Y1754" s="92" t="e">
        <v>#N/A</v>
      </c>
      <c r="Z1754" s="94" t="e">
        <v>#N/A</v>
      </c>
    </row>
    <row r="1755" spans="22:26" x14ac:dyDescent="0.2">
      <c r="V1755" s="123" t="str">
        <f t="shared" si="38"/>
        <v>1w</v>
      </c>
      <c r="W1755" s="82">
        <f>_xll.qlCalendarAdvance(Calendar,W1754,V1755,"f",FALSE)</f>
        <v>51201</v>
      </c>
      <c r="X1755" s="91">
        <f>_xll.qlCalendarAdvance(Calendar,W1755,NDays&amp;"D")</f>
        <v>51201</v>
      </c>
      <c r="Y1755" s="92" t="e">
        <v>#N/A</v>
      </c>
      <c r="Z1755" s="94" t="e">
        <v>#N/A</v>
      </c>
    </row>
    <row r="1756" spans="22:26" x14ac:dyDescent="0.2">
      <c r="V1756" s="123" t="str">
        <f t="shared" si="38"/>
        <v>1w</v>
      </c>
      <c r="W1756" s="82">
        <f>_xll.qlCalendarAdvance(Calendar,W1755,V1756,"f",FALSE)</f>
        <v>51208</v>
      </c>
      <c r="X1756" s="91">
        <f>_xll.qlCalendarAdvance(Calendar,W1756,NDays&amp;"D")</f>
        <v>51208</v>
      </c>
      <c r="Y1756" s="92" t="e">
        <v>#N/A</v>
      </c>
      <c r="Z1756" s="94" t="e">
        <v>#N/A</v>
      </c>
    </row>
    <row r="1757" spans="22:26" x14ac:dyDescent="0.2">
      <c r="V1757" s="123" t="str">
        <f t="shared" si="38"/>
        <v>1w</v>
      </c>
      <c r="W1757" s="82">
        <f>_xll.qlCalendarAdvance(Calendar,W1756,V1757,"f",FALSE)</f>
        <v>51215</v>
      </c>
      <c r="X1757" s="91">
        <f>_xll.qlCalendarAdvance(Calendar,W1757,NDays&amp;"D")</f>
        <v>51215</v>
      </c>
      <c r="Y1757" s="92" t="e">
        <v>#N/A</v>
      </c>
      <c r="Z1757" s="94" t="e">
        <v>#N/A</v>
      </c>
    </row>
    <row r="1758" spans="22:26" x14ac:dyDescent="0.2">
      <c r="V1758" s="123" t="str">
        <f t="shared" si="38"/>
        <v>1w</v>
      </c>
      <c r="W1758" s="82">
        <f>_xll.qlCalendarAdvance(Calendar,W1757,V1758,"f",FALSE)</f>
        <v>51222</v>
      </c>
      <c r="X1758" s="91">
        <f>_xll.qlCalendarAdvance(Calendar,W1758,NDays&amp;"D")</f>
        <v>51222</v>
      </c>
      <c r="Y1758" s="92" t="e">
        <v>#N/A</v>
      </c>
      <c r="Z1758" s="94" t="e">
        <v>#N/A</v>
      </c>
    </row>
    <row r="1759" spans="22:26" x14ac:dyDescent="0.2">
      <c r="V1759" s="123" t="str">
        <f t="shared" si="38"/>
        <v>1w</v>
      </c>
      <c r="W1759" s="82">
        <f>_xll.qlCalendarAdvance(Calendar,W1758,V1759,"f",FALSE)</f>
        <v>51229</v>
      </c>
      <c r="X1759" s="91">
        <f>_xll.qlCalendarAdvance(Calendar,W1759,NDays&amp;"D")</f>
        <v>51229</v>
      </c>
      <c r="Y1759" s="92" t="e">
        <v>#N/A</v>
      </c>
      <c r="Z1759" s="94" t="e">
        <v>#N/A</v>
      </c>
    </row>
    <row r="1760" spans="22:26" x14ac:dyDescent="0.2">
      <c r="V1760" s="123" t="str">
        <f t="shared" si="38"/>
        <v>1w</v>
      </c>
      <c r="W1760" s="82">
        <f>_xll.qlCalendarAdvance(Calendar,W1759,V1760,"f",FALSE)</f>
        <v>51236</v>
      </c>
      <c r="X1760" s="91">
        <f>_xll.qlCalendarAdvance(Calendar,W1760,NDays&amp;"D")</f>
        <v>51236</v>
      </c>
      <c r="Y1760" s="92" t="e">
        <v>#N/A</v>
      </c>
      <c r="Z1760" s="94" t="e">
        <v>#N/A</v>
      </c>
    </row>
    <row r="1761" spans="22:26" x14ac:dyDescent="0.2">
      <c r="V1761" s="123" t="str">
        <f t="shared" si="38"/>
        <v>1w</v>
      </c>
      <c r="W1761" s="82">
        <f>_xll.qlCalendarAdvance(Calendar,W1760,V1761,"f",FALSE)</f>
        <v>51243</v>
      </c>
      <c r="X1761" s="91">
        <f>_xll.qlCalendarAdvance(Calendar,W1761,NDays&amp;"D")</f>
        <v>51243</v>
      </c>
      <c r="Y1761" s="92" t="e">
        <v>#N/A</v>
      </c>
      <c r="Z1761" s="94" t="e">
        <v>#N/A</v>
      </c>
    </row>
    <row r="1762" spans="22:26" x14ac:dyDescent="0.2">
      <c r="V1762" s="123" t="str">
        <f t="shared" si="38"/>
        <v>1w</v>
      </c>
      <c r="W1762" s="82">
        <f>_xll.qlCalendarAdvance(Calendar,W1761,V1762,"f",FALSE)</f>
        <v>51250</v>
      </c>
      <c r="X1762" s="91">
        <f>_xll.qlCalendarAdvance(Calendar,W1762,NDays&amp;"D")</f>
        <v>51250</v>
      </c>
      <c r="Y1762" s="92" t="e">
        <v>#N/A</v>
      </c>
      <c r="Z1762" s="94" t="e">
        <v>#N/A</v>
      </c>
    </row>
    <row r="1763" spans="22:26" x14ac:dyDescent="0.2">
      <c r="V1763" s="123" t="str">
        <f t="shared" si="38"/>
        <v>1w</v>
      </c>
      <c r="W1763" s="82">
        <f>_xll.qlCalendarAdvance(Calendar,W1762,V1763,"f",FALSE)</f>
        <v>51258</v>
      </c>
      <c r="X1763" s="91">
        <f>_xll.qlCalendarAdvance(Calendar,W1763,NDays&amp;"D")</f>
        <v>51258</v>
      </c>
      <c r="Y1763" s="92" t="e">
        <v>#N/A</v>
      </c>
      <c r="Z1763" s="94" t="e">
        <v>#N/A</v>
      </c>
    </row>
    <row r="1764" spans="22:26" x14ac:dyDescent="0.2">
      <c r="V1764" s="123" t="str">
        <f t="shared" si="38"/>
        <v>1w</v>
      </c>
      <c r="W1764" s="82">
        <f>_xll.qlCalendarAdvance(Calendar,W1763,V1764,"f",FALSE)</f>
        <v>51265</v>
      </c>
      <c r="X1764" s="91">
        <f>_xll.qlCalendarAdvance(Calendar,W1764,NDays&amp;"D")</f>
        <v>51265</v>
      </c>
      <c r="Y1764" s="92" t="e">
        <v>#N/A</v>
      </c>
      <c r="Z1764" s="94" t="e">
        <v>#N/A</v>
      </c>
    </row>
    <row r="1765" spans="22:26" x14ac:dyDescent="0.2">
      <c r="V1765" s="123" t="str">
        <f t="shared" si="38"/>
        <v>1w</v>
      </c>
      <c r="W1765" s="82">
        <f>_xll.qlCalendarAdvance(Calendar,W1764,V1765,"f",FALSE)</f>
        <v>51272</v>
      </c>
      <c r="X1765" s="91">
        <f>_xll.qlCalendarAdvance(Calendar,W1765,NDays&amp;"D")</f>
        <v>51272</v>
      </c>
      <c r="Y1765" s="92" t="e">
        <v>#N/A</v>
      </c>
      <c r="Z1765" s="94" t="e">
        <v>#N/A</v>
      </c>
    </row>
    <row r="1766" spans="22:26" x14ac:dyDescent="0.2">
      <c r="V1766" s="123" t="str">
        <f t="shared" si="38"/>
        <v>1w</v>
      </c>
      <c r="W1766" s="82">
        <f>_xll.qlCalendarAdvance(Calendar,W1765,V1766,"f",FALSE)</f>
        <v>51279</v>
      </c>
      <c r="X1766" s="91">
        <f>_xll.qlCalendarAdvance(Calendar,W1766,NDays&amp;"D")</f>
        <v>51279</v>
      </c>
      <c r="Y1766" s="92" t="e">
        <v>#N/A</v>
      </c>
      <c r="Z1766" s="94" t="e">
        <v>#N/A</v>
      </c>
    </row>
    <row r="1767" spans="22:26" x14ac:dyDescent="0.2">
      <c r="V1767" s="123" t="str">
        <f t="shared" si="38"/>
        <v>1w</v>
      </c>
      <c r="W1767" s="82">
        <f>_xll.qlCalendarAdvance(Calendar,W1766,V1767,"f",FALSE)</f>
        <v>51286</v>
      </c>
      <c r="X1767" s="91">
        <f>_xll.qlCalendarAdvance(Calendar,W1767,NDays&amp;"D")</f>
        <v>51286</v>
      </c>
      <c r="Y1767" s="92" t="e">
        <v>#N/A</v>
      </c>
      <c r="Z1767" s="94" t="e">
        <v>#N/A</v>
      </c>
    </row>
    <row r="1768" spans="22:26" x14ac:dyDescent="0.2">
      <c r="V1768" s="123" t="str">
        <f t="shared" si="38"/>
        <v>1w</v>
      </c>
      <c r="W1768" s="82">
        <f>_xll.qlCalendarAdvance(Calendar,W1767,V1768,"f",FALSE)</f>
        <v>51293</v>
      </c>
      <c r="X1768" s="91">
        <f>_xll.qlCalendarAdvance(Calendar,W1768,NDays&amp;"D")</f>
        <v>51293</v>
      </c>
      <c r="Y1768" s="92" t="e">
        <v>#N/A</v>
      </c>
      <c r="Z1768" s="94" t="e">
        <v>#N/A</v>
      </c>
    </row>
    <row r="1769" spans="22:26" x14ac:dyDescent="0.2">
      <c r="V1769" s="123" t="str">
        <f t="shared" si="38"/>
        <v>1w</v>
      </c>
      <c r="W1769" s="82">
        <f>_xll.qlCalendarAdvance(Calendar,W1768,V1769,"f",FALSE)</f>
        <v>51300</v>
      </c>
      <c r="X1769" s="91">
        <f>_xll.qlCalendarAdvance(Calendar,W1769,NDays&amp;"D")</f>
        <v>51300</v>
      </c>
      <c r="Y1769" s="92" t="e">
        <v>#N/A</v>
      </c>
      <c r="Z1769" s="94" t="e">
        <v>#N/A</v>
      </c>
    </row>
    <row r="1770" spans="22:26" x14ac:dyDescent="0.2">
      <c r="V1770" s="123" t="str">
        <f t="shared" si="38"/>
        <v>1w</v>
      </c>
      <c r="W1770" s="82">
        <f>_xll.qlCalendarAdvance(Calendar,W1769,V1770,"f",FALSE)</f>
        <v>51307</v>
      </c>
      <c r="X1770" s="91">
        <f>_xll.qlCalendarAdvance(Calendar,W1770,NDays&amp;"D")</f>
        <v>51307</v>
      </c>
      <c r="Y1770" s="92" t="e">
        <v>#N/A</v>
      </c>
      <c r="Z1770" s="94" t="e">
        <v>#N/A</v>
      </c>
    </row>
    <row r="1771" spans="22:26" x14ac:dyDescent="0.2">
      <c r="V1771" s="123" t="str">
        <f t="shared" si="38"/>
        <v>1w</v>
      </c>
      <c r="W1771" s="82">
        <f>_xll.qlCalendarAdvance(Calendar,W1770,V1771,"f",FALSE)</f>
        <v>51314</v>
      </c>
      <c r="X1771" s="91">
        <f>_xll.qlCalendarAdvance(Calendar,W1771,NDays&amp;"D")</f>
        <v>51314</v>
      </c>
      <c r="Y1771" s="92" t="e">
        <v>#N/A</v>
      </c>
      <c r="Z1771" s="94" t="e">
        <v>#N/A</v>
      </c>
    </row>
    <row r="1772" spans="22:26" x14ac:dyDescent="0.2">
      <c r="V1772" s="123" t="str">
        <f t="shared" si="38"/>
        <v>1w</v>
      </c>
      <c r="W1772" s="82">
        <f>_xll.qlCalendarAdvance(Calendar,W1771,V1772,"f",FALSE)</f>
        <v>51321</v>
      </c>
      <c r="X1772" s="91">
        <f>_xll.qlCalendarAdvance(Calendar,W1772,NDays&amp;"D")</f>
        <v>51321</v>
      </c>
      <c r="Y1772" s="92" t="e">
        <v>#N/A</v>
      </c>
      <c r="Z1772" s="94" t="e">
        <v>#N/A</v>
      </c>
    </row>
    <row r="1773" spans="22:26" x14ac:dyDescent="0.2">
      <c r="V1773" s="123" t="str">
        <f t="shared" si="38"/>
        <v>1w</v>
      </c>
      <c r="W1773" s="82">
        <f>_xll.qlCalendarAdvance(Calendar,W1772,V1773,"f",FALSE)</f>
        <v>51328</v>
      </c>
      <c r="X1773" s="91">
        <f>_xll.qlCalendarAdvance(Calendar,W1773,NDays&amp;"D")</f>
        <v>51328</v>
      </c>
      <c r="Y1773" s="92" t="e">
        <v>#N/A</v>
      </c>
      <c r="Z1773" s="94" t="e">
        <v>#N/A</v>
      </c>
    </row>
    <row r="1774" spans="22:26" x14ac:dyDescent="0.2">
      <c r="V1774" s="123" t="str">
        <f t="shared" si="38"/>
        <v>1w</v>
      </c>
      <c r="W1774" s="82">
        <f>_xll.qlCalendarAdvance(Calendar,W1773,V1774,"f",FALSE)</f>
        <v>51335</v>
      </c>
      <c r="X1774" s="91">
        <f>_xll.qlCalendarAdvance(Calendar,W1774,NDays&amp;"D")</f>
        <v>51335</v>
      </c>
      <c r="Y1774" s="92" t="e">
        <v>#N/A</v>
      </c>
      <c r="Z1774" s="94" t="e">
        <v>#N/A</v>
      </c>
    </row>
    <row r="1775" spans="22:26" x14ac:dyDescent="0.2">
      <c r="V1775" s="123" t="str">
        <f t="shared" si="38"/>
        <v>1w</v>
      </c>
      <c r="W1775" s="82">
        <f>_xll.qlCalendarAdvance(Calendar,W1774,V1775,"f",FALSE)</f>
        <v>51342</v>
      </c>
      <c r="X1775" s="91">
        <f>_xll.qlCalendarAdvance(Calendar,W1775,NDays&amp;"D")</f>
        <v>51342</v>
      </c>
      <c r="Y1775" s="92" t="e">
        <v>#N/A</v>
      </c>
      <c r="Z1775" s="94" t="e">
        <v>#N/A</v>
      </c>
    </row>
    <row r="1776" spans="22:26" x14ac:dyDescent="0.2">
      <c r="V1776" s="123" t="str">
        <f t="shared" si="38"/>
        <v>1w</v>
      </c>
      <c r="W1776" s="82">
        <f>_xll.qlCalendarAdvance(Calendar,W1775,V1776,"f",FALSE)</f>
        <v>51349</v>
      </c>
      <c r="X1776" s="91">
        <f>_xll.qlCalendarAdvance(Calendar,W1776,NDays&amp;"D")</f>
        <v>51349</v>
      </c>
      <c r="Y1776" s="92" t="e">
        <v>#N/A</v>
      </c>
      <c r="Z1776" s="94" t="e">
        <v>#N/A</v>
      </c>
    </row>
    <row r="1777" spans="22:26" x14ac:dyDescent="0.2">
      <c r="V1777" s="123" t="str">
        <f t="shared" si="38"/>
        <v>1w</v>
      </c>
      <c r="W1777" s="82">
        <f>_xll.qlCalendarAdvance(Calendar,W1776,V1777,"f",FALSE)</f>
        <v>51356</v>
      </c>
      <c r="X1777" s="91">
        <f>_xll.qlCalendarAdvance(Calendar,W1777,NDays&amp;"D")</f>
        <v>51356</v>
      </c>
      <c r="Y1777" s="92" t="e">
        <v>#N/A</v>
      </c>
      <c r="Z1777" s="94" t="e">
        <v>#N/A</v>
      </c>
    </row>
    <row r="1778" spans="22:26" x14ac:dyDescent="0.2">
      <c r="V1778" s="123" t="str">
        <f t="shared" si="38"/>
        <v>1w</v>
      </c>
      <c r="W1778" s="82">
        <f>_xll.qlCalendarAdvance(Calendar,W1777,V1778,"f",FALSE)</f>
        <v>51363</v>
      </c>
      <c r="X1778" s="91">
        <f>_xll.qlCalendarAdvance(Calendar,W1778,NDays&amp;"D")</f>
        <v>51363</v>
      </c>
      <c r="Y1778" s="92" t="e">
        <v>#N/A</v>
      </c>
      <c r="Z1778" s="94" t="e">
        <v>#N/A</v>
      </c>
    </row>
    <row r="1779" spans="22:26" x14ac:dyDescent="0.2">
      <c r="V1779" s="123" t="str">
        <f t="shared" si="38"/>
        <v>1w</v>
      </c>
      <c r="W1779" s="82">
        <f>_xll.qlCalendarAdvance(Calendar,W1778,V1779,"f",FALSE)</f>
        <v>51370</v>
      </c>
      <c r="X1779" s="91">
        <f>_xll.qlCalendarAdvance(Calendar,W1779,NDays&amp;"D")</f>
        <v>51370</v>
      </c>
      <c r="Y1779" s="92" t="e">
        <v>#N/A</v>
      </c>
      <c r="Z1779" s="94" t="e">
        <v>#N/A</v>
      </c>
    </row>
    <row r="1780" spans="22:26" x14ac:dyDescent="0.2">
      <c r="V1780" s="123" t="str">
        <f t="shared" si="38"/>
        <v>1w</v>
      </c>
      <c r="W1780" s="82">
        <f>_xll.qlCalendarAdvance(Calendar,W1779,V1780,"f",FALSE)</f>
        <v>51377</v>
      </c>
      <c r="X1780" s="91">
        <f>_xll.qlCalendarAdvance(Calendar,W1780,NDays&amp;"D")</f>
        <v>51377</v>
      </c>
      <c r="Y1780" s="92" t="e">
        <v>#N/A</v>
      </c>
      <c r="Z1780" s="94" t="e">
        <v>#N/A</v>
      </c>
    </row>
    <row r="1781" spans="22:26" x14ac:dyDescent="0.2">
      <c r="V1781" s="123" t="str">
        <f t="shared" si="38"/>
        <v>1w</v>
      </c>
      <c r="W1781" s="82">
        <f>_xll.qlCalendarAdvance(Calendar,W1780,V1781,"f",FALSE)</f>
        <v>51384</v>
      </c>
      <c r="X1781" s="91">
        <f>_xll.qlCalendarAdvance(Calendar,W1781,NDays&amp;"D")</f>
        <v>51384</v>
      </c>
      <c r="Y1781" s="92" t="e">
        <v>#N/A</v>
      </c>
      <c r="Z1781" s="94" t="e">
        <v>#N/A</v>
      </c>
    </row>
    <row r="1782" spans="22:26" x14ac:dyDescent="0.2">
      <c r="V1782" s="123" t="str">
        <f t="shared" si="38"/>
        <v>1w</v>
      </c>
      <c r="W1782" s="82">
        <f>_xll.qlCalendarAdvance(Calendar,W1781,V1782,"f",FALSE)</f>
        <v>51391</v>
      </c>
      <c r="X1782" s="91">
        <f>_xll.qlCalendarAdvance(Calendar,W1782,NDays&amp;"D")</f>
        <v>51391</v>
      </c>
      <c r="Y1782" s="92" t="e">
        <v>#N/A</v>
      </c>
      <c r="Z1782" s="94" t="e">
        <v>#N/A</v>
      </c>
    </row>
    <row r="1783" spans="22:26" x14ac:dyDescent="0.2">
      <c r="V1783" s="123" t="str">
        <f t="shared" si="38"/>
        <v>1w</v>
      </c>
      <c r="W1783" s="82">
        <f>_xll.qlCalendarAdvance(Calendar,W1782,V1783,"f",FALSE)</f>
        <v>51398</v>
      </c>
      <c r="X1783" s="91">
        <f>_xll.qlCalendarAdvance(Calendar,W1783,NDays&amp;"D")</f>
        <v>51398</v>
      </c>
      <c r="Y1783" s="92" t="e">
        <v>#N/A</v>
      </c>
      <c r="Z1783" s="94" t="e">
        <v>#N/A</v>
      </c>
    </row>
    <row r="1784" spans="22:26" x14ac:dyDescent="0.2">
      <c r="V1784" s="123" t="str">
        <f t="shared" si="38"/>
        <v>1w</v>
      </c>
      <c r="W1784" s="82">
        <f>_xll.qlCalendarAdvance(Calendar,W1783,V1784,"f",FALSE)</f>
        <v>51405</v>
      </c>
      <c r="X1784" s="91">
        <f>_xll.qlCalendarAdvance(Calendar,W1784,NDays&amp;"D")</f>
        <v>51405</v>
      </c>
      <c r="Y1784" s="92" t="e">
        <v>#N/A</v>
      </c>
      <c r="Z1784" s="94" t="e">
        <v>#N/A</v>
      </c>
    </row>
    <row r="1785" spans="22:26" x14ac:dyDescent="0.2">
      <c r="V1785" s="123" t="str">
        <f t="shared" si="38"/>
        <v>1w</v>
      </c>
      <c r="W1785" s="82">
        <f>_xll.qlCalendarAdvance(Calendar,W1784,V1785,"f",FALSE)</f>
        <v>51412</v>
      </c>
      <c r="X1785" s="91">
        <f>_xll.qlCalendarAdvance(Calendar,W1785,NDays&amp;"D")</f>
        <v>51412</v>
      </c>
      <c r="Y1785" s="92" t="e">
        <v>#N/A</v>
      </c>
      <c r="Z1785" s="94" t="e">
        <v>#N/A</v>
      </c>
    </row>
    <row r="1786" spans="22:26" x14ac:dyDescent="0.2">
      <c r="V1786" s="123" t="str">
        <f t="shared" si="38"/>
        <v>1w</v>
      </c>
      <c r="W1786" s="82">
        <f>_xll.qlCalendarAdvance(Calendar,W1785,V1786,"f",FALSE)</f>
        <v>51419</v>
      </c>
      <c r="X1786" s="91">
        <f>_xll.qlCalendarAdvance(Calendar,W1786,NDays&amp;"D")</f>
        <v>51419</v>
      </c>
      <c r="Y1786" s="92" t="e">
        <v>#N/A</v>
      </c>
      <c r="Z1786" s="94" t="e">
        <v>#N/A</v>
      </c>
    </row>
    <row r="1787" spans="22:26" x14ac:dyDescent="0.2">
      <c r="V1787" s="123" t="str">
        <f t="shared" si="38"/>
        <v>1w</v>
      </c>
      <c r="W1787" s="82">
        <f>_xll.qlCalendarAdvance(Calendar,W1786,V1787,"f",FALSE)</f>
        <v>51426</v>
      </c>
      <c r="X1787" s="91">
        <f>_xll.qlCalendarAdvance(Calendar,W1787,NDays&amp;"D")</f>
        <v>51426</v>
      </c>
      <c r="Y1787" s="92" t="e">
        <v>#N/A</v>
      </c>
      <c r="Z1787" s="94" t="e">
        <v>#N/A</v>
      </c>
    </row>
    <row r="1788" spans="22:26" x14ac:dyDescent="0.2">
      <c r="V1788" s="123" t="str">
        <f t="shared" si="38"/>
        <v>1w</v>
      </c>
      <c r="W1788" s="82">
        <f>_xll.qlCalendarAdvance(Calendar,W1787,V1788,"f",FALSE)</f>
        <v>51433</v>
      </c>
      <c r="X1788" s="91">
        <f>_xll.qlCalendarAdvance(Calendar,W1788,NDays&amp;"D")</f>
        <v>51433</v>
      </c>
      <c r="Y1788" s="92" t="e">
        <v>#N/A</v>
      </c>
      <c r="Z1788" s="94" t="e">
        <v>#N/A</v>
      </c>
    </row>
    <row r="1789" spans="22:26" x14ac:dyDescent="0.2">
      <c r="V1789" s="123" t="str">
        <f t="shared" si="38"/>
        <v>1w</v>
      </c>
      <c r="W1789" s="82">
        <f>_xll.qlCalendarAdvance(Calendar,W1788,V1789,"f",FALSE)</f>
        <v>51440</v>
      </c>
      <c r="X1789" s="91">
        <f>_xll.qlCalendarAdvance(Calendar,W1789,NDays&amp;"D")</f>
        <v>51440</v>
      </c>
      <c r="Y1789" s="92" t="e">
        <v>#N/A</v>
      </c>
      <c r="Z1789" s="94" t="e">
        <v>#N/A</v>
      </c>
    </row>
    <row r="1790" spans="22:26" x14ac:dyDescent="0.2">
      <c r="V1790" s="123" t="str">
        <f t="shared" si="38"/>
        <v>1w</v>
      </c>
      <c r="W1790" s="82">
        <f>_xll.qlCalendarAdvance(Calendar,W1789,V1790,"f",FALSE)</f>
        <v>51447</v>
      </c>
      <c r="X1790" s="91">
        <f>_xll.qlCalendarAdvance(Calendar,W1790,NDays&amp;"D")</f>
        <v>51447</v>
      </c>
      <c r="Y1790" s="92" t="e">
        <v>#N/A</v>
      </c>
      <c r="Z1790" s="94" t="e">
        <v>#N/A</v>
      </c>
    </row>
    <row r="1791" spans="22:26" x14ac:dyDescent="0.2">
      <c r="V1791" s="123" t="str">
        <f t="shared" si="38"/>
        <v>1w</v>
      </c>
      <c r="W1791" s="82">
        <f>_xll.qlCalendarAdvance(Calendar,W1790,V1791,"f",FALSE)</f>
        <v>51454</v>
      </c>
      <c r="X1791" s="91">
        <f>_xll.qlCalendarAdvance(Calendar,W1791,NDays&amp;"D")</f>
        <v>51454</v>
      </c>
      <c r="Y1791" s="92" t="e">
        <v>#N/A</v>
      </c>
      <c r="Z1791" s="94" t="e">
        <v>#N/A</v>
      </c>
    </row>
    <row r="1792" spans="22:26" x14ac:dyDescent="0.2">
      <c r="V1792" s="123" t="str">
        <f t="shared" si="38"/>
        <v>1w</v>
      </c>
      <c r="W1792" s="82">
        <f>_xll.qlCalendarAdvance(Calendar,W1791,V1792,"f",FALSE)</f>
        <v>51461</v>
      </c>
      <c r="X1792" s="91">
        <f>_xll.qlCalendarAdvance(Calendar,W1792,NDays&amp;"D")</f>
        <v>51461</v>
      </c>
      <c r="Y1792" s="92" t="e">
        <v>#N/A</v>
      </c>
      <c r="Z1792" s="94" t="e">
        <v>#N/A</v>
      </c>
    </row>
    <row r="1793" spans="22:26" x14ac:dyDescent="0.2">
      <c r="V1793" s="123" t="str">
        <f t="shared" si="38"/>
        <v>1w</v>
      </c>
      <c r="W1793" s="82">
        <f>_xll.qlCalendarAdvance(Calendar,W1792,V1793,"f",FALSE)</f>
        <v>51468</v>
      </c>
      <c r="X1793" s="91">
        <f>_xll.qlCalendarAdvance(Calendar,W1793,NDays&amp;"D")</f>
        <v>51468</v>
      </c>
      <c r="Y1793" s="92" t="e">
        <v>#N/A</v>
      </c>
      <c r="Z1793" s="94" t="e">
        <v>#N/A</v>
      </c>
    </row>
    <row r="1794" spans="22:26" x14ac:dyDescent="0.2">
      <c r="V1794" s="123" t="str">
        <f t="shared" si="38"/>
        <v>1w</v>
      </c>
      <c r="W1794" s="82">
        <f>_xll.qlCalendarAdvance(Calendar,W1793,V1794,"f",FALSE)</f>
        <v>51475</v>
      </c>
      <c r="X1794" s="91">
        <f>_xll.qlCalendarAdvance(Calendar,W1794,NDays&amp;"D")</f>
        <v>51475</v>
      </c>
      <c r="Y1794" s="92" t="e">
        <v>#N/A</v>
      </c>
      <c r="Z1794" s="94" t="e">
        <v>#N/A</v>
      </c>
    </row>
    <row r="1795" spans="22:26" x14ac:dyDescent="0.2">
      <c r="V1795" s="123" t="str">
        <f t="shared" si="38"/>
        <v>1w</v>
      </c>
      <c r="W1795" s="82">
        <f>_xll.qlCalendarAdvance(Calendar,W1794,V1795,"f",FALSE)</f>
        <v>51482</v>
      </c>
      <c r="X1795" s="91">
        <f>_xll.qlCalendarAdvance(Calendar,W1795,NDays&amp;"D")</f>
        <v>51482</v>
      </c>
      <c r="Y1795" s="92" t="e">
        <v>#N/A</v>
      </c>
      <c r="Z1795" s="94" t="e">
        <v>#N/A</v>
      </c>
    </row>
    <row r="1796" spans="22:26" x14ac:dyDescent="0.2">
      <c r="V1796" s="123" t="str">
        <f t="shared" si="38"/>
        <v>1w</v>
      </c>
      <c r="W1796" s="82">
        <f>_xll.qlCalendarAdvance(Calendar,W1795,V1796,"f",FALSE)</f>
        <v>51489</v>
      </c>
      <c r="X1796" s="91">
        <f>_xll.qlCalendarAdvance(Calendar,W1796,NDays&amp;"D")</f>
        <v>51489</v>
      </c>
      <c r="Y1796" s="92" t="e">
        <v>#N/A</v>
      </c>
      <c r="Z1796" s="94" t="e">
        <v>#N/A</v>
      </c>
    </row>
    <row r="1797" spans="22:26" x14ac:dyDescent="0.2">
      <c r="V1797" s="123" t="str">
        <f t="shared" si="38"/>
        <v>1w</v>
      </c>
      <c r="W1797" s="82">
        <f>_xll.qlCalendarAdvance(Calendar,W1796,V1797,"f",FALSE)</f>
        <v>51497</v>
      </c>
      <c r="X1797" s="91">
        <f>_xll.qlCalendarAdvance(Calendar,W1797,NDays&amp;"D")</f>
        <v>51497</v>
      </c>
      <c r="Y1797" s="92" t="e">
        <v>#N/A</v>
      </c>
      <c r="Z1797" s="94" t="e">
        <v>#N/A</v>
      </c>
    </row>
    <row r="1798" spans="22:26" x14ac:dyDescent="0.2">
      <c r="V1798" s="123" t="str">
        <f t="shared" si="38"/>
        <v>1w</v>
      </c>
      <c r="W1798" s="82">
        <f>_xll.qlCalendarAdvance(Calendar,W1797,V1798,"f",FALSE)</f>
        <v>51504</v>
      </c>
      <c r="X1798" s="91">
        <f>_xll.qlCalendarAdvance(Calendar,W1798,NDays&amp;"D")</f>
        <v>51504</v>
      </c>
      <c r="Y1798" s="92" t="e">
        <v>#N/A</v>
      </c>
      <c r="Z1798" s="94" t="e">
        <v>#N/A</v>
      </c>
    </row>
    <row r="1799" spans="22:26" x14ac:dyDescent="0.2">
      <c r="V1799" s="123" t="str">
        <f t="shared" si="38"/>
        <v>1w</v>
      </c>
      <c r="W1799" s="82">
        <f>_xll.qlCalendarAdvance(Calendar,W1798,V1799,"f",FALSE)</f>
        <v>51511</v>
      </c>
      <c r="X1799" s="91">
        <f>_xll.qlCalendarAdvance(Calendar,W1799,NDays&amp;"D")</f>
        <v>51511</v>
      </c>
      <c r="Y1799" s="92" t="e">
        <v>#N/A</v>
      </c>
      <c r="Z1799" s="94" t="e">
        <v>#N/A</v>
      </c>
    </row>
    <row r="1800" spans="22:26" x14ac:dyDescent="0.2">
      <c r="V1800" s="123" t="str">
        <f t="shared" si="38"/>
        <v>1w</v>
      </c>
      <c r="W1800" s="82">
        <f>_xll.qlCalendarAdvance(Calendar,W1799,V1800,"f",FALSE)</f>
        <v>51518</v>
      </c>
      <c r="X1800" s="91">
        <f>_xll.qlCalendarAdvance(Calendar,W1800,NDays&amp;"D")</f>
        <v>51518</v>
      </c>
      <c r="Y1800" s="92" t="e">
        <v>#N/A</v>
      </c>
      <c r="Z1800" s="94" t="e">
        <v>#N/A</v>
      </c>
    </row>
    <row r="1801" spans="22:26" x14ac:dyDescent="0.2">
      <c r="V1801" s="123" t="str">
        <f t="shared" si="38"/>
        <v>1w</v>
      </c>
      <c r="W1801" s="82">
        <f>_xll.qlCalendarAdvance(Calendar,W1800,V1801,"f",FALSE)</f>
        <v>51525</v>
      </c>
      <c r="X1801" s="91">
        <f>_xll.qlCalendarAdvance(Calendar,W1801,NDays&amp;"D")</f>
        <v>51525</v>
      </c>
      <c r="Y1801" s="92" t="e">
        <v>#N/A</v>
      </c>
      <c r="Z1801" s="94" t="e">
        <v>#N/A</v>
      </c>
    </row>
    <row r="1802" spans="22:26" x14ac:dyDescent="0.2">
      <c r="V1802" s="123" t="str">
        <f t="shared" si="38"/>
        <v>1w</v>
      </c>
      <c r="W1802" s="82">
        <f>_xll.qlCalendarAdvance(Calendar,W1801,V1802,"f",FALSE)</f>
        <v>51532</v>
      </c>
      <c r="X1802" s="91">
        <f>_xll.qlCalendarAdvance(Calendar,W1802,NDays&amp;"D")</f>
        <v>51532</v>
      </c>
      <c r="Y1802" s="92" t="e">
        <v>#N/A</v>
      </c>
      <c r="Z1802" s="94" t="e">
        <v>#N/A</v>
      </c>
    </row>
    <row r="1803" spans="22:26" x14ac:dyDescent="0.2">
      <c r="V1803" s="123" t="str">
        <f t="shared" si="38"/>
        <v>1w</v>
      </c>
      <c r="W1803" s="82">
        <f>_xll.qlCalendarAdvance(Calendar,W1802,V1803,"f",FALSE)</f>
        <v>51539</v>
      </c>
      <c r="X1803" s="91">
        <f>_xll.qlCalendarAdvance(Calendar,W1803,NDays&amp;"D")</f>
        <v>51539</v>
      </c>
      <c r="Y1803" s="92" t="e">
        <v>#N/A</v>
      </c>
      <c r="Z1803" s="94" t="e">
        <v>#N/A</v>
      </c>
    </row>
    <row r="1804" spans="22:26" x14ac:dyDescent="0.2">
      <c r="V1804" s="123" t="str">
        <f t="shared" si="38"/>
        <v>1w</v>
      </c>
      <c r="W1804" s="82">
        <f>_xll.qlCalendarAdvance(Calendar,W1803,V1804,"f",FALSE)</f>
        <v>51546</v>
      </c>
      <c r="X1804" s="91">
        <f>_xll.qlCalendarAdvance(Calendar,W1804,NDays&amp;"D")</f>
        <v>51546</v>
      </c>
      <c r="Y1804" s="92" t="e">
        <v>#N/A</v>
      </c>
      <c r="Z1804" s="94" t="e">
        <v>#N/A</v>
      </c>
    </row>
    <row r="1805" spans="22:26" x14ac:dyDescent="0.2">
      <c r="V1805" s="123" t="str">
        <f t="shared" si="38"/>
        <v>1w</v>
      </c>
      <c r="W1805" s="82">
        <f>_xll.qlCalendarAdvance(Calendar,W1804,V1805,"f",FALSE)</f>
        <v>51553</v>
      </c>
      <c r="X1805" s="91">
        <f>_xll.qlCalendarAdvance(Calendar,W1805,NDays&amp;"D")</f>
        <v>51553</v>
      </c>
      <c r="Y1805" s="92" t="e">
        <v>#N/A</v>
      </c>
      <c r="Z1805" s="94" t="e">
        <v>#N/A</v>
      </c>
    </row>
    <row r="1806" spans="22:26" x14ac:dyDescent="0.2">
      <c r="V1806" s="123" t="str">
        <f t="shared" si="38"/>
        <v>1w</v>
      </c>
      <c r="W1806" s="82">
        <f>_xll.qlCalendarAdvance(Calendar,W1805,V1806,"f",FALSE)</f>
        <v>51560</v>
      </c>
      <c r="X1806" s="91">
        <f>_xll.qlCalendarAdvance(Calendar,W1806,NDays&amp;"D")</f>
        <v>51560</v>
      </c>
      <c r="Y1806" s="92" t="e">
        <v>#N/A</v>
      </c>
      <c r="Z1806" s="94" t="e">
        <v>#N/A</v>
      </c>
    </row>
    <row r="1807" spans="22:26" x14ac:dyDescent="0.2">
      <c r="V1807" s="123" t="str">
        <f t="shared" si="38"/>
        <v>1w</v>
      </c>
      <c r="W1807" s="82">
        <f>_xll.qlCalendarAdvance(Calendar,W1806,V1807,"f",FALSE)</f>
        <v>51567</v>
      </c>
      <c r="X1807" s="91">
        <f>_xll.qlCalendarAdvance(Calendar,W1807,NDays&amp;"D")</f>
        <v>51567</v>
      </c>
      <c r="Y1807" s="92" t="e">
        <v>#N/A</v>
      </c>
      <c r="Z1807" s="94" t="e">
        <v>#N/A</v>
      </c>
    </row>
    <row r="1808" spans="22:26" x14ac:dyDescent="0.2">
      <c r="V1808" s="123" t="str">
        <f t="shared" si="38"/>
        <v>1w</v>
      </c>
      <c r="W1808" s="82">
        <f>_xll.qlCalendarAdvance(Calendar,W1807,V1808,"f",FALSE)</f>
        <v>51574</v>
      </c>
      <c r="X1808" s="91">
        <f>_xll.qlCalendarAdvance(Calendar,W1808,NDays&amp;"D")</f>
        <v>51574</v>
      </c>
      <c r="Y1808" s="92" t="e">
        <v>#N/A</v>
      </c>
      <c r="Z1808" s="94" t="e">
        <v>#N/A</v>
      </c>
    </row>
    <row r="1809" spans="22:26" x14ac:dyDescent="0.2">
      <c r="V1809" s="123" t="str">
        <f t="shared" si="38"/>
        <v>1w</v>
      </c>
      <c r="W1809" s="82">
        <f>_xll.qlCalendarAdvance(Calendar,W1808,V1809,"f",FALSE)</f>
        <v>51581</v>
      </c>
      <c r="X1809" s="91">
        <f>_xll.qlCalendarAdvance(Calendar,W1809,NDays&amp;"D")</f>
        <v>51581</v>
      </c>
      <c r="Y1809" s="92" t="e">
        <v>#N/A</v>
      </c>
      <c r="Z1809" s="94" t="e">
        <v>#N/A</v>
      </c>
    </row>
    <row r="1810" spans="22:26" x14ac:dyDescent="0.2">
      <c r="V1810" s="123" t="str">
        <f t="shared" si="38"/>
        <v>1w</v>
      </c>
      <c r="W1810" s="82">
        <f>_xll.qlCalendarAdvance(Calendar,W1809,V1810,"f",FALSE)</f>
        <v>51588</v>
      </c>
      <c r="X1810" s="91">
        <f>_xll.qlCalendarAdvance(Calendar,W1810,NDays&amp;"D")</f>
        <v>51588</v>
      </c>
      <c r="Y1810" s="92" t="e">
        <v>#N/A</v>
      </c>
      <c r="Z1810" s="94" t="e">
        <v>#N/A</v>
      </c>
    </row>
    <row r="1811" spans="22:26" x14ac:dyDescent="0.2">
      <c r="V1811" s="123" t="str">
        <f t="shared" si="38"/>
        <v>1w</v>
      </c>
      <c r="W1811" s="82">
        <f>_xll.qlCalendarAdvance(Calendar,W1810,V1811,"f",FALSE)</f>
        <v>51595</v>
      </c>
      <c r="X1811" s="91">
        <f>_xll.qlCalendarAdvance(Calendar,W1811,NDays&amp;"D")</f>
        <v>51595</v>
      </c>
      <c r="Y1811" s="92" t="e">
        <v>#N/A</v>
      </c>
      <c r="Z1811" s="94" t="e">
        <v>#N/A</v>
      </c>
    </row>
    <row r="1812" spans="22:26" x14ac:dyDescent="0.2">
      <c r="V1812" s="123" t="str">
        <f t="shared" si="38"/>
        <v>1w</v>
      </c>
      <c r="W1812" s="82">
        <f>_xll.qlCalendarAdvance(Calendar,W1811,V1812,"f",FALSE)</f>
        <v>51602</v>
      </c>
      <c r="X1812" s="91">
        <f>_xll.qlCalendarAdvance(Calendar,W1812,NDays&amp;"D")</f>
        <v>51602</v>
      </c>
      <c r="Y1812" s="92" t="e">
        <v>#N/A</v>
      </c>
      <c r="Z1812" s="94" t="e">
        <v>#N/A</v>
      </c>
    </row>
    <row r="1813" spans="22:26" x14ac:dyDescent="0.2">
      <c r="V1813" s="123" t="str">
        <f t="shared" ref="V1813:V1876" si="39">V1812</f>
        <v>1w</v>
      </c>
      <c r="W1813" s="82">
        <f>_xll.qlCalendarAdvance(Calendar,W1812,V1813,"f",FALSE)</f>
        <v>51609</v>
      </c>
      <c r="X1813" s="91">
        <f>_xll.qlCalendarAdvance(Calendar,W1813,NDays&amp;"D")</f>
        <v>51609</v>
      </c>
      <c r="Y1813" s="92" t="e">
        <v>#N/A</v>
      </c>
      <c r="Z1813" s="94" t="e">
        <v>#N/A</v>
      </c>
    </row>
    <row r="1814" spans="22:26" x14ac:dyDescent="0.2">
      <c r="V1814" s="123" t="str">
        <f t="shared" si="39"/>
        <v>1w</v>
      </c>
      <c r="W1814" s="82">
        <f>_xll.qlCalendarAdvance(Calendar,W1813,V1814,"f",FALSE)</f>
        <v>51616</v>
      </c>
      <c r="X1814" s="91">
        <f>_xll.qlCalendarAdvance(Calendar,W1814,NDays&amp;"D")</f>
        <v>51616</v>
      </c>
      <c r="Y1814" s="92" t="e">
        <v>#N/A</v>
      </c>
      <c r="Z1814" s="94" t="e">
        <v>#N/A</v>
      </c>
    </row>
    <row r="1815" spans="22:26" x14ac:dyDescent="0.2">
      <c r="V1815" s="123" t="str">
        <f t="shared" si="39"/>
        <v>1w</v>
      </c>
      <c r="W1815" s="82">
        <f>_xll.qlCalendarAdvance(Calendar,W1814,V1815,"f",FALSE)</f>
        <v>51623</v>
      </c>
      <c r="X1815" s="91">
        <f>_xll.qlCalendarAdvance(Calendar,W1815,NDays&amp;"D")</f>
        <v>51623</v>
      </c>
      <c r="Y1815" s="92" t="e">
        <v>#N/A</v>
      </c>
      <c r="Z1815" s="94" t="e">
        <v>#N/A</v>
      </c>
    </row>
    <row r="1816" spans="22:26" x14ac:dyDescent="0.2">
      <c r="V1816" s="123" t="str">
        <f t="shared" si="39"/>
        <v>1w</v>
      </c>
      <c r="W1816" s="82">
        <f>_xll.qlCalendarAdvance(Calendar,W1815,V1816,"f",FALSE)</f>
        <v>51630</v>
      </c>
      <c r="X1816" s="91">
        <f>_xll.qlCalendarAdvance(Calendar,W1816,NDays&amp;"D")</f>
        <v>51630</v>
      </c>
      <c r="Y1816" s="92" t="e">
        <v>#N/A</v>
      </c>
      <c r="Z1816" s="94" t="e">
        <v>#N/A</v>
      </c>
    </row>
    <row r="1817" spans="22:26" x14ac:dyDescent="0.2">
      <c r="V1817" s="123" t="str">
        <f t="shared" si="39"/>
        <v>1w</v>
      </c>
      <c r="W1817" s="82">
        <f>_xll.qlCalendarAdvance(Calendar,W1816,V1817,"f",FALSE)</f>
        <v>51637</v>
      </c>
      <c r="X1817" s="91">
        <f>_xll.qlCalendarAdvance(Calendar,W1817,NDays&amp;"D")</f>
        <v>51637</v>
      </c>
      <c r="Y1817" s="92" t="e">
        <v>#N/A</v>
      </c>
      <c r="Z1817" s="94" t="e">
        <v>#N/A</v>
      </c>
    </row>
    <row r="1818" spans="22:26" x14ac:dyDescent="0.2">
      <c r="V1818" s="123" t="str">
        <f t="shared" si="39"/>
        <v>1w</v>
      </c>
      <c r="W1818" s="82">
        <f>_xll.qlCalendarAdvance(Calendar,W1817,V1818,"f",FALSE)</f>
        <v>51644</v>
      </c>
      <c r="X1818" s="91">
        <f>_xll.qlCalendarAdvance(Calendar,W1818,NDays&amp;"D")</f>
        <v>51644</v>
      </c>
      <c r="Y1818" s="92" t="e">
        <v>#N/A</v>
      </c>
      <c r="Z1818" s="94" t="e">
        <v>#N/A</v>
      </c>
    </row>
    <row r="1819" spans="22:26" x14ac:dyDescent="0.2">
      <c r="V1819" s="123" t="str">
        <f t="shared" si="39"/>
        <v>1w</v>
      </c>
      <c r="W1819" s="82">
        <f>_xll.qlCalendarAdvance(Calendar,W1818,V1819,"f",FALSE)</f>
        <v>51651</v>
      </c>
      <c r="X1819" s="91">
        <f>_xll.qlCalendarAdvance(Calendar,W1819,NDays&amp;"D")</f>
        <v>51651</v>
      </c>
      <c r="Y1819" s="92" t="e">
        <v>#N/A</v>
      </c>
      <c r="Z1819" s="94" t="e">
        <v>#N/A</v>
      </c>
    </row>
    <row r="1820" spans="22:26" x14ac:dyDescent="0.2">
      <c r="V1820" s="123" t="str">
        <f t="shared" si="39"/>
        <v>1w</v>
      </c>
      <c r="W1820" s="82">
        <f>_xll.qlCalendarAdvance(Calendar,W1819,V1820,"f",FALSE)</f>
        <v>51658</v>
      </c>
      <c r="X1820" s="91">
        <f>_xll.qlCalendarAdvance(Calendar,W1820,NDays&amp;"D")</f>
        <v>51658</v>
      </c>
      <c r="Y1820" s="92" t="e">
        <v>#N/A</v>
      </c>
      <c r="Z1820" s="94" t="e">
        <v>#N/A</v>
      </c>
    </row>
    <row r="1821" spans="22:26" x14ac:dyDescent="0.2">
      <c r="V1821" s="123" t="str">
        <f t="shared" si="39"/>
        <v>1w</v>
      </c>
      <c r="W1821" s="82">
        <f>_xll.qlCalendarAdvance(Calendar,W1820,V1821,"f",FALSE)</f>
        <v>51665</v>
      </c>
      <c r="X1821" s="91">
        <f>_xll.qlCalendarAdvance(Calendar,W1821,NDays&amp;"D")</f>
        <v>51665</v>
      </c>
      <c r="Y1821" s="92" t="e">
        <v>#N/A</v>
      </c>
      <c r="Z1821" s="94" t="e">
        <v>#N/A</v>
      </c>
    </row>
    <row r="1822" spans="22:26" x14ac:dyDescent="0.2">
      <c r="V1822" s="123" t="str">
        <f t="shared" si="39"/>
        <v>1w</v>
      </c>
      <c r="W1822" s="82">
        <f>_xll.qlCalendarAdvance(Calendar,W1821,V1822,"f",FALSE)</f>
        <v>51672</v>
      </c>
      <c r="X1822" s="91">
        <f>_xll.qlCalendarAdvance(Calendar,W1822,NDays&amp;"D")</f>
        <v>51672</v>
      </c>
      <c r="Y1822" s="92" t="e">
        <v>#N/A</v>
      </c>
      <c r="Z1822" s="94" t="e">
        <v>#N/A</v>
      </c>
    </row>
    <row r="1823" spans="22:26" x14ac:dyDescent="0.2">
      <c r="V1823" s="123" t="str">
        <f t="shared" si="39"/>
        <v>1w</v>
      </c>
      <c r="W1823" s="82">
        <f>_xll.qlCalendarAdvance(Calendar,W1822,V1823,"f",FALSE)</f>
        <v>51679</v>
      </c>
      <c r="X1823" s="91">
        <f>_xll.qlCalendarAdvance(Calendar,W1823,NDays&amp;"D")</f>
        <v>51679</v>
      </c>
      <c r="Y1823" s="92" t="e">
        <v>#N/A</v>
      </c>
      <c r="Z1823" s="94" t="e">
        <v>#N/A</v>
      </c>
    </row>
    <row r="1824" spans="22:26" x14ac:dyDescent="0.2">
      <c r="V1824" s="123" t="str">
        <f t="shared" si="39"/>
        <v>1w</v>
      </c>
      <c r="W1824" s="82">
        <f>_xll.qlCalendarAdvance(Calendar,W1823,V1824,"f",FALSE)</f>
        <v>51686</v>
      </c>
      <c r="X1824" s="91">
        <f>_xll.qlCalendarAdvance(Calendar,W1824,NDays&amp;"D")</f>
        <v>51686</v>
      </c>
      <c r="Y1824" s="92" t="e">
        <v>#N/A</v>
      </c>
      <c r="Z1824" s="94" t="e">
        <v>#N/A</v>
      </c>
    </row>
    <row r="1825" spans="22:26" x14ac:dyDescent="0.2">
      <c r="V1825" s="123" t="str">
        <f t="shared" si="39"/>
        <v>1w</v>
      </c>
      <c r="W1825" s="82">
        <f>_xll.qlCalendarAdvance(Calendar,W1824,V1825,"f",FALSE)</f>
        <v>51693</v>
      </c>
      <c r="X1825" s="91">
        <f>_xll.qlCalendarAdvance(Calendar,W1825,NDays&amp;"D")</f>
        <v>51693</v>
      </c>
      <c r="Y1825" s="92" t="e">
        <v>#N/A</v>
      </c>
      <c r="Z1825" s="94" t="e">
        <v>#N/A</v>
      </c>
    </row>
    <row r="1826" spans="22:26" x14ac:dyDescent="0.2">
      <c r="V1826" s="123" t="str">
        <f t="shared" si="39"/>
        <v>1w</v>
      </c>
      <c r="W1826" s="82">
        <f>_xll.qlCalendarAdvance(Calendar,W1825,V1826,"f",FALSE)</f>
        <v>51700</v>
      </c>
      <c r="X1826" s="91">
        <f>_xll.qlCalendarAdvance(Calendar,W1826,NDays&amp;"D")</f>
        <v>51700</v>
      </c>
      <c r="Y1826" s="92" t="e">
        <v>#N/A</v>
      </c>
      <c r="Z1826" s="94" t="e">
        <v>#N/A</v>
      </c>
    </row>
    <row r="1827" spans="22:26" x14ac:dyDescent="0.2">
      <c r="V1827" s="123" t="str">
        <f t="shared" si="39"/>
        <v>1w</v>
      </c>
      <c r="W1827" s="82">
        <f>_xll.qlCalendarAdvance(Calendar,W1826,V1827,"f",FALSE)</f>
        <v>51707</v>
      </c>
      <c r="X1827" s="91">
        <f>_xll.qlCalendarAdvance(Calendar,W1827,NDays&amp;"D")</f>
        <v>51707</v>
      </c>
      <c r="Y1827" s="92" t="e">
        <v>#N/A</v>
      </c>
      <c r="Z1827" s="94" t="e">
        <v>#N/A</v>
      </c>
    </row>
    <row r="1828" spans="22:26" x14ac:dyDescent="0.2">
      <c r="V1828" s="123" t="str">
        <f t="shared" si="39"/>
        <v>1w</v>
      </c>
      <c r="W1828" s="82">
        <f>_xll.qlCalendarAdvance(Calendar,W1827,V1828,"f",FALSE)</f>
        <v>51714</v>
      </c>
      <c r="X1828" s="91">
        <f>_xll.qlCalendarAdvance(Calendar,W1828,NDays&amp;"D")</f>
        <v>51714</v>
      </c>
      <c r="Y1828" s="92" t="e">
        <v>#N/A</v>
      </c>
      <c r="Z1828" s="94" t="e">
        <v>#N/A</v>
      </c>
    </row>
    <row r="1829" spans="22:26" x14ac:dyDescent="0.2">
      <c r="V1829" s="123" t="str">
        <f t="shared" si="39"/>
        <v>1w</v>
      </c>
      <c r="W1829" s="82">
        <f>_xll.qlCalendarAdvance(Calendar,W1828,V1829,"f",FALSE)</f>
        <v>51721</v>
      </c>
      <c r="X1829" s="91">
        <f>_xll.qlCalendarAdvance(Calendar,W1829,NDays&amp;"D")</f>
        <v>51721</v>
      </c>
      <c r="Y1829" s="92" t="e">
        <v>#N/A</v>
      </c>
      <c r="Z1829" s="94" t="e">
        <v>#N/A</v>
      </c>
    </row>
    <row r="1830" spans="22:26" x14ac:dyDescent="0.2">
      <c r="V1830" s="123" t="str">
        <f t="shared" si="39"/>
        <v>1w</v>
      </c>
      <c r="W1830" s="82">
        <f>_xll.qlCalendarAdvance(Calendar,W1829,V1830,"f",FALSE)</f>
        <v>51728</v>
      </c>
      <c r="X1830" s="91">
        <f>_xll.qlCalendarAdvance(Calendar,W1830,NDays&amp;"D")</f>
        <v>51728</v>
      </c>
      <c r="Y1830" s="92" t="e">
        <v>#N/A</v>
      </c>
      <c r="Z1830" s="94" t="e">
        <v>#N/A</v>
      </c>
    </row>
    <row r="1831" spans="22:26" x14ac:dyDescent="0.2">
      <c r="V1831" s="123" t="str">
        <f t="shared" si="39"/>
        <v>1w</v>
      </c>
      <c r="W1831" s="82">
        <f>_xll.qlCalendarAdvance(Calendar,W1830,V1831,"f",FALSE)</f>
        <v>51735</v>
      </c>
      <c r="X1831" s="91">
        <f>_xll.qlCalendarAdvance(Calendar,W1831,NDays&amp;"D")</f>
        <v>51735</v>
      </c>
      <c r="Y1831" s="92" t="e">
        <v>#N/A</v>
      </c>
      <c r="Z1831" s="94" t="e">
        <v>#N/A</v>
      </c>
    </row>
    <row r="1832" spans="22:26" x14ac:dyDescent="0.2">
      <c r="V1832" s="123" t="str">
        <f t="shared" si="39"/>
        <v>1w</v>
      </c>
      <c r="W1832" s="82">
        <f>_xll.qlCalendarAdvance(Calendar,W1831,V1832,"f",FALSE)</f>
        <v>51742</v>
      </c>
      <c r="X1832" s="91">
        <f>_xll.qlCalendarAdvance(Calendar,W1832,NDays&amp;"D")</f>
        <v>51742</v>
      </c>
      <c r="Y1832" s="92" t="e">
        <v>#N/A</v>
      </c>
      <c r="Z1832" s="94" t="e">
        <v>#N/A</v>
      </c>
    </row>
    <row r="1833" spans="22:26" x14ac:dyDescent="0.2">
      <c r="V1833" s="123" t="str">
        <f t="shared" si="39"/>
        <v>1w</v>
      </c>
      <c r="W1833" s="82">
        <f>_xll.qlCalendarAdvance(Calendar,W1832,V1833,"f",FALSE)</f>
        <v>51749</v>
      </c>
      <c r="X1833" s="91">
        <f>_xll.qlCalendarAdvance(Calendar,W1833,NDays&amp;"D")</f>
        <v>51749</v>
      </c>
      <c r="Y1833" s="92" t="e">
        <v>#N/A</v>
      </c>
      <c r="Z1833" s="94" t="e">
        <v>#N/A</v>
      </c>
    </row>
    <row r="1834" spans="22:26" x14ac:dyDescent="0.2">
      <c r="V1834" s="123" t="str">
        <f t="shared" si="39"/>
        <v>1w</v>
      </c>
      <c r="W1834" s="82">
        <f>_xll.qlCalendarAdvance(Calendar,W1833,V1834,"f",FALSE)</f>
        <v>51756</v>
      </c>
      <c r="X1834" s="91">
        <f>_xll.qlCalendarAdvance(Calendar,W1834,NDays&amp;"D")</f>
        <v>51756</v>
      </c>
      <c r="Y1834" s="92" t="e">
        <v>#N/A</v>
      </c>
      <c r="Z1834" s="94" t="e">
        <v>#N/A</v>
      </c>
    </row>
    <row r="1835" spans="22:26" x14ac:dyDescent="0.2">
      <c r="V1835" s="123" t="str">
        <f t="shared" si="39"/>
        <v>1w</v>
      </c>
      <c r="W1835" s="82">
        <f>_xll.qlCalendarAdvance(Calendar,W1834,V1835,"f",FALSE)</f>
        <v>51763</v>
      </c>
      <c r="X1835" s="91">
        <f>_xll.qlCalendarAdvance(Calendar,W1835,NDays&amp;"D")</f>
        <v>51763</v>
      </c>
      <c r="Y1835" s="92" t="e">
        <v>#N/A</v>
      </c>
      <c r="Z1835" s="94" t="e">
        <v>#N/A</v>
      </c>
    </row>
    <row r="1836" spans="22:26" x14ac:dyDescent="0.2">
      <c r="V1836" s="123" t="str">
        <f t="shared" si="39"/>
        <v>1w</v>
      </c>
      <c r="W1836" s="82">
        <f>_xll.qlCalendarAdvance(Calendar,W1835,V1836,"f",FALSE)</f>
        <v>51770</v>
      </c>
      <c r="X1836" s="91">
        <f>_xll.qlCalendarAdvance(Calendar,W1836,NDays&amp;"D")</f>
        <v>51770</v>
      </c>
      <c r="Y1836" s="92" t="e">
        <v>#N/A</v>
      </c>
      <c r="Z1836" s="94" t="e">
        <v>#N/A</v>
      </c>
    </row>
    <row r="1837" spans="22:26" x14ac:dyDescent="0.2">
      <c r="V1837" s="123" t="str">
        <f t="shared" si="39"/>
        <v>1w</v>
      </c>
      <c r="W1837" s="82">
        <f>_xll.qlCalendarAdvance(Calendar,W1836,V1837,"f",FALSE)</f>
        <v>51777</v>
      </c>
      <c r="X1837" s="91">
        <f>_xll.qlCalendarAdvance(Calendar,W1837,NDays&amp;"D")</f>
        <v>51777</v>
      </c>
      <c r="Y1837" s="92" t="e">
        <v>#N/A</v>
      </c>
      <c r="Z1837" s="94" t="e">
        <v>#N/A</v>
      </c>
    </row>
    <row r="1838" spans="22:26" x14ac:dyDescent="0.2">
      <c r="V1838" s="123" t="str">
        <f t="shared" si="39"/>
        <v>1w</v>
      </c>
      <c r="W1838" s="82">
        <f>_xll.qlCalendarAdvance(Calendar,W1837,V1838,"f",FALSE)</f>
        <v>51784</v>
      </c>
      <c r="X1838" s="91">
        <f>_xll.qlCalendarAdvance(Calendar,W1838,NDays&amp;"D")</f>
        <v>51784</v>
      </c>
      <c r="Y1838" s="92" t="e">
        <v>#N/A</v>
      </c>
      <c r="Z1838" s="94" t="e">
        <v>#N/A</v>
      </c>
    </row>
    <row r="1839" spans="22:26" x14ac:dyDescent="0.2">
      <c r="V1839" s="123" t="str">
        <f t="shared" si="39"/>
        <v>1w</v>
      </c>
      <c r="W1839" s="82">
        <f>_xll.qlCalendarAdvance(Calendar,W1838,V1839,"f",FALSE)</f>
        <v>51791</v>
      </c>
      <c r="X1839" s="91">
        <f>_xll.qlCalendarAdvance(Calendar,W1839,NDays&amp;"D")</f>
        <v>51791</v>
      </c>
      <c r="Y1839" s="92" t="e">
        <v>#N/A</v>
      </c>
      <c r="Z1839" s="94" t="e">
        <v>#N/A</v>
      </c>
    </row>
    <row r="1840" spans="22:26" x14ac:dyDescent="0.2">
      <c r="V1840" s="123" t="str">
        <f t="shared" si="39"/>
        <v>1w</v>
      </c>
      <c r="W1840" s="82">
        <f>_xll.qlCalendarAdvance(Calendar,W1839,V1840,"f",FALSE)</f>
        <v>51798</v>
      </c>
      <c r="X1840" s="91">
        <f>_xll.qlCalendarAdvance(Calendar,W1840,NDays&amp;"D")</f>
        <v>51798</v>
      </c>
      <c r="Y1840" s="92" t="e">
        <v>#N/A</v>
      </c>
      <c r="Z1840" s="94" t="e">
        <v>#N/A</v>
      </c>
    </row>
    <row r="1841" spans="22:26" x14ac:dyDescent="0.2">
      <c r="V1841" s="123" t="str">
        <f t="shared" si="39"/>
        <v>1w</v>
      </c>
      <c r="W1841" s="82">
        <f>_xll.qlCalendarAdvance(Calendar,W1840,V1841,"f",FALSE)</f>
        <v>51805</v>
      </c>
      <c r="X1841" s="91">
        <f>_xll.qlCalendarAdvance(Calendar,W1841,NDays&amp;"D")</f>
        <v>51805</v>
      </c>
      <c r="Y1841" s="92" t="e">
        <v>#N/A</v>
      </c>
      <c r="Z1841" s="94" t="e">
        <v>#N/A</v>
      </c>
    </row>
    <row r="1842" spans="22:26" x14ac:dyDescent="0.2">
      <c r="V1842" s="123" t="str">
        <f t="shared" si="39"/>
        <v>1w</v>
      </c>
      <c r="W1842" s="82">
        <f>_xll.qlCalendarAdvance(Calendar,W1841,V1842,"f",FALSE)</f>
        <v>51812</v>
      </c>
      <c r="X1842" s="91">
        <f>_xll.qlCalendarAdvance(Calendar,W1842,NDays&amp;"D")</f>
        <v>51812</v>
      </c>
      <c r="Y1842" s="92" t="e">
        <v>#N/A</v>
      </c>
      <c r="Z1842" s="94" t="e">
        <v>#N/A</v>
      </c>
    </row>
    <row r="1843" spans="22:26" x14ac:dyDescent="0.2">
      <c r="V1843" s="123" t="str">
        <f t="shared" si="39"/>
        <v>1w</v>
      </c>
      <c r="W1843" s="82">
        <f>_xll.qlCalendarAdvance(Calendar,W1842,V1843,"f",FALSE)</f>
        <v>51819</v>
      </c>
      <c r="X1843" s="91">
        <f>_xll.qlCalendarAdvance(Calendar,W1843,NDays&amp;"D")</f>
        <v>51819</v>
      </c>
      <c r="Y1843" s="92" t="e">
        <v>#N/A</v>
      </c>
      <c r="Z1843" s="94" t="e">
        <v>#N/A</v>
      </c>
    </row>
    <row r="1844" spans="22:26" x14ac:dyDescent="0.2">
      <c r="V1844" s="123" t="str">
        <f t="shared" si="39"/>
        <v>1w</v>
      </c>
      <c r="W1844" s="82">
        <f>_xll.qlCalendarAdvance(Calendar,W1843,V1844,"f",FALSE)</f>
        <v>51826</v>
      </c>
      <c r="X1844" s="91">
        <f>_xll.qlCalendarAdvance(Calendar,W1844,NDays&amp;"D")</f>
        <v>51826</v>
      </c>
      <c r="Y1844" s="92" t="e">
        <v>#N/A</v>
      </c>
      <c r="Z1844" s="94" t="e">
        <v>#N/A</v>
      </c>
    </row>
    <row r="1845" spans="22:26" x14ac:dyDescent="0.2">
      <c r="V1845" s="123" t="str">
        <f t="shared" si="39"/>
        <v>1w</v>
      </c>
      <c r="W1845" s="82">
        <f>_xll.qlCalendarAdvance(Calendar,W1844,V1845,"f",FALSE)</f>
        <v>51833</v>
      </c>
      <c r="X1845" s="91">
        <f>_xll.qlCalendarAdvance(Calendar,W1845,NDays&amp;"D")</f>
        <v>51833</v>
      </c>
      <c r="Y1845" s="92" t="e">
        <v>#N/A</v>
      </c>
      <c r="Z1845" s="94" t="e">
        <v>#N/A</v>
      </c>
    </row>
    <row r="1846" spans="22:26" x14ac:dyDescent="0.2">
      <c r="V1846" s="123" t="str">
        <f t="shared" si="39"/>
        <v>1w</v>
      </c>
      <c r="W1846" s="82">
        <f>_xll.qlCalendarAdvance(Calendar,W1845,V1846,"f",FALSE)</f>
        <v>51840</v>
      </c>
      <c r="X1846" s="91">
        <f>_xll.qlCalendarAdvance(Calendar,W1846,NDays&amp;"D")</f>
        <v>51840</v>
      </c>
      <c r="Y1846" s="92" t="e">
        <v>#N/A</v>
      </c>
      <c r="Z1846" s="94" t="e">
        <v>#N/A</v>
      </c>
    </row>
    <row r="1847" spans="22:26" x14ac:dyDescent="0.2">
      <c r="V1847" s="123" t="str">
        <f t="shared" si="39"/>
        <v>1w</v>
      </c>
      <c r="W1847" s="82">
        <f>_xll.qlCalendarAdvance(Calendar,W1846,V1847,"f",FALSE)</f>
        <v>51847</v>
      </c>
      <c r="X1847" s="91">
        <f>_xll.qlCalendarAdvance(Calendar,W1847,NDays&amp;"D")</f>
        <v>51847</v>
      </c>
      <c r="Y1847" s="92" t="e">
        <v>#N/A</v>
      </c>
      <c r="Z1847" s="94" t="e">
        <v>#N/A</v>
      </c>
    </row>
    <row r="1848" spans="22:26" x14ac:dyDescent="0.2">
      <c r="V1848" s="123" t="str">
        <f t="shared" si="39"/>
        <v>1w</v>
      </c>
      <c r="W1848" s="82">
        <f>_xll.qlCalendarAdvance(Calendar,W1847,V1848,"f",FALSE)</f>
        <v>51854</v>
      </c>
      <c r="X1848" s="91">
        <f>_xll.qlCalendarAdvance(Calendar,W1848,NDays&amp;"D")</f>
        <v>51854</v>
      </c>
      <c r="Y1848" s="92" t="e">
        <v>#N/A</v>
      </c>
      <c r="Z1848" s="94" t="e">
        <v>#N/A</v>
      </c>
    </row>
    <row r="1849" spans="22:26" x14ac:dyDescent="0.2">
      <c r="V1849" s="123" t="str">
        <f t="shared" si="39"/>
        <v>1w</v>
      </c>
      <c r="W1849" s="82">
        <f>_xll.qlCalendarAdvance(Calendar,W1848,V1849,"f",FALSE)</f>
        <v>51862</v>
      </c>
      <c r="X1849" s="91">
        <f>_xll.qlCalendarAdvance(Calendar,W1849,NDays&amp;"D")</f>
        <v>51862</v>
      </c>
      <c r="Y1849" s="92" t="e">
        <v>#N/A</v>
      </c>
      <c r="Z1849" s="94" t="e">
        <v>#N/A</v>
      </c>
    </row>
    <row r="1850" spans="22:26" x14ac:dyDescent="0.2">
      <c r="V1850" s="123" t="str">
        <f t="shared" si="39"/>
        <v>1w</v>
      </c>
      <c r="W1850" s="82">
        <f>_xll.qlCalendarAdvance(Calendar,W1849,V1850,"f",FALSE)</f>
        <v>51869</v>
      </c>
      <c r="X1850" s="91">
        <f>_xll.qlCalendarAdvance(Calendar,W1850,NDays&amp;"D")</f>
        <v>51869</v>
      </c>
      <c r="Y1850" s="92" t="e">
        <v>#N/A</v>
      </c>
      <c r="Z1850" s="94" t="e">
        <v>#N/A</v>
      </c>
    </row>
    <row r="1851" spans="22:26" x14ac:dyDescent="0.2">
      <c r="V1851" s="123" t="str">
        <f t="shared" si="39"/>
        <v>1w</v>
      </c>
      <c r="W1851" s="82">
        <f>_xll.qlCalendarAdvance(Calendar,W1850,V1851,"f",FALSE)</f>
        <v>51876</v>
      </c>
      <c r="X1851" s="91">
        <f>_xll.qlCalendarAdvance(Calendar,W1851,NDays&amp;"D")</f>
        <v>51876</v>
      </c>
      <c r="Y1851" s="92" t="e">
        <v>#N/A</v>
      </c>
      <c r="Z1851" s="94" t="e">
        <v>#N/A</v>
      </c>
    </row>
    <row r="1852" spans="22:26" x14ac:dyDescent="0.2">
      <c r="V1852" s="123" t="str">
        <f t="shared" si="39"/>
        <v>1w</v>
      </c>
      <c r="W1852" s="82">
        <f>_xll.qlCalendarAdvance(Calendar,W1851,V1852,"f",FALSE)</f>
        <v>51883</v>
      </c>
      <c r="X1852" s="91">
        <f>_xll.qlCalendarAdvance(Calendar,W1852,NDays&amp;"D")</f>
        <v>51883</v>
      </c>
      <c r="Y1852" s="92" t="e">
        <v>#N/A</v>
      </c>
      <c r="Z1852" s="94" t="e">
        <v>#N/A</v>
      </c>
    </row>
    <row r="1853" spans="22:26" x14ac:dyDescent="0.2">
      <c r="V1853" s="123" t="str">
        <f t="shared" si="39"/>
        <v>1w</v>
      </c>
      <c r="W1853" s="82">
        <f>_xll.qlCalendarAdvance(Calendar,W1852,V1853,"f",FALSE)</f>
        <v>51890</v>
      </c>
      <c r="X1853" s="91">
        <f>_xll.qlCalendarAdvance(Calendar,W1853,NDays&amp;"D")</f>
        <v>51890</v>
      </c>
      <c r="Y1853" s="92" t="e">
        <v>#N/A</v>
      </c>
      <c r="Z1853" s="94" t="e">
        <v>#N/A</v>
      </c>
    </row>
    <row r="1854" spans="22:26" x14ac:dyDescent="0.2">
      <c r="V1854" s="123" t="str">
        <f t="shared" si="39"/>
        <v>1w</v>
      </c>
      <c r="W1854" s="82">
        <f>_xll.qlCalendarAdvance(Calendar,W1853,V1854,"f",FALSE)</f>
        <v>51897</v>
      </c>
      <c r="X1854" s="91">
        <f>_xll.qlCalendarAdvance(Calendar,W1854,NDays&amp;"D")</f>
        <v>51897</v>
      </c>
      <c r="Y1854" s="92" t="e">
        <v>#N/A</v>
      </c>
      <c r="Z1854" s="94" t="e">
        <v>#N/A</v>
      </c>
    </row>
    <row r="1855" spans="22:26" x14ac:dyDescent="0.2">
      <c r="V1855" s="123" t="str">
        <f t="shared" si="39"/>
        <v>1w</v>
      </c>
      <c r="W1855" s="82">
        <f>_xll.qlCalendarAdvance(Calendar,W1854,V1855,"f",FALSE)</f>
        <v>51904</v>
      </c>
      <c r="X1855" s="91">
        <f>_xll.qlCalendarAdvance(Calendar,W1855,NDays&amp;"D")</f>
        <v>51904</v>
      </c>
      <c r="Y1855" s="92" t="e">
        <v>#N/A</v>
      </c>
      <c r="Z1855" s="94" t="e">
        <v>#N/A</v>
      </c>
    </row>
    <row r="1856" spans="22:26" x14ac:dyDescent="0.2">
      <c r="V1856" s="123" t="str">
        <f t="shared" si="39"/>
        <v>1w</v>
      </c>
      <c r="W1856" s="82">
        <f>_xll.qlCalendarAdvance(Calendar,W1855,V1856,"f",FALSE)</f>
        <v>51911</v>
      </c>
      <c r="X1856" s="91">
        <f>_xll.qlCalendarAdvance(Calendar,W1856,NDays&amp;"D")</f>
        <v>51911</v>
      </c>
      <c r="Y1856" s="92" t="e">
        <v>#N/A</v>
      </c>
      <c r="Z1856" s="94" t="e">
        <v>#N/A</v>
      </c>
    </row>
    <row r="1857" spans="22:26" x14ac:dyDescent="0.2">
      <c r="V1857" s="123" t="str">
        <f t="shared" si="39"/>
        <v>1w</v>
      </c>
      <c r="W1857" s="82">
        <f>_xll.qlCalendarAdvance(Calendar,W1856,V1857,"f",FALSE)</f>
        <v>51918</v>
      </c>
      <c r="X1857" s="91">
        <f>_xll.qlCalendarAdvance(Calendar,W1857,NDays&amp;"D")</f>
        <v>51918</v>
      </c>
      <c r="Y1857" s="92" t="e">
        <v>#N/A</v>
      </c>
      <c r="Z1857" s="94" t="e">
        <v>#N/A</v>
      </c>
    </row>
    <row r="1858" spans="22:26" x14ac:dyDescent="0.2">
      <c r="V1858" s="123" t="str">
        <f t="shared" si="39"/>
        <v>1w</v>
      </c>
      <c r="W1858" s="82">
        <f>_xll.qlCalendarAdvance(Calendar,W1857,V1858,"f",FALSE)</f>
        <v>51925</v>
      </c>
      <c r="X1858" s="91">
        <f>_xll.qlCalendarAdvance(Calendar,W1858,NDays&amp;"D")</f>
        <v>51925</v>
      </c>
      <c r="Y1858" s="92" t="e">
        <v>#N/A</v>
      </c>
      <c r="Z1858" s="94" t="e">
        <v>#N/A</v>
      </c>
    </row>
    <row r="1859" spans="22:26" x14ac:dyDescent="0.2">
      <c r="V1859" s="123" t="str">
        <f t="shared" si="39"/>
        <v>1w</v>
      </c>
      <c r="W1859" s="82">
        <f>_xll.qlCalendarAdvance(Calendar,W1858,V1859,"f",FALSE)</f>
        <v>51932</v>
      </c>
      <c r="X1859" s="91">
        <f>_xll.qlCalendarAdvance(Calendar,W1859,NDays&amp;"D")</f>
        <v>51932</v>
      </c>
      <c r="Y1859" s="92" t="e">
        <v>#N/A</v>
      </c>
      <c r="Z1859" s="94" t="e">
        <v>#N/A</v>
      </c>
    </row>
    <row r="1860" spans="22:26" x14ac:dyDescent="0.2">
      <c r="V1860" s="123" t="str">
        <f t="shared" si="39"/>
        <v>1w</v>
      </c>
      <c r="W1860" s="82">
        <f>_xll.qlCalendarAdvance(Calendar,W1859,V1860,"f",FALSE)</f>
        <v>51939</v>
      </c>
      <c r="X1860" s="91">
        <f>_xll.qlCalendarAdvance(Calendar,W1860,NDays&amp;"D")</f>
        <v>51939</v>
      </c>
      <c r="Y1860" s="92" t="e">
        <v>#N/A</v>
      </c>
      <c r="Z1860" s="94" t="e">
        <v>#N/A</v>
      </c>
    </row>
    <row r="1861" spans="22:26" x14ac:dyDescent="0.2">
      <c r="V1861" s="123" t="str">
        <f t="shared" si="39"/>
        <v>1w</v>
      </c>
      <c r="W1861" s="82">
        <f>_xll.qlCalendarAdvance(Calendar,W1860,V1861,"f",FALSE)</f>
        <v>51946</v>
      </c>
      <c r="X1861" s="91">
        <f>_xll.qlCalendarAdvance(Calendar,W1861,NDays&amp;"D")</f>
        <v>51946</v>
      </c>
      <c r="Y1861" s="92" t="e">
        <v>#N/A</v>
      </c>
      <c r="Z1861" s="94" t="e">
        <v>#N/A</v>
      </c>
    </row>
    <row r="1862" spans="22:26" x14ac:dyDescent="0.2">
      <c r="V1862" s="123" t="str">
        <f t="shared" si="39"/>
        <v>1w</v>
      </c>
      <c r="W1862" s="82">
        <f>_xll.qlCalendarAdvance(Calendar,W1861,V1862,"f",FALSE)</f>
        <v>51953</v>
      </c>
      <c r="X1862" s="91">
        <f>_xll.qlCalendarAdvance(Calendar,W1862,NDays&amp;"D")</f>
        <v>51953</v>
      </c>
      <c r="Y1862" s="92" t="e">
        <v>#N/A</v>
      </c>
      <c r="Z1862" s="94" t="e">
        <v>#N/A</v>
      </c>
    </row>
    <row r="1863" spans="22:26" x14ac:dyDescent="0.2">
      <c r="V1863" s="123" t="str">
        <f t="shared" si="39"/>
        <v>1w</v>
      </c>
      <c r="W1863" s="82">
        <f>_xll.qlCalendarAdvance(Calendar,W1862,V1863,"f",FALSE)</f>
        <v>51964</v>
      </c>
      <c r="X1863" s="91">
        <f>_xll.qlCalendarAdvance(Calendar,W1863,NDays&amp;"D")</f>
        <v>51964</v>
      </c>
      <c r="Y1863" s="92" t="e">
        <v>#N/A</v>
      </c>
      <c r="Z1863" s="94" t="e">
        <v>#N/A</v>
      </c>
    </row>
    <row r="1864" spans="22:26" x14ac:dyDescent="0.2">
      <c r="V1864" s="123" t="str">
        <f t="shared" si="39"/>
        <v>1w</v>
      </c>
      <c r="W1864" s="82">
        <f>_xll.qlCalendarAdvance(Calendar,W1863,V1864,"f",FALSE)</f>
        <v>51971</v>
      </c>
      <c r="X1864" s="91">
        <f>_xll.qlCalendarAdvance(Calendar,W1864,NDays&amp;"D")</f>
        <v>51971</v>
      </c>
      <c r="Y1864" s="92" t="e">
        <v>#N/A</v>
      </c>
      <c r="Z1864" s="94" t="e">
        <v>#N/A</v>
      </c>
    </row>
    <row r="1865" spans="22:26" x14ac:dyDescent="0.2">
      <c r="V1865" s="123" t="str">
        <f t="shared" si="39"/>
        <v>1w</v>
      </c>
      <c r="W1865" s="82">
        <f>_xll.qlCalendarAdvance(Calendar,W1864,V1865,"f",FALSE)</f>
        <v>51978</v>
      </c>
      <c r="X1865" s="91">
        <f>_xll.qlCalendarAdvance(Calendar,W1865,NDays&amp;"D")</f>
        <v>51978</v>
      </c>
      <c r="Y1865" s="92" t="e">
        <v>#N/A</v>
      </c>
      <c r="Z1865" s="94" t="e">
        <v>#N/A</v>
      </c>
    </row>
    <row r="1866" spans="22:26" x14ac:dyDescent="0.2">
      <c r="V1866" s="123" t="str">
        <f t="shared" si="39"/>
        <v>1w</v>
      </c>
      <c r="W1866" s="82">
        <f>_xll.qlCalendarAdvance(Calendar,W1865,V1866,"f",FALSE)</f>
        <v>51985</v>
      </c>
      <c r="X1866" s="91">
        <f>_xll.qlCalendarAdvance(Calendar,W1866,NDays&amp;"D")</f>
        <v>51985</v>
      </c>
      <c r="Y1866" s="92" t="e">
        <v>#N/A</v>
      </c>
      <c r="Z1866" s="94" t="e">
        <v>#N/A</v>
      </c>
    </row>
    <row r="1867" spans="22:26" x14ac:dyDescent="0.2">
      <c r="V1867" s="123" t="str">
        <f t="shared" si="39"/>
        <v>1w</v>
      </c>
      <c r="W1867" s="82">
        <f>_xll.qlCalendarAdvance(Calendar,W1866,V1867,"f",FALSE)</f>
        <v>51992</v>
      </c>
      <c r="X1867" s="91">
        <f>_xll.qlCalendarAdvance(Calendar,W1867,NDays&amp;"D")</f>
        <v>51992</v>
      </c>
      <c r="Y1867" s="92" t="e">
        <v>#N/A</v>
      </c>
      <c r="Z1867" s="94" t="e">
        <v>#N/A</v>
      </c>
    </row>
    <row r="1868" spans="22:26" x14ac:dyDescent="0.2">
      <c r="V1868" s="123" t="str">
        <f t="shared" si="39"/>
        <v>1w</v>
      </c>
      <c r="W1868" s="82">
        <f>_xll.qlCalendarAdvance(Calendar,W1867,V1868,"f",FALSE)</f>
        <v>51999</v>
      </c>
      <c r="X1868" s="91">
        <f>_xll.qlCalendarAdvance(Calendar,W1868,NDays&amp;"D")</f>
        <v>51999</v>
      </c>
      <c r="Y1868" s="92" t="e">
        <v>#N/A</v>
      </c>
      <c r="Z1868" s="94" t="e">
        <v>#N/A</v>
      </c>
    </row>
    <row r="1869" spans="22:26" x14ac:dyDescent="0.2">
      <c r="V1869" s="123" t="str">
        <f t="shared" si="39"/>
        <v>1w</v>
      </c>
      <c r="W1869" s="82">
        <f>_xll.qlCalendarAdvance(Calendar,W1868,V1869,"f",FALSE)</f>
        <v>52006</v>
      </c>
      <c r="X1869" s="91">
        <f>_xll.qlCalendarAdvance(Calendar,W1869,NDays&amp;"D")</f>
        <v>52006</v>
      </c>
      <c r="Y1869" s="92" t="e">
        <v>#N/A</v>
      </c>
      <c r="Z1869" s="94" t="e">
        <v>#N/A</v>
      </c>
    </row>
    <row r="1870" spans="22:26" x14ac:dyDescent="0.2">
      <c r="V1870" s="123" t="str">
        <f t="shared" si="39"/>
        <v>1w</v>
      </c>
      <c r="W1870" s="82">
        <f>_xll.qlCalendarAdvance(Calendar,W1869,V1870,"f",FALSE)</f>
        <v>52013</v>
      </c>
      <c r="X1870" s="91">
        <f>_xll.qlCalendarAdvance(Calendar,W1870,NDays&amp;"D")</f>
        <v>52013</v>
      </c>
      <c r="Y1870" s="92" t="e">
        <v>#N/A</v>
      </c>
      <c r="Z1870" s="94" t="e">
        <v>#N/A</v>
      </c>
    </row>
    <row r="1871" spans="22:26" x14ac:dyDescent="0.2">
      <c r="V1871" s="123" t="str">
        <f t="shared" si="39"/>
        <v>1w</v>
      </c>
      <c r="W1871" s="82">
        <f>_xll.qlCalendarAdvance(Calendar,W1870,V1871,"f",FALSE)</f>
        <v>52020</v>
      </c>
      <c r="X1871" s="91">
        <f>_xll.qlCalendarAdvance(Calendar,W1871,NDays&amp;"D")</f>
        <v>52020</v>
      </c>
      <c r="Y1871" s="92" t="e">
        <v>#N/A</v>
      </c>
      <c r="Z1871" s="94" t="e">
        <v>#N/A</v>
      </c>
    </row>
    <row r="1872" spans="22:26" x14ac:dyDescent="0.2">
      <c r="V1872" s="123" t="str">
        <f t="shared" si="39"/>
        <v>1w</v>
      </c>
      <c r="W1872" s="82">
        <f>_xll.qlCalendarAdvance(Calendar,W1871,V1872,"f",FALSE)</f>
        <v>52027</v>
      </c>
      <c r="X1872" s="91">
        <f>_xll.qlCalendarAdvance(Calendar,W1872,NDays&amp;"D")</f>
        <v>52027</v>
      </c>
      <c r="Y1872" s="92" t="e">
        <v>#N/A</v>
      </c>
      <c r="Z1872" s="94" t="e">
        <v>#N/A</v>
      </c>
    </row>
    <row r="1873" spans="22:26" x14ac:dyDescent="0.2">
      <c r="V1873" s="123" t="str">
        <f t="shared" si="39"/>
        <v>1w</v>
      </c>
      <c r="W1873" s="82">
        <f>_xll.qlCalendarAdvance(Calendar,W1872,V1873,"f",FALSE)</f>
        <v>52034</v>
      </c>
      <c r="X1873" s="91">
        <f>_xll.qlCalendarAdvance(Calendar,W1873,NDays&amp;"D")</f>
        <v>52034</v>
      </c>
      <c r="Y1873" s="92" t="e">
        <v>#N/A</v>
      </c>
      <c r="Z1873" s="94" t="e">
        <v>#N/A</v>
      </c>
    </row>
    <row r="1874" spans="22:26" x14ac:dyDescent="0.2">
      <c r="V1874" s="123" t="str">
        <f t="shared" si="39"/>
        <v>1w</v>
      </c>
      <c r="W1874" s="82">
        <f>_xll.qlCalendarAdvance(Calendar,W1873,V1874,"f",FALSE)</f>
        <v>52041</v>
      </c>
      <c r="X1874" s="91">
        <f>_xll.qlCalendarAdvance(Calendar,W1874,NDays&amp;"D")</f>
        <v>52041</v>
      </c>
      <c r="Y1874" s="92" t="e">
        <v>#N/A</v>
      </c>
      <c r="Z1874" s="94" t="e">
        <v>#N/A</v>
      </c>
    </row>
    <row r="1875" spans="22:26" x14ac:dyDescent="0.2">
      <c r="V1875" s="123" t="str">
        <f t="shared" si="39"/>
        <v>1w</v>
      </c>
      <c r="W1875" s="82">
        <f>_xll.qlCalendarAdvance(Calendar,W1874,V1875,"f",FALSE)</f>
        <v>52049</v>
      </c>
      <c r="X1875" s="91">
        <f>_xll.qlCalendarAdvance(Calendar,W1875,NDays&amp;"D")</f>
        <v>52049</v>
      </c>
      <c r="Y1875" s="92" t="e">
        <v>#N/A</v>
      </c>
      <c r="Z1875" s="94" t="e">
        <v>#N/A</v>
      </c>
    </row>
    <row r="1876" spans="22:26" x14ac:dyDescent="0.2">
      <c r="V1876" s="123" t="str">
        <f t="shared" si="39"/>
        <v>1w</v>
      </c>
      <c r="W1876" s="82">
        <f>_xll.qlCalendarAdvance(Calendar,W1875,V1876,"f",FALSE)</f>
        <v>52056</v>
      </c>
      <c r="X1876" s="91">
        <f>_xll.qlCalendarAdvance(Calendar,W1876,NDays&amp;"D")</f>
        <v>52056</v>
      </c>
      <c r="Y1876" s="92" t="e">
        <v>#N/A</v>
      </c>
      <c r="Z1876" s="94" t="e">
        <v>#N/A</v>
      </c>
    </row>
    <row r="1877" spans="22:26" x14ac:dyDescent="0.2">
      <c r="V1877" s="123" t="str">
        <f t="shared" ref="V1877:V1940" si="40">V1876</f>
        <v>1w</v>
      </c>
      <c r="W1877" s="82">
        <f>_xll.qlCalendarAdvance(Calendar,W1876,V1877,"f",FALSE)</f>
        <v>52063</v>
      </c>
      <c r="X1877" s="91">
        <f>_xll.qlCalendarAdvance(Calendar,W1877,NDays&amp;"D")</f>
        <v>52063</v>
      </c>
      <c r="Y1877" s="92" t="e">
        <v>#N/A</v>
      </c>
      <c r="Z1877" s="94" t="e">
        <v>#N/A</v>
      </c>
    </row>
    <row r="1878" spans="22:26" x14ac:dyDescent="0.2">
      <c r="V1878" s="123" t="str">
        <f t="shared" si="40"/>
        <v>1w</v>
      </c>
      <c r="W1878" s="82">
        <f>_xll.qlCalendarAdvance(Calendar,W1877,V1878,"f",FALSE)</f>
        <v>52070</v>
      </c>
      <c r="X1878" s="91">
        <f>_xll.qlCalendarAdvance(Calendar,W1878,NDays&amp;"D")</f>
        <v>52070</v>
      </c>
      <c r="Y1878" s="92" t="e">
        <v>#N/A</v>
      </c>
      <c r="Z1878" s="94" t="e">
        <v>#N/A</v>
      </c>
    </row>
    <row r="1879" spans="22:26" x14ac:dyDescent="0.2">
      <c r="V1879" s="123" t="str">
        <f t="shared" si="40"/>
        <v>1w</v>
      </c>
      <c r="W1879" s="82">
        <f>_xll.qlCalendarAdvance(Calendar,W1878,V1879,"f",FALSE)</f>
        <v>52077</v>
      </c>
      <c r="X1879" s="91">
        <f>_xll.qlCalendarAdvance(Calendar,W1879,NDays&amp;"D")</f>
        <v>52077</v>
      </c>
      <c r="Y1879" s="92" t="e">
        <v>#N/A</v>
      </c>
      <c r="Z1879" s="94" t="e">
        <v>#N/A</v>
      </c>
    </row>
    <row r="1880" spans="22:26" x14ac:dyDescent="0.2">
      <c r="V1880" s="123" t="str">
        <f t="shared" si="40"/>
        <v>1w</v>
      </c>
      <c r="W1880" s="82">
        <f>_xll.qlCalendarAdvance(Calendar,W1879,V1880,"f",FALSE)</f>
        <v>52084</v>
      </c>
      <c r="X1880" s="91">
        <f>_xll.qlCalendarAdvance(Calendar,W1880,NDays&amp;"D")</f>
        <v>52084</v>
      </c>
      <c r="Y1880" s="92" t="e">
        <v>#N/A</v>
      </c>
      <c r="Z1880" s="94" t="e">
        <v>#N/A</v>
      </c>
    </row>
    <row r="1881" spans="22:26" x14ac:dyDescent="0.2">
      <c r="V1881" s="123" t="str">
        <f t="shared" si="40"/>
        <v>1w</v>
      </c>
      <c r="W1881" s="82">
        <f>_xll.qlCalendarAdvance(Calendar,W1880,V1881,"f",FALSE)</f>
        <v>52091</v>
      </c>
      <c r="X1881" s="91">
        <f>_xll.qlCalendarAdvance(Calendar,W1881,NDays&amp;"D")</f>
        <v>52091</v>
      </c>
      <c r="Y1881" s="92" t="e">
        <v>#N/A</v>
      </c>
      <c r="Z1881" s="94" t="e">
        <v>#N/A</v>
      </c>
    </row>
    <row r="1882" spans="22:26" x14ac:dyDescent="0.2">
      <c r="V1882" s="123" t="str">
        <f t="shared" si="40"/>
        <v>1w</v>
      </c>
      <c r="W1882" s="82">
        <f>_xll.qlCalendarAdvance(Calendar,W1881,V1882,"f",FALSE)</f>
        <v>52098</v>
      </c>
      <c r="X1882" s="91">
        <f>_xll.qlCalendarAdvance(Calendar,W1882,NDays&amp;"D")</f>
        <v>52098</v>
      </c>
      <c r="Y1882" s="92" t="e">
        <v>#N/A</v>
      </c>
      <c r="Z1882" s="94" t="e">
        <v>#N/A</v>
      </c>
    </row>
    <row r="1883" spans="22:26" x14ac:dyDescent="0.2">
      <c r="V1883" s="123" t="str">
        <f t="shared" si="40"/>
        <v>1w</v>
      </c>
      <c r="W1883" s="82">
        <f>_xll.qlCalendarAdvance(Calendar,W1882,V1883,"f",FALSE)</f>
        <v>52105</v>
      </c>
      <c r="X1883" s="91">
        <f>_xll.qlCalendarAdvance(Calendar,W1883,NDays&amp;"D")</f>
        <v>52105</v>
      </c>
      <c r="Y1883" s="92" t="e">
        <v>#N/A</v>
      </c>
      <c r="Z1883" s="94" t="e">
        <v>#N/A</v>
      </c>
    </row>
    <row r="1884" spans="22:26" x14ac:dyDescent="0.2">
      <c r="V1884" s="123" t="str">
        <f t="shared" si="40"/>
        <v>1w</v>
      </c>
      <c r="W1884" s="82">
        <f>_xll.qlCalendarAdvance(Calendar,W1883,V1884,"f",FALSE)</f>
        <v>52112</v>
      </c>
      <c r="X1884" s="91">
        <f>_xll.qlCalendarAdvance(Calendar,W1884,NDays&amp;"D")</f>
        <v>52112</v>
      </c>
      <c r="Y1884" s="92" t="e">
        <v>#N/A</v>
      </c>
      <c r="Z1884" s="94" t="e">
        <v>#N/A</v>
      </c>
    </row>
    <row r="1885" spans="22:26" x14ac:dyDescent="0.2">
      <c r="V1885" s="123" t="str">
        <f t="shared" si="40"/>
        <v>1w</v>
      </c>
      <c r="W1885" s="82">
        <f>_xll.qlCalendarAdvance(Calendar,W1884,V1885,"f",FALSE)</f>
        <v>52119</v>
      </c>
      <c r="X1885" s="91">
        <f>_xll.qlCalendarAdvance(Calendar,W1885,NDays&amp;"D")</f>
        <v>52119</v>
      </c>
      <c r="Y1885" s="92" t="e">
        <v>#N/A</v>
      </c>
      <c r="Z1885" s="94" t="e">
        <v>#N/A</v>
      </c>
    </row>
    <row r="1886" spans="22:26" x14ac:dyDescent="0.2">
      <c r="V1886" s="123" t="str">
        <f t="shared" si="40"/>
        <v>1w</v>
      </c>
      <c r="W1886" s="82">
        <f>_xll.qlCalendarAdvance(Calendar,W1885,V1886,"f",FALSE)</f>
        <v>52126</v>
      </c>
      <c r="X1886" s="91">
        <f>_xll.qlCalendarAdvance(Calendar,W1886,NDays&amp;"D")</f>
        <v>52126</v>
      </c>
      <c r="Y1886" s="92" t="e">
        <v>#N/A</v>
      </c>
      <c r="Z1886" s="94" t="e">
        <v>#N/A</v>
      </c>
    </row>
    <row r="1887" spans="22:26" x14ac:dyDescent="0.2">
      <c r="V1887" s="123" t="str">
        <f t="shared" si="40"/>
        <v>1w</v>
      </c>
      <c r="W1887" s="82">
        <f>_xll.qlCalendarAdvance(Calendar,W1886,V1887,"f",FALSE)</f>
        <v>52133</v>
      </c>
      <c r="X1887" s="91">
        <f>_xll.qlCalendarAdvance(Calendar,W1887,NDays&amp;"D")</f>
        <v>52133</v>
      </c>
      <c r="Y1887" s="92" t="e">
        <v>#N/A</v>
      </c>
      <c r="Z1887" s="94" t="e">
        <v>#N/A</v>
      </c>
    </row>
    <row r="1888" spans="22:26" x14ac:dyDescent="0.2">
      <c r="V1888" s="123" t="str">
        <f t="shared" si="40"/>
        <v>1w</v>
      </c>
      <c r="W1888" s="82">
        <f>_xll.qlCalendarAdvance(Calendar,W1887,V1888,"f",FALSE)</f>
        <v>52141</v>
      </c>
      <c r="X1888" s="91">
        <f>_xll.qlCalendarAdvance(Calendar,W1888,NDays&amp;"D")</f>
        <v>52141</v>
      </c>
      <c r="Y1888" s="92" t="e">
        <v>#N/A</v>
      </c>
      <c r="Z1888" s="94" t="e">
        <v>#N/A</v>
      </c>
    </row>
    <row r="1889" spans="22:26" x14ac:dyDescent="0.2">
      <c r="V1889" s="123" t="str">
        <f t="shared" si="40"/>
        <v>1w</v>
      </c>
      <c r="W1889" s="82">
        <f>_xll.qlCalendarAdvance(Calendar,W1888,V1889,"f",FALSE)</f>
        <v>52148</v>
      </c>
      <c r="X1889" s="91">
        <f>_xll.qlCalendarAdvance(Calendar,W1889,NDays&amp;"D")</f>
        <v>52148</v>
      </c>
      <c r="Y1889" s="92" t="e">
        <v>#N/A</v>
      </c>
      <c r="Z1889" s="94" t="e">
        <v>#N/A</v>
      </c>
    </row>
    <row r="1890" spans="22:26" x14ac:dyDescent="0.2">
      <c r="V1890" s="123" t="str">
        <f t="shared" si="40"/>
        <v>1w</v>
      </c>
      <c r="W1890" s="82">
        <f>_xll.qlCalendarAdvance(Calendar,W1889,V1890,"f",FALSE)</f>
        <v>52155</v>
      </c>
      <c r="X1890" s="91">
        <f>_xll.qlCalendarAdvance(Calendar,W1890,NDays&amp;"D")</f>
        <v>52155</v>
      </c>
      <c r="Y1890" s="92" t="e">
        <v>#N/A</v>
      </c>
      <c r="Z1890" s="94" t="e">
        <v>#N/A</v>
      </c>
    </row>
    <row r="1891" spans="22:26" x14ac:dyDescent="0.2">
      <c r="V1891" s="123" t="str">
        <f t="shared" si="40"/>
        <v>1w</v>
      </c>
      <c r="W1891" s="82">
        <f>_xll.qlCalendarAdvance(Calendar,W1890,V1891,"f",FALSE)</f>
        <v>52162</v>
      </c>
      <c r="X1891" s="91">
        <f>_xll.qlCalendarAdvance(Calendar,W1891,NDays&amp;"D")</f>
        <v>52162</v>
      </c>
      <c r="Y1891" s="92" t="e">
        <v>#N/A</v>
      </c>
      <c r="Z1891" s="94" t="e">
        <v>#N/A</v>
      </c>
    </row>
    <row r="1892" spans="22:26" x14ac:dyDescent="0.2">
      <c r="V1892" s="123" t="str">
        <f t="shared" si="40"/>
        <v>1w</v>
      </c>
      <c r="W1892" s="82">
        <f>_xll.qlCalendarAdvance(Calendar,W1891,V1892,"f",FALSE)</f>
        <v>52169</v>
      </c>
      <c r="X1892" s="91">
        <f>_xll.qlCalendarAdvance(Calendar,W1892,NDays&amp;"D")</f>
        <v>52169</v>
      </c>
      <c r="Y1892" s="92" t="e">
        <v>#N/A</v>
      </c>
      <c r="Z1892" s="94" t="e">
        <v>#N/A</v>
      </c>
    </row>
    <row r="1893" spans="22:26" x14ac:dyDescent="0.2">
      <c r="V1893" s="123" t="str">
        <f t="shared" si="40"/>
        <v>1w</v>
      </c>
      <c r="W1893" s="82">
        <f>_xll.qlCalendarAdvance(Calendar,W1892,V1893,"f",FALSE)</f>
        <v>52176</v>
      </c>
      <c r="X1893" s="91">
        <f>_xll.qlCalendarAdvance(Calendar,W1893,NDays&amp;"D")</f>
        <v>52176</v>
      </c>
      <c r="Y1893" s="92" t="e">
        <v>#N/A</v>
      </c>
      <c r="Z1893" s="94" t="e">
        <v>#N/A</v>
      </c>
    </row>
    <row r="1894" spans="22:26" x14ac:dyDescent="0.2">
      <c r="V1894" s="123" t="str">
        <f t="shared" si="40"/>
        <v>1w</v>
      </c>
      <c r="W1894" s="82">
        <f>_xll.qlCalendarAdvance(Calendar,W1893,V1894,"f",FALSE)</f>
        <v>52183</v>
      </c>
      <c r="X1894" s="91">
        <f>_xll.qlCalendarAdvance(Calendar,W1894,NDays&amp;"D")</f>
        <v>52183</v>
      </c>
      <c r="Y1894" s="92" t="e">
        <v>#N/A</v>
      </c>
      <c r="Z1894" s="94" t="e">
        <v>#N/A</v>
      </c>
    </row>
    <row r="1895" spans="22:26" x14ac:dyDescent="0.2">
      <c r="V1895" s="123" t="str">
        <f t="shared" si="40"/>
        <v>1w</v>
      </c>
      <c r="W1895" s="82">
        <f>_xll.qlCalendarAdvance(Calendar,W1894,V1895,"f",FALSE)</f>
        <v>52190</v>
      </c>
      <c r="X1895" s="91">
        <f>_xll.qlCalendarAdvance(Calendar,W1895,NDays&amp;"D")</f>
        <v>52190</v>
      </c>
      <c r="Y1895" s="92" t="e">
        <v>#N/A</v>
      </c>
      <c r="Z1895" s="94" t="e">
        <v>#N/A</v>
      </c>
    </row>
    <row r="1896" spans="22:26" x14ac:dyDescent="0.2">
      <c r="V1896" s="123" t="str">
        <f t="shared" si="40"/>
        <v>1w</v>
      </c>
      <c r="W1896" s="82">
        <f>_xll.qlCalendarAdvance(Calendar,W1895,V1896,"f",FALSE)</f>
        <v>52197</v>
      </c>
      <c r="X1896" s="91">
        <f>_xll.qlCalendarAdvance(Calendar,W1896,NDays&amp;"D")</f>
        <v>52197</v>
      </c>
      <c r="Y1896" s="92" t="e">
        <v>#N/A</v>
      </c>
      <c r="Z1896" s="94" t="e">
        <v>#N/A</v>
      </c>
    </row>
    <row r="1897" spans="22:26" x14ac:dyDescent="0.2">
      <c r="V1897" s="123" t="str">
        <f t="shared" si="40"/>
        <v>1w</v>
      </c>
      <c r="W1897" s="82">
        <f>_xll.qlCalendarAdvance(Calendar,W1896,V1897,"f",FALSE)</f>
        <v>52204</v>
      </c>
      <c r="X1897" s="91">
        <f>_xll.qlCalendarAdvance(Calendar,W1897,NDays&amp;"D")</f>
        <v>52204</v>
      </c>
      <c r="Y1897" s="92" t="e">
        <v>#N/A</v>
      </c>
      <c r="Z1897" s="94" t="e">
        <v>#N/A</v>
      </c>
    </row>
    <row r="1898" spans="22:26" x14ac:dyDescent="0.2">
      <c r="V1898" s="123" t="str">
        <f t="shared" si="40"/>
        <v>1w</v>
      </c>
      <c r="W1898" s="82">
        <f>_xll.qlCalendarAdvance(Calendar,W1897,V1898,"f",FALSE)</f>
        <v>52211</v>
      </c>
      <c r="X1898" s="91">
        <f>_xll.qlCalendarAdvance(Calendar,W1898,NDays&amp;"D")</f>
        <v>52211</v>
      </c>
      <c r="Y1898" s="92" t="e">
        <v>#N/A</v>
      </c>
      <c r="Z1898" s="94" t="e">
        <v>#N/A</v>
      </c>
    </row>
    <row r="1899" spans="22:26" x14ac:dyDescent="0.2">
      <c r="V1899" s="123" t="str">
        <f t="shared" si="40"/>
        <v>1w</v>
      </c>
      <c r="W1899" s="82">
        <f>_xll.qlCalendarAdvance(Calendar,W1898,V1899,"f",FALSE)</f>
        <v>52218</v>
      </c>
      <c r="X1899" s="91">
        <f>_xll.qlCalendarAdvance(Calendar,W1899,NDays&amp;"D")</f>
        <v>52218</v>
      </c>
      <c r="Y1899" s="92" t="e">
        <v>#N/A</v>
      </c>
      <c r="Z1899" s="94" t="e">
        <v>#N/A</v>
      </c>
    </row>
    <row r="1900" spans="22:26" x14ac:dyDescent="0.2">
      <c r="V1900" s="123" t="str">
        <f t="shared" si="40"/>
        <v>1w</v>
      </c>
      <c r="W1900" s="82">
        <f>_xll.qlCalendarAdvance(Calendar,W1899,V1900,"f",FALSE)</f>
        <v>52229</v>
      </c>
      <c r="X1900" s="91">
        <f>_xll.qlCalendarAdvance(Calendar,W1900,NDays&amp;"D")</f>
        <v>52229</v>
      </c>
      <c r="Y1900" s="92" t="e">
        <v>#N/A</v>
      </c>
      <c r="Z1900" s="94" t="e">
        <v>#N/A</v>
      </c>
    </row>
    <row r="1901" spans="22:26" x14ac:dyDescent="0.2">
      <c r="V1901" s="123" t="str">
        <f t="shared" si="40"/>
        <v>1w</v>
      </c>
      <c r="W1901" s="82">
        <f>_xll.qlCalendarAdvance(Calendar,W1900,V1901,"f",FALSE)</f>
        <v>52236</v>
      </c>
      <c r="X1901" s="91">
        <f>_xll.qlCalendarAdvance(Calendar,W1901,NDays&amp;"D")</f>
        <v>52236</v>
      </c>
      <c r="Y1901" s="92" t="e">
        <v>#N/A</v>
      </c>
      <c r="Z1901" s="94" t="e">
        <v>#N/A</v>
      </c>
    </row>
    <row r="1902" spans="22:26" x14ac:dyDescent="0.2">
      <c r="V1902" s="123" t="str">
        <f t="shared" si="40"/>
        <v>1w</v>
      </c>
      <c r="W1902" s="82">
        <f>_xll.qlCalendarAdvance(Calendar,W1901,V1902,"f",FALSE)</f>
        <v>52243</v>
      </c>
      <c r="X1902" s="91">
        <f>_xll.qlCalendarAdvance(Calendar,W1902,NDays&amp;"D")</f>
        <v>52243</v>
      </c>
      <c r="Y1902" s="92" t="e">
        <v>#N/A</v>
      </c>
      <c r="Z1902" s="94" t="e">
        <v>#N/A</v>
      </c>
    </row>
    <row r="1903" spans="22:26" x14ac:dyDescent="0.2">
      <c r="V1903" s="123" t="str">
        <f t="shared" si="40"/>
        <v>1w</v>
      </c>
      <c r="W1903" s="82">
        <f>_xll.qlCalendarAdvance(Calendar,W1902,V1903,"f",FALSE)</f>
        <v>52250</v>
      </c>
      <c r="X1903" s="91">
        <f>_xll.qlCalendarAdvance(Calendar,W1903,NDays&amp;"D")</f>
        <v>52250</v>
      </c>
      <c r="Y1903" s="92" t="e">
        <v>#N/A</v>
      </c>
      <c r="Z1903" s="94" t="e">
        <v>#N/A</v>
      </c>
    </row>
    <row r="1904" spans="22:26" x14ac:dyDescent="0.2">
      <c r="V1904" s="123" t="str">
        <f t="shared" si="40"/>
        <v>1w</v>
      </c>
      <c r="W1904" s="82">
        <f>_xll.qlCalendarAdvance(Calendar,W1903,V1904,"f",FALSE)</f>
        <v>52257</v>
      </c>
      <c r="X1904" s="91">
        <f>_xll.qlCalendarAdvance(Calendar,W1904,NDays&amp;"D")</f>
        <v>52257</v>
      </c>
      <c r="Y1904" s="92" t="e">
        <v>#N/A</v>
      </c>
      <c r="Z1904" s="94" t="e">
        <v>#N/A</v>
      </c>
    </row>
    <row r="1905" spans="22:26" x14ac:dyDescent="0.2">
      <c r="V1905" s="123" t="str">
        <f t="shared" si="40"/>
        <v>1w</v>
      </c>
      <c r="W1905" s="82">
        <f>_xll.qlCalendarAdvance(Calendar,W1904,V1905,"f",FALSE)</f>
        <v>52264</v>
      </c>
      <c r="X1905" s="91">
        <f>_xll.qlCalendarAdvance(Calendar,W1905,NDays&amp;"D")</f>
        <v>52264</v>
      </c>
      <c r="Y1905" s="92" t="e">
        <v>#N/A</v>
      </c>
      <c r="Z1905" s="94" t="e">
        <v>#N/A</v>
      </c>
    </row>
    <row r="1906" spans="22:26" x14ac:dyDescent="0.2">
      <c r="V1906" s="123" t="str">
        <f t="shared" si="40"/>
        <v>1w</v>
      </c>
      <c r="W1906" s="82">
        <f>_xll.qlCalendarAdvance(Calendar,W1905,V1906,"f",FALSE)</f>
        <v>52271</v>
      </c>
      <c r="X1906" s="91">
        <f>_xll.qlCalendarAdvance(Calendar,W1906,NDays&amp;"D")</f>
        <v>52271</v>
      </c>
      <c r="Y1906" s="92" t="e">
        <v>#N/A</v>
      </c>
      <c r="Z1906" s="94" t="e">
        <v>#N/A</v>
      </c>
    </row>
    <row r="1907" spans="22:26" x14ac:dyDescent="0.2">
      <c r="V1907" s="123" t="str">
        <f t="shared" si="40"/>
        <v>1w</v>
      </c>
      <c r="W1907" s="82">
        <f>_xll.qlCalendarAdvance(Calendar,W1906,V1907,"f",FALSE)</f>
        <v>52278</v>
      </c>
      <c r="X1907" s="91">
        <f>_xll.qlCalendarAdvance(Calendar,W1907,NDays&amp;"D")</f>
        <v>52278</v>
      </c>
      <c r="Y1907" s="92" t="e">
        <v>#N/A</v>
      </c>
      <c r="Z1907" s="94" t="e">
        <v>#N/A</v>
      </c>
    </row>
    <row r="1908" spans="22:26" x14ac:dyDescent="0.2">
      <c r="V1908" s="123" t="str">
        <f t="shared" si="40"/>
        <v>1w</v>
      </c>
      <c r="W1908" s="82">
        <f>_xll.qlCalendarAdvance(Calendar,W1907,V1908,"f",FALSE)</f>
        <v>52285</v>
      </c>
      <c r="X1908" s="91">
        <f>_xll.qlCalendarAdvance(Calendar,W1908,NDays&amp;"D")</f>
        <v>52285</v>
      </c>
      <c r="Y1908" s="92" t="e">
        <v>#N/A</v>
      </c>
      <c r="Z1908" s="94" t="e">
        <v>#N/A</v>
      </c>
    </row>
    <row r="1909" spans="22:26" x14ac:dyDescent="0.2">
      <c r="V1909" s="123" t="str">
        <f t="shared" si="40"/>
        <v>1w</v>
      </c>
      <c r="W1909" s="82">
        <f>_xll.qlCalendarAdvance(Calendar,W1908,V1909,"f",FALSE)</f>
        <v>52292</v>
      </c>
      <c r="X1909" s="91">
        <f>_xll.qlCalendarAdvance(Calendar,W1909,NDays&amp;"D")</f>
        <v>52292</v>
      </c>
      <c r="Y1909" s="92" t="e">
        <v>#N/A</v>
      </c>
      <c r="Z1909" s="94" t="e">
        <v>#N/A</v>
      </c>
    </row>
    <row r="1910" spans="22:26" x14ac:dyDescent="0.2">
      <c r="V1910" s="123" t="str">
        <f t="shared" si="40"/>
        <v>1w</v>
      </c>
      <c r="W1910" s="82">
        <f>_xll.qlCalendarAdvance(Calendar,W1909,V1910,"f",FALSE)</f>
        <v>52299</v>
      </c>
      <c r="X1910" s="91">
        <f>_xll.qlCalendarAdvance(Calendar,W1910,NDays&amp;"D")</f>
        <v>52299</v>
      </c>
      <c r="Y1910" s="92" t="e">
        <v>#N/A</v>
      </c>
      <c r="Z1910" s="94" t="e">
        <v>#N/A</v>
      </c>
    </row>
    <row r="1911" spans="22:26" x14ac:dyDescent="0.2">
      <c r="V1911" s="123" t="str">
        <f t="shared" si="40"/>
        <v>1w</v>
      </c>
      <c r="W1911" s="82">
        <f>_xll.qlCalendarAdvance(Calendar,W1910,V1911,"f",FALSE)</f>
        <v>52306</v>
      </c>
      <c r="X1911" s="91">
        <f>_xll.qlCalendarAdvance(Calendar,W1911,NDays&amp;"D")</f>
        <v>52306</v>
      </c>
      <c r="Y1911" s="92" t="e">
        <v>#N/A</v>
      </c>
      <c r="Z1911" s="94" t="e">
        <v>#N/A</v>
      </c>
    </row>
    <row r="1912" spans="22:26" x14ac:dyDescent="0.2">
      <c r="V1912" s="123" t="str">
        <f t="shared" si="40"/>
        <v>1w</v>
      </c>
      <c r="W1912" s="82">
        <f>_xll.qlCalendarAdvance(Calendar,W1911,V1912,"f",FALSE)</f>
        <v>52313</v>
      </c>
      <c r="X1912" s="91">
        <f>_xll.qlCalendarAdvance(Calendar,W1912,NDays&amp;"D")</f>
        <v>52313</v>
      </c>
      <c r="Y1912" s="92" t="e">
        <v>#N/A</v>
      </c>
      <c r="Z1912" s="94" t="e">
        <v>#N/A</v>
      </c>
    </row>
    <row r="1913" spans="22:26" x14ac:dyDescent="0.2">
      <c r="V1913" s="123" t="str">
        <f t="shared" si="40"/>
        <v>1w</v>
      </c>
      <c r="W1913" s="82">
        <f>_xll.qlCalendarAdvance(Calendar,W1912,V1913,"f",FALSE)</f>
        <v>52321</v>
      </c>
      <c r="X1913" s="91">
        <f>_xll.qlCalendarAdvance(Calendar,W1913,NDays&amp;"D")</f>
        <v>52321</v>
      </c>
      <c r="Y1913" s="92" t="e">
        <v>#N/A</v>
      </c>
      <c r="Z1913" s="94" t="e">
        <v>#N/A</v>
      </c>
    </row>
    <row r="1914" spans="22:26" x14ac:dyDescent="0.2">
      <c r="V1914" s="123" t="str">
        <f t="shared" si="40"/>
        <v>1w</v>
      </c>
      <c r="W1914" s="82">
        <f>_xll.qlCalendarAdvance(Calendar,W1913,V1914,"f",FALSE)</f>
        <v>52328</v>
      </c>
      <c r="X1914" s="91">
        <f>_xll.qlCalendarAdvance(Calendar,W1914,NDays&amp;"D")</f>
        <v>52328</v>
      </c>
      <c r="Y1914" s="92" t="e">
        <v>#N/A</v>
      </c>
      <c r="Z1914" s="94" t="e">
        <v>#N/A</v>
      </c>
    </row>
    <row r="1915" spans="22:26" x14ac:dyDescent="0.2">
      <c r="V1915" s="123" t="str">
        <f t="shared" si="40"/>
        <v>1w</v>
      </c>
      <c r="W1915" s="82">
        <f>_xll.qlCalendarAdvance(Calendar,W1914,V1915,"f",FALSE)</f>
        <v>52335</v>
      </c>
      <c r="X1915" s="91">
        <f>_xll.qlCalendarAdvance(Calendar,W1915,NDays&amp;"D")</f>
        <v>52335</v>
      </c>
      <c r="Y1915" s="92" t="e">
        <v>#N/A</v>
      </c>
      <c r="Z1915" s="94" t="e">
        <v>#N/A</v>
      </c>
    </row>
    <row r="1916" spans="22:26" x14ac:dyDescent="0.2">
      <c r="V1916" s="123" t="str">
        <f t="shared" si="40"/>
        <v>1w</v>
      </c>
      <c r="W1916" s="82">
        <f>_xll.qlCalendarAdvance(Calendar,W1915,V1916,"f",FALSE)</f>
        <v>52342</v>
      </c>
      <c r="X1916" s="91">
        <f>_xll.qlCalendarAdvance(Calendar,W1916,NDays&amp;"D")</f>
        <v>52342</v>
      </c>
      <c r="Y1916" s="92" t="e">
        <v>#N/A</v>
      </c>
      <c r="Z1916" s="94" t="e">
        <v>#N/A</v>
      </c>
    </row>
    <row r="1917" spans="22:26" x14ac:dyDescent="0.2">
      <c r="V1917" s="123" t="str">
        <f t="shared" si="40"/>
        <v>1w</v>
      </c>
      <c r="W1917" s="82">
        <f>_xll.qlCalendarAdvance(Calendar,W1916,V1917,"f",FALSE)</f>
        <v>52349</v>
      </c>
      <c r="X1917" s="91">
        <f>_xll.qlCalendarAdvance(Calendar,W1917,NDays&amp;"D")</f>
        <v>52349</v>
      </c>
      <c r="Y1917" s="92" t="e">
        <v>#N/A</v>
      </c>
      <c r="Z1917" s="94" t="e">
        <v>#N/A</v>
      </c>
    </row>
    <row r="1918" spans="22:26" x14ac:dyDescent="0.2">
      <c r="V1918" s="123" t="str">
        <f t="shared" si="40"/>
        <v>1w</v>
      </c>
      <c r="W1918" s="82">
        <f>_xll.qlCalendarAdvance(Calendar,W1917,V1918,"f",FALSE)</f>
        <v>52356</v>
      </c>
      <c r="X1918" s="91">
        <f>_xll.qlCalendarAdvance(Calendar,W1918,NDays&amp;"D")</f>
        <v>52356</v>
      </c>
      <c r="Y1918" s="92" t="e">
        <v>#N/A</v>
      </c>
      <c r="Z1918" s="94" t="e">
        <v>#N/A</v>
      </c>
    </row>
    <row r="1919" spans="22:26" x14ac:dyDescent="0.2">
      <c r="V1919" s="123" t="str">
        <f t="shared" si="40"/>
        <v>1w</v>
      </c>
      <c r="W1919" s="82">
        <f>_xll.qlCalendarAdvance(Calendar,W1918,V1919,"f",FALSE)</f>
        <v>52363</v>
      </c>
      <c r="X1919" s="91">
        <f>_xll.qlCalendarAdvance(Calendar,W1919,NDays&amp;"D")</f>
        <v>52363</v>
      </c>
      <c r="Y1919" s="92" t="e">
        <v>#N/A</v>
      </c>
      <c r="Z1919" s="94" t="e">
        <v>#N/A</v>
      </c>
    </row>
    <row r="1920" spans="22:26" x14ac:dyDescent="0.2">
      <c r="V1920" s="123" t="str">
        <f t="shared" si="40"/>
        <v>1w</v>
      </c>
      <c r="W1920" s="82">
        <f>_xll.qlCalendarAdvance(Calendar,W1919,V1920,"f",FALSE)</f>
        <v>52370</v>
      </c>
      <c r="X1920" s="91">
        <f>_xll.qlCalendarAdvance(Calendar,W1920,NDays&amp;"D")</f>
        <v>52370</v>
      </c>
      <c r="Y1920" s="92" t="e">
        <v>#N/A</v>
      </c>
      <c r="Z1920" s="94" t="e">
        <v>#N/A</v>
      </c>
    </row>
    <row r="1921" spans="22:26" x14ac:dyDescent="0.2">
      <c r="V1921" s="123" t="str">
        <f t="shared" si="40"/>
        <v>1w</v>
      </c>
      <c r="W1921" s="82">
        <f>_xll.qlCalendarAdvance(Calendar,W1920,V1921,"f",FALSE)</f>
        <v>52377</v>
      </c>
      <c r="X1921" s="91">
        <f>_xll.qlCalendarAdvance(Calendar,W1921,NDays&amp;"D")</f>
        <v>52377</v>
      </c>
      <c r="Y1921" s="92" t="e">
        <v>#N/A</v>
      </c>
      <c r="Z1921" s="94" t="e">
        <v>#N/A</v>
      </c>
    </row>
    <row r="1922" spans="22:26" x14ac:dyDescent="0.2">
      <c r="V1922" s="123" t="str">
        <f t="shared" si="40"/>
        <v>1w</v>
      </c>
      <c r="W1922" s="82">
        <f>_xll.qlCalendarAdvance(Calendar,W1921,V1922,"f",FALSE)</f>
        <v>52384</v>
      </c>
      <c r="X1922" s="91">
        <f>_xll.qlCalendarAdvance(Calendar,W1922,NDays&amp;"D")</f>
        <v>52384</v>
      </c>
      <c r="Y1922" s="92" t="e">
        <v>#N/A</v>
      </c>
      <c r="Z1922" s="94" t="e">
        <v>#N/A</v>
      </c>
    </row>
    <row r="1923" spans="22:26" x14ac:dyDescent="0.2">
      <c r="V1923" s="123" t="str">
        <f t="shared" si="40"/>
        <v>1w</v>
      </c>
      <c r="W1923" s="82">
        <f>_xll.qlCalendarAdvance(Calendar,W1922,V1923,"f",FALSE)</f>
        <v>52391</v>
      </c>
      <c r="X1923" s="91">
        <f>_xll.qlCalendarAdvance(Calendar,W1923,NDays&amp;"D")</f>
        <v>52391</v>
      </c>
      <c r="Y1923" s="92" t="e">
        <v>#N/A</v>
      </c>
      <c r="Z1923" s="94" t="e">
        <v>#N/A</v>
      </c>
    </row>
    <row r="1924" spans="22:26" x14ac:dyDescent="0.2">
      <c r="V1924" s="123" t="str">
        <f t="shared" si="40"/>
        <v>1w</v>
      </c>
      <c r="W1924" s="82">
        <f>_xll.qlCalendarAdvance(Calendar,W1923,V1924,"f",FALSE)</f>
        <v>52398</v>
      </c>
      <c r="X1924" s="91">
        <f>_xll.qlCalendarAdvance(Calendar,W1924,NDays&amp;"D")</f>
        <v>52398</v>
      </c>
      <c r="Y1924" s="92" t="e">
        <v>#N/A</v>
      </c>
      <c r="Z1924" s="94" t="e">
        <v>#N/A</v>
      </c>
    </row>
    <row r="1925" spans="22:26" x14ac:dyDescent="0.2">
      <c r="V1925" s="123" t="str">
        <f t="shared" si="40"/>
        <v>1w</v>
      </c>
      <c r="W1925" s="82">
        <f>_xll.qlCalendarAdvance(Calendar,W1924,V1925,"f",FALSE)</f>
        <v>52405</v>
      </c>
      <c r="X1925" s="91">
        <f>_xll.qlCalendarAdvance(Calendar,W1925,NDays&amp;"D")</f>
        <v>52405</v>
      </c>
      <c r="Y1925" s="92" t="e">
        <v>#N/A</v>
      </c>
      <c r="Z1925" s="94" t="e">
        <v>#N/A</v>
      </c>
    </row>
    <row r="1926" spans="22:26" x14ac:dyDescent="0.2">
      <c r="V1926" s="123" t="str">
        <f t="shared" si="40"/>
        <v>1w</v>
      </c>
      <c r="W1926" s="82">
        <f>_xll.qlCalendarAdvance(Calendar,W1925,V1926,"f",FALSE)</f>
        <v>52412</v>
      </c>
      <c r="X1926" s="91">
        <f>_xll.qlCalendarAdvance(Calendar,W1926,NDays&amp;"D")</f>
        <v>52412</v>
      </c>
      <c r="Y1926" s="92" t="e">
        <v>#N/A</v>
      </c>
      <c r="Z1926" s="94" t="e">
        <v>#N/A</v>
      </c>
    </row>
    <row r="1927" spans="22:26" x14ac:dyDescent="0.2">
      <c r="V1927" s="123" t="str">
        <f t="shared" si="40"/>
        <v>1w</v>
      </c>
      <c r="W1927" s="82">
        <f>_xll.qlCalendarAdvance(Calendar,W1926,V1927,"f",FALSE)</f>
        <v>52419</v>
      </c>
      <c r="X1927" s="91">
        <f>_xll.qlCalendarAdvance(Calendar,W1927,NDays&amp;"D")</f>
        <v>52419</v>
      </c>
      <c r="Y1927" s="92" t="e">
        <v>#N/A</v>
      </c>
      <c r="Z1927" s="94" t="e">
        <v>#N/A</v>
      </c>
    </row>
    <row r="1928" spans="22:26" x14ac:dyDescent="0.2">
      <c r="V1928" s="123" t="str">
        <f t="shared" si="40"/>
        <v>1w</v>
      </c>
      <c r="W1928" s="82">
        <f>_xll.qlCalendarAdvance(Calendar,W1927,V1928,"f",FALSE)</f>
        <v>52426</v>
      </c>
      <c r="X1928" s="91">
        <f>_xll.qlCalendarAdvance(Calendar,W1928,NDays&amp;"D")</f>
        <v>52426</v>
      </c>
      <c r="Y1928" s="92" t="e">
        <v>#N/A</v>
      </c>
      <c r="Z1928" s="94" t="e">
        <v>#N/A</v>
      </c>
    </row>
    <row r="1929" spans="22:26" x14ac:dyDescent="0.2">
      <c r="V1929" s="123" t="str">
        <f t="shared" si="40"/>
        <v>1w</v>
      </c>
      <c r="W1929" s="82">
        <f>_xll.qlCalendarAdvance(Calendar,W1928,V1929,"f",FALSE)</f>
        <v>52433</v>
      </c>
      <c r="X1929" s="91">
        <f>_xll.qlCalendarAdvance(Calendar,W1929,NDays&amp;"D")</f>
        <v>52433</v>
      </c>
      <c r="Y1929" s="92" t="e">
        <v>#N/A</v>
      </c>
      <c r="Z1929" s="94" t="e">
        <v>#N/A</v>
      </c>
    </row>
    <row r="1930" spans="22:26" x14ac:dyDescent="0.2">
      <c r="V1930" s="123" t="str">
        <f t="shared" si="40"/>
        <v>1w</v>
      </c>
      <c r="W1930" s="82">
        <f>_xll.qlCalendarAdvance(Calendar,W1929,V1930,"f",FALSE)</f>
        <v>52440</v>
      </c>
      <c r="X1930" s="91">
        <f>_xll.qlCalendarAdvance(Calendar,W1930,NDays&amp;"D")</f>
        <v>52440</v>
      </c>
      <c r="Y1930" s="92" t="e">
        <v>#N/A</v>
      </c>
      <c r="Z1930" s="94" t="e">
        <v>#N/A</v>
      </c>
    </row>
    <row r="1931" spans="22:26" x14ac:dyDescent="0.2">
      <c r="V1931" s="123" t="str">
        <f t="shared" si="40"/>
        <v>1w</v>
      </c>
      <c r="W1931" s="82">
        <f>_xll.qlCalendarAdvance(Calendar,W1930,V1931,"f",FALSE)</f>
        <v>52447</v>
      </c>
      <c r="X1931" s="91">
        <f>_xll.qlCalendarAdvance(Calendar,W1931,NDays&amp;"D")</f>
        <v>52447</v>
      </c>
      <c r="Y1931" s="92" t="e">
        <v>#N/A</v>
      </c>
      <c r="Z1931" s="94" t="e">
        <v>#N/A</v>
      </c>
    </row>
    <row r="1932" spans="22:26" x14ac:dyDescent="0.2">
      <c r="V1932" s="123" t="str">
        <f t="shared" si="40"/>
        <v>1w</v>
      </c>
      <c r="W1932" s="82">
        <f>_xll.qlCalendarAdvance(Calendar,W1931,V1932,"f",FALSE)</f>
        <v>52454</v>
      </c>
      <c r="X1932" s="91">
        <f>_xll.qlCalendarAdvance(Calendar,W1932,NDays&amp;"D")</f>
        <v>52454</v>
      </c>
      <c r="Y1932" s="92" t="e">
        <v>#N/A</v>
      </c>
      <c r="Z1932" s="94" t="e">
        <v>#N/A</v>
      </c>
    </row>
    <row r="1933" spans="22:26" x14ac:dyDescent="0.2">
      <c r="V1933" s="123" t="str">
        <f t="shared" si="40"/>
        <v>1w</v>
      </c>
      <c r="W1933" s="82">
        <f>_xll.qlCalendarAdvance(Calendar,W1932,V1933,"f",FALSE)</f>
        <v>52461</v>
      </c>
      <c r="X1933" s="91">
        <f>_xll.qlCalendarAdvance(Calendar,W1933,NDays&amp;"D")</f>
        <v>52461</v>
      </c>
      <c r="Y1933" s="92" t="e">
        <v>#N/A</v>
      </c>
      <c r="Z1933" s="94" t="e">
        <v>#N/A</v>
      </c>
    </row>
    <row r="1934" spans="22:26" x14ac:dyDescent="0.2">
      <c r="V1934" s="123" t="str">
        <f t="shared" si="40"/>
        <v>1w</v>
      </c>
      <c r="W1934" s="82">
        <f>_xll.qlCalendarAdvance(Calendar,W1933,V1934,"f",FALSE)</f>
        <v>52468</v>
      </c>
      <c r="X1934" s="91">
        <f>_xll.qlCalendarAdvance(Calendar,W1934,NDays&amp;"D")</f>
        <v>52468</v>
      </c>
      <c r="Y1934" s="92" t="e">
        <v>#N/A</v>
      </c>
      <c r="Z1934" s="94" t="e">
        <v>#N/A</v>
      </c>
    </row>
    <row r="1935" spans="22:26" x14ac:dyDescent="0.2">
      <c r="V1935" s="123" t="str">
        <f t="shared" si="40"/>
        <v>1w</v>
      </c>
      <c r="W1935" s="82">
        <f>_xll.qlCalendarAdvance(Calendar,W1934,V1935,"f",FALSE)</f>
        <v>52475</v>
      </c>
      <c r="X1935" s="91">
        <f>_xll.qlCalendarAdvance(Calendar,W1935,NDays&amp;"D")</f>
        <v>52475</v>
      </c>
      <c r="Y1935" s="92" t="e">
        <v>#N/A</v>
      </c>
      <c r="Z1935" s="94" t="e">
        <v>#N/A</v>
      </c>
    </row>
    <row r="1936" spans="22:26" x14ac:dyDescent="0.2">
      <c r="V1936" s="123" t="str">
        <f t="shared" si="40"/>
        <v>1w</v>
      </c>
      <c r="W1936" s="82">
        <f>_xll.qlCalendarAdvance(Calendar,W1935,V1936,"f",FALSE)</f>
        <v>52482</v>
      </c>
      <c r="X1936" s="91">
        <f>_xll.qlCalendarAdvance(Calendar,W1936,NDays&amp;"D")</f>
        <v>52482</v>
      </c>
      <c r="Y1936" s="92" t="e">
        <v>#N/A</v>
      </c>
      <c r="Z1936" s="94" t="e">
        <v>#N/A</v>
      </c>
    </row>
    <row r="1937" spans="22:26" x14ac:dyDescent="0.2">
      <c r="V1937" s="123" t="str">
        <f t="shared" si="40"/>
        <v>1w</v>
      </c>
      <c r="W1937" s="82">
        <f>_xll.qlCalendarAdvance(Calendar,W1936,V1937,"f",FALSE)</f>
        <v>52489</v>
      </c>
      <c r="X1937" s="91">
        <f>_xll.qlCalendarAdvance(Calendar,W1937,NDays&amp;"D")</f>
        <v>52489</v>
      </c>
      <c r="Y1937" s="92" t="e">
        <v>#N/A</v>
      </c>
      <c r="Z1937" s="94" t="e">
        <v>#N/A</v>
      </c>
    </row>
    <row r="1938" spans="22:26" x14ac:dyDescent="0.2">
      <c r="V1938" s="123" t="str">
        <f t="shared" si="40"/>
        <v>1w</v>
      </c>
      <c r="W1938" s="82">
        <f>_xll.qlCalendarAdvance(Calendar,W1937,V1938,"f",FALSE)</f>
        <v>52496</v>
      </c>
      <c r="X1938" s="91">
        <f>_xll.qlCalendarAdvance(Calendar,W1938,NDays&amp;"D")</f>
        <v>52496</v>
      </c>
      <c r="Y1938" s="92" t="e">
        <v>#N/A</v>
      </c>
      <c r="Z1938" s="94" t="e">
        <v>#N/A</v>
      </c>
    </row>
    <row r="1939" spans="22:26" x14ac:dyDescent="0.2">
      <c r="V1939" s="123" t="str">
        <f t="shared" si="40"/>
        <v>1w</v>
      </c>
      <c r="W1939" s="82">
        <f>_xll.qlCalendarAdvance(Calendar,W1938,V1939,"f",FALSE)</f>
        <v>52503</v>
      </c>
      <c r="X1939" s="91">
        <f>_xll.qlCalendarAdvance(Calendar,W1939,NDays&amp;"D")</f>
        <v>52503</v>
      </c>
      <c r="Y1939" s="92" t="e">
        <v>#N/A</v>
      </c>
      <c r="Z1939" s="94" t="e">
        <v>#N/A</v>
      </c>
    </row>
    <row r="1940" spans="22:26" x14ac:dyDescent="0.2">
      <c r="V1940" s="123" t="str">
        <f t="shared" si="40"/>
        <v>1w</v>
      </c>
      <c r="W1940" s="82">
        <f>_xll.qlCalendarAdvance(Calendar,W1939,V1940,"f",FALSE)</f>
        <v>52510</v>
      </c>
      <c r="X1940" s="91">
        <f>_xll.qlCalendarAdvance(Calendar,W1940,NDays&amp;"D")</f>
        <v>52510</v>
      </c>
      <c r="Y1940" s="92" t="e">
        <v>#N/A</v>
      </c>
      <c r="Z1940" s="94" t="e">
        <v>#N/A</v>
      </c>
    </row>
    <row r="1941" spans="22:26" x14ac:dyDescent="0.2">
      <c r="V1941" s="123" t="str">
        <f t="shared" ref="V1941:V2004" si="41">V1940</f>
        <v>1w</v>
      </c>
      <c r="W1941" s="82">
        <f>_xll.qlCalendarAdvance(Calendar,W1940,V1941,"f",FALSE)</f>
        <v>52517</v>
      </c>
      <c r="X1941" s="91">
        <f>_xll.qlCalendarAdvance(Calendar,W1941,NDays&amp;"D")</f>
        <v>52517</v>
      </c>
      <c r="Y1941" s="92" t="e">
        <v>#N/A</v>
      </c>
      <c r="Z1941" s="94" t="e">
        <v>#N/A</v>
      </c>
    </row>
    <row r="1942" spans="22:26" x14ac:dyDescent="0.2">
      <c r="V1942" s="123" t="str">
        <f t="shared" si="41"/>
        <v>1w</v>
      </c>
      <c r="W1942" s="82">
        <f>_xll.qlCalendarAdvance(Calendar,W1941,V1942,"f",FALSE)</f>
        <v>52524</v>
      </c>
      <c r="X1942" s="91">
        <f>_xll.qlCalendarAdvance(Calendar,W1942,NDays&amp;"D")</f>
        <v>52524</v>
      </c>
      <c r="Y1942" s="92" t="e">
        <v>#N/A</v>
      </c>
      <c r="Z1942" s="94" t="e">
        <v>#N/A</v>
      </c>
    </row>
    <row r="1943" spans="22:26" x14ac:dyDescent="0.2">
      <c r="V1943" s="123" t="str">
        <f t="shared" si="41"/>
        <v>1w</v>
      </c>
      <c r="W1943" s="82">
        <f>_xll.qlCalendarAdvance(Calendar,W1942,V1943,"f",FALSE)</f>
        <v>52531</v>
      </c>
      <c r="X1943" s="91">
        <f>_xll.qlCalendarAdvance(Calendar,W1943,NDays&amp;"D")</f>
        <v>52531</v>
      </c>
      <c r="Y1943" s="92" t="e">
        <v>#N/A</v>
      </c>
      <c r="Z1943" s="94" t="e">
        <v>#N/A</v>
      </c>
    </row>
    <row r="1944" spans="22:26" x14ac:dyDescent="0.2">
      <c r="V1944" s="123" t="str">
        <f t="shared" si="41"/>
        <v>1w</v>
      </c>
      <c r="W1944" s="82">
        <f>_xll.qlCalendarAdvance(Calendar,W1943,V1944,"f",FALSE)</f>
        <v>52538</v>
      </c>
      <c r="X1944" s="91">
        <f>_xll.qlCalendarAdvance(Calendar,W1944,NDays&amp;"D")</f>
        <v>52538</v>
      </c>
      <c r="Y1944" s="92" t="e">
        <v>#N/A</v>
      </c>
      <c r="Z1944" s="94" t="e">
        <v>#N/A</v>
      </c>
    </row>
    <row r="1945" spans="22:26" x14ac:dyDescent="0.2">
      <c r="V1945" s="123" t="str">
        <f t="shared" si="41"/>
        <v>1w</v>
      </c>
      <c r="W1945" s="82">
        <f>_xll.qlCalendarAdvance(Calendar,W1944,V1945,"f",FALSE)</f>
        <v>52545</v>
      </c>
      <c r="X1945" s="91">
        <f>_xll.qlCalendarAdvance(Calendar,W1945,NDays&amp;"D")</f>
        <v>52545</v>
      </c>
      <c r="Y1945" s="92" t="e">
        <v>#N/A</v>
      </c>
      <c r="Z1945" s="94" t="e">
        <v>#N/A</v>
      </c>
    </row>
    <row r="1946" spans="22:26" x14ac:dyDescent="0.2">
      <c r="V1946" s="123" t="str">
        <f t="shared" si="41"/>
        <v>1w</v>
      </c>
      <c r="W1946" s="82">
        <f>_xll.qlCalendarAdvance(Calendar,W1945,V1946,"f",FALSE)</f>
        <v>52552</v>
      </c>
      <c r="X1946" s="91">
        <f>_xll.qlCalendarAdvance(Calendar,W1946,NDays&amp;"D")</f>
        <v>52552</v>
      </c>
      <c r="Y1946" s="92" t="e">
        <v>#N/A</v>
      </c>
      <c r="Z1946" s="94" t="e">
        <v>#N/A</v>
      </c>
    </row>
    <row r="1947" spans="22:26" x14ac:dyDescent="0.2">
      <c r="V1947" s="123" t="str">
        <f t="shared" si="41"/>
        <v>1w</v>
      </c>
      <c r="W1947" s="82">
        <f>_xll.qlCalendarAdvance(Calendar,W1946,V1947,"f",FALSE)</f>
        <v>52559</v>
      </c>
      <c r="X1947" s="91">
        <f>_xll.qlCalendarAdvance(Calendar,W1947,NDays&amp;"D")</f>
        <v>52559</v>
      </c>
      <c r="Y1947" s="92" t="e">
        <v>#N/A</v>
      </c>
      <c r="Z1947" s="94" t="e">
        <v>#N/A</v>
      </c>
    </row>
    <row r="1948" spans="22:26" x14ac:dyDescent="0.2">
      <c r="V1948" s="123" t="str">
        <f t="shared" si="41"/>
        <v>1w</v>
      </c>
      <c r="W1948" s="82">
        <f>_xll.qlCalendarAdvance(Calendar,W1947,V1948,"f",FALSE)</f>
        <v>52566</v>
      </c>
      <c r="X1948" s="91">
        <f>_xll.qlCalendarAdvance(Calendar,W1948,NDays&amp;"D")</f>
        <v>52566</v>
      </c>
      <c r="Y1948" s="92" t="e">
        <v>#N/A</v>
      </c>
      <c r="Z1948" s="94" t="e">
        <v>#N/A</v>
      </c>
    </row>
    <row r="1949" spans="22:26" x14ac:dyDescent="0.2">
      <c r="V1949" s="123" t="str">
        <f t="shared" si="41"/>
        <v>1w</v>
      </c>
      <c r="W1949" s="82">
        <f>_xll.qlCalendarAdvance(Calendar,W1948,V1949,"f",FALSE)</f>
        <v>52573</v>
      </c>
      <c r="X1949" s="91">
        <f>_xll.qlCalendarAdvance(Calendar,W1949,NDays&amp;"D")</f>
        <v>52573</v>
      </c>
      <c r="Y1949" s="92" t="e">
        <v>#N/A</v>
      </c>
      <c r="Z1949" s="94" t="e">
        <v>#N/A</v>
      </c>
    </row>
    <row r="1950" spans="22:26" x14ac:dyDescent="0.2">
      <c r="V1950" s="123" t="str">
        <f t="shared" si="41"/>
        <v>1w</v>
      </c>
      <c r="W1950" s="82">
        <f>_xll.qlCalendarAdvance(Calendar,W1949,V1950,"f",FALSE)</f>
        <v>52580</v>
      </c>
      <c r="X1950" s="91">
        <f>_xll.qlCalendarAdvance(Calendar,W1950,NDays&amp;"D")</f>
        <v>52580</v>
      </c>
      <c r="Y1950" s="92" t="e">
        <v>#N/A</v>
      </c>
      <c r="Z1950" s="94" t="e">
        <v>#N/A</v>
      </c>
    </row>
    <row r="1951" spans="22:26" x14ac:dyDescent="0.2">
      <c r="V1951" s="123" t="str">
        <f t="shared" si="41"/>
        <v>1w</v>
      </c>
      <c r="W1951" s="82">
        <f>_xll.qlCalendarAdvance(Calendar,W1950,V1951,"f",FALSE)</f>
        <v>52587</v>
      </c>
      <c r="X1951" s="91">
        <f>_xll.qlCalendarAdvance(Calendar,W1951,NDays&amp;"D")</f>
        <v>52587</v>
      </c>
      <c r="Y1951" s="92" t="e">
        <v>#N/A</v>
      </c>
      <c r="Z1951" s="94" t="e">
        <v>#N/A</v>
      </c>
    </row>
    <row r="1952" spans="22:26" x14ac:dyDescent="0.2">
      <c r="V1952" s="123" t="str">
        <f t="shared" si="41"/>
        <v>1w</v>
      </c>
      <c r="W1952" s="82">
        <f>_xll.qlCalendarAdvance(Calendar,W1951,V1952,"f",FALSE)</f>
        <v>52594</v>
      </c>
      <c r="X1952" s="91">
        <f>_xll.qlCalendarAdvance(Calendar,W1952,NDays&amp;"D")</f>
        <v>52594</v>
      </c>
      <c r="Y1952" s="92" t="e">
        <v>#N/A</v>
      </c>
      <c r="Z1952" s="94" t="e">
        <v>#N/A</v>
      </c>
    </row>
    <row r="1953" spans="22:26" x14ac:dyDescent="0.2">
      <c r="V1953" s="123" t="str">
        <f t="shared" si="41"/>
        <v>1w</v>
      </c>
      <c r="W1953" s="82">
        <f>_xll.qlCalendarAdvance(Calendar,W1952,V1953,"f",FALSE)</f>
        <v>52601</v>
      </c>
      <c r="X1953" s="91">
        <f>_xll.qlCalendarAdvance(Calendar,W1953,NDays&amp;"D")</f>
        <v>52601</v>
      </c>
      <c r="Y1953" s="92" t="e">
        <v>#N/A</v>
      </c>
      <c r="Z1953" s="94" t="e">
        <v>#N/A</v>
      </c>
    </row>
    <row r="1954" spans="22:26" x14ac:dyDescent="0.2">
      <c r="V1954" s="123" t="str">
        <f t="shared" si="41"/>
        <v>1w</v>
      </c>
      <c r="W1954" s="82">
        <f>_xll.qlCalendarAdvance(Calendar,W1953,V1954,"f",FALSE)</f>
        <v>52608</v>
      </c>
      <c r="X1954" s="91">
        <f>_xll.qlCalendarAdvance(Calendar,W1954,NDays&amp;"D")</f>
        <v>52608</v>
      </c>
      <c r="Y1954" s="92" t="e">
        <v>#N/A</v>
      </c>
      <c r="Z1954" s="94" t="e">
        <v>#N/A</v>
      </c>
    </row>
    <row r="1955" spans="22:26" x14ac:dyDescent="0.2">
      <c r="V1955" s="123" t="str">
        <f t="shared" si="41"/>
        <v>1w</v>
      </c>
      <c r="W1955" s="82">
        <f>_xll.qlCalendarAdvance(Calendar,W1954,V1955,"f",FALSE)</f>
        <v>52615</v>
      </c>
      <c r="X1955" s="91">
        <f>_xll.qlCalendarAdvance(Calendar,W1955,NDays&amp;"D")</f>
        <v>52615</v>
      </c>
      <c r="Y1955" s="92" t="e">
        <v>#N/A</v>
      </c>
      <c r="Z1955" s="94" t="e">
        <v>#N/A</v>
      </c>
    </row>
    <row r="1956" spans="22:26" x14ac:dyDescent="0.2">
      <c r="V1956" s="123" t="str">
        <f t="shared" si="41"/>
        <v>1w</v>
      </c>
      <c r="W1956" s="82">
        <f>_xll.qlCalendarAdvance(Calendar,W1955,V1956,"f",FALSE)</f>
        <v>52622</v>
      </c>
      <c r="X1956" s="91">
        <f>_xll.qlCalendarAdvance(Calendar,W1956,NDays&amp;"D")</f>
        <v>52622</v>
      </c>
      <c r="Y1956" s="92" t="e">
        <v>#N/A</v>
      </c>
      <c r="Z1956" s="94" t="e">
        <v>#N/A</v>
      </c>
    </row>
    <row r="1957" spans="22:26" x14ac:dyDescent="0.2">
      <c r="V1957" s="123" t="str">
        <f t="shared" si="41"/>
        <v>1w</v>
      </c>
      <c r="W1957" s="82">
        <f>_xll.qlCalendarAdvance(Calendar,W1956,V1957,"f",FALSE)</f>
        <v>52629</v>
      </c>
      <c r="X1957" s="91">
        <f>_xll.qlCalendarAdvance(Calendar,W1957,NDays&amp;"D")</f>
        <v>52629</v>
      </c>
      <c r="Y1957" s="92" t="e">
        <v>#N/A</v>
      </c>
      <c r="Z1957" s="94" t="e">
        <v>#N/A</v>
      </c>
    </row>
    <row r="1958" spans="22:26" x14ac:dyDescent="0.2">
      <c r="V1958" s="123" t="str">
        <f t="shared" si="41"/>
        <v>1w</v>
      </c>
      <c r="W1958" s="82">
        <f>_xll.qlCalendarAdvance(Calendar,W1957,V1958,"f",FALSE)</f>
        <v>52636</v>
      </c>
      <c r="X1958" s="91">
        <f>_xll.qlCalendarAdvance(Calendar,W1958,NDays&amp;"D")</f>
        <v>52636</v>
      </c>
      <c r="Y1958" s="92" t="e">
        <v>#N/A</v>
      </c>
      <c r="Z1958" s="94" t="e">
        <v>#N/A</v>
      </c>
    </row>
    <row r="1959" spans="22:26" x14ac:dyDescent="0.2">
      <c r="V1959" s="123" t="str">
        <f t="shared" si="41"/>
        <v>1w</v>
      </c>
      <c r="W1959" s="82">
        <f>_xll.qlCalendarAdvance(Calendar,W1958,V1959,"f",FALSE)</f>
        <v>52643</v>
      </c>
      <c r="X1959" s="91">
        <f>_xll.qlCalendarAdvance(Calendar,W1959,NDays&amp;"D")</f>
        <v>52643</v>
      </c>
      <c r="Y1959" s="92" t="e">
        <v>#N/A</v>
      </c>
      <c r="Z1959" s="94" t="e">
        <v>#N/A</v>
      </c>
    </row>
    <row r="1960" spans="22:26" x14ac:dyDescent="0.2">
      <c r="V1960" s="123" t="str">
        <f t="shared" si="41"/>
        <v>1w</v>
      </c>
      <c r="W1960" s="82">
        <f>_xll.qlCalendarAdvance(Calendar,W1959,V1960,"f",FALSE)</f>
        <v>52650</v>
      </c>
      <c r="X1960" s="91">
        <f>_xll.qlCalendarAdvance(Calendar,W1960,NDays&amp;"D")</f>
        <v>52650</v>
      </c>
      <c r="Y1960" s="92" t="e">
        <v>#N/A</v>
      </c>
      <c r="Z1960" s="94" t="e">
        <v>#N/A</v>
      </c>
    </row>
    <row r="1961" spans="22:26" x14ac:dyDescent="0.2">
      <c r="V1961" s="123" t="str">
        <f t="shared" si="41"/>
        <v>1w</v>
      </c>
      <c r="W1961" s="82">
        <f>_xll.qlCalendarAdvance(Calendar,W1960,V1961,"f",FALSE)</f>
        <v>52657</v>
      </c>
      <c r="X1961" s="91">
        <f>_xll.qlCalendarAdvance(Calendar,W1961,NDays&amp;"D")</f>
        <v>52657</v>
      </c>
      <c r="Y1961" s="92" t="e">
        <v>#N/A</v>
      </c>
      <c r="Z1961" s="94" t="e">
        <v>#N/A</v>
      </c>
    </row>
    <row r="1962" spans="22:26" x14ac:dyDescent="0.2">
      <c r="V1962" s="123" t="str">
        <f t="shared" si="41"/>
        <v>1w</v>
      </c>
      <c r="W1962" s="82">
        <f>_xll.qlCalendarAdvance(Calendar,W1961,V1962,"f",FALSE)</f>
        <v>52664</v>
      </c>
      <c r="X1962" s="91">
        <f>_xll.qlCalendarAdvance(Calendar,W1962,NDays&amp;"D")</f>
        <v>52664</v>
      </c>
      <c r="Y1962" s="92" t="e">
        <v>#N/A</v>
      </c>
      <c r="Z1962" s="94" t="e">
        <v>#N/A</v>
      </c>
    </row>
    <row r="1963" spans="22:26" x14ac:dyDescent="0.2">
      <c r="V1963" s="123" t="str">
        <f t="shared" si="41"/>
        <v>1w</v>
      </c>
      <c r="W1963" s="82">
        <f>_xll.qlCalendarAdvance(Calendar,W1962,V1963,"f",FALSE)</f>
        <v>52671</v>
      </c>
      <c r="X1963" s="91">
        <f>_xll.qlCalendarAdvance(Calendar,W1963,NDays&amp;"D")</f>
        <v>52671</v>
      </c>
      <c r="Y1963" s="92" t="e">
        <v>#N/A</v>
      </c>
      <c r="Z1963" s="94" t="e">
        <v>#N/A</v>
      </c>
    </row>
    <row r="1964" spans="22:26" x14ac:dyDescent="0.2">
      <c r="V1964" s="123" t="str">
        <f t="shared" si="41"/>
        <v>1w</v>
      </c>
      <c r="W1964" s="82">
        <f>_xll.qlCalendarAdvance(Calendar,W1963,V1964,"f",FALSE)</f>
        <v>52678</v>
      </c>
      <c r="X1964" s="91">
        <f>_xll.qlCalendarAdvance(Calendar,W1964,NDays&amp;"D")</f>
        <v>52678</v>
      </c>
      <c r="Y1964" s="92" t="e">
        <v>#N/A</v>
      </c>
      <c r="Z1964" s="94" t="e">
        <v>#N/A</v>
      </c>
    </row>
    <row r="1965" spans="22:26" x14ac:dyDescent="0.2">
      <c r="V1965" s="123" t="str">
        <f t="shared" si="41"/>
        <v>1w</v>
      </c>
      <c r="W1965" s="82">
        <f>_xll.qlCalendarAdvance(Calendar,W1964,V1965,"f",FALSE)</f>
        <v>52685</v>
      </c>
      <c r="X1965" s="91">
        <f>_xll.qlCalendarAdvance(Calendar,W1965,NDays&amp;"D")</f>
        <v>52685</v>
      </c>
      <c r="Y1965" s="92" t="e">
        <v>#N/A</v>
      </c>
      <c r="Z1965" s="94" t="e">
        <v>#N/A</v>
      </c>
    </row>
    <row r="1966" spans="22:26" x14ac:dyDescent="0.2">
      <c r="V1966" s="123" t="str">
        <f t="shared" si="41"/>
        <v>1w</v>
      </c>
      <c r="W1966" s="82">
        <f>_xll.qlCalendarAdvance(Calendar,W1965,V1966,"f",FALSE)</f>
        <v>52692</v>
      </c>
      <c r="X1966" s="91">
        <f>_xll.qlCalendarAdvance(Calendar,W1966,NDays&amp;"D")</f>
        <v>52692</v>
      </c>
      <c r="Y1966" s="92" t="e">
        <v>#N/A</v>
      </c>
      <c r="Z1966" s="94" t="e">
        <v>#N/A</v>
      </c>
    </row>
    <row r="1967" spans="22:26" x14ac:dyDescent="0.2">
      <c r="V1967" s="123" t="str">
        <f t="shared" si="41"/>
        <v>1w</v>
      </c>
      <c r="W1967" s="82">
        <f>_xll.qlCalendarAdvance(Calendar,W1966,V1967,"f",FALSE)</f>
        <v>52699</v>
      </c>
      <c r="X1967" s="91">
        <f>_xll.qlCalendarAdvance(Calendar,W1967,NDays&amp;"D")</f>
        <v>52699</v>
      </c>
      <c r="Y1967" s="92" t="e">
        <v>#N/A</v>
      </c>
      <c r="Z1967" s="94" t="e">
        <v>#N/A</v>
      </c>
    </row>
    <row r="1968" spans="22:26" x14ac:dyDescent="0.2">
      <c r="V1968" s="123" t="str">
        <f t="shared" si="41"/>
        <v>1w</v>
      </c>
      <c r="W1968" s="82">
        <f>_xll.qlCalendarAdvance(Calendar,W1967,V1968,"f",FALSE)</f>
        <v>52706</v>
      </c>
      <c r="X1968" s="91">
        <f>_xll.qlCalendarAdvance(Calendar,W1968,NDays&amp;"D")</f>
        <v>52706</v>
      </c>
      <c r="Y1968" s="92" t="e">
        <v>#N/A</v>
      </c>
      <c r="Z1968" s="94" t="e">
        <v>#N/A</v>
      </c>
    </row>
    <row r="1969" spans="22:26" x14ac:dyDescent="0.2">
      <c r="V1969" s="123" t="str">
        <f t="shared" si="41"/>
        <v>1w</v>
      </c>
      <c r="W1969" s="82">
        <f>_xll.qlCalendarAdvance(Calendar,W1968,V1969,"f",FALSE)</f>
        <v>52713</v>
      </c>
      <c r="X1969" s="91">
        <f>_xll.qlCalendarAdvance(Calendar,W1969,NDays&amp;"D")</f>
        <v>52713</v>
      </c>
      <c r="Y1969" s="92" t="e">
        <v>#N/A</v>
      </c>
      <c r="Z1969" s="94" t="e">
        <v>#N/A</v>
      </c>
    </row>
    <row r="1970" spans="22:26" x14ac:dyDescent="0.2">
      <c r="V1970" s="123" t="str">
        <f t="shared" si="41"/>
        <v>1w</v>
      </c>
      <c r="W1970" s="82">
        <f>_xll.qlCalendarAdvance(Calendar,W1969,V1970,"f",FALSE)</f>
        <v>52720</v>
      </c>
      <c r="X1970" s="91">
        <f>_xll.qlCalendarAdvance(Calendar,W1970,NDays&amp;"D")</f>
        <v>52720</v>
      </c>
      <c r="Y1970" s="92" t="e">
        <v>#N/A</v>
      </c>
      <c r="Z1970" s="94" t="e">
        <v>#N/A</v>
      </c>
    </row>
    <row r="1971" spans="22:26" x14ac:dyDescent="0.2">
      <c r="V1971" s="123" t="str">
        <f t="shared" si="41"/>
        <v>1w</v>
      </c>
      <c r="W1971" s="82">
        <f>_xll.qlCalendarAdvance(Calendar,W1970,V1971,"f",FALSE)</f>
        <v>52727</v>
      </c>
      <c r="X1971" s="91">
        <f>_xll.qlCalendarAdvance(Calendar,W1971,NDays&amp;"D")</f>
        <v>52727</v>
      </c>
      <c r="Y1971" s="92" t="e">
        <v>#N/A</v>
      </c>
      <c r="Z1971" s="94" t="e">
        <v>#N/A</v>
      </c>
    </row>
    <row r="1972" spans="22:26" x14ac:dyDescent="0.2">
      <c r="V1972" s="123" t="str">
        <f t="shared" si="41"/>
        <v>1w</v>
      </c>
      <c r="W1972" s="82">
        <f>_xll.qlCalendarAdvance(Calendar,W1971,V1972,"f",FALSE)</f>
        <v>52734</v>
      </c>
      <c r="X1972" s="91">
        <f>_xll.qlCalendarAdvance(Calendar,W1972,NDays&amp;"D")</f>
        <v>52734</v>
      </c>
      <c r="Y1972" s="92" t="e">
        <v>#N/A</v>
      </c>
      <c r="Z1972" s="94" t="e">
        <v>#N/A</v>
      </c>
    </row>
    <row r="1973" spans="22:26" x14ac:dyDescent="0.2">
      <c r="V1973" s="123" t="str">
        <f t="shared" si="41"/>
        <v>1w</v>
      </c>
      <c r="W1973" s="82">
        <f>_xll.qlCalendarAdvance(Calendar,W1972,V1973,"f",FALSE)</f>
        <v>52741</v>
      </c>
      <c r="X1973" s="91">
        <f>_xll.qlCalendarAdvance(Calendar,W1973,NDays&amp;"D")</f>
        <v>52741</v>
      </c>
      <c r="Y1973" s="92" t="e">
        <v>#N/A</v>
      </c>
      <c r="Z1973" s="94" t="e">
        <v>#N/A</v>
      </c>
    </row>
    <row r="1974" spans="22:26" x14ac:dyDescent="0.2">
      <c r="V1974" s="123" t="str">
        <f t="shared" si="41"/>
        <v>1w</v>
      </c>
      <c r="W1974" s="82">
        <f>_xll.qlCalendarAdvance(Calendar,W1973,V1974,"f",FALSE)</f>
        <v>52748</v>
      </c>
      <c r="X1974" s="91">
        <f>_xll.qlCalendarAdvance(Calendar,W1974,NDays&amp;"D")</f>
        <v>52748</v>
      </c>
      <c r="Y1974" s="92" t="e">
        <v>#N/A</v>
      </c>
      <c r="Z1974" s="94" t="e">
        <v>#N/A</v>
      </c>
    </row>
    <row r="1975" spans="22:26" x14ac:dyDescent="0.2">
      <c r="V1975" s="123" t="str">
        <f t="shared" si="41"/>
        <v>1w</v>
      </c>
      <c r="W1975" s="82">
        <f>_xll.qlCalendarAdvance(Calendar,W1974,V1975,"f",FALSE)</f>
        <v>52755</v>
      </c>
      <c r="X1975" s="91">
        <f>_xll.qlCalendarAdvance(Calendar,W1975,NDays&amp;"D")</f>
        <v>52755</v>
      </c>
      <c r="Y1975" s="92" t="e">
        <v>#N/A</v>
      </c>
      <c r="Z1975" s="94" t="e">
        <v>#N/A</v>
      </c>
    </row>
    <row r="1976" spans="22:26" x14ac:dyDescent="0.2">
      <c r="V1976" s="123" t="str">
        <f t="shared" si="41"/>
        <v>1w</v>
      </c>
      <c r="W1976" s="82">
        <f>_xll.qlCalendarAdvance(Calendar,W1975,V1976,"f",FALSE)</f>
        <v>52762</v>
      </c>
      <c r="X1976" s="91">
        <f>_xll.qlCalendarAdvance(Calendar,W1976,NDays&amp;"D")</f>
        <v>52762</v>
      </c>
      <c r="Y1976" s="92" t="e">
        <v>#N/A</v>
      </c>
      <c r="Z1976" s="94" t="e">
        <v>#N/A</v>
      </c>
    </row>
    <row r="1977" spans="22:26" x14ac:dyDescent="0.2">
      <c r="V1977" s="123" t="str">
        <f t="shared" si="41"/>
        <v>1w</v>
      </c>
      <c r="W1977" s="82">
        <f>_xll.qlCalendarAdvance(Calendar,W1976,V1977,"f",FALSE)</f>
        <v>52769</v>
      </c>
      <c r="X1977" s="91">
        <f>_xll.qlCalendarAdvance(Calendar,W1977,NDays&amp;"D")</f>
        <v>52769</v>
      </c>
      <c r="Y1977" s="92" t="e">
        <v>#N/A</v>
      </c>
      <c r="Z1977" s="94" t="e">
        <v>#N/A</v>
      </c>
    </row>
    <row r="1978" spans="22:26" x14ac:dyDescent="0.2">
      <c r="V1978" s="123" t="str">
        <f t="shared" si="41"/>
        <v>1w</v>
      </c>
      <c r="W1978" s="82">
        <f>_xll.qlCalendarAdvance(Calendar,W1977,V1978,"f",FALSE)</f>
        <v>52776</v>
      </c>
      <c r="X1978" s="91">
        <f>_xll.qlCalendarAdvance(Calendar,W1978,NDays&amp;"D")</f>
        <v>52776</v>
      </c>
      <c r="Y1978" s="92" t="e">
        <v>#N/A</v>
      </c>
      <c r="Z1978" s="94" t="e">
        <v>#N/A</v>
      </c>
    </row>
    <row r="1979" spans="22:26" x14ac:dyDescent="0.2">
      <c r="V1979" s="123" t="str">
        <f t="shared" si="41"/>
        <v>1w</v>
      </c>
      <c r="W1979" s="82">
        <f>_xll.qlCalendarAdvance(Calendar,W1978,V1979,"f",FALSE)</f>
        <v>52783</v>
      </c>
      <c r="X1979" s="91">
        <f>_xll.qlCalendarAdvance(Calendar,W1979,NDays&amp;"D")</f>
        <v>52783</v>
      </c>
      <c r="Y1979" s="92" t="e">
        <v>#N/A</v>
      </c>
      <c r="Z1979" s="94" t="e">
        <v>#N/A</v>
      </c>
    </row>
    <row r="1980" spans="22:26" x14ac:dyDescent="0.2">
      <c r="V1980" s="123" t="str">
        <f t="shared" si="41"/>
        <v>1w</v>
      </c>
      <c r="W1980" s="82">
        <f>_xll.qlCalendarAdvance(Calendar,W1979,V1980,"f",FALSE)</f>
        <v>52790</v>
      </c>
      <c r="X1980" s="91">
        <f>_xll.qlCalendarAdvance(Calendar,W1980,NDays&amp;"D")</f>
        <v>52790</v>
      </c>
      <c r="Y1980" s="92" t="e">
        <v>#N/A</v>
      </c>
      <c r="Z1980" s="94" t="e">
        <v>#N/A</v>
      </c>
    </row>
    <row r="1981" spans="22:26" x14ac:dyDescent="0.2">
      <c r="V1981" s="123" t="str">
        <f t="shared" si="41"/>
        <v>1w</v>
      </c>
      <c r="W1981" s="82">
        <f>_xll.qlCalendarAdvance(Calendar,W1980,V1981,"f",FALSE)</f>
        <v>52797</v>
      </c>
      <c r="X1981" s="91">
        <f>_xll.qlCalendarAdvance(Calendar,W1981,NDays&amp;"D")</f>
        <v>52797</v>
      </c>
      <c r="Y1981" s="92" t="e">
        <v>#N/A</v>
      </c>
      <c r="Z1981" s="94" t="e">
        <v>#N/A</v>
      </c>
    </row>
    <row r="1982" spans="22:26" x14ac:dyDescent="0.2">
      <c r="V1982" s="123" t="str">
        <f t="shared" si="41"/>
        <v>1w</v>
      </c>
      <c r="W1982" s="82">
        <f>_xll.qlCalendarAdvance(Calendar,W1981,V1982,"f",FALSE)</f>
        <v>52804</v>
      </c>
      <c r="X1982" s="91">
        <f>_xll.qlCalendarAdvance(Calendar,W1982,NDays&amp;"D")</f>
        <v>52804</v>
      </c>
      <c r="Y1982" s="92" t="e">
        <v>#N/A</v>
      </c>
      <c r="Z1982" s="94" t="e">
        <v>#N/A</v>
      </c>
    </row>
    <row r="1983" spans="22:26" x14ac:dyDescent="0.2">
      <c r="V1983" s="123" t="str">
        <f t="shared" si="41"/>
        <v>1w</v>
      </c>
      <c r="W1983" s="82">
        <f>_xll.qlCalendarAdvance(Calendar,W1982,V1983,"f",FALSE)</f>
        <v>52811</v>
      </c>
      <c r="X1983" s="91">
        <f>_xll.qlCalendarAdvance(Calendar,W1983,NDays&amp;"D")</f>
        <v>52811</v>
      </c>
      <c r="Y1983" s="92" t="e">
        <v>#N/A</v>
      </c>
      <c r="Z1983" s="94" t="e">
        <v>#N/A</v>
      </c>
    </row>
    <row r="1984" spans="22:26" x14ac:dyDescent="0.2">
      <c r="V1984" s="123" t="str">
        <f t="shared" si="41"/>
        <v>1w</v>
      </c>
      <c r="W1984" s="82">
        <f>_xll.qlCalendarAdvance(Calendar,W1983,V1984,"f",FALSE)</f>
        <v>52818</v>
      </c>
      <c r="X1984" s="91">
        <f>_xll.qlCalendarAdvance(Calendar,W1984,NDays&amp;"D")</f>
        <v>52818</v>
      </c>
      <c r="Y1984" s="92" t="e">
        <v>#N/A</v>
      </c>
      <c r="Z1984" s="94" t="e">
        <v>#N/A</v>
      </c>
    </row>
    <row r="1985" spans="22:26" x14ac:dyDescent="0.2">
      <c r="V1985" s="123" t="str">
        <f t="shared" si="41"/>
        <v>1w</v>
      </c>
      <c r="W1985" s="82">
        <f>_xll.qlCalendarAdvance(Calendar,W1984,V1985,"f",FALSE)</f>
        <v>52825</v>
      </c>
      <c r="X1985" s="91">
        <f>_xll.qlCalendarAdvance(Calendar,W1985,NDays&amp;"D")</f>
        <v>52825</v>
      </c>
      <c r="Y1985" s="92" t="e">
        <v>#N/A</v>
      </c>
      <c r="Z1985" s="94" t="e">
        <v>#N/A</v>
      </c>
    </row>
    <row r="1986" spans="22:26" x14ac:dyDescent="0.2">
      <c r="V1986" s="123" t="str">
        <f t="shared" si="41"/>
        <v>1w</v>
      </c>
      <c r="W1986" s="82">
        <f>_xll.qlCalendarAdvance(Calendar,W1985,V1986,"f",FALSE)</f>
        <v>52832</v>
      </c>
      <c r="X1986" s="91">
        <f>_xll.qlCalendarAdvance(Calendar,W1986,NDays&amp;"D")</f>
        <v>52832</v>
      </c>
      <c r="Y1986" s="92" t="e">
        <v>#N/A</v>
      </c>
      <c r="Z1986" s="94" t="e">
        <v>#N/A</v>
      </c>
    </row>
    <row r="1987" spans="22:26" x14ac:dyDescent="0.2">
      <c r="V1987" s="123" t="str">
        <f t="shared" si="41"/>
        <v>1w</v>
      </c>
      <c r="W1987" s="82">
        <f>_xll.qlCalendarAdvance(Calendar,W1986,V1987,"f",FALSE)</f>
        <v>52839</v>
      </c>
      <c r="X1987" s="91">
        <f>_xll.qlCalendarAdvance(Calendar,W1987,NDays&amp;"D")</f>
        <v>52839</v>
      </c>
      <c r="Y1987" s="92" t="e">
        <v>#N/A</v>
      </c>
      <c r="Z1987" s="94" t="e">
        <v>#N/A</v>
      </c>
    </row>
    <row r="1988" spans="22:26" x14ac:dyDescent="0.2">
      <c r="V1988" s="123" t="str">
        <f t="shared" si="41"/>
        <v>1w</v>
      </c>
      <c r="W1988" s="82">
        <f>_xll.qlCalendarAdvance(Calendar,W1987,V1988,"f",FALSE)</f>
        <v>52846</v>
      </c>
      <c r="X1988" s="91">
        <f>_xll.qlCalendarAdvance(Calendar,W1988,NDays&amp;"D")</f>
        <v>52846</v>
      </c>
      <c r="Y1988" s="92" t="e">
        <v>#N/A</v>
      </c>
      <c r="Z1988" s="94" t="e">
        <v>#N/A</v>
      </c>
    </row>
    <row r="1989" spans="22:26" x14ac:dyDescent="0.2">
      <c r="V1989" s="123" t="str">
        <f t="shared" si="41"/>
        <v>1w</v>
      </c>
      <c r="W1989" s="82">
        <f>_xll.qlCalendarAdvance(Calendar,W1988,V1989,"f",FALSE)</f>
        <v>52853</v>
      </c>
      <c r="X1989" s="91">
        <f>_xll.qlCalendarAdvance(Calendar,W1989,NDays&amp;"D")</f>
        <v>52853</v>
      </c>
      <c r="Y1989" s="92" t="e">
        <v>#N/A</v>
      </c>
      <c r="Z1989" s="94" t="e">
        <v>#N/A</v>
      </c>
    </row>
    <row r="1990" spans="22:26" x14ac:dyDescent="0.2">
      <c r="V1990" s="123" t="str">
        <f t="shared" si="41"/>
        <v>1w</v>
      </c>
      <c r="W1990" s="82">
        <f>_xll.qlCalendarAdvance(Calendar,W1989,V1990,"f",FALSE)</f>
        <v>52860</v>
      </c>
      <c r="X1990" s="91">
        <f>_xll.qlCalendarAdvance(Calendar,W1990,NDays&amp;"D")</f>
        <v>52860</v>
      </c>
      <c r="Y1990" s="92" t="e">
        <v>#N/A</v>
      </c>
      <c r="Z1990" s="94" t="e">
        <v>#N/A</v>
      </c>
    </row>
    <row r="1991" spans="22:26" x14ac:dyDescent="0.2">
      <c r="V1991" s="123" t="str">
        <f t="shared" si="41"/>
        <v>1w</v>
      </c>
      <c r="W1991" s="82">
        <f>_xll.qlCalendarAdvance(Calendar,W1990,V1991,"f",FALSE)</f>
        <v>52867</v>
      </c>
      <c r="X1991" s="91">
        <f>_xll.qlCalendarAdvance(Calendar,W1991,NDays&amp;"D")</f>
        <v>52867</v>
      </c>
      <c r="Y1991" s="92" t="e">
        <v>#N/A</v>
      </c>
      <c r="Z1991" s="94" t="e">
        <v>#N/A</v>
      </c>
    </row>
    <row r="1992" spans="22:26" x14ac:dyDescent="0.2">
      <c r="V1992" s="123" t="str">
        <f t="shared" si="41"/>
        <v>1w</v>
      </c>
      <c r="W1992" s="82">
        <f>_xll.qlCalendarAdvance(Calendar,W1991,V1992,"f",FALSE)</f>
        <v>52874</v>
      </c>
      <c r="X1992" s="91">
        <f>_xll.qlCalendarAdvance(Calendar,W1992,NDays&amp;"D")</f>
        <v>52874</v>
      </c>
      <c r="Y1992" s="92" t="e">
        <v>#N/A</v>
      </c>
      <c r="Z1992" s="94" t="e">
        <v>#N/A</v>
      </c>
    </row>
    <row r="1993" spans="22:26" x14ac:dyDescent="0.2">
      <c r="V1993" s="123" t="str">
        <f t="shared" si="41"/>
        <v>1w</v>
      </c>
      <c r="W1993" s="82">
        <f>_xll.qlCalendarAdvance(Calendar,W1992,V1993,"f",FALSE)</f>
        <v>52881</v>
      </c>
      <c r="X1993" s="91">
        <f>_xll.qlCalendarAdvance(Calendar,W1993,NDays&amp;"D")</f>
        <v>52881</v>
      </c>
      <c r="Y1993" s="92" t="e">
        <v>#N/A</v>
      </c>
      <c r="Z1993" s="94" t="e">
        <v>#N/A</v>
      </c>
    </row>
    <row r="1994" spans="22:26" x14ac:dyDescent="0.2">
      <c r="V1994" s="123" t="str">
        <f t="shared" si="41"/>
        <v>1w</v>
      </c>
      <c r="W1994" s="82">
        <f>_xll.qlCalendarAdvance(Calendar,W1993,V1994,"f",FALSE)</f>
        <v>52888</v>
      </c>
      <c r="X1994" s="91">
        <f>_xll.qlCalendarAdvance(Calendar,W1994,NDays&amp;"D")</f>
        <v>52888</v>
      </c>
      <c r="Y1994" s="92" t="e">
        <v>#N/A</v>
      </c>
      <c r="Z1994" s="94" t="e">
        <v>#N/A</v>
      </c>
    </row>
    <row r="1995" spans="22:26" x14ac:dyDescent="0.2">
      <c r="V1995" s="123" t="str">
        <f t="shared" si="41"/>
        <v>1w</v>
      </c>
      <c r="W1995" s="82">
        <f>_xll.qlCalendarAdvance(Calendar,W1994,V1995,"f",FALSE)</f>
        <v>52895</v>
      </c>
      <c r="X1995" s="91">
        <f>_xll.qlCalendarAdvance(Calendar,W1995,NDays&amp;"D")</f>
        <v>52895</v>
      </c>
      <c r="Y1995" s="92" t="e">
        <v>#N/A</v>
      </c>
      <c r="Z1995" s="94" t="e">
        <v>#N/A</v>
      </c>
    </row>
    <row r="1996" spans="22:26" x14ac:dyDescent="0.2">
      <c r="V1996" s="123" t="str">
        <f t="shared" si="41"/>
        <v>1w</v>
      </c>
      <c r="W1996" s="82">
        <f>_xll.qlCalendarAdvance(Calendar,W1995,V1996,"f",FALSE)</f>
        <v>52902</v>
      </c>
      <c r="X1996" s="91">
        <f>_xll.qlCalendarAdvance(Calendar,W1996,NDays&amp;"D")</f>
        <v>52902</v>
      </c>
      <c r="Y1996" s="92" t="e">
        <v>#N/A</v>
      </c>
      <c r="Z1996" s="94" t="e">
        <v>#N/A</v>
      </c>
    </row>
    <row r="1997" spans="22:26" x14ac:dyDescent="0.2">
      <c r="V1997" s="123" t="str">
        <f t="shared" si="41"/>
        <v>1w</v>
      </c>
      <c r="W1997" s="82">
        <f>_xll.qlCalendarAdvance(Calendar,W1996,V1997,"f",FALSE)</f>
        <v>52909</v>
      </c>
      <c r="X1997" s="91">
        <f>_xll.qlCalendarAdvance(Calendar,W1997,NDays&amp;"D")</f>
        <v>52909</v>
      </c>
      <c r="Y1997" s="92" t="e">
        <v>#N/A</v>
      </c>
      <c r="Z1997" s="94" t="e">
        <v>#N/A</v>
      </c>
    </row>
    <row r="1998" spans="22:26" x14ac:dyDescent="0.2">
      <c r="V1998" s="123" t="str">
        <f t="shared" si="41"/>
        <v>1w</v>
      </c>
      <c r="W1998" s="82">
        <f>_xll.qlCalendarAdvance(Calendar,W1997,V1998,"f",FALSE)</f>
        <v>52916</v>
      </c>
      <c r="X1998" s="91">
        <f>_xll.qlCalendarAdvance(Calendar,W1998,NDays&amp;"D")</f>
        <v>52916</v>
      </c>
      <c r="Y1998" s="92" t="e">
        <v>#N/A</v>
      </c>
      <c r="Z1998" s="94" t="e">
        <v>#N/A</v>
      </c>
    </row>
    <row r="1999" spans="22:26" x14ac:dyDescent="0.2">
      <c r="V1999" s="123" t="str">
        <f t="shared" si="41"/>
        <v>1w</v>
      </c>
      <c r="W1999" s="82">
        <f>_xll.qlCalendarAdvance(Calendar,W1998,V1999,"f",FALSE)</f>
        <v>52923</v>
      </c>
      <c r="X1999" s="91">
        <f>_xll.qlCalendarAdvance(Calendar,W1999,NDays&amp;"D")</f>
        <v>52923</v>
      </c>
      <c r="Y1999" s="92" t="e">
        <v>#N/A</v>
      </c>
      <c r="Z1999" s="94" t="e">
        <v>#N/A</v>
      </c>
    </row>
    <row r="2000" spans="22:26" x14ac:dyDescent="0.2">
      <c r="V2000" s="123" t="str">
        <f t="shared" si="41"/>
        <v>1w</v>
      </c>
      <c r="W2000" s="82">
        <f>_xll.qlCalendarAdvance(Calendar,W1999,V2000,"f",FALSE)</f>
        <v>52930</v>
      </c>
      <c r="X2000" s="91">
        <f>_xll.qlCalendarAdvance(Calendar,W2000,NDays&amp;"D")</f>
        <v>52930</v>
      </c>
      <c r="Y2000" s="92" t="e">
        <v>#N/A</v>
      </c>
      <c r="Z2000" s="94" t="e">
        <v>#N/A</v>
      </c>
    </row>
    <row r="2001" spans="22:26" x14ac:dyDescent="0.2">
      <c r="V2001" s="123" t="str">
        <f t="shared" si="41"/>
        <v>1w</v>
      </c>
      <c r="W2001" s="82">
        <f>_xll.qlCalendarAdvance(Calendar,W2000,V2001,"f",FALSE)</f>
        <v>52937</v>
      </c>
      <c r="X2001" s="91">
        <f>_xll.qlCalendarAdvance(Calendar,W2001,NDays&amp;"D")</f>
        <v>52937</v>
      </c>
      <c r="Y2001" s="92" t="e">
        <v>#N/A</v>
      </c>
      <c r="Z2001" s="94" t="e">
        <v>#N/A</v>
      </c>
    </row>
    <row r="2002" spans="22:26" x14ac:dyDescent="0.2">
      <c r="V2002" s="123" t="str">
        <f t="shared" si="41"/>
        <v>1w</v>
      </c>
      <c r="W2002" s="82">
        <f>_xll.qlCalendarAdvance(Calendar,W2001,V2002,"f",FALSE)</f>
        <v>52944</v>
      </c>
      <c r="X2002" s="91">
        <f>_xll.qlCalendarAdvance(Calendar,W2002,NDays&amp;"D")</f>
        <v>52944</v>
      </c>
      <c r="Y2002" s="92" t="e">
        <v>#N/A</v>
      </c>
      <c r="Z2002" s="94" t="e">
        <v>#N/A</v>
      </c>
    </row>
    <row r="2003" spans="22:26" x14ac:dyDescent="0.2">
      <c r="V2003" s="123" t="str">
        <f t="shared" si="41"/>
        <v>1w</v>
      </c>
      <c r="W2003" s="82">
        <f>_xll.qlCalendarAdvance(Calendar,W2002,V2003,"f",FALSE)</f>
        <v>52951</v>
      </c>
      <c r="X2003" s="91">
        <f>_xll.qlCalendarAdvance(Calendar,W2003,NDays&amp;"D")</f>
        <v>52951</v>
      </c>
      <c r="Y2003" s="92" t="e">
        <v>#N/A</v>
      </c>
      <c r="Z2003" s="94" t="e">
        <v>#N/A</v>
      </c>
    </row>
    <row r="2004" spans="22:26" x14ac:dyDescent="0.2">
      <c r="V2004" s="123" t="str">
        <f t="shared" si="41"/>
        <v>1w</v>
      </c>
      <c r="W2004" s="82">
        <f>_xll.qlCalendarAdvance(Calendar,W2003,V2004,"f",FALSE)</f>
        <v>52958</v>
      </c>
      <c r="X2004" s="91">
        <f>_xll.qlCalendarAdvance(Calendar,W2004,NDays&amp;"D")</f>
        <v>52958</v>
      </c>
      <c r="Y2004" s="92" t="e">
        <v>#N/A</v>
      </c>
      <c r="Z2004" s="94" t="e">
        <v>#N/A</v>
      </c>
    </row>
    <row r="2005" spans="22:26" x14ac:dyDescent="0.2">
      <c r="V2005" s="123" t="str">
        <f t="shared" ref="V2005:V2068" si="42">V2004</f>
        <v>1w</v>
      </c>
      <c r="W2005" s="82">
        <f>_xll.qlCalendarAdvance(Calendar,W2004,V2005,"f",FALSE)</f>
        <v>52965</v>
      </c>
      <c r="X2005" s="91">
        <f>_xll.qlCalendarAdvance(Calendar,W2005,NDays&amp;"D")</f>
        <v>52965</v>
      </c>
      <c r="Y2005" s="92" t="e">
        <v>#N/A</v>
      </c>
      <c r="Z2005" s="94" t="e">
        <v>#N/A</v>
      </c>
    </row>
    <row r="2006" spans="22:26" x14ac:dyDescent="0.2">
      <c r="V2006" s="123" t="str">
        <f t="shared" si="42"/>
        <v>1w</v>
      </c>
      <c r="W2006" s="82">
        <f>_xll.qlCalendarAdvance(Calendar,W2005,V2006,"f",FALSE)</f>
        <v>52972</v>
      </c>
      <c r="X2006" s="91">
        <f>_xll.qlCalendarAdvance(Calendar,W2006,NDays&amp;"D")</f>
        <v>52972</v>
      </c>
      <c r="Y2006" s="92" t="e">
        <v>#N/A</v>
      </c>
      <c r="Z2006" s="94" t="e">
        <v>#N/A</v>
      </c>
    </row>
    <row r="2007" spans="22:26" x14ac:dyDescent="0.2">
      <c r="V2007" s="123" t="str">
        <f t="shared" si="42"/>
        <v>1w</v>
      </c>
      <c r="W2007" s="82">
        <f>_xll.qlCalendarAdvance(Calendar,W2006,V2007,"f",FALSE)</f>
        <v>52979</v>
      </c>
      <c r="X2007" s="91">
        <f>_xll.qlCalendarAdvance(Calendar,W2007,NDays&amp;"D")</f>
        <v>52979</v>
      </c>
      <c r="Y2007" s="92" t="e">
        <v>#N/A</v>
      </c>
      <c r="Z2007" s="94" t="e">
        <v>#N/A</v>
      </c>
    </row>
    <row r="2008" spans="22:26" x14ac:dyDescent="0.2">
      <c r="V2008" s="123" t="str">
        <f t="shared" si="42"/>
        <v>1w</v>
      </c>
      <c r="W2008" s="82">
        <f>_xll.qlCalendarAdvance(Calendar,W2007,V2008,"f",FALSE)</f>
        <v>52986</v>
      </c>
      <c r="X2008" s="91">
        <f>_xll.qlCalendarAdvance(Calendar,W2008,NDays&amp;"D")</f>
        <v>52986</v>
      </c>
      <c r="Y2008" s="92" t="e">
        <v>#N/A</v>
      </c>
      <c r="Z2008" s="94" t="e">
        <v>#N/A</v>
      </c>
    </row>
    <row r="2009" spans="22:26" x14ac:dyDescent="0.2">
      <c r="V2009" s="123" t="str">
        <f t="shared" si="42"/>
        <v>1w</v>
      </c>
      <c r="W2009" s="82">
        <f>_xll.qlCalendarAdvance(Calendar,W2008,V2009,"f",FALSE)</f>
        <v>52993</v>
      </c>
      <c r="X2009" s="91">
        <f>_xll.qlCalendarAdvance(Calendar,W2009,NDays&amp;"D")</f>
        <v>52993</v>
      </c>
      <c r="Y2009" s="92" t="e">
        <v>#N/A</v>
      </c>
      <c r="Z2009" s="94" t="e">
        <v>#N/A</v>
      </c>
    </row>
    <row r="2010" spans="22:26" x14ac:dyDescent="0.2">
      <c r="V2010" s="123" t="str">
        <f t="shared" si="42"/>
        <v>1w</v>
      </c>
      <c r="W2010" s="82">
        <f>_xll.qlCalendarAdvance(Calendar,W2009,V2010,"f",FALSE)</f>
        <v>53000</v>
      </c>
      <c r="X2010" s="91">
        <f>_xll.qlCalendarAdvance(Calendar,W2010,NDays&amp;"D")</f>
        <v>53000</v>
      </c>
      <c r="Y2010" s="92" t="e">
        <v>#N/A</v>
      </c>
      <c r="Z2010" s="94" t="e">
        <v>#N/A</v>
      </c>
    </row>
    <row r="2011" spans="22:26" x14ac:dyDescent="0.2">
      <c r="V2011" s="123" t="str">
        <f t="shared" si="42"/>
        <v>1w</v>
      </c>
      <c r="W2011" s="82">
        <f>_xll.qlCalendarAdvance(Calendar,W2010,V2011,"f",FALSE)</f>
        <v>53007</v>
      </c>
      <c r="X2011" s="91">
        <f>_xll.qlCalendarAdvance(Calendar,W2011,NDays&amp;"D")</f>
        <v>53007</v>
      </c>
      <c r="Y2011" s="92" t="e">
        <v>#N/A</v>
      </c>
      <c r="Z2011" s="94" t="e">
        <v>#N/A</v>
      </c>
    </row>
    <row r="2012" spans="22:26" x14ac:dyDescent="0.2">
      <c r="V2012" s="123" t="str">
        <f t="shared" si="42"/>
        <v>1w</v>
      </c>
      <c r="W2012" s="82">
        <f>_xll.qlCalendarAdvance(Calendar,W2011,V2012,"f",FALSE)</f>
        <v>53014</v>
      </c>
      <c r="X2012" s="91">
        <f>_xll.qlCalendarAdvance(Calendar,W2012,NDays&amp;"D")</f>
        <v>53014</v>
      </c>
      <c r="Y2012" s="92" t="e">
        <v>#N/A</v>
      </c>
      <c r="Z2012" s="94" t="e">
        <v>#N/A</v>
      </c>
    </row>
    <row r="2013" spans="22:26" x14ac:dyDescent="0.2">
      <c r="V2013" s="123" t="str">
        <f t="shared" si="42"/>
        <v>1w</v>
      </c>
      <c r="W2013" s="82">
        <f>_xll.qlCalendarAdvance(Calendar,W2012,V2013,"f",FALSE)</f>
        <v>53021</v>
      </c>
      <c r="X2013" s="91">
        <f>_xll.qlCalendarAdvance(Calendar,W2013,NDays&amp;"D")</f>
        <v>53021</v>
      </c>
      <c r="Y2013" s="92" t="e">
        <v>#N/A</v>
      </c>
      <c r="Z2013" s="94" t="e">
        <v>#N/A</v>
      </c>
    </row>
    <row r="2014" spans="22:26" x14ac:dyDescent="0.2">
      <c r="V2014" s="123" t="str">
        <f t="shared" si="42"/>
        <v>1w</v>
      </c>
      <c r="W2014" s="82">
        <f>_xll.qlCalendarAdvance(Calendar,W2013,V2014,"f",FALSE)</f>
        <v>53028</v>
      </c>
      <c r="X2014" s="91">
        <f>_xll.qlCalendarAdvance(Calendar,W2014,NDays&amp;"D")</f>
        <v>53028</v>
      </c>
      <c r="Y2014" s="92" t="e">
        <v>#N/A</v>
      </c>
      <c r="Z2014" s="94" t="e">
        <v>#N/A</v>
      </c>
    </row>
    <row r="2015" spans="22:26" x14ac:dyDescent="0.2">
      <c r="V2015" s="123" t="str">
        <f t="shared" si="42"/>
        <v>1w</v>
      </c>
      <c r="W2015" s="82">
        <f>_xll.qlCalendarAdvance(Calendar,W2014,V2015,"f",FALSE)</f>
        <v>53035</v>
      </c>
      <c r="X2015" s="91">
        <f>_xll.qlCalendarAdvance(Calendar,W2015,NDays&amp;"D")</f>
        <v>53035</v>
      </c>
      <c r="Y2015" s="92" t="e">
        <v>#N/A</v>
      </c>
      <c r="Z2015" s="94" t="e">
        <v>#N/A</v>
      </c>
    </row>
    <row r="2016" spans="22:26" x14ac:dyDescent="0.2">
      <c r="V2016" s="123" t="str">
        <f t="shared" si="42"/>
        <v>1w</v>
      </c>
      <c r="W2016" s="82">
        <f>_xll.qlCalendarAdvance(Calendar,W2015,V2016,"f",FALSE)</f>
        <v>53042</v>
      </c>
      <c r="X2016" s="91">
        <f>_xll.qlCalendarAdvance(Calendar,W2016,NDays&amp;"D")</f>
        <v>53042</v>
      </c>
      <c r="Y2016" s="92" t="e">
        <v>#N/A</v>
      </c>
      <c r="Z2016" s="94" t="e">
        <v>#N/A</v>
      </c>
    </row>
    <row r="2017" spans="22:26" x14ac:dyDescent="0.2">
      <c r="V2017" s="123" t="str">
        <f t="shared" si="42"/>
        <v>1w</v>
      </c>
      <c r="W2017" s="82">
        <f>_xll.qlCalendarAdvance(Calendar,W2016,V2017,"f",FALSE)</f>
        <v>53049</v>
      </c>
      <c r="X2017" s="91">
        <f>_xll.qlCalendarAdvance(Calendar,W2017,NDays&amp;"D")</f>
        <v>53049</v>
      </c>
      <c r="Y2017" s="92" t="e">
        <v>#N/A</v>
      </c>
      <c r="Z2017" s="94" t="e">
        <v>#N/A</v>
      </c>
    </row>
    <row r="2018" spans="22:26" x14ac:dyDescent="0.2">
      <c r="V2018" s="123" t="str">
        <f t="shared" si="42"/>
        <v>1w</v>
      </c>
      <c r="W2018" s="82">
        <f>_xll.qlCalendarAdvance(Calendar,W2017,V2018,"f",FALSE)</f>
        <v>53056</v>
      </c>
      <c r="X2018" s="91">
        <f>_xll.qlCalendarAdvance(Calendar,W2018,NDays&amp;"D")</f>
        <v>53056</v>
      </c>
      <c r="Y2018" s="92" t="e">
        <v>#N/A</v>
      </c>
      <c r="Z2018" s="94" t="e">
        <v>#N/A</v>
      </c>
    </row>
    <row r="2019" spans="22:26" x14ac:dyDescent="0.2">
      <c r="V2019" s="123" t="str">
        <f t="shared" si="42"/>
        <v>1w</v>
      </c>
      <c r="W2019" s="82">
        <f>_xll.qlCalendarAdvance(Calendar,W2018,V2019,"f",FALSE)</f>
        <v>53063</v>
      </c>
      <c r="X2019" s="91">
        <f>_xll.qlCalendarAdvance(Calendar,W2019,NDays&amp;"D")</f>
        <v>53063</v>
      </c>
      <c r="Y2019" s="92" t="e">
        <v>#N/A</v>
      </c>
      <c r="Z2019" s="94" t="e">
        <v>#N/A</v>
      </c>
    </row>
    <row r="2020" spans="22:26" x14ac:dyDescent="0.2">
      <c r="V2020" s="123" t="str">
        <f t="shared" si="42"/>
        <v>1w</v>
      </c>
      <c r="W2020" s="82">
        <f>_xll.qlCalendarAdvance(Calendar,W2019,V2020,"f",FALSE)</f>
        <v>53070</v>
      </c>
      <c r="X2020" s="91">
        <f>_xll.qlCalendarAdvance(Calendar,W2020,NDays&amp;"D")</f>
        <v>53070</v>
      </c>
      <c r="Y2020" s="92" t="e">
        <v>#N/A</v>
      </c>
      <c r="Z2020" s="94" t="e">
        <v>#N/A</v>
      </c>
    </row>
    <row r="2021" spans="22:26" x14ac:dyDescent="0.2">
      <c r="V2021" s="123" t="str">
        <f t="shared" si="42"/>
        <v>1w</v>
      </c>
      <c r="W2021" s="82">
        <f>_xll.qlCalendarAdvance(Calendar,W2020,V2021,"f",FALSE)</f>
        <v>53077</v>
      </c>
      <c r="X2021" s="91">
        <f>_xll.qlCalendarAdvance(Calendar,W2021,NDays&amp;"D")</f>
        <v>53077</v>
      </c>
      <c r="Y2021" s="92" t="e">
        <v>#N/A</v>
      </c>
      <c r="Z2021" s="94" t="e">
        <v>#N/A</v>
      </c>
    </row>
    <row r="2022" spans="22:26" x14ac:dyDescent="0.2">
      <c r="V2022" s="123" t="str">
        <f t="shared" si="42"/>
        <v>1w</v>
      </c>
      <c r="W2022" s="82">
        <f>_xll.qlCalendarAdvance(Calendar,W2021,V2022,"f",FALSE)</f>
        <v>53084</v>
      </c>
      <c r="X2022" s="91">
        <f>_xll.qlCalendarAdvance(Calendar,W2022,NDays&amp;"D")</f>
        <v>53084</v>
      </c>
      <c r="Y2022" s="92" t="e">
        <v>#N/A</v>
      </c>
      <c r="Z2022" s="94" t="e">
        <v>#N/A</v>
      </c>
    </row>
    <row r="2023" spans="22:26" x14ac:dyDescent="0.2">
      <c r="V2023" s="123" t="str">
        <f t="shared" si="42"/>
        <v>1w</v>
      </c>
      <c r="W2023" s="82">
        <f>_xll.qlCalendarAdvance(Calendar,W2022,V2023,"f",FALSE)</f>
        <v>53091</v>
      </c>
      <c r="X2023" s="91">
        <f>_xll.qlCalendarAdvance(Calendar,W2023,NDays&amp;"D")</f>
        <v>53091</v>
      </c>
      <c r="Y2023" s="92" t="e">
        <v>#N/A</v>
      </c>
      <c r="Z2023" s="94" t="e">
        <v>#N/A</v>
      </c>
    </row>
    <row r="2024" spans="22:26" x14ac:dyDescent="0.2">
      <c r="V2024" s="123" t="str">
        <f t="shared" si="42"/>
        <v>1w</v>
      </c>
      <c r="W2024" s="82">
        <f>_xll.qlCalendarAdvance(Calendar,W2023,V2024,"f",FALSE)</f>
        <v>53098</v>
      </c>
      <c r="X2024" s="91">
        <f>_xll.qlCalendarAdvance(Calendar,W2024,NDays&amp;"D")</f>
        <v>53098</v>
      </c>
      <c r="Y2024" s="92" t="e">
        <v>#N/A</v>
      </c>
      <c r="Z2024" s="94" t="e">
        <v>#N/A</v>
      </c>
    </row>
    <row r="2025" spans="22:26" x14ac:dyDescent="0.2">
      <c r="V2025" s="123" t="str">
        <f t="shared" si="42"/>
        <v>1w</v>
      </c>
      <c r="W2025" s="82">
        <f>_xll.qlCalendarAdvance(Calendar,W2024,V2025,"f",FALSE)</f>
        <v>53105</v>
      </c>
      <c r="X2025" s="91">
        <f>_xll.qlCalendarAdvance(Calendar,W2025,NDays&amp;"D")</f>
        <v>53105</v>
      </c>
      <c r="Y2025" s="92" t="e">
        <v>#N/A</v>
      </c>
      <c r="Z2025" s="94" t="e">
        <v>#N/A</v>
      </c>
    </row>
    <row r="2026" spans="22:26" x14ac:dyDescent="0.2">
      <c r="V2026" s="123" t="str">
        <f t="shared" si="42"/>
        <v>1w</v>
      </c>
      <c r="W2026" s="82">
        <f>_xll.qlCalendarAdvance(Calendar,W2025,V2026,"f",FALSE)</f>
        <v>53112</v>
      </c>
      <c r="X2026" s="91">
        <f>_xll.qlCalendarAdvance(Calendar,W2026,NDays&amp;"D")</f>
        <v>53112</v>
      </c>
      <c r="Y2026" s="92" t="e">
        <v>#N/A</v>
      </c>
      <c r="Z2026" s="94" t="e">
        <v>#N/A</v>
      </c>
    </row>
    <row r="2027" spans="22:26" x14ac:dyDescent="0.2">
      <c r="V2027" s="123" t="str">
        <f t="shared" si="42"/>
        <v>1w</v>
      </c>
      <c r="W2027" s="82">
        <f>_xll.qlCalendarAdvance(Calendar,W2026,V2027,"f",FALSE)</f>
        <v>53119</v>
      </c>
      <c r="X2027" s="91">
        <f>_xll.qlCalendarAdvance(Calendar,W2027,NDays&amp;"D")</f>
        <v>53119</v>
      </c>
      <c r="Y2027" s="92" t="e">
        <v>#N/A</v>
      </c>
      <c r="Z2027" s="94" t="e">
        <v>#N/A</v>
      </c>
    </row>
    <row r="2028" spans="22:26" x14ac:dyDescent="0.2">
      <c r="V2028" s="123" t="str">
        <f t="shared" si="42"/>
        <v>1w</v>
      </c>
      <c r="W2028" s="82">
        <f>_xll.qlCalendarAdvance(Calendar,W2027,V2028,"f",FALSE)</f>
        <v>53126</v>
      </c>
      <c r="X2028" s="91">
        <f>_xll.qlCalendarAdvance(Calendar,W2028,NDays&amp;"D")</f>
        <v>53126</v>
      </c>
      <c r="Y2028" s="92" t="e">
        <v>#N/A</v>
      </c>
      <c r="Z2028" s="94" t="e">
        <v>#N/A</v>
      </c>
    </row>
    <row r="2029" spans="22:26" x14ac:dyDescent="0.2">
      <c r="V2029" s="123" t="str">
        <f t="shared" si="42"/>
        <v>1w</v>
      </c>
      <c r="W2029" s="82">
        <f>_xll.qlCalendarAdvance(Calendar,W2028,V2029,"f",FALSE)</f>
        <v>53133</v>
      </c>
      <c r="X2029" s="91">
        <f>_xll.qlCalendarAdvance(Calendar,W2029,NDays&amp;"D")</f>
        <v>53133</v>
      </c>
      <c r="Y2029" s="92" t="e">
        <v>#N/A</v>
      </c>
      <c r="Z2029" s="94" t="e">
        <v>#N/A</v>
      </c>
    </row>
    <row r="2030" spans="22:26" x14ac:dyDescent="0.2">
      <c r="V2030" s="123" t="str">
        <f t="shared" si="42"/>
        <v>1w</v>
      </c>
      <c r="W2030" s="82">
        <f>_xll.qlCalendarAdvance(Calendar,W2029,V2030,"f",FALSE)</f>
        <v>53140</v>
      </c>
      <c r="X2030" s="91">
        <f>_xll.qlCalendarAdvance(Calendar,W2030,NDays&amp;"D")</f>
        <v>53140</v>
      </c>
      <c r="Y2030" s="92" t="e">
        <v>#N/A</v>
      </c>
      <c r="Z2030" s="94" t="e">
        <v>#N/A</v>
      </c>
    </row>
    <row r="2031" spans="22:26" x14ac:dyDescent="0.2">
      <c r="V2031" s="123" t="str">
        <f t="shared" si="42"/>
        <v>1w</v>
      </c>
      <c r="W2031" s="82">
        <f>_xll.qlCalendarAdvance(Calendar,W2030,V2031,"f",FALSE)</f>
        <v>53147</v>
      </c>
      <c r="X2031" s="91">
        <f>_xll.qlCalendarAdvance(Calendar,W2031,NDays&amp;"D")</f>
        <v>53147</v>
      </c>
      <c r="Y2031" s="92" t="e">
        <v>#N/A</v>
      </c>
      <c r="Z2031" s="94" t="e">
        <v>#N/A</v>
      </c>
    </row>
    <row r="2032" spans="22:26" x14ac:dyDescent="0.2">
      <c r="V2032" s="123" t="str">
        <f t="shared" si="42"/>
        <v>1w</v>
      </c>
      <c r="W2032" s="82">
        <f>_xll.qlCalendarAdvance(Calendar,W2031,V2032,"f",FALSE)</f>
        <v>53154</v>
      </c>
      <c r="X2032" s="91">
        <f>_xll.qlCalendarAdvance(Calendar,W2032,NDays&amp;"D")</f>
        <v>53154</v>
      </c>
      <c r="Y2032" s="92" t="e">
        <v>#N/A</v>
      </c>
      <c r="Z2032" s="94" t="e">
        <v>#N/A</v>
      </c>
    </row>
    <row r="2033" spans="22:26" x14ac:dyDescent="0.2">
      <c r="V2033" s="123" t="str">
        <f t="shared" si="42"/>
        <v>1w</v>
      </c>
      <c r="W2033" s="82">
        <f>_xll.qlCalendarAdvance(Calendar,W2032,V2033,"f",FALSE)</f>
        <v>53161</v>
      </c>
      <c r="X2033" s="91">
        <f>_xll.qlCalendarAdvance(Calendar,W2033,NDays&amp;"D")</f>
        <v>53161</v>
      </c>
      <c r="Y2033" s="92" t="e">
        <v>#N/A</v>
      </c>
      <c r="Z2033" s="94" t="e">
        <v>#N/A</v>
      </c>
    </row>
    <row r="2034" spans="22:26" x14ac:dyDescent="0.2">
      <c r="V2034" s="123" t="str">
        <f t="shared" si="42"/>
        <v>1w</v>
      </c>
      <c r="W2034" s="82">
        <f>_xll.qlCalendarAdvance(Calendar,W2033,V2034,"f",FALSE)</f>
        <v>53168</v>
      </c>
      <c r="X2034" s="91">
        <f>_xll.qlCalendarAdvance(Calendar,W2034,NDays&amp;"D")</f>
        <v>53168</v>
      </c>
      <c r="Y2034" s="92" t="e">
        <v>#N/A</v>
      </c>
      <c r="Z2034" s="94" t="e">
        <v>#N/A</v>
      </c>
    </row>
    <row r="2035" spans="22:26" x14ac:dyDescent="0.2">
      <c r="V2035" s="123" t="str">
        <f t="shared" si="42"/>
        <v>1w</v>
      </c>
      <c r="W2035" s="82">
        <f>_xll.qlCalendarAdvance(Calendar,W2034,V2035,"f",FALSE)</f>
        <v>53175</v>
      </c>
      <c r="X2035" s="91">
        <f>_xll.qlCalendarAdvance(Calendar,W2035,NDays&amp;"D")</f>
        <v>53175</v>
      </c>
      <c r="Y2035" s="92" t="e">
        <v>#N/A</v>
      </c>
      <c r="Z2035" s="94" t="e">
        <v>#N/A</v>
      </c>
    </row>
    <row r="2036" spans="22:26" x14ac:dyDescent="0.2">
      <c r="V2036" s="123" t="str">
        <f t="shared" si="42"/>
        <v>1w</v>
      </c>
      <c r="W2036" s="82">
        <f>_xll.qlCalendarAdvance(Calendar,W2035,V2036,"f",FALSE)</f>
        <v>53182</v>
      </c>
      <c r="X2036" s="91">
        <f>_xll.qlCalendarAdvance(Calendar,W2036,NDays&amp;"D")</f>
        <v>53182</v>
      </c>
      <c r="Y2036" s="92" t="e">
        <v>#N/A</v>
      </c>
      <c r="Z2036" s="94" t="e">
        <v>#N/A</v>
      </c>
    </row>
    <row r="2037" spans="22:26" x14ac:dyDescent="0.2">
      <c r="V2037" s="123" t="str">
        <f t="shared" si="42"/>
        <v>1w</v>
      </c>
      <c r="W2037" s="82">
        <f>_xll.qlCalendarAdvance(Calendar,W2036,V2037,"f",FALSE)</f>
        <v>53189</v>
      </c>
      <c r="X2037" s="91">
        <f>_xll.qlCalendarAdvance(Calendar,W2037,NDays&amp;"D")</f>
        <v>53189</v>
      </c>
      <c r="Y2037" s="92" t="e">
        <v>#N/A</v>
      </c>
      <c r="Z2037" s="94" t="e">
        <v>#N/A</v>
      </c>
    </row>
    <row r="2038" spans="22:26" x14ac:dyDescent="0.2">
      <c r="V2038" s="123" t="str">
        <f t="shared" si="42"/>
        <v>1w</v>
      </c>
      <c r="W2038" s="82">
        <f>_xll.qlCalendarAdvance(Calendar,W2037,V2038,"f",FALSE)</f>
        <v>53196</v>
      </c>
      <c r="X2038" s="91">
        <f>_xll.qlCalendarAdvance(Calendar,W2038,NDays&amp;"D")</f>
        <v>53196</v>
      </c>
      <c r="Y2038" s="92" t="e">
        <v>#N/A</v>
      </c>
      <c r="Z2038" s="94" t="e">
        <v>#N/A</v>
      </c>
    </row>
    <row r="2039" spans="22:26" x14ac:dyDescent="0.2">
      <c r="V2039" s="123" t="str">
        <f t="shared" si="42"/>
        <v>1w</v>
      </c>
      <c r="W2039" s="82">
        <f>_xll.qlCalendarAdvance(Calendar,W2038,V2039,"f",FALSE)</f>
        <v>53203</v>
      </c>
      <c r="X2039" s="91">
        <f>_xll.qlCalendarAdvance(Calendar,W2039,NDays&amp;"D")</f>
        <v>53203</v>
      </c>
      <c r="Y2039" s="92" t="e">
        <v>#N/A</v>
      </c>
      <c r="Z2039" s="94" t="e">
        <v>#N/A</v>
      </c>
    </row>
    <row r="2040" spans="22:26" x14ac:dyDescent="0.2">
      <c r="V2040" s="123" t="str">
        <f t="shared" si="42"/>
        <v>1w</v>
      </c>
      <c r="W2040" s="82">
        <f>_xll.qlCalendarAdvance(Calendar,W2039,V2040,"f",FALSE)</f>
        <v>53210</v>
      </c>
      <c r="X2040" s="91">
        <f>_xll.qlCalendarAdvance(Calendar,W2040,NDays&amp;"D")</f>
        <v>53210</v>
      </c>
      <c r="Y2040" s="92" t="e">
        <v>#N/A</v>
      </c>
      <c r="Z2040" s="94" t="e">
        <v>#N/A</v>
      </c>
    </row>
    <row r="2041" spans="22:26" x14ac:dyDescent="0.2">
      <c r="V2041" s="123" t="str">
        <f t="shared" si="42"/>
        <v>1w</v>
      </c>
      <c r="W2041" s="82">
        <f>_xll.qlCalendarAdvance(Calendar,W2040,V2041,"f",FALSE)</f>
        <v>53217</v>
      </c>
      <c r="X2041" s="91">
        <f>_xll.qlCalendarAdvance(Calendar,W2041,NDays&amp;"D")</f>
        <v>53217</v>
      </c>
      <c r="Y2041" s="92" t="e">
        <v>#N/A</v>
      </c>
      <c r="Z2041" s="94" t="e">
        <v>#N/A</v>
      </c>
    </row>
    <row r="2042" spans="22:26" x14ac:dyDescent="0.2">
      <c r="V2042" s="123" t="str">
        <f t="shared" si="42"/>
        <v>1w</v>
      </c>
      <c r="W2042" s="82">
        <f>_xll.qlCalendarAdvance(Calendar,W2041,V2042,"f",FALSE)</f>
        <v>53224</v>
      </c>
      <c r="X2042" s="91">
        <f>_xll.qlCalendarAdvance(Calendar,W2042,NDays&amp;"D")</f>
        <v>53224</v>
      </c>
      <c r="Y2042" s="92" t="e">
        <v>#N/A</v>
      </c>
      <c r="Z2042" s="94" t="e">
        <v>#N/A</v>
      </c>
    </row>
    <row r="2043" spans="22:26" x14ac:dyDescent="0.2">
      <c r="V2043" s="123" t="str">
        <f t="shared" si="42"/>
        <v>1w</v>
      </c>
      <c r="W2043" s="82">
        <f>_xll.qlCalendarAdvance(Calendar,W2042,V2043,"f",FALSE)</f>
        <v>53231</v>
      </c>
      <c r="X2043" s="91">
        <f>_xll.qlCalendarAdvance(Calendar,W2043,NDays&amp;"D")</f>
        <v>53231</v>
      </c>
      <c r="Y2043" s="92" t="e">
        <v>#N/A</v>
      </c>
      <c r="Z2043" s="94" t="e">
        <v>#N/A</v>
      </c>
    </row>
    <row r="2044" spans="22:26" x14ac:dyDescent="0.2">
      <c r="V2044" s="123" t="str">
        <f t="shared" si="42"/>
        <v>1w</v>
      </c>
      <c r="W2044" s="82">
        <f>_xll.qlCalendarAdvance(Calendar,W2043,V2044,"f",FALSE)</f>
        <v>53238</v>
      </c>
      <c r="X2044" s="91">
        <f>_xll.qlCalendarAdvance(Calendar,W2044,NDays&amp;"D")</f>
        <v>53238</v>
      </c>
      <c r="Y2044" s="92" t="e">
        <v>#N/A</v>
      </c>
      <c r="Z2044" s="94" t="e">
        <v>#N/A</v>
      </c>
    </row>
    <row r="2045" spans="22:26" x14ac:dyDescent="0.2">
      <c r="V2045" s="123" t="str">
        <f t="shared" si="42"/>
        <v>1w</v>
      </c>
      <c r="W2045" s="82">
        <f>_xll.qlCalendarAdvance(Calendar,W2044,V2045,"f",FALSE)</f>
        <v>53245</v>
      </c>
      <c r="X2045" s="91">
        <f>_xll.qlCalendarAdvance(Calendar,W2045,NDays&amp;"D")</f>
        <v>53245</v>
      </c>
      <c r="Y2045" s="92" t="e">
        <v>#N/A</v>
      </c>
      <c r="Z2045" s="94" t="e">
        <v>#N/A</v>
      </c>
    </row>
    <row r="2046" spans="22:26" x14ac:dyDescent="0.2">
      <c r="V2046" s="123" t="str">
        <f t="shared" si="42"/>
        <v>1w</v>
      </c>
      <c r="W2046" s="82">
        <f>_xll.qlCalendarAdvance(Calendar,W2045,V2046,"f",FALSE)</f>
        <v>53252</v>
      </c>
      <c r="X2046" s="91">
        <f>_xll.qlCalendarAdvance(Calendar,W2046,NDays&amp;"D")</f>
        <v>53252</v>
      </c>
      <c r="Y2046" s="92" t="e">
        <v>#N/A</v>
      </c>
      <c r="Z2046" s="94" t="e">
        <v>#N/A</v>
      </c>
    </row>
    <row r="2047" spans="22:26" x14ac:dyDescent="0.2">
      <c r="V2047" s="123" t="str">
        <f t="shared" si="42"/>
        <v>1w</v>
      </c>
      <c r="W2047" s="82">
        <f>_xll.qlCalendarAdvance(Calendar,W2046,V2047,"f",FALSE)</f>
        <v>53259</v>
      </c>
      <c r="X2047" s="91">
        <f>_xll.qlCalendarAdvance(Calendar,W2047,NDays&amp;"D")</f>
        <v>53259</v>
      </c>
      <c r="Y2047" s="92" t="e">
        <v>#N/A</v>
      </c>
      <c r="Z2047" s="94" t="e">
        <v>#N/A</v>
      </c>
    </row>
    <row r="2048" spans="22:26" x14ac:dyDescent="0.2">
      <c r="V2048" s="123" t="str">
        <f t="shared" si="42"/>
        <v>1w</v>
      </c>
      <c r="W2048" s="82">
        <f>_xll.qlCalendarAdvance(Calendar,W2047,V2048,"f",FALSE)</f>
        <v>53266</v>
      </c>
      <c r="X2048" s="91">
        <f>_xll.qlCalendarAdvance(Calendar,W2048,NDays&amp;"D")</f>
        <v>53266</v>
      </c>
      <c r="Y2048" s="92" t="e">
        <v>#N/A</v>
      </c>
      <c r="Z2048" s="94" t="e">
        <v>#N/A</v>
      </c>
    </row>
    <row r="2049" spans="22:26" x14ac:dyDescent="0.2">
      <c r="V2049" s="123" t="str">
        <f t="shared" si="42"/>
        <v>1w</v>
      </c>
      <c r="W2049" s="82">
        <f>_xll.qlCalendarAdvance(Calendar,W2048,V2049,"f",FALSE)</f>
        <v>53273</v>
      </c>
      <c r="X2049" s="91">
        <f>_xll.qlCalendarAdvance(Calendar,W2049,NDays&amp;"D")</f>
        <v>53273</v>
      </c>
      <c r="Y2049" s="92" t="e">
        <v>#N/A</v>
      </c>
      <c r="Z2049" s="94" t="e">
        <v>#N/A</v>
      </c>
    </row>
    <row r="2050" spans="22:26" x14ac:dyDescent="0.2">
      <c r="V2050" s="123" t="str">
        <f t="shared" si="42"/>
        <v>1w</v>
      </c>
      <c r="W2050" s="82">
        <f>_xll.qlCalendarAdvance(Calendar,W2049,V2050,"f",FALSE)</f>
        <v>53280</v>
      </c>
      <c r="X2050" s="91">
        <f>_xll.qlCalendarAdvance(Calendar,W2050,NDays&amp;"D")</f>
        <v>53280</v>
      </c>
      <c r="Y2050" s="92" t="e">
        <v>#N/A</v>
      </c>
      <c r="Z2050" s="94" t="e">
        <v>#N/A</v>
      </c>
    </row>
    <row r="2051" spans="22:26" x14ac:dyDescent="0.2">
      <c r="V2051" s="123" t="str">
        <f t="shared" si="42"/>
        <v>1w</v>
      </c>
      <c r="W2051" s="82">
        <f>_xll.qlCalendarAdvance(Calendar,W2050,V2051,"f",FALSE)</f>
        <v>53287</v>
      </c>
      <c r="X2051" s="91">
        <f>_xll.qlCalendarAdvance(Calendar,W2051,NDays&amp;"D")</f>
        <v>53287</v>
      </c>
      <c r="Y2051" s="92" t="e">
        <v>#N/A</v>
      </c>
      <c r="Z2051" s="94" t="e">
        <v>#N/A</v>
      </c>
    </row>
    <row r="2052" spans="22:26" x14ac:dyDescent="0.2">
      <c r="V2052" s="123" t="str">
        <f t="shared" si="42"/>
        <v>1w</v>
      </c>
      <c r="W2052" s="82">
        <f>_xll.qlCalendarAdvance(Calendar,W2051,V2052,"f",FALSE)</f>
        <v>53294</v>
      </c>
      <c r="X2052" s="91">
        <f>_xll.qlCalendarAdvance(Calendar,W2052,NDays&amp;"D")</f>
        <v>53294</v>
      </c>
      <c r="Y2052" s="92" t="e">
        <v>#N/A</v>
      </c>
      <c r="Z2052" s="94" t="e">
        <v>#N/A</v>
      </c>
    </row>
    <row r="2053" spans="22:26" x14ac:dyDescent="0.2">
      <c r="V2053" s="123" t="str">
        <f t="shared" si="42"/>
        <v>1w</v>
      </c>
      <c r="W2053" s="82">
        <f>_xll.qlCalendarAdvance(Calendar,W2052,V2053,"f",FALSE)</f>
        <v>53301</v>
      </c>
      <c r="X2053" s="91">
        <f>_xll.qlCalendarAdvance(Calendar,W2053,NDays&amp;"D")</f>
        <v>53301</v>
      </c>
      <c r="Y2053" s="92" t="e">
        <v>#N/A</v>
      </c>
      <c r="Z2053" s="94" t="e">
        <v>#N/A</v>
      </c>
    </row>
    <row r="2054" spans="22:26" x14ac:dyDescent="0.2">
      <c r="V2054" s="123" t="str">
        <f t="shared" si="42"/>
        <v>1w</v>
      </c>
      <c r="W2054" s="82">
        <f>_xll.qlCalendarAdvance(Calendar,W2053,V2054,"f",FALSE)</f>
        <v>53308</v>
      </c>
      <c r="X2054" s="91">
        <f>_xll.qlCalendarAdvance(Calendar,W2054,NDays&amp;"D")</f>
        <v>53308</v>
      </c>
      <c r="Y2054" s="92" t="e">
        <v>#N/A</v>
      </c>
      <c r="Z2054" s="94" t="e">
        <v>#N/A</v>
      </c>
    </row>
    <row r="2055" spans="22:26" x14ac:dyDescent="0.2">
      <c r="V2055" s="123" t="str">
        <f t="shared" si="42"/>
        <v>1w</v>
      </c>
      <c r="W2055" s="82">
        <f>_xll.qlCalendarAdvance(Calendar,W2054,V2055,"f",FALSE)</f>
        <v>53315</v>
      </c>
      <c r="X2055" s="91">
        <f>_xll.qlCalendarAdvance(Calendar,W2055,NDays&amp;"D")</f>
        <v>53315</v>
      </c>
      <c r="Y2055" s="92" t="e">
        <v>#N/A</v>
      </c>
      <c r="Z2055" s="94" t="e">
        <v>#N/A</v>
      </c>
    </row>
    <row r="2056" spans="22:26" x14ac:dyDescent="0.2">
      <c r="V2056" s="123" t="str">
        <f t="shared" si="42"/>
        <v>1w</v>
      </c>
      <c r="W2056" s="82">
        <f>_xll.qlCalendarAdvance(Calendar,W2055,V2056,"f",FALSE)</f>
        <v>53323</v>
      </c>
      <c r="X2056" s="91">
        <f>_xll.qlCalendarAdvance(Calendar,W2056,NDays&amp;"D")</f>
        <v>53323</v>
      </c>
      <c r="Y2056" s="92" t="e">
        <v>#N/A</v>
      </c>
      <c r="Z2056" s="94" t="e">
        <v>#N/A</v>
      </c>
    </row>
    <row r="2057" spans="22:26" x14ac:dyDescent="0.2">
      <c r="V2057" s="123" t="str">
        <f t="shared" si="42"/>
        <v>1w</v>
      </c>
      <c r="W2057" s="82">
        <f>_xll.qlCalendarAdvance(Calendar,W2056,V2057,"f",FALSE)</f>
        <v>53330</v>
      </c>
      <c r="X2057" s="91">
        <f>_xll.qlCalendarAdvance(Calendar,W2057,NDays&amp;"D")</f>
        <v>53330</v>
      </c>
      <c r="Y2057" s="92" t="e">
        <v>#N/A</v>
      </c>
      <c r="Z2057" s="94" t="e">
        <v>#N/A</v>
      </c>
    </row>
    <row r="2058" spans="22:26" x14ac:dyDescent="0.2">
      <c r="V2058" s="123" t="str">
        <f t="shared" si="42"/>
        <v>1w</v>
      </c>
      <c r="W2058" s="82">
        <f>_xll.qlCalendarAdvance(Calendar,W2057,V2058,"f",FALSE)</f>
        <v>53337</v>
      </c>
      <c r="X2058" s="91">
        <f>_xll.qlCalendarAdvance(Calendar,W2058,NDays&amp;"D")</f>
        <v>53337</v>
      </c>
      <c r="Y2058" s="92" t="e">
        <v>#N/A</v>
      </c>
      <c r="Z2058" s="94" t="e">
        <v>#N/A</v>
      </c>
    </row>
    <row r="2059" spans="22:26" x14ac:dyDescent="0.2">
      <c r="V2059" s="123" t="str">
        <f t="shared" si="42"/>
        <v>1w</v>
      </c>
      <c r="W2059" s="82">
        <f>_xll.qlCalendarAdvance(Calendar,W2058,V2059,"f",FALSE)</f>
        <v>53344</v>
      </c>
      <c r="X2059" s="91">
        <f>_xll.qlCalendarAdvance(Calendar,W2059,NDays&amp;"D")</f>
        <v>53344</v>
      </c>
      <c r="Y2059" s="92" t="e">
        <v>#N/A</v>
      </c>
      <c r="Z2059" s="94" t="e">
        <v>#N/A</v>
      </c>
    </row>
    <row r="2060" spans="22:26" x14ac:dyDescent="0.2">
      <c r="V2060" s="123" t="str">
        <f t="shared" si="42"/>
        <v>1w</v>
      </c>
      <c r="W2060" s="82">
        <f>_xll.qlCalendarAdvance(Calendar,W2059,V2060,"f",FALSE)</f>
        <v>53351</v>
      </c>
      <c r="X2060" s="91">
        <f>_xll.qlCalendarAdvance(Calendar,W2060,NDays&amp;"D")</f>
        <v>53351</v>
      </c>
      <c r="Y2060" s="92" t="e">
        <v>#N/A</v>
      </c>
      <c r="Z2060" s="94" t="e">
        <v>#N/A</v>
      </c>
    </row>
    <row r="2061" spans="22:26" x14ac:dyDescent="0.2">
      <c r="V2061" s="123" t="str">
        <f t="shared" si="42"/>
        <v>1w</v>
      </c>
      <c r="W2061" s="82">
        <f>_xll.qlCalendarAdvance(Calendar,W2060,V2061,"f",FALSE)</f>
        <v>53358</v>
      </c>
      <c r="X2061" s="91">
        <f>_xll.qlCalendarAdvance(Calendar,W2061,NDays&amp;"D")</f>
        <v>53358</v>
      </c>
      <c r="Y2061" s="92" t="e">
        <v>#N/A</v>
      </c>
      <c r="Z2061" s="94" t="e">
        <v>#N/A</v>
      </c>
    </row>
    <row r="2062" spans="22:26" x14ac:dyDescent="0.2">
      <c r="V2062" s="123" t="str">
        <f t="shared" si="42"/>
        <v>1w</v>
      </c>
      <c r="W2062" s="82">
        <f>_xll.qlCalendarAdvance(Calendar,W2061,V2062,"f",FALSE)</f>
        <v>53365</v>
      </c>
      <c r="X2062" s="91">
        <f>_xll.qlCalendarAdvance(Calendar,W2062,NDays&amp;"D")</f>
        <v>53365</v>
      </c>
      <c r="Y2062" s="92" t="e">
        <v>#N/A</v>
      </c>
      <c r="Z2062" s="94" t="e">
        <v>#N/A</v>
      </c>
    </row>
    <row r="2063" spans="22:26" x14ac:dyDescent="0.2">
      <c r="V2063" s="123" t="str">
        <f t="shared" si="42"/>
        <v>1w</v>
      </c>
      <c r="W2063" s="82">
        <f>_xll.qlCalendarAdvance(Calendar,W2062,V2063,"f",FALSE)</f>
        <v>53372</v>
      </c>
      <c r="X2063" s="91">
        <f>_xll.qlCalendarAdvance(Calendar,W2063,NDays&amp;"D")</f>
        <v>53372</v>
      </c>
      <c r="Y2063" s="92" t="e">
        <v>#N/A</v>
      </c>
      <c r="Z2063" s="94" t="e">
        <v>#N/A</v>
      </c>
    </row>
    <row r="2064" spans="22:26" x14ac:dyDescent="0.2">
      <c r="V2064" s="123" t="str">
        <f t="shared" si="42"/>
        <v>1w</v>
      </c>
      <c r="W2064" s="82">
        <f>_xll.qlCalendarAdvance(Calendar,W2063,V2064,"f",FALSE)</f>
        <v>53379</v>
      </c>
      <c r="X2064" s="91">
        <f>_xll.qlCalendarAdvance(Calendar,W2064,NDays&amp;"D")</f>
        <v>53379</v>
      </c>
      <c r="Y2064" s="92" t="e">
        <v>#N/A</v>
      </c>
      <c r="Z2064" s="94" t="e">
        <v>#N/A</v>
      </c>
    </row>
    <row r="2065" spans="22:26" x14ac:dyDescent="0.2">
      <c r="V2065" s="123" t="str">
        <f t="shared" si="42"/>
        <v>1w</v>
      </c>
      <c r="W2065" s="82">
        <f>_xll.qlCalendarAdvance(Calendar,W2064,V2065,"f",FALSE)</f>
        <v>53386</v>
      </c>
      <c r="X2065" s="91">
        <f>_xll.qlCalendarAdvance(Calendar,W2065,NDays&amp;"D")</f>
        <v>53386</v>
      </c>
      <c r="Y2065" s="92" t="e">
        <v>#N/A</v>
      </c>
      <c r="Z2065" s="94" t="e">
        <v>#N/A</v>
      </c>
    </row>
    <row r="2066" spans="22:26" x14ac:dyDescent="0.2">
      <c r="V2066" s="123" t="str">
        <f t="shared" si="42"/>
        <v>1w</v>
      </c>
      <c r="W2066" s="82">
        <f>_xll.qlCalendarAdvance(Calendar,W2065,V2066,"f",FALSE)</f>
        <v>53393</v>
      </c>
      <c r="X2066" s="91">
        <f>_xll.qlCalendarAdvance(Calendar,W2066,NDays&amp;"D")</f>
        <v>53393</v>
      </c>
      <c r="Y2066" s="92" t="e">
        <v>#N/A</v>
      </c>
      <c r="Z2066" s="94" t="e">
        <v>#N/A</v>
      </c>
    </row>
    <row r="2067" spans="22:26" x14ac:dyDescent="0.2">
      <c r="V2067" s="123" t="str">
        <f t="shared" si="42"/>
        <v>1w</v>
      </c>
      <c r="W2067" s="82">
        <f>_xll.qlCalendarAdvance(Calendar,W2066,V2067,"f",FALSE)</f>
        <v>53400</v>
      </c>
      <c r="X2067" s="91">
        <f>_xll.qlCalendarAdvance(Calendar,W2067,NDays&amp;"D")</f>
        <v>53400</v>
      </c>
      <c r="Y2067" s="92" t="e">
        <v>#N/A</v>
      </c>
      <c r="Z2067" s="94" t="e">
        <v>#N/A</v>
      </c>
    </row>
    <row r="2068" spans="22:26" x14ac:dyDescent="0.2">
      <c r="V2068" s="123" t="str">
        <f t="shared" si="42"/>
        <v>1w</v>
      </c>
      <c r="W2068" s="82">
        <f>_xll.qlCalendarAdvance(Calendar,W2067,V2068,"f",FALSE)</f>
        <v>53407</v>
      </c>
      <c r="X2068" s="91">
        <f>_xll.qlCalendarAdvance(Calendar,W2068,NDays&amp;"D")</f>
        <v>53407</v>
      </c>
      <c r="Y2068" s="92" t="e">
        <v>#N/A</v>
      </c>
      <c r="Z2068" s="94" t="e">
        <v>#N/A</v>
      </c>
    </row>
    <row r="2069" spans="22:26" x14ac:dyDescent="0.2">
      <c r="V2069" s="123" t="str">
        <f t="shared" ref="V2069:V2132" si="43">V2068</f>
        <v>1w</v>
      </c>
      <c r="W2069" s="82">
        <f>_xll.qlCalendarAdvance(Calendar,W2068,V2069,"f",FALSE)</f>
        <v>53414</v>
      </c>
      <c r="X2069" s="91">
        <f>_xll.qlCalendarAdvance(Calendar,W2069,NDays&amp;"D")</f>
        <v>53414</v>
      </c>
      <c r="Y2069" s="92" t="e">
        <v>#N/A</v>
      </c>
      <c r="Z2069" s="94" t="e">
        <v>#N/A</v>
      </c>
    </row>
    <row r="2070" spans="22:26" x14ac:dyDescent="0.2">
      <c r="V2070" s="123" t="str">
        <f t="shared" si="43"/>
        <v>1w</v>
      </c>
      <c r="W2070" s="82">
        <f>_xll.qlCalendarAdvance(Calendar,W2069,V2070,"f",FALSE)</f>
        <v>53421</v>
      </c>
      <c r="X2070" s="91">
        <f>_xll.qlCalendarAdvance(Calendar,W2070,NDays&amp;"D")</f>
        <v>53421</v>
      </c>
      <c r="Y2070" s="92" t="e">
        <v>#N/A</v>
      </c>
      <c r="Z2070" s="94" t="e">
        <v>#N/A</v>
      </c>
    </row>
    <row r="2071" spans="22:26" x14ac:dyDescent="0.2">
      <c r="V2071" s="123" t="str">
        <f t="shared" si="43"/>
        <v>1w</v>
      </c>
      <c r="W2071" s="82">
        <f>_xll.qlCalendarAdvance(Calendar,W2070,V2071,"f",FALSE)</f>
        <v>53428</v>
      </c>
      <c r="X2071" s="91">
        <f>_xll.qlCalendarAdvance(Calendar,W2071,NDays&amp;"D")</f>
        <v>53428</v>
      </c>
      <c r="Y2071" s="92" t="e">
        <v>#N/A</v>
      </c>
      <c r="Z2071" s="94" t="e">
        <v>#N/A</v>
      </c>
    </row>
    <row r="2072" spans="22:26" x14ac:dyDescent="0.2">
      <c r="V2072" s="123" t="str">
        <f t="shared" si="43"/>
        <v>1w</v>
      </c>
      <c r="W2072" s="82">
        <f>_xll.qlCalendarAdvance(Calendar,W2071,V2072,"f",FALSE)</f>
        <v>53435</v>
      </c>
      <c r="X2072" s="91">
        <f>_xll.qlCalendarAdvance(Calendar,W2072,NDays&amp;"D")</f>
        <v>53435</v>
      </c>
      <c r="Y2072" s="92" t="e">
        <v>#N/A</v>
      </c>
      <c r="Z2072" s="94" t="e">
        <v>#N/A</v>
      </c>
    </row>
    <row r="2073" spans="22:26" x14ac:dyDescent="0.2">
      <c r="V2073" s="123" t="str">
        <f t="shared" si="43"/>
        <v>1w</v>
      </c>
      <c r="W2073" s="82">
        <f>_xll.qlCalendarAdvance(Calendar,W2072,V2073,"f",FALSE)</f>
        <v>53442</v>
      </c>
      <c r="X2073" s="91">
        <f>_xll.qlCalendarAdvance(Calendar,W2073,NDays&amp;"D")</f>
        <v>53442</v>
      </c>
      <c r="Y2073" s="92" t="e">
        <v>#N/A</v>
      </c>
      <c r="Z2073" s="94" t="e">
        <v>#N/A</v>
      </c>
    </row>
    <row r="2074" spans="22:26" x14ac:dyDescent="0.2">
      <c r="V2074" s="123" t="str">
        <f t="shared" si="43"/>
        <v>1w</v>
      </c>
      <c r="W2074" s="82">
        <f>_xll.qlCalendarAdvance(Calendar,W2073,V2074,"f",FALSE)</f>
        <v>53449</v>
      </c>
      <c r="X2074" s="91">
        <f>_xll.qlCalendarAdvance(Calendar,W2074,NDays&amp;"D")</f>
        <v>53449</v>
      </c>
      <c r="Y2074" s="92" t="e">
        <v>#N/A</v>
      </c>
      <c r="Z2074" s="94" t="e">
        <v>#N/A</v>
      </c>
    </row>
    <row r="2075" spans="22:26" x14ac:dyDescent="0.2">
      <c r="V2075" s="123" t="str">
        <f t="shared" si="43"/>
        <v>1w</v>
      </c>
      <c r="W2075" s="82">
        <f>_xll.qlCalendarAdvance(Calendar,W2074,V2075,"f",FALSE)</f>
        <v>53456</v>
      </c>
      <c r="X2075" s="91">
        <f>_xll.qlCalendarAdvance(Calendar,W2075,NDays&amp;"D")</f>
        <v>53456</v>
      </c>
      <c r="Y2075" s="92" t="e">
        <v>#N/A</v>
      </c>
      <c r="Z2075" s="94" t="e">
        <v>#N/A</v>
      </c>
    </row>
    <row r="2076" spans="22:26" x14ac:dyDescent="0.2">
      <c r="V2076" s="123" t="str">
        <f t="shared" si="43"/>
        <v>1w</v>
      </c>
      <c r="W2076" s="82">
        <f>_xll.qlCalendarAdvance(Calendar,W2075,V2076,"f",FALSE)</f>
        <v>53463</v>
      </c>
      <c r="X2076" s="91">
        <f>_xll.qlCalendarAdvance(Calendar,W2076,NDays&amp;"D")</f>
        <v>53463</v>
      </c>
      <c r="Y2076" s="92" t="e">
        <v>#N/A</v>
      </c>
      <c r="Z2076" s="94" t="e">
        <v>#N/A</v>
      </c>
    </row>
    <row r="2077" spans="22:26" x14ac:dyDescent="0.2">
      <c r="V2077" s="123" t="str">
        <f t="shared" si="43"/>
        <v>1w</v>
      </c>
      <c r="W2077" s="82">
        <f>_xll.qlCalendarAdvance(Calendar,W2076,V2077,"f",FALSE)</f>
        <v>53470</v>
      </c>
      <c r="X2077" s="91">
        <f>_xll.qlCalendarAdvance(Calendar,W2077,NDays&amp;"D")</f>
        <v>53470</v>
      </c>
      <c r="Y2077" s="92" t="e">
        <v>#N/A</v>
      </c>
      <c r="Z2077" s="94" t="e">
        <v>#N/A</v>
      </c>
    </row>
    <row r="2078" spans="22:26" x14ac:dyDescent="0.2">
      <c r="V2078" s="123" t="str">
        <f t="shared" si="43"/>
        <v>1w</v>
      </c>
      <c r="W2078" s="82">
        <f>_xll.qlCalendarAdvance(Calendar,W2077,V2078,"f",FALSE)</f>
        <v>53477</v>
      </c>
      <c r="X2078" s="91">
        <f>_xll.qlCalendarAdvance(Calendar,W2078,NDays&amp;"D")</f>
        <v>53477</v>
      </c>
      <c r="Y2078" s="92" t="e">
        <v>#N/A</v>
      </c>
      <c r="Z2078" s="94" t="e">
        <v>#N/A</v>
      </c>
    </row>
    <row r="2079" spans="22:26" x14ac:dyDescent="0.2">
      <c r="V2079" s="123" t="str">
        <f t="shared" si="43"/>
        <v>1w</v>
      </c>
      <c r="W2079" s="82">
        <f>_xll.qlCalendarAdvance(Calendar,W2078,V2079,"f",FALSE)</f>
        <v>53484</v>
      </c>
      <c r="X2079" s="91">
        <f>_xll.qlCalendarAdvance(Calendar,W2079,NDays&amp;"D")</f>
        <v>53484</v>
      </c>
      <c r="Y2079" s="92" t="e">
        <v>#N/A</v>
      </c>
      <c r="Z2079" s="94" t="e">
        <v>#N/A</v>
      </c>
    </row>
    <row r="2080" spans="22:26" x14ac:dyDescent="0.2">
      <c r="V2080" s="123" t="str">
        <f t="shared" si="43"/>
        <v>1w</v>
      </c>
      <c r="W2080" s="82">
        <f>_xll.qlCalendarAdvance(Calendar,W2079,V2080,"f",FALSE)</f>
        <v>53491</v>
      </c>
      <c r="X2080" s="91">
        <f>_xll.qlCalendarAdvance(Calendar,W2080,NDays&amp;"D")</f>
        <v>53491</v>
      </c>
      <c r="Y2080" s="92" t="e">
        <v>#N/A</v>
      </c>
      <c r="Z2080" s="94" t="e">
        <v>#N/A</v>
      </c>
    </row>
    <row r="2081" spans="22:26" x14ac:dyDescent="0.2">
      <c r="V2081" s="123" t="str">
        <f t="shared" si="43"/>
        <v>1w</v>
      </c>
      <c r="W2081" s="82">
        <f>_xll.qlCalendarAdvance(Calendar,W2080,V2081,"f",FALSE)</f>
        <v>53498</v>
      </c>
      <c r="X2081" s="91">
        <f>_xll.qlCalendarAdvance(Calendar,W2081,NDays&amp;"D")</f>
        <v>53498</v>
      </c>
      <c r="Y2081" s="92" t="e">
        <v>#N/A</v>
      </c>
      <c r="Z2081" s="94" t="e">
        <v>#N/A</v>
      </c>
    </row>
    <row r="2082" spans="22:26" x14ac:dyDescent="0.2">
      <c r="V2082" s="123" t="str">
        <f t="shared" si="43"/>
        <v>1w</v>
      </c>
      <c r="W2082" s="82">
        <f>_xll.qlCalendarAdvance(Calendar,W2081,V2082,"f",FALSE)</f>
        <v>53505</v>
      </c>
      <c r="X2082" s="91">
        <f>_xll.qlCalendarAdvance(Calendar,W2082,NDays&amp;"D")</f>
        <v>53505</v>
      </c>
      <c r="Y2082" s="92" t="e">
        <v>#N/A</v>
      </c>
      <c r="Z2082" s="94" t="e">
        <v>#N/A</v>
      </c>
    </row>
    <row r="2083" spans="22:26" x14ac:dyDescent="0.2">
      <c r="V2083" s="123" t="str">
        <f t="shared" si="43"/>
        <v>1w</v>
      </c>
      <c r="W2083" s="82">
        <f>_xll.qlCalendarAdvance(Calendar,W2082,V2083,"f",FALSE)</f>
        <v>53512</v>
      </c>
      <c r="X2083" s="91">
        <f>_xll.qlCalendarAdvance(Calendar,W2083,NDays&amp;"D")</f>
        <v>53512</v>
      </c>
      <c r="Y2083" s="92" t="e">
        <v>#N/A</v>
      </c>
      <c r="Z2083" s="94" t="e">
        <v>#N/A</v>
      </c>
    </row>
    <row r="2084" spans="22:26" x14ac:dyDescent="0.2">
      <c r="V2084" s="123" t="str">
        <f t="shared" si="43"/>
        <v>1w</v>
      </c>
      <c r="W2084" s="82">
        <f>_xll.qlCalendarAdvance(Calendar,W2083,V2084,"f",FALSE)</f>
        <v>53519</v>
      </c>
      <c r="X2084" s="91">
        <f>_xll.qlCalendarAdvance(Calendar,W2084,NDays&amp;"D")</f>
        <v>53519</v>
      </c>
      <c r="Y2084" s="92" t="e">
        <v>#N/A</v>
      </c>
      <c r="Z2084" s="94" t="e">
        <v>#N/A</v>
      </c>
    </row>
    <row r="2085" spans="22:26" x14ac:dyDescent="0.2">
      <c r="V2085" s="123" t="str">
        <f t="shared" si="43"/>
        <v>1w</v>
      </c>
      <c r="W2085" s="82">
        <f>_xll.qlCalendarAdvance(Calendar,W2084,V2085,"f",FALSE)</f>
        <v>53526</v>
      </c>
      <c r="X2085" s="91">
        <f>_xll.qlCalendarAdvance(Calendar,W2085,NDays&amp;"D")</f>
        <v>53526</v>
      </c>
      <c r="Y2085" s="92" t="e">
        <v>#N/A</v>
      </c>
      <c r="Z2085" s="94" t="e">
        <v>#N/A</v>
      </c>
    </row>
    <row r="2086" spans="22:26" x14ac:dyDescent="0.2">
      <c r="V2086" s="123" t="str">
        <f t="shared" si="43"/>
        <v>1w</v>
      </c>
      <c r="W2086" s="82">
        <f>_xll.qlCalendarAdvance(Calendar,W2085,V2086,"f",FALSE)</f>
        <v>53533</v>
      </c>
      <c r="X2086" s="91">
        <f>_xll.qlCalendarAdvance(Calendar,W2086,NDays&amp;"D")</f>
        <v>53533</v>
      </c>
      <c r="Y2086" s="92" t="e">
        <v>#N/A</v>
      </c>
      <c r="Z2086" s="94" t="e">
        <v>#N/A</v>
      </c>
    </row>
    <row r="2087" spans="22:26" x14ac:dyDescent="0.2">
      <c r="V2087" s="123" t="str">
        <f t="shared" si="43"/>
        <v>1w</v>
      </c>
      <c r="W2087" s="82">
        <f>_xll.qlCalendarAdvance(Calendar,W2086,V2087,"f",FALSE)</f>
        <v>53540</v>
      </c>
      <c r="X2087" s="91">
        <f>_xll.qlCalendarAdvance(Calendar,W2087,NDays&amp;"D")</f>
        <v>53540</v>
      </c>
      <c r="Y2087" s="92" t="e">
        <v>#N/A</v>
      </c>
      <c r="Z2087" s="94" t="e">
        <v>#N/A</v>
      </c>
    </row>
    <row r="2088" spans="22:26" x14ac:dyDescent="0.2">
      <c r="V2088" s="123" t="str">
        <f t="shared" si="43"/>
        <v>1w</v>
      </c>
      <c r="W2088" s="82">
        <f>_xll.qlCalendarAdvance(Calendar,W2087,V2088,"f",FALSE)</f>
        <v>53547</v>
      </c>
      <c r="X2088" s="91">
        <f>_xll.qlCalendarAdvance(Calendar,W2088,NDays&amp;"D")</f>
        <v>53547</v>
      </c>
      <c r="Y2088" s="92" t="e">
        <v>#N/A</v>
      </c>
      <c r="Z2088" s="94" t="e">
        <v>#N/A</v>
      </c>
    </row>
    <row r="2089" spans="22:26" x14ac:dyDescent="0.2">
      <c r="V2089" s="123" t="str">
        <f t="shared" si="43"/>
        <v>1w</v>
      </c>
      <c r="W2089" s="82">
        <f>_xll.qlCalendarAdvance(Calendar,W2088,V2089,"f",FALSE)</f>
        <v>53554</v>
      </c>
      <c r="X2089" s="91">
        <f>_xll.qlCalendarAdvance(Calendar,W2089,NDays&amp;"D")</f>
        <v>53554</v>
      </c>
      <c r="Y2089" s="92" t="e">
        <v>#N/A</v>
      </c>
      <c r="Z2089" s="94" t="e">
        <v>#N/A</v>
      </c>
    </row>
    <row r="2090" spans="22:26" x14ac:dyDescent="0.2">
      <c r="V2090" s="123" t="str">
        <f t="shared" si="43"/>
        <v>1w</v>
      </c>
      <c r="W2090" s="82">
        <f>_xll.qlCalendarAdvance(Calendar,W2089,V2090,"f",FALSE)</f>
        <v>53561</v>
      </c>
      <c r="X2090" s="91">
        <f>_xll.qlCalendarAdvance(Calendar,W2090,NDays&amp;"D")</f>
        <v>53561</v>
      </c>
      <c r="Y2090" s="92" t="e">
        <v>#N/A</v>
      </c>
      <c r="Z2090" s="94" t="e">
        <v>#N/A</v>
      </c>
    </row>
    <row r="2091" spans="22:26" x14ac:dyDescent="0.2">
      <c r="V2091" s="123" t="str">
        <f t="shared" si="43"/>
        <v>1w</v>
      </c>
      <c r="W2091" s="82">
        <f>_xll.qlCalendarAdvance(Calendar,W2090,V2091,"f",FALSE)</f>
        <v>53568</v>
      </c>
      <c r="X2091" s="91">
        <f>_xll.qlCalendarAdvance(Calendar,W2091,NDays&amp;"D")</f>
        <v>53568</v>
      </c>
      <c r="Y2091" s="92" t="e">
        <v>#N/A</v>
      </c>
      <c r="Z2091" s="94" t="e">
        <v>#N/A</v>
      </c>
    </row>
    <row r="2092" spans="22:26" x14ac:dyDescent="0.2">
      <c r="V2092" s="123" t="str">
        <f t="shared" si="43"/>
        <v>1w</v>
      </c>
      <c r="W2092" s="82">
        <f>_xll.qlCalendarAdvance(Calendar,W2091,V2092,"f",FALSE)</f>
        <v>53575</v>
      </c>
      <c r="X2092" s="91">
        <f>_xll.qlCalendarAdvance(Calendar,W2092,NDays&amp;"D")</f>
        <v>53575</v>
      </c>
      <c r="Y2092" s="92" t="e">
        <v>#N/A</v>
      </c>
      <c r="Z2092" s="94" t="e">
        <v>#N/A</v>
      </c>
    </row>
    <row r="2093" spans="22:26" x14ac:dyDescent="0.2">
      <c r="V2093" s="123" t="str">
        <f t="shared" si="43"/>
        <v>1w</v>
      </c>
      <c r="W2093" s="82">
        <f>_xll.qlCalendarAdvance(Calendar,W2092,V2093,"f",FALSE)</f>
        <v>53582</v>
      </c>
      <c r="X2093" s="91">
        <f>_xll.qlCalendarAdvance(Calendar,W2093,NDays&amp;"D")</f>
        <v>53582</v>
      </c>
      <c r="Y2093" s="92" t="e">
        <v>#N/A</v>
      </c>
      <c r="Z2093" s="94" t="e">
        <v>#N/A</v>
      </c>
    </row>
    <row r="2094" spans="22:26" x14ac:dyDescent="0.2">
      <c r="V2094" s="123" t="str">
        <f t="shared" si="43"/>
        <v>1w</v>
      </c>
      <c r="W2094" s="82">
        <f>_xll.qlCalendarAdvance(Calendar,W2093,V2094,"f",FALSE)</f>
        <v>53589</v>
      </c>
      <c r="X2094" s="91">
        <f>_xll.qlCalendarAdvance(Calendar,W2094,NDays&amp;"D")</f>
        <v>53589</v>
      </c>
      <c r="Y2094" s="92" t="e">
        <v>#N/A</v>
      </c>
      <c r="Z2094" s="94" t="e">
        <v>#N/A</v>
      </c>
    </row>
    <row r="2095" spans="22:26" x14ac:dyDescent="0.2">
      <c r="V2095" s="123" t="str">
        <f t="shared" si="43"/>
        <v>1w</v>
      </c>
      <c r="W2095" s="82">
        <f>_xll.qlCalendarAdvance(Calendar,W2094,V2095,"f",FALSE)</f>
        <v>53596</v>
      </c>
      <c r="X2095" s="91">
        <f>_xll.qlCalendarAdvance(Calendar,W2095,NDays&amp;"D")</f>
        <v>53596</v>
      </c>
      <c r="Y2095" s="92" t="e">
        <v>#N/A</v>
      </c>
      <c r="Z2095" s="94" t="e">
        <v>#N/A</v>
      </c>
    </row>
    <row r="2096" spans="22:26" x14ac:dyDescent="0.2">
      <c r="V2096" s="123" t="str">
        <f t="shared" si="43"/>
        <v>1w</v>
      </c>
      <c r="W2096" s="82">
        <f>_xll.qlCalendarAdvance(Calendar,W2095,V2096,"f",FALSE)</f>
        <v>53603</v>
      </c>
      <c r="X2096" s="91">
        <f>_xll.qlCalendarAdvance(Calendar,W2096,NDays&amp;"D")</f>
        <v>53603</v>
      </c>
      <c r="Y2096" s="92" t="e">
        <v>#N/A</v>
      </c>
      <c r="Z2096" s="94" t="e">
        <v>#N/A</v>
      </c>
    </row>
    <row r="2097" spans="22:26" x14ac:dyDescent="0.2">
      <c r="V2097" s="123" t="str">
        <f t="shared" si="43"/>
        <v>1w</v>
      </c>
      <c r="W2097" s="82">
        <f>_xll.qlCalendarAdvance(Calendar,W2096,V2097,"f",FALSE)</f>
        <v>53610</v>
      </c>
      <c r="X2097" s="91">
        <f>_xll.qlCalendarAdvance(Calendar,W2097,NDays&amp;"D")</f>
        <v>53610</v>
      </c>
      <c r="Y2097" s="92" t="e">
        <v>#N/A</v>
      </c>
      <c r="Z2097" s="94" t="e">
        <v>#N/A</v>
      </c>
    </row>
    <row r="2098" spans="22:26" x14ac:dyDescent="0.2">
      <c r="V2098" s="123" t="str">
        <f t="shared" si="43"/>
        <v>1w</v>
      </c>
      <c r="W2098" s="82">
        <f>_xll.qlCalendarAdvance(Calendar,W2097,V2098,"f",FALSE)</f>
        <v>53617</v>
      </c>
      <c r="X2098" s="91">
        <f>_xll.qlCalendarAdvance(Calendar,W2098,NDays&amp;"D")</f>
        <v>53617</v>
      </c>
      <c r="Y2098" s="92" t="e">
        <v>#N/A</v>
      </c>
      <c r="Z2098" s="94" t="e">
        <v>#N/A</v>
      </c>
    </row>
    <row r="2099" spans="22:26" x14ac:dyDescent="0.2">
      <c r="V2099" s="123" t="str">
        <f t="shared" si="43"/>
        <v>1w</v>
      </c>
      <c r="W2099" s="82">
        <f>_xll.qlCalendarAdvance(Calendar,W2098,V2099,"f",FALSE)</f>
        <v>53624</v>
      </c>
      <c r="X2099" s="91">
        <f>_xll.qlCalendarAdvance(Calendar,W2099,NDays&amp;"D")</f>
        <v>53624</v>
      </c>
      <c r="Y2099" s="92" t="e">
        <v>#N/A</v>
      </c>
      <c r="Z2099" s="94" t="e">
        <v>#N/A</v>
      </c>
    </row>
    <row r="2100" spans="22:26" x14ac:dyDescent="0.2">
      <c r="V2100" s="123" t="str">
        <f t="shared" si="43"/>
        <v>1w</v>
      </c>
      <c r="W2100" s="82">
        <f>_xll.qlCalendarAdvance(Calendar,W2099,V2100,"f",FALSE)</f>
        <v>53631</v>
      </c>
      <c r="X2100" s="91">
        <f>_xll.qlCalendarAdvance(Calendar,W2100,NDays&amp;"D")</f>
        <v>53631</v>
      </c>
      <c r="Y2100" s="92" t="e">
        <v>#N/A</v>
      </c>
      <c r="Z2100" s="94" t="e">
        <v>#N/A</v>
      </c>
    </row>
    <row r="2101" spans="22:26" x14ac:dyDescent="0.2">
      <c r="V2101" s="123" t="str">
        <f t="shared" si="43"/>
        <v>1w</v>
      </c>
      <c r="W2101" s="82">
        <f>_xll.qlCalendarAdvance(Calendar,W2100,V2101,"f",FALSE)</f>
        <v>53638</v>
      </c>
      <c r="X2101" s="91">
        <f>_xll.qlCalendarAdvance(Calendar,W2101,NDays&amp;"D")</f>
        <v>53638</v>
      </c>
      <c r="Y2101" s="92" t="e">
        <v>#N/A</v>
      </c>
      <c r="Z2101" s="94" t="e">
        <v>#N/A</v>
      </c>
    </row>
    <row r="2102" spans="22:26" x14ac:dyDescent="0.2">
      <c r="V2102" s="123" t="str">
        <f t="shared" si="43"/>
        <v>1w</v>
      </c>
      <c r="W2102" s="82">
        <f>_xll.qlCalendarAdvance(Calendar,W2101,V2102,"f",FALSE)</f>
        <v>53645</v>
      </c>
      <c r="X2102" s="91">
        <f>_xll.qlCalendarAdvance(Calendar,W2102,NDays&amp;"D")</f>
        <v>53645</v>
      </c>
      <c r="Y2102" s="92" t="e">
        <v>#N/A</v>
      </c>
      <c r="Z2102" s="94" t="e">
        <v>#N/A</v>
      </c>
    </row>
    <row r="2103" spans="22:26" x14ac:dyDescent="0.2">
      <c r="V2103" s="123" t="str">
        <f t="shared" si="43"/>
        <v>1w</v>
      </c>
      <c r="W2103" s="82">
        <f>_xll.qlCalendarAdvance(Calendar,W2102,V2103,"f",FALSE)</f>
        <v>53652</v>
      </c>
      <c r="X2103" s="91">
        <f>_xll.qlCalendarAdvance(Calendar,W2103,NDays&amp;"D")</f>
        <v>53652</v>
      </c>
      <c r="Y2103" s="92" t="e">
        <v>#N/A</v>
      </c>
      <c r="Z2103" s="94" t="e">
        <v>#N/A</v>
      </c>
    </row>
    <row r="2104" spans="22:26" x14ac:dyDescent="0.2">
      <c r="V2104" s="123" t="str">
        <f t="shared" si="43"/>
        <v>1w</v>
      </c>
      <c r="W2104" s="82">
        <f>_xll.qlCalendarAdvance(Calendar,W2103,V2104,"f",FALSE)</f>
        <v>53659</v>
      </c>
      <c r="X2104" s="91">
        <f>_xll.qlCalendarAdvance(Calendar,W2104,NDays&amp;"D")</f>
        <v>53659</v>
      </c>
      <c r="Y2104" s="92" t="e">
        <v>#N/A</v>
      </c>
      <c r="Z2104" s="94" t="e">
        <v>#N/A</v>
      </c>
    </row>
    <row r="2105" spans="22:26" x14ac:dyDescent="0.2">
      <c r="V2105" s="123" t="str">
        <f t="shared" si="43"/>
        <v>1w</v>
      </c>
      <c r="W2105" s="82">
        <f>_xll.qlCalendarAdvance(Calendar,W2104,V2105,"f",FALSE)</f>
        <v>53666</v>
      </c>
      <c r="X2105" s="91">
        <f>_xll.qlCalendarAdvance(Calendar,W2105,NDays&amp;"D")</f>
        <v>53666</v>
      </c>
      <c r="Y2105" s="92" t="e">
        <v>#N/A</v>
      </c>
      <c r="Z2105" s="94" t="e">
        <v>#N/A</v>
      </c>
    </row>
    <row r="2106" spans="22:26" x14ac:dyDescent="0.2">
      <c r="V2106" s="123" t="str">
        <f t="shared" si="43"/>
        <v>1w</v>
      </c>
      <c r="W2106" s="82">
        <f>_xll.qlCalendarAdvance(Calendar,W2105,V2106,"f",FALSE)</f>
        <v>53673</v>
      </c>
      <c r="X2106" s="91">
        <f>_xll.qlCalendarAdvance(Calendar,W2106,NDays&amp;"D")</f>
        <v>53673</v>
      </c>
      <c r="Y2106" s="92" t="e">
        <v>#N/A</v>
      </c>
      <c r="Z2106" s="94" t="e">
        <v>#N/A</v>
      </c>
    </row>
    <row r="2107" spans="22:26" x14ac:dyDescent="0.2">
      <c r="V2107" s="123" t="str">
        <f t="shared" si="43"/>
        <v>1w</v>
      </c>
      <c r="W2107" s="82">
        <f>_xll.qlCalendarAdvance(Calendar,W2106,V2107,"f",FALSE)</f>
        <v>53680</v>
      </c>
      <c r="X2107" s="91">
        <f>_xll.qlCalendarAdvance(Calendar,W2107,NDays&amp;"D")</f>
        <v>53680</v>
      </c>
      <c r="Y2107" s="92" t="e">
        <v>#N/A</v>
      </c>
      <c r="Z2107" s="94" t="e">
        <v>#N/A</v>
      </c>
    </row>
    <row r="2108" spans="22:26" x14ac:dyDescent="0.2">
      <c r="V2108" s="123" t="str">
        <f t="shared" si="43"/>
        <v>1w</v>
      </c>
      <c r="W2108" s="82">
        <f>_xll.qlCalendarAdvance(Calendar,W2107,V2108,"f",FALSE)</f>
        <v>53688</v>
      </c>
      <c r="X2108" s="91">
        <f>_xll.qlCalendarAdvance(Calendar,W2108,NDays&amp;"D")</f>
        <v>53688</v>
      </c>
      <c r="Y2108" s="92" t="e">
        <v>#N/A</v>
      </c>
      <c r="Z2108" s="94" t="e">
        <v>#N/A</v>
      </c>
    </row>
    <row r="2109" spans="22:26" x14ac:dyDescent="0.2">
      <c r="V2109" s="123" t="str">
        <f t="shared" si="43"/>
        <v>1w</v>
      </c>
      <c r="W2109" s="82">
        <f>_xll.qlCalendarAdvance(Calendar,W2108,V2109,"f",FALSE)</f>
        <v>53695</v>
      </c>
      <c r="X2109" s="91">
        <f>_xll.qlCalendarAdvance(Calendar,W2109,NDays&amp;"D")</f>
        <v>53695</v>
      </c>
      <c r="Y2109" s="92" t="e">
        <v>#N/A</v>
      </c>
      <c r="Z2109" s="94" t="e">
        <v>#N/A</v>
      </c>
    </row>
    <row r="2110" spans="22:26" x14ac:dyDescent="0.2">
      <c r="V2110" s="123" t="str">
        <f t="shared" si="43"/>
        <v>1w</v>
      </c>
      <c r="W2110" s="82">
        <f>_xll.qlCalendarAdvance(Calendar,W2109,V2110,"f",FALSE)</f>
        <v>53702</v>
      </c>
      <c r="X2110" s="91">
        <f>_xll.qlCalendarAdvance(Calendar,W2110,NDays&amp;"D")</f>
        <v>53702</v>
      </c>
      <c r="Y2110" s="92" t="e">
        <v>#N/A</v>
      </c>
      <c r="Z2110" s="94" t="e">
        <v>#N/A</v>
      </c>
    </row>
    <row r="2111" spans="22:26" x14ac:dyDescent="0.2">
      <c r="V2111" s="123" t="str">
        <f t="shared" si="43"/>
        <v>1w</v>
      </c>
      <c r="W2111" s="82">
        <f>_xll.qlCalendarAdvance(Calendar,W2110,V2111,"f",FALSE)</f>
        <v>53709</v>
      </c>
      <c r="X2111" s="91">
        <f>_xll.qlCalendarAdvance(Calendar,W2111,NDays&amp;"D")</f>
        <v>53709</v>
      </c>
      <c r="Y2111" s="92" t="e">
        <v>#N/A</v>
      </c>
      <c r="Z2111" s="94" t="e">
        <v>#N/A</v>
      </c>
    </row>
    <row r="2112" spans="22:26" x14ac:dyDescent="0.2">
      <c r="V2112" s="123" t="str">
        <f t="shared" si="43"/>
        <v>1w</v>
      </c>
      <c r="W2112" s="82">
        <f>_xll.qlCalendarAdvance(Calendar,W2111,V2112,"f",FALSE)</f>
        <v>53716</v>
      </c>
      <c r="X2112" s="91">
        <f>_xll.qlCalendarAdvance(Calendar,W2112,NDays&amp;"D")</f>
        <v>53716</v>
      </c>
      <c r="Y2112" s="92" t="e">
        <v>#N/A</v>
      </c>
      <c r="Z2112" s="94" t="e">
        <v>#N/A</v>
      </c>
    </row>
    <row r="2113" spans="22:26" x14ac:dyDescent="0.2">
      <c r="V2113" s="123" t="str">
        <f t="shared" si="43"/>
        <v>1w</v>
      </c>
      <c r="W2113" s="82">
        <f>_xll.qlCalendarAdvance(Calendar,W2112,V2113,"f",FALSE)</f>
        <v>53723</v>
      </c>
      <c r="X2113" s="91">
        <f>_xll.qlCalendarAdvance(Calendar,W2113,NDays&amp;"D")</f>
        <v>53723</v>
      </c>
      <c r="Y2113" s="92" t="e">
        <v>#N/A</v>
      </c>
      <c r="Z2113" s="94" t="e">
        <v>#N/A</v>
      </c>
    </row>
    <row r="2114" spans="22:26" x14ac:dyDescent="0.2">
      <c r="V2114" s="123" t="str">
        <f t="shared" si="43"/>
        <v>1w</v>
      </c>
      <c r="W2114" s="82">
        <f>_xll.qlCalendarAdvance(Calendar,W2113,V2114,"f",FALSE)</f>
        <v>53730</v>
      </c>
      <c r="X2114" s="91">
        <f>_xll.qlCalendarAdvance(Calendar,W2114,NDays&amp;"D")</f>
        <v>53730</v>
      </c>
      <c r="Y2114" s="92" t="e">
        <v>#N/A</v>
      </c>
      <c r="Z2114" s="94" t="e">
        <v>#N/A</v>
      </c>
    </row>
    <row r="2115" spans="22:26" x14ac:dyDescent="0.2">
      <c r="V2115" s="123" t="str">
        <f t="shared" si="43"/>
        <v>1w</v>
      </c>
      <c r="W2115" s="82">
        <f>_xll.qlCalendarAdvance(Calendar,W2114,V2115,"f",FALSE)</f>
        <v>53737</v>
      </c>
      <c r="X2115" s="91">
        <f>_xll.qlCalendarAdvance(Calendar,W2115,NDays&amp;"D")</f>
        <v>53737</v>
      </c>
      <c r="Y2115" s="92" t="e">
        <v>#N/A</v>
      </c>
      <c r="Z2115" s="94" t="e">
        <v>#N/A</v>
      </c>
    </row>
    <row r="2116" spans="22:26" x14ac:dyDescent="0.2">
      <c r="V2116" s="123" t="str">
        <f t="shared" si="43"/>
        <v>1w</v>
      </c>
      <c r="W2116" s="82">
        <f>_xll.qlCalendarAdvance(Calendar,W2115,V2116,"f",FALSE)</f>
        <v>53744</v>
      </c>
      <c r="X2116" s="91">
        <f>_xll.qlCalendarAdvance(Calendar,W2116,NDays&amp;"D")</f>
        <v>53744</v>
      </c>
      <c r="Y2116" s="92" t="e">
        <v>#N/A</v>
      </c>
      <c r="Z2116" s="94" t="e">
        <v>#N/A</v>
      </c>
    </row>
    <row r="2117" spans="22:26" x14ac:dyDescent="0.2">
      <c r="V2117" s="123" t="str">
        <f t="shared" si="43"/>
        <v>1w</v>
      </c>
      <c r="W2117" s="82">
        <f>_xll.qlCalendarAdvance(Calendar,W2116,V2117,"f",FALSE)</f>
        <v>53751</v>
      </c>
      <c r="X2117" s="91">
        <f>_xll.qlCalendarAdvance(Calendar,W2117,NDays&amp;"D")</f>
        <v>53751</v>
      </c>
      <c r="Y2117" s="92" t="e">
        <v>#N/A</v>
      </c>
      <c r="Z2117" s="94" t="e">
        <v>#N/A</v>
      </c>
    </row>
    <row r="2118" spans="22:26" x14ac:dyDescent="0.2">
      <c r="V2118" s="123" t="str">
        <f t="shared" si="43"/>
        <v>1w</v>
      </c>
      <c r="W2118" s="82">
        <f>_xll.qlCalendarAdvance(Calendar,W2117,V2118,"f",FALSE)</f>
        <v>53758</v>
      </c>
      <c r="X2118" s="91">
        <f>_xll.qlCalendarAdvance(Calendar,W2118,NDays&amp;"D")</f>
        <v>53758</v>
      </c>
      <c r="Y2118" s="92" t="e">
        <v>#N/A</v>
      </c>
      <c r="Z2118" s="94" t="e">
        <v>#N/A</v>
      </c>
    </row>
    <row r="2119" spans="22:26" x14ac:dyDescent="0.2">
      <c r="V2119" s="123" t="str">
        <f t="shared" si="43"/>
        <v>1w</v>
      </c>
      <c r="W2119" s="82">
        <f>_xll.qlCalendarAdvance(Calendar,W2118,V2119,"f",FALSE)</f>
        <v>53765</v>
      </c>
      <c r="X2119" s="91">
        <f>_xll.qlCalendarAdvance(Calendar,W2119,NDays&amp;"D")</f>
        <v>53765</v>
      </c>
      <c r="Y2119" s="92" t="e">
        <v>#N/A</v>
      </c>
      <c r="Z2119" s="94" t="e">
        <v>#N/A</v>
      </c>
    </row>
    <row r="2120" spans="22:26" x14ac:dyDescent="0.2">
      <c r="V2120" s="123" t="str">
        <f t="shared" si="43"/>
        <v>1w</v>
      </c>
      <c r="W2120" s="82">
        <f>_xll.qlCalendarAdvance(Calendar,W2119,V2120,"f",FALSE)</f>
        <v>53772</v>
      </c>
      <c r="X2120" s="91">
        <f>_xll.qlCalendarAdvance(Calendar,W2120,NDays&amp;"D")</f>
        <v>53772</v>
      </c>
      <c r="Y2120" s="92" t="e">
        <v>#N/A</v>
      </c>
      <c r="Z2120" s="94" t="e">
        <v>#N/A</v>
      </c>
    </row>
    <row r="2121" spans="22:26" x14ac:dyDescent="0.2">
      <c r="V2121" s="123" t="str">
        <f t="shared" si="43"/>
        <v>1w</v>
      </c>
      <c r="W2121" s="82">
        <f>_xll.qlCalendarAdvance(Calendar,W2120,V2121,"f",FALSE)</f>
        <v>53779</v>
      </c>
      <c r="X2121" s="91">
        <f>_xll.qlCalendarAdvance(Calendar,W2121,NDays&amp;"D")</f>
        <v>53779</v>
      </c>
      <c r="Y2121" s="92" t="e">
        <v>#N/A</v>
      </c>
      <c r="Z2121" s="94" t="e">
        <v>#N/A</v>
      </c>
    </row>
    <row r="2122" spans="22:26" x14ac:dyDescent="0.2">
      <c r="V2122" s="123" t="str">
        <f t="shared" si="43"/>
        <v>1w</v>
      </c>
      <c r="W2122" s="82">
        <f>_xll.qlCalendarAdvance(Calendar,W2121,V2122,"f",FALSE)</f>
        <v>53786</v>
      </c>
      <c r="X2122" s="91">
        <f>_xll.qlCalendarAdvance(Calendar,W2122,NDays&amp;"D")</f>
        <v>53786</v>
      </c>
      <c r="Y2122" s="92" t="e">
        <v>#N/A</v>
      </c>
      <c r="Z2122" s="94" t="e">
        <v>#N/A</v>
      </c>
    </row>
    <row r="2123" spans="22:26" x14ac:dyDescent="0.2">
      <c r="V2123" s="123" t="str">
        <f t="shared" si="43"/>
        <v>1w</v>
      </c>
      <c r="W2123" s="82">
        <f>_xll.qlCalendarAdvance(Calendar,W2122,V2123,"f",FALSE)</f>
        <v>53793</v>
      </c>
      <c r="X2123" s="91">
        <f>_xll.qlCalendarAdvance(Calendar,W2123,NDays&amp;"D")</f>
        <v>53793</v>
      </c>
      <c r="Y2123" s="92" t="e">
        <v>#N/A</v>
      </c>
      <c r="Z2123" s="94" t="e">
        <v>#N/A</v>
      </c>
    </row>
    <row r="2124" spans="22:26" x14ac:dyDescent="0.2">
      <c r="V2124" s="123" t="str">
        <f t="shared" si="43"/>
        <v>1w</v>
      </c>
      <c r="W2124" s="82">
        <f>_xll.qlCalendarAdvance(Calendar,W2123,V2124,"f",FALSE)</f>
        <v>53800</v>
      </c>
      <c r="X2124" s="91">
        <f>_xll.qlCalendarAdvance(Calendar,W2124,NDays&amp;"D")</f>
        <v>53800</v>
      </c>
      <c r="Y2124" s="92" t="e">
        <v>#N/A</v>
      </c>
      <c r="Z2124" s="94" t="e">
        <v>#N/A</v>
      </c>
    </row>
    <row r="2125" spans="22:26" x14ac:dyDescent="0.2">
      <c r="V2125" s="123" t="str">
        <f t="shared" si="43"/>
        <v>1w</v>
      </c>
      <c r="W2125" s="82">
        <f>_xll.qlCalendarAdvance(Calendar,W2124,V2125,"f",FALSE)</f>
        <v>53807</v>
      </c>
      <c r="X2125" s="91">
        <f>_xll.qlCalendarAdvance(Calendar,W2125,NDays&amp;"D")</f>
        <v>53807</v>
      </c>
      <c r="Y2125" s="92" t="e">
        <v>#N/A</v>
      </c>
      <c r="Z2125" s="94" t="e">
        <v>#N/A</v>
      </c>
    </row>
    <row r="2126" spans="22:26" x14ac:dyDescent="0.2">
      <c r="V2126" s="123" t="str">
        <f t="shared" si="43"/>
        <v>1w</v>
      </c>
      <c r="W2126" s="82">
        <f>_xll.qlCalendarAdvance(Calendar,W2125,V2126,"f",FALSE)</f>
        <v>53814</v>
      </c>
      <c r="X2126" s="91">
        <f>_xll.qlCalendarAdvance(Calendar,W2126,NDays&amp;"D")</f>
        <v>53814</v>
      </c>
      <c r="Y2126" s="92" t="e">
        <v>#N/A</v>
      </c>
      <c r="Z2126" s="94" t="e">
        <v>#N/A</v>
      </c>
    </row>
    <row r="2127" spans="22:26" x14ac:dyDescent="0.2">
      <c r="V2127" s="123" t="str">
        <f t="shared" si="43"/>
        <v>1w</v>
      </c>
      <c r="W2127" s="82">
        <f>_xll.qlCalendarAdvance(Calendar,W2126,V2127,"f",FALSE)</f>
        <v>53821</v>
      </c>
      <c r="X2127" s="91">
        <f>_xll.qlCalendarAdvance(Calendar,W2127,NDays&amp;"D")</f>
        <v>53821</v>
      </c>
      <c r="Y2127" s="92" t="e">
        <v>#N/A</v>
      </c>
      <c r="Z2127" s="94" t="e">
        <v>#N/A</v>
      </c>
    </row>
    <row r="2128" spans="22:26" x14ac:dyDescent="0.2">
      <c r="V2128" s="123" t="str">
        <f t="shared" si="43"/>
        <v>1w</v>
      </c>
      <c r="W2128" s="82">
        <f>_xll.qlCalendarAdvance(Calendar,W2127,V2128,"f",FALSE)</f>
        <v>53828</v>
      </c>
      <c r="X2128" s="91">
        <f>_xll.qlCalendarAdvance(Calendar,W2128,NDays&amp;"D")</f>
        <v>53828</v>
      </c>
      <c r="Y2128" s="92" t="e">
        <v>#N/A</v>
      </c>
      <c r="Z2128" s="94" t="e">
        <v>#N/A</v>
      </c>
    </row>
    <row r="2129" spans="22:26" x14ac:dyDescent="0.2">
      <c r="V2129" s="123" t="str">
        <f t="shared" si="43"/>
        <v>1w</v>
      </c>
      <c r="W2129" s="82">
        <f>_xll.qlCalendarAdvance(Calendar,W2128,V2129,"f",FALSE)</f>
        <v>53835</v>
      </c>
      <c r="X2129" s="91">
        <f>_xll.qlCalendarAdvance(Calendar,W2129,NDays&amp;"D")</f>
        <v>53835</v>
      </c>
      <c r="Y2129" s="92" t="e">
        <v>#N/A</v>
      </c>
      <c r="Z2129" s="94" t="e">
        <v>#N/A</v>
      </c>
    </row>
    <row r="2130" spans="22:26" x14ac:dyDescent="0.2">
      <c r="V2130" s="123" t="str">
        <f t="shared" si="43"/>
        <v>1w</v>
      </c>
      <c r="W2130" s="82">
        <f>_xll.qlCalendarAdvance(Calendar,W2129,V2130,"f",FALSE)</f>
        <v>53842</v>
      </c>
      <c r="X2130" s="91">
        <f>_xll.qlCalendarAdvance(Calendar,W2130,NDays&amp;"D")</f>
        <v>53842</v>
      </c>
      <c r="Y2130" s="92" t="e">
        <v>#N/A</v>
      </c>
      <c r="Z2130" s="94" t="e">
        <v>#N/A</v>
      </c>
    </row>
    <row r="2131" spans="22:26" x14ac:dyDescent="0.2">
      <c r="V2131" s="123" t="str">
        <f t="shared" si="43"/>
        <v>1w</v>
      </c>
      <c r="W2131" s="82">
        <f>_xll.qlCalendarAdvance(Calendar,W2130,V2131,"f",FALSE)</f>
        <v>53849</v>
      </c>
      <c r="X2131" s="91">
        <f>_xll.qlCalendarAdvance(Calendar,W2131,NDays&amp;"D")</f>
        <v>53849</v>
      </c>
      <c r="Y2131" s="92" t="e">
        <v>#N/A</v>
      </c>
      <c r="Z2131" s="94" t="e">
        <v>#N/A</v>
      </c>
    </row>
    <row r="2132" spans="22:26" x14ac:dyDescent="0.2">
      <c r="V2132" s="123" t="str">
        <f t="shared" si="43"/>
        <v>1w</v>
      </c>
      <c r="W2132" s="82">
        <f>_xll.qlCalendarAdvance(Calendar,W2131,V2132,"f",FALSE)</f>
        <v>53856</v>
      </c>
      <c r="X2132" s="91">
        <f>_xll.qlCalendarAdvance(Calendar,W2132,NDays&amp;"D")</f>
        <v>53856</v>
      </c>
      <c r="Y2132" s="92" t="e">
        <v>#N/A</v>
      </c>
      <c r="Z2132" s="94" t="e">
        <v>#N/A</v>
      </c>
    </row>
    <row r="2133" spans="22:26" x14ac:dyDescent="0.2">
      <c r="V2133" s="123" t="str">
        <f t="shared" ref="V2133:V2196" si="44">V2132</f>
        <v>1w</v>
      </c>
      <c r="W2133" s="82">
        <f>_xll.qlCalendarAdvance(Calendar,W2132,V2133,"f",FALSE)</f>
        <v>53863</v>
      </c>
      <c r="X2133" s="91">
        <f>_xll.qlCalendarAdvance(Calendar,W2133,NDays&amp;"D")</f>
        <v>53863</v>
      </c>
      <c r="Y2133" s="92" t="e">
        <v>#N/A</v>
      </c>
      <c r="Z2133" s="94" t="e">
        <v>#N/A</v>
      </c>
    </row>
    <row r="2134" spans="22:26" x14ac:dyDescent="0.2">
      <c r="V2134" s="123" t="str">
        <f t="shared" si="44"/>
        <v>1w</v>
      </c>
      <c r="W2134" s="82">
        <f>_xll.qlCalendarAdvance(Calendar,W2133,V2134,"f",FALSE)</f>
        <v>53870</v>
      </c>
      <c r="X2134" s="91">
        <f>_xll.qlCalendarAdvance(Calendar,W2134,NDays&amp;"D")</f>
        <v>53870</v>
      </c>
      <c r="Y2134" s="92" t="e">
        <v>#N/A</v>
      </c>
      <c r="Z2134" s="94" t="e">
        <v>#N/A</v>
      </c>
    </row>
    <row r="2135" spans="22:26" x14ac:dyDescent="0.2">
      <c r="V2135" s="123" t="str">
        <f t="shared" si="44"/>
        <v>1w</v>
      </c>
      <c r="W2135" s="82">
        <f>_xll.qlCalendarAdvance(Calendar,W2134,V2135,"f",FALSE)</f>
        <v>53877</v>
      </c>
      <c r="X2135" s="91">
        <f>_xll.qlCalendarAdvance(Calendar,W2135,NDays&amp;"D")</f>
        <v>53877</v>
      </c>
      <c r="Y2135" s="92" t="e">
        <v>#N/A</v>
      </c>
      <c r="Z2135" s="94" t="e">
        <v>#N/A</v>
      </c>
    </row>
    <row r="2136" spans="22:26" x14ac:dyDescent="0.2">
      <c r="V2136" s="123" t="str">
        <f t="shared" si="44"/>
        <v>1w</v>
      </c>
      <c r="W2136" s="82">
        <f>_xll.qlCalendarAdvance(Calendar,W2135,V2136,"f",FALSE)</f>
        <v>53884</v>
      </c>
      <c r="X2136" s="91">
        <f>_xll.qlCalendarAdvance(Calendar,W2136,NDays&amp;"D")</f>
        <v>53884</v>
      </c>
      <c r="Y2136" s="92" t="e">
        <v>#N/A</v>
      </c>
      <c r="Z2136" s="94" t="e">
        <v>#N/A</v>
      </c>
    </row>
    <row r="2137" spans="22:26" x14ac:dyDescent="0.2">
      <c r="V2137" s="123" t="str">
        <f t="shared" si="44"/>
        <v>1w</v>
      </c>
      <c r="W2137" s="82">
        <f>_xll.qlCalendarAdvance(Calendar,W2136,V2137,"f",FALSE)</f>
        <v>53891</v>
      </c>
      <c r="X2137" s="91">
        <f>_xll.qlCalendarAdvance(Calendar,W2137,NDays&amp;"D")</f>
        <v>53891</v>
      </c>
      <c r="Y2137" s="92" t="e">
        <v>#N/A</v>
      </c>
      <c r="Z2137" s="94" t="e">
        <v>#N/A</v>
      </c>
    </row>
    <row r="2138" spans="22:26" x14ac:dyDescent="0.2">
      <c r="V2138" s="123" t="str">
        <f t="shared" si="44"/>
        <v>1w</v>
      </c>
      <c r="W2138" s="82">
        <f>_xll.qlCalendarAdvance(Calendar,W2137,V2138,"f",FALSE)</f>
        <v>53898</v>
      </c>
      <c r="X2138" s="91">
        <f>_xll.qlCalendarAdvance(Calendar,W2138,NDays&amp;"D")</f>
        <v>53898</v>
      </c>
      <c r="Y2138" s="92" t="e">
        <v>#N/A</v>
      </c>
      <c r="Z2138" s="94" t="e">
        <v>#N/A</v>
      </c>
    </row>
    <row r="2139" spans="22:26" x14ac:dyDescent="0.2">
      <c r="V2139" s="123" t="str">
        <f t="shared" si="44"/>
        <v>1w</v>
      </c>
      <c r="W2139" s="82">
        <f>_xll.qlCalendarAdvance(Calendar,W2138,V2139,"f",FALSE)</f>
        <v>53905</v>
      </c>
      <c r="X2139" s="91">
        <f>_xll.qlCalendarAdvance(Calendar,W2139,NDays&amp;"D")</f>
        <v>53905</v>
      </c>
      <c r="Y2139" s="92" t="e">
        <v>#N/A</v>
      </c>
      <c r="Z2139" s="94" t="e">
        <v>#N/A</v>
      </c>
    </row>
    <row r="2140" spans="22:26" x14ac:dyDescent="0.2">
      <c r="V2140" s="123" t="str">
        <f t="shared" si="44"/>
        <v>1w</v>
      </c>
      <c r="W2140" s="82">
        <f>_xll.qlCalendarAdvance(Calendar,W2139,V2140,"f",FALSE)</f>
        <v>53912</v>
      </c>
      <c r="X2140" s="91">
        <f>_xll.qlCalendarAdvance(Calendar,W2140,NDays&amp;"D")</f>
        <v>53912</v>
      </c>
      <c r="Y2140" s="92" t="e">
        <v>#N/A</v>
      </c>
      <c r="Z2140" s="94" t="e">
        <v>#N/A</v>
      </c>
    </row>
    <row r="2141" spans="22:26" x14ac:dyDescent="0.2">
      <c r="V2141" s="123" t="str">
        <f t="shared" si="44"/>
        <v>1w</v>
      </c>
      <c r="W2141" s="82">
        <f>_xll.qlCalendarAdvance(Calendar,W2140,V2141,"f",FALSE)</f>
        <v>53919</v>
      </c>
      <c r="X2141" s="91">
        <f>_xll.qlCalendarAdvance(Calendar,W2141,NDays&amp;"D")</f>
        <v>53919</v>
      </c>
      <c r="Y2141" s="92" t="e">
        <v>#N/A</v>
      </c>
      <c r="Z2141" s="94" t="e">
        <v>#N/A</v>
      </c>
    </row>
    <row r="2142" spans="22:26" x14ac:dyDescent="0.2">
      <c r="V2142" s="123" t="str">
        <f t="shared" si="44"/>
        <v>1w</v>
      </c>
      <c r="W2142" s="82">
        <f>_xll.qlCalendarAdvance(Calendar,W2141,V2142,"f",FALSE)</f>
        <v>53926</v>
      </c>
      <c r="X2142" s="91">
        <f>_xll.qlCalendarAdvance(Calendar,W2142,NDays&amp;"D")</f>
        <v>53926</v>
      </c>
      <c r="Y2142" s="92" t="e">
        <v>#N/A</v>
      </c>
      <c r="Z2142" s="94" t="e">
        <v>#N/A</v>
      </c>
    </row>
    <row r="2143" spans="22:26" x14ac:dyDescent="0.2">
      <c r="V2143" s="123" t="str">
        <f t="shared" si="44"/>
        <v>1w</v>
      </c>
      <c r="W2143" s="82">
        <f>_xll.qlCalendarAdvance(Calendar,W2142,V2143,"f",FALSE)</f>
        <v>53933</v>
      </c>
      <c r="X2143" s="91">
        <f>_xll.qlCalendarAdvance(Calendar,W2143,NDays&amp;"D")</f>
        <v>53933</v>
      </c>
      <c r="Y2143" s="92" t="e">
        <v>#N/A</v>
      </c>
      <c r="Z2143" s="94" t="e">
        <v>#N/A</v>
      </c>
    </row>
    <row r="2144" spans="22:26" x14ac:dyDescent="0.2">
      <c r="V2144" s="123" t="str">
        <f t="shared" si="44"/>
        <v>1w</v>
      </c>
      <c r="W2144" s="82">
        <f>_xll.qlCalendarAdvance(Calendar,W2143,V2144,"f",FALSE)</f>
        <v>53940</v>
      </c>
      <c r="X2144" s="91">
        <f>_xll.qlCalendarAdvance(Calendar,W2144,NDays&amp;"D")</f>
        <v>53940</v>
      </c>
      <c r="Y2144" s="92" t="e">
        <v>#N/A</v>
      </c>
      <c r="Z2144" s="94" t="e">
        <v>#N/A</v>
      </c>
    </row>
    <row r="2145" spans="22:26" x14ac:dyDescent="0.2">
      <c r="V2145" s="123" t="str">
        <f t="shared" si="44"/>
        <v>1w</v>
      </c>
      <c r="W2145" s="82">
        <f>_xll.qlCalendarAdvance(Calendar,W2144,V2145,"f",FALSE)</f>
        <v>53947</v>
      </c>
      <c r="X2145" s="91">
        <f>_xll.qlCalendarAdvance(Calendar,W2145,NDays&amp;"D")</f>
        <v>53947</v>
      </c>
      <c r="Y2145" s="92" t="e">
        <v>#N/A</v>
      </c>
      <c r="Z2145" s="94" t="e">
        <v>#N/A</v>
      </c>
    </row>
    <row r="2146" spans="22:26" x14ac:dyDescent="0.2">
      <c r="V2146" s="123" t="str">
        <f t="shared" si="44"/>
        <v>1w</v>
      </c>
      <c r="W2146" s="82">
        <f>_xll.qlCalendarAdvance(Calendar,W2145,V2146,"f",FALSE)</f>
        <v>53954</v>
      </c>
      <c r="X2146" s="91">
        <f>_xll.qlCalendarAdvance(Calendar,W2146,NDays&amp;"D")</f>
        <v>53954</v>
      </c>
      <c r="Y2146" s="92" t="e">
        <v>#N/A</v>
      </c>
      <c r="Z2146" s="94" t="e">
        <v>#N/A</v>
      </c>
    </row>
    <row r="2147" spans="22:26" x14ac:dyDescent="0.2">
      <c r="V2147" s="123" t="str">
        <f t="shared" si="44"/>
        <v>1w</v>
      </c>
      <c r="W2147" s="82">
        <f>_xll.qlCalendarAdvance(Calendar,W2146,V2147,"f",FALSE)</f>
        <v>53961</v>
      </c>
      <c r="X2147" s="91">
        <f>_xll.qlCalendarAdvance(Calendar,W2147,NDays&amp;"D")</f>
        <v>53961</v>
      </c>
      <c r="Y2147" s="92" t="e">
        <v>#N/A</v>
      </c>
      <c r="Z2147" s="94" t="e">
        <v>#N/A</v>
      </c>
    </row>
    <row r="2148" spans="22:26" x14ac:dyDescent="0.2">
      <c r="V2148" s="123" t="str">
        <f t="shared" si="44"/>
        <v>1w</v>
      </c>
      <c r="W2148" s="82">
        <f>_xll.qlCalendarAdvance(Calendar,W2147,V2148,"f",FALSE)</f>
        <v>53968</v>
      </c>
      <c r="X2148" s="91">
        <f>_xll.qlCalendarAdvance(Calendar,W2148,NDays&amp;"D")</f>
        <v>53968</v>
      </c>
      <c r="Y2148" s="92" t="e">
        <v>#N/A</v>
      </c>
      <c r="Z2148" s="94" t="e">
        <v>#N/A</v>
      </c>
    </row>
    <row r="2149" spans="22:26" x14ac:dyDescent="0.2">
      <c r="V2149" s="123" t="str">
        <f t="shared" si="44"/>
        <v>1w</v>
      </c>
      <c r="W2149" s="82">
        <f>_xll.qlCalendarAdvance(Calendar,W2148,V2149,"f",FALSE)</f>
        <v>53975</v>
      </c>
      <c r="X2149" s="91">
        <f>_xll.qlCalendarAdvance(Calendar,W2149,NDays&amp;"D")</f>
        <v>53975</v>
      </c>
      <c r="Y2149" s="92" t="e">
        <v>#N/A</v>
      </c>
      <c r="Z2149" s="94" t="e">
        <v>#N/A</v>
      </c>
    </row>
    <row r="2150" spans="22:26" x14ac:dyDescent="0.2">
      <c r="V2150" s="123" t="str">
        <f t="shared" si="44"/>
        <v>1w</v>
      </c>
      <c r="W2150" s="82">
        <f>_xll.qlCalendarAdvance(Calendar,W2149,V2150,"f",FALSE)</f>
        <v>53982</v>
      </c>
      <c r="X2150" s="91">
        <f>_xll.qlCalendarAdvance(Calendar,W2150,NDays&amp;"D")</f>
        <v>53982</v>
      </c>
      <c r="Y2150" s="92" t="e">
        <v>#N/A</v>
      </c>
      <c r="Z2150" s="94" t="e">
        <v>#N/A</v>
      </c>
    </row>
    <row r="2151" spans="22:26" x14ac:dyDescent="0.2">
      <c r="V2151" s="123" t="str">
        <f t="shared" si="44"/>
        <v>1w</v>
      </c>
      <c r="W2151" s="82">
        <f>_xll.qlCalendarAdvance(Calendar,W2150,V2151,"f",FALSE)</f>
        <v>53989</v>
      </c>
      <c r="X2151" s="91">
        <f>_xll.qlCalendarAdvance(Calendar,W2151,NDays&amp;"D")</f>
        <v>53989</v>
      </c>
      <c r="Y2151" s="92" t="e">
        <v>#N/A</v>
      </c>
      <c r="Z2151" s="94" t="e">
        <v>#N/A</v>
      </c>
    </row>
    <row r="2152" spans="22:26" x14ac:dyDescent="0.2">
      <c r="V2152" s="123" t="str">
        <f t="shared" si="44"/>
        <v>1w</v>
      </c>
      <c r="W2152" s="82">
        <f>_xll.qlCalendarAdvance(Calendar,W2151,V2152,"f",FALSE)</f>
        <v>53996</v>
      </c>
      <c r="X2152" s="91">
        <f>_xll.qlCalendarAdvance(Calendar,W2152,NDays&amp;"D")</f>
        <v>53996</v>
      </c>
      <c r="Y2152" s="92" t="e">
        <v>#N/A</v>
      </c>
      <c r="Z2152" s="94" t="e">
        <v>#N/A</v>
      </c>
    </row>
    <row r="2153" spans="22:26" x14ac:dyDescent="0.2">
      <c r="V2153" s="123" t="str">
        <f t="shared" si="44"/>
        <v>1w</v>
      </c>
      <c r="W2153" s="82">
        <f>_xll.qlCalendarAdvance(Calendar,W2152,V2153,"f",FALSE)</f>
        <v>54003</v>
      </c>
      <c r="X2153" s="91">
        <f>_xll.qlCalendarAdvance(Calendar,W2153,NDays&amp;"D")</f>
        <v>54003</v>
      </c>
      <c r="Y2153" s="92" t="e">
        <v>#N/A</v>
      </c>
      <c r="Z2153" s="94" t="e">
        <v>#N/A</v>
      </c>
    </row>
    <row r="2154" spans="22:26" x14ac:dyDescent="0.2">
      <c r="V2154" s="123" t="str">
        <f t="shared" si="44"/>
        <v>1w</v>
      </c>
      <c r="W2154" s="82">
        <f>_xll.qlCalendarAdvance(Calendar,W2153,V2154,"f",FALSE)</f>
        <v>54010</v>
      </c>
      <c r="X2154" s="91">
        <f>_xll.qlCalendarAdvance(Calendar,W2154,NDays&amp;"D")</f>
        <v>54010</v>
      </c>
      <c r="Y2154" s="92" t="e">
        <v>#N/A</v>
      </c>
      <c r="Z2154" s="94" t="e">
        <v>#N/A</v>
      </c>
    </row>
    <row r="2155" spans="22:26" x14ac:dyDescent="0.2">
      <c r="V2155" s="123" t="str">
        <f t="shared" si="44"/>
        <v>1w</v>
      </c>
      <c r="W2155" s="82">
        <f>_xll.qlCalendarAdvance(Calendar,W2154,V2155,"f",FALSE)</f>
        <v>54017</v>
      </c>
      <c r="X2155" s="91">
        <f>_xll.qlCalendarAdvance(Calendar,W2155,NDays&amp;"D")</f>
        <v>54017</v>
      </c>
      <c r="Y2155" s="92" t="e">
        <v>#N/A</v>
      </c>
      <c r="Z2155" s="94" t="e">
        <v>#N/A</v>
      </c>
    </row>
    <row r="2156" spans="22:26" x14ac:dyDescent="0.2">
      <c r="V2156" s="123" t="str">
        <f t="shared" si="44"/>
        <v>1w</v>
      </c>
      <c r="W2156" s="82">
        <f>_xll.qlCalendarAdvance(Calendar,W2155,V2156,"f",FALSE)</f>
        <v>54024</v>
      </c>
      <c r="X2156" s="91">
        <f>_xll.qlCalendarAdvance(Calendar,W2156,NDays&amp;"D")</f>
        <v>54024</v>
      </c>
      <c r="Y2156" s="92" t="e">
        <v>#N/A</v>
      </c>
      <c r="Z2156" s="94" t="e">
        <v>#N/A</v>
      </c>
    </row>
    <row r="2157" spans="22:26" x14ac:dyDescent="0.2">
      <c r="V2157" s="123" t="str">
        <f t="shared" si="44"/>
        <v>1w</v>
      </c>
      <c r="W2157" s="82">
        <f>_xll.qlCalendarAdvance(Calendar,W2156,V2157,"f",FALSE)</f>
        <v>54031</v>
      </c>
      <c r="X2157" s="91">
        <f>_xll.qlCalendarAdvance(Calendar,W2157,NDays&amp;"D")</f>
        <v>54031</v>
      </c>
      <c r="Y2157" s="92" t="e">
        <v>#N/A</v>
      </c>
      <c r="Z2157" s="94" t="e">
        <v>#N/A</v>
      </c>
    </row>
    <row r="2158" spans="22:26" x14ac:dyDescent="0.2">
      <c r="V2158" s="123" t="str">
        <f t="shared" si="44"/>
        <v>1w</v>
      </c>
      <c r="W2158" s="82">
        <f>_xll.qlCalendarAdvance(Calendar,W2157,V2158,"f",FALSE)</f>
        <v>54038</v>
      </c>
      <c r="X2158" s="91">
        <f>_xll.qlCalendarAdvance(Calendar,W2158,NDays&amp;"D")</f>
        <v>54038</v>
      </c>
      <c r="Y2158" s="92" t="e">
        <v>#N/A</v>
      </c>
      <c r="Z2158" s="94" t="e">
        <v>#N/A</v>
      </c>
    </row>
    <row r="2159" spans="22:26" x14ac:dyDescent="0.2">
      <c r="V2159" s="123" t="str">
        <f t="shared" si="44"/>
        <v>1w</v>
      </c>
      <c r="W2159" s="82">
        <f>_xll.qlCalendarAdvance(Calendar,W2158,V2159,"f",FALSE)</f>
        <v>54045</v>
      </c>
      <c r="X2159" s="91">
        <f>_xll.qlCalendarAdvance(Calendar,W2159,NDays&amp;"D")</f>
        <v>54045</v>
      </c>
      <c r="Y2159" s="92" t="e">
        <v>#N/A</v>
      </c>
      <c r="Z2159" s="94" t="e">
        <v>#N/A</v>
      </c>
    </row>
    <row r="2160" spans="22:26" x14ac:dyDescent="0.2">
      <c r="V2160" s="123" t="str">
        <f t="shared" si="44"/>
        <v>1w</v>
      </c>
      <c r="W2160" s="82">
        <f>_xll.qlCalendarAdvance(Calendar,W2159,V2160,"f",FALSE)</f>
        <v>54053</v>
      </c>
      <c r="X2160" s="91">
        <f>_xll.qlCalendarAdvance(Calendar,W2160,NDays&amp;"D")</f>
        <v>54053</v>
      </c>
      <c r="Y2160" s="92" t="e">
        <v>#N/A</v>
      </c>
      <c r="Z2160" s="94" t="e">
        <v>#N/A</v>
      </c>
    </row>
    <row r="2161" spans="22:26" x14ac:dyDescent="0.2">
      <c r="V2161" s="123" t="str">
        <f t="shared" si="44"/>
        <v>1w</v>
      </c>
      <c r="W2161" s="82">
        <f>_xll.qlCalendarAdvance(Calendar,W2160,V2161,"f",FALSE)</f>
        <v>54060</v>
      </c>
      <c r="X2161" s="91">
        <f>_xll.qlCalendarAdvance(Calendar,W2161,NDays&amp;"D")</f>
        <v>54060</v>
      </c>
      <c r="Y2161" s="92" t="e">
        <v>#N/A</v>
      </c>
      <c r="Z2161" s="94" t="e">
        <v>#N/A</v>
      </c>
    </row>
    <row r="2162" spans="22:26" x14ac:dyDescent="0.2">
      <c r="V2162" s="123" t="str">
        <f t="shared" si="44"/>
        <v>1w</v>
      </c>
      <c r="W2162" s="82">
        <f>_xll.qlCalendarAdvance(Calendar,W2161,V2162,"f",FALSE)</f>
        <v>54067</v>
      </c>
      <c r="X2162" s="91">
        <f>_xll.qlCalendarAdvance(Calendar,W2162,NDays&amp;"D")</f>
        <v>54067</v>
      </c>
      <c r="Y2162" s="92" t="e">
        <v>#N/A</v>
      </c>
      <c r="Z2162" s="94" t="e">
        <v>#N/A</v>
      </c>
    </row>
    <row r="2163" spans="22:26" x14ac:dyDescent="0.2">
      <c r="V2163" s="123" t="str">
        <f t="shared" si="44"/>
        <v>1w</v>
      </c>
      <c r="W2163" s="82">
        <f>_xll.qlCalendarAdvance(Calendar,W2162,V2163,"f",FALSE)</f>
        <v>54074</v>
      </c>
      <c r="X2163" s="91">
        <f>_xll.qlCalendarAdvance(Calendar,W2163,NDays&amp;"D")</f>
        <v>54074</v>
      </c>
      <c r="Y2163" s="92" t="e">
        <v>#N/A</v>
      </c>
      <c r="Z2163" s="94" t="e">
        <v>#N/A</v>
      </c>
    </row>
    <row r="2164" spans="22:26" x14ac:dyDescent="0.2">
      <c r="V2164" s="123" t="str">
        <f t="shared" si="44"/>
        <v>1w</v>
      </c>
      <c r="W2164" s="82">
        <f>_xll.qlCalendarAdvance(Calendar,W2163,V2164,"f",FALSE)</f>
        <v>54081</v>
      </c>
      <c r="X2164" s="91">
        <f>_xll.qlCalendarAdvance(Calendar,W2164,NDays&amp;"D")</f>
        <v>54081</v>
      </c>
      <c r="Y2164" s="92" t="e">
        <v>#N/A</v>
      </c>
      <c r="Z2164" s="94" t="e">
        <v>#N/A</v>
      </c>
    </row>
    <row r="2165" spans="22:26" x14ac:dyDescent="0.2">
      <c r="V2165" s="123" t="str">
        <f t="shared" si="44"/>
        <v>1w</v>
      </c>
      <c r="W2165" s="82">
        <f>_xll.qlCalendarAdvance(Calendar,W2164,V2165,"f",FALSE)</f>
        <v>54088</v>
      </c>
      <c r="X2165" s="91">
        <f>_xll.qlCalendarAdvance(Calendar,W2165,NDays&amp;"D")</f>
        <v>54088</v>
      </c>
      <c r="Y2165" s="92" t="e">
        <v>#N/A</v>
      </c>
      <c r="Z2165" s="94" t="e">
        <v>#N/A</v>
      </c>
    </row>
    <row r="2166" spans="22:26" x14ac:dyDescent="0.2">
      <c r="V2166" s="123" t="str">
        <f t="shared" si="44"/>
        <v>1w</v>
      </c>
      <c r="W2166" s="82">
        <f>_xll.qlCalendarAdvance(Calendar,W2165,V2166,"f",FALSE)</f>
        <v>54095</v>
      </c>
      <c r="X2166" s="91">
        <f>_xll.qlCalendarAdvance(Calendar,W2166,NDays&amp;"D")</f>
        <v>54095</v>
      </c>
      <c r="Y2166" s="92" t="e">
        <v>#N/A</v>
      </c>
      <c r="Z2166" s="94" t="e">
        <v>#N/A</v>
      </c>
    </row>
    <row r="2167" spans="22:26" x14ac:dyDescent="0.2">
      <c r="V2167" s="123" t="str">
        <f t="shared" si="44"/>
        <v>1w</v>
      </c>
      <c r="W2167" s="82">
        <f>_xll.qlCalendarAdvance(Calendar,W2166,V2167,"f",FALSE)</f>
        <v>54102</v>
      </c>
      <c r="X2167" s="91">
        <f>_xll.qlCalendarAdvance(Calendar,W2167,NDays&amp;"D")</f>
        <v>54102</v>
      </c>
      <c r="Y2167" s="92" t="e">
        <v>#N/A</v>
      </c>
      <c r="Z2167" s="94" t="e">
        <v>#N/A</v>
      </c>
    </row>
    <row r="2168" spans="22:26" x14ac:dyDescent="0.2">
      <c r="V2168" s="123" t="str">
        <f t="shared" si="44"/>
        <v>1w</v>
      </c>
      <c r="W2168" s="82">
        <f>_xll.qlCalendarAdvance(Calendar,W2167,V2168,"f",FALSE)</f>
        <v>54109</v>
      </c>
      <c r="X2168" s="91">
        <f>_xll.qlCalendarAdvance(Calendar,W2168,NDays&amp;"D")</f>
        <v>54109</v>
      </c>
      <c r="Y2168" s="92" t="e">
        <v>#N/A</v>
      </c>
      <c r="Z2168" s="94" t="e">
        <v>#N/A</v>
      </c>
    </row>
    <row r="2169" spans="22:26" x14ac:dyDescent="0.2">
      <c r="V2169" s="123" t="str">
        <f t="shared" si="44"/>
        <v>1w</v>
      </c>
      <c r="W2169" s="82">
        <f>_xll.qlCalendarAdvance(Calendar,W2168,V2169,"f",FALSE)</f>
        <v>54116</v>
      </c>
      <c r="X2169" s="91">
        <f>_xll.qlCalendarAdvance(Calendar,W2169,NDays&amp;"D")</f>
        <v>54116</v>
      </c>
      <c r="Y2169" s="92" t="e">
        <v>#N/A</v>
      </c>
      <c r="Z2169" s="94" t="e">
        <v>#N/A</v>
      </c>
    </row>
    <row r="2170" spans="22:26" x14ac:dyDescent="0.2">
      <c r="V2170" s="123" t="str">
        <f t="shared" si="44"/>
        <v>1w</v>
      </c>
      <c r="W2170" s="82">
        <f>_xll.qlCalendarAdvance(Calendar,W2169,V2170,"f",FALSE)</f>
        <v>54123</v>
      </c>
      <c r="X2170" s="91">
        <f>_xll.qlCalendarAdvance(Calendar,W2170,NDays&amp;"D")</f>
        <v>54123</v>
      </c>
      <c r="Y2170" s="92" t="e">
        <v>#N/A</v>
      </c>
      <c r="Z2170" s="94" t="e">
        <v>#N/A</v>
      </c>
    </row>
    <row r="2171" spans="22:26" x14ac:dyDescent="0.2">
      <c r="V2171" s="123" t="str">
        <f t="shared" si="44"/>
        <v>1w</v>
      </c>
      <c r="W2171" s="82">
        <f>_xll.qlCalendarAdvance(Calendar,W2170,V2171,"f",FALSE)</f>
        <v>54130</v>
      </c>
      <c r="X2171" s="91">
        <f>_xll.qlCalendarAdvance(Calendar,W2171,NDays&amp;"D")</f>
        <v>54130</v>
      </c>
      <c r="Y2171" s="92" t="e">
        <v>#N/A</v>
      </c>
      <c r="Z2171" s="94" t="e">
        <v>#N/A</v>
      </c>
    </row>
    <row r="2172" spans="22:26" x14ac:dyDescent="0.2">
      <c r="V2172" s="123" t="str">
        <f t="shared" si="44"/>
        <v>1w</v>
      </c>
      <c r="W2172" s="82">
        <f>_xll.qlCalendarAdvance(Calendar,W2171,V2172,"f",FALSE)</f>
        <v>54137</v>
      </c>
      <c r="X2172" s="91">
        <f>_xll.qlCalendarAdvance(Calendar,W2172,NDays&amp;"D")</f>
        <v>54137</v>
      </c>
      <c r="Y2172" s="92" t="e">
        <v>#N/A</v>
      </c>
      <c r="Z2172" s="94" t="e">
        <v>#N/A</v>
      </c>
    </row>
    <row r="2173" spans="22:26" x14ac:dyDescent="0.2">
      <c r="V2173" s="123" t="str">
        <f t="shared" si="44"/>
        <v>1w</v>
      </c>
      <c r="W2173" s="82">
        <f>_xll.qlCalendarAdvance(Calendar,W2172,V2173,"f",FALSE)</f>
        <v>54144</v>
      </c>
      <c r="X2173" s="91">
        <f>_xll.qlCalendarAdvance(Calendar,W2173,NDays&amp;"D")</f>
        <v>54144</v>
      </c>
      <c r="Y2173" s="92" t="e">
        <v>#N/A</v>
      </c>
      <c r="Z2173" s="94" t="e">
        <v>#N/A</v>
      </c>
    </row>
    <row r="2174" spans="22:26" x14ac:dyDescent="0.2">
      <c r="V2174" s="123" t="str">
        <f t="shared" si="44"/>
        <v>1w</v>
      </c>
      <c r="W2174" s="82">
        <f>_xll.qlCalendarAdvance(Calendar,W2173,V2174,"f",FALSE)</f>
        <v>54155</v>
      </c>
      <c r="X2174" s="91">
        <f>_xll.qlCalendarAdvance(Calendar,W2174,NDays&amp;"D")</f>
        <v>54155</v>
      </c>
      <c r="Y2174" s="92" t="e">
        <v>#N/A</v>
      </c>
      <c r="Z2174" s="94" t="e">
        <v>#N/A</v>
      </c>
    </row>
    <row r="2175" spans="22:26" x14ac:dyDescent="0.2">
      <c r="V2175" s="123" t="str">
        <f t="shared" si="44"/>
        <v>1w</v>
      </c>
      <c r="W2175" s="82">
        <f>_xll.qlCalendarAdvance(Calendar,W2174,V2175,"f",FALSE)</f>
        <v>54162</v>
      </c>
      <c r="X2175" s="91">
        <f>_xll.qlCalendarAdvance(Calendar,W2175,NDays&amp;"D")</f>
        <v>54162</v>
      </c>
      <c r="Y2175" s="92" t="e">
        <v>#N/A</v>
      </c>
      <c r="Z2175" s="94" t="e">
        <v>#N/A</v>
      </c>
    </row>
    <row r="2176" spans="22:26" x14ac:dyDescent="0.2">
      <c r="V2176" s="123" t="str">
        <f t="shared" si="44"/>
        <v>1w</v>
      </c>
      <c r="W2176" s="82">
        <f>_xll.qlCalendarAdvance(Calendar,W2175,V2176,"f",FALSE)</f>
        <v>54169</v>
      </c>
      <c r="X2176" s="91">
        <f>_xll.qlCalendarAdvance(Calendar,W2176,NDays&amp;"D")</f>
        <v>54169</v>
      </c>
      <c r="Y2176" s="92" t="e">
        <v>#N/A</v>
      </c>
      <c r="Z2176" s="94" t="e">
        <v>#N/A</v>
      </c>
    </row>
    <row r="2177" spans="22:26" x14ac:dyDescent="0.2">
      <c r="V2177" s="123" t="str">
        <f t="shared" si="44"/>
        <v>1w</v>
      </c>
      <c r="W2177" s="82">
        <f>_xll.qlCalendarAdvance(Calendar,W2176,V2177,"f",FALSE)</f>
        <v>54176</v>
      </c>
      <c r="X2177" s="91">
        <f>_xll.qlCalendarAdvance(Calendar,W2177,NDays&amp;"D")</f>
        <v>54176</v>
      </c>
      <c r="Y2177" s="92" t="e">
        <v>#N/A</v>
      </c>
      <c r="Z2177" s="94" t="e">
        <v>#N/A</v>
      </c>
    </row>
    <row r="2178" spans="22:26" x14ac:dyDescent="0.2">
      <c r="V2178" s="123" t="str">
        <f t="shared" si="44"/>
        <v>1w</v>
      </c>
      <c r="W2178" s="82">
        <f>_xll.qlCalendarAdvance(Calendar,W2177,V2178,"f",FALSE)</f>
        <v>54183</v>
      </c>
      <c r="X2178" s="91">
        <f>_xll.qlCalendarAdvance(Calendar,W2178,NDays&amp;"D")</f>
        <v>54183</v>
      </c>
      <c r="Y2178" s="92" t="e">
        <v>#N/A</v>
      </c>
      <c r="Z2178" s="94" t="e">
        <v>#N/A</v>
      </c>
    </row>
    <row r="2179" spans="22:26" x14ac:dyDescent="0.2">
      <c r="V2179" s="123" t="str">
        <f t="shared" si="44"/>
        <v>1w</v>
      </c>
      <c r="W2179" s="82">
        <f>_xll.qlCalendarAdvance(Calendar,W2178,V2179,"f",FALSE)</f>
        <v>54190</v>
      </c>
      <c r="X2179" s="91">
        <f>_xll.qlCalendarAdvance(Calendar,W2179,NDays&amp;"D")</f>
        <v>54190</v>
      </c>
      <c r="Y2179" s="92" t="e">
        <v>#N/A</v>
      </c>
      <c r="Z2179" s="94" t="e">
        <v>#N/A</v>
      </c>
    </row>
    <row r="2180" spans="22:26" x14ac:dyDescent="0.2">
      <c r="V2180" s="123" t="str">
        <f t="shared" si="44"/>
        <v>1w</v>
      </c>
      <c r="W2180" s="82">
        <f>_xll.qlCalendarAdvance(Calendar,W2179,V2180,"f",FALSE)</f>
        <v>54197</v>
      </c>
      <c r="X2180" s="91">
        <f>_xll.qlCalendarAdvance(Calendar,W2180,NDays&amp;"D")</f>
        <v>54197</v>
      </c>
      <c r="Y2180" s="92" t="e">
        <v>#N/A</v>
      </c>
      <c r="Z2180" s="94" t="e">
        <v>#N/A</v>
      </c>
    </row>
    <row r="2181" spans="22:26" x14ac:dyDescent="0.2">
      <c r="V2181" s="123" t="str">
        <f t="shared" si="44"/>
        <v>1w</v>
      </c>
      <c r="W2181" s="82">
        <f>_xll.qlCalendarAdvance(Calendar,W2180,V2181,"f",FALSE)</f>
        <v>54204</v>
      </c>
      <c r="X2181" s="91">
        <f>_xll.qlCalendarAdvance(Calendar,W2181,NDays&amp;"D")</f>
        <v>54204</v>
      </c>
      <c r="Y2181" s="92" t="e">
        <v>#N/A</v>
      </c>
      <c r="Z2181" s="94" t="e">
        <v>#N/A</v>
      </c>
    </row>
    <row r="2182" spans="22:26" x14ac:dyDescent="0.2">
      <c r="V2182" s="123" t="str">
        <f t="shared" si="44"/>
        <v>1w</v>
      </c>
      <c r="W2182" s="82">
        <f>_xll.qlCalendarAdvance(Calendar,W2181,V2182,"f",FALSE)</f>
        <v>54211</v>
      </c>
      <c r="X2182" s="91">
        <f>_xll.qlCalendarAdvance(Calendar,W2182,NDays&amp;"D")</f>
        <v>54211</v>
      </c>
      <c r="Y2182" s="92" t="e">
        <v>#N/A</v>
      </c>
      <c r="Z2182" s="94" t="e">
        <v>#N/A</v>
      </c>
    </row>
    <row r="2183" spans="22:26" x14ac:dyDescent="0.2">
      <c r="V2183" s="123" t="str">
        <f t="shared" si="44"/>
        <v>1w</v>
      </c>
      <c r="W2183" s="82">
        <f>_xll.qlCalendarAdvance(Calendar,W2182,V2183,"f",FALSE)</f>
        <v>54218</v>
      </c>
      <c r="X2183" s="91">
        <f>_xll.qlCalendarAdvance(Calendar,W2183,NDays&amp;"D")</f>
        <v>54218</v>
      </c>
      <c r="Y2183" s="92" t="e">
        <v>#N/A</v>
      </c>
      <c r="Z2183" s="94" t="e">
        <v>#N/A</v>
      </c>
    </row>
    <row r="2184" spans="22:26" x14ac:dyDescent="0.2">
      <c r="V2184" s="123" t="str">
        <f t="shared" si="44"/>
        <v>1w</v>
      </c>
      <c r="W2184" s="82">
        <f>_xll.qlCalendarAdvance(Calendar,W2183,V2184,"f",FALSE)</f>
        <v>54225</v>
      </c>
      <c r="X2184" s="91">
        <f>_xll.qlCalendarAdvance(Calendar,W2184,NDays&amp;"D")</f>
        <v>54225</v>
      </c>
      <c r="Y2184" s="92" t="e">
        <v>#N/A</v>
      </c>
      <c r="Z2184" s="94" t="e">
        <v>#N/A</v>
      </c>
    </row>
    <row r="2185" spans="22:26" x14ac:dyDescent="0.2">
      <c r="V2185" s="123" t="str">
        <f t="shared" si="44"/>
        <v>1w</v>
      </c>
      <c r="W2185" s="82">
        <f>_xll.qlCalendarAdvance(Calendar,W2184,V2185,"f",FALSE)</f>
        <v>54232</v>
      </c>
      <c r="X2185" s="91">
        <f>_xll.qlCalendarAdvance(Calendar,W2185,NDays&amp;"D")</f>
        <v>54232</v>
      </c>
      <c r="Y2185" s="92" t="e">
        <v>#N/A</v>
      </c>
      <c r="Z2185" s="94" t="e">
        <v>#N/A</v>
      </c>
    </row>
    <row r="2186" spans="22:26" x14ac:dyDescent="0.2">
      <c r="V2186" s="123" t="str">
        <f t="shared" si="44"/>
        <v>1w</v>
      </c>
      <c r="W2186" s="82">
        <f>_xll.qlCalendarAdvance(Calendar,W2185,V2186,"f",FALSE)</f>
        <v>54239</v>
      </c>
      <c r="X2186" s="91">
        <f>_xll.qlCalendarAdvance(Calendar,W2186,NDays&amp;"D")</f>
        <v>54239</v>
      </c>
      <c r="Y2186" s="92" t="e">
        <v>#N/A</v>
      </c>
      <c r="Z2186" s="94" t="e">
        <v>#N/A</v>
      </c>
    </row>
    <row r="2187" spans="22:26" x14ac:dyDescent="0.2">
      <c r="V2187" s="123" t="str">
        <f t="shared" si="44"/>
        <v>1w</v>
      </c>
      <c r="W2187" s="82">
        <f>_xll.qlCalendarAdvance(Calendar,W2186,V2187,"f",FALSE)</f>
        <v>54246</v>
      </c>
      <c r="X2187" s="91">
        <f>_xll.qlCalendarAdvance(Calendar,W2187,NDays&amp;"D")</f>
        <v>54246</v>
      </c>
      <c r="Y2187" s="92" t="e">
        <v>#N/A</v>
      </c>
      <c r="Z2187" s="94" t="e">
        <v>#N/A</v>
      </c>
    </row>
    <row r="2188" spans="22:26" x14ac:dyDescent="0.2">
      <c r="V2188" s="123" t="str">
        <f t="shared" si="44"/>
        <v>1w</v>
      </c>
      <c r="W2188" s="82">
        <f>_xll.qlCalendarAdvance(Calendar,W2187,V2188,"f",FALSE)</f>
        <v>54253</v>
      </c>
      <c r="X2188" s="91">
        <f>_xll.qlCalendarAdvance(Calendar,W2188,NDays&amp;"D")</f>
        <v>54253</v>
      </c>
      <c r="Y2188" s="92" t="e">
        <v>#N/A</v>
      </c>
      <c r="Z2188" s="94" t="e">
        <v>#N/A</v>
      </c>
    </row>
    <row r="2189" spans="22:26" x14ac:dyDescent="0.2">
      <c r="V2189" s="123" t="str">
        <f t="shared" si="44"/>
        <v>1w</v>
      </c>
      <c r="W2189" s="82">
        <f>_xll.qlCalendarAdvance(Calendar,W2188,V2189,"f",FALSE)</f>
        <v>54260</v>
      </c>
      <c r="X2189" s="91">
        <f>_xll.qlCalendarAdvance(Calendar,W2189,NDays&amp;"D")</f>
        <v>54260</v>
      </c>
      <c r="Y2189" s="92" t="e">
        <v>#N/A</v>
      </c>
      <c r="Z2189" s="94" t="e">
        <v>#N/A</v>
      </c>
    </row>
    <row r="2190" spans="22:26" x14ac:dyDescent="0.2">
      <c r="V2190" s="123" t="str">
        <f t="shared" si="44"/>
        <v>1w</v>
      </c>
      <c r="W2190" s="82">
        <f>_xll.qlCalendarAdvance(Calendar,W2189,V2190,"f",FALSE)</f>
        <v>54267</v>
      </c>
      <c r="X2190" s="91">
        <f>_xll.qlCalendarAdvance(Calendar,W2190,NDays&amp;"D")</f>
        <v>54267</v>
      </c>
      <c r="Y2190" s="92" t="e">
        <v>#N/A</v>
      </c>
      <c r="Z2190" s="94" t="e">
        <v>#N/A</v>
      </c>
    </row>
    <row r="2191" spans="22:26" x14ac:dyDescent="0.2">
      <c r="V2191" s="123" t="str">
        <f t="shared" si="44"/>
        <v>1w</v>
      </c>
      <c r="W2191" s="82">
        <f>_xll.qlCalendarAdvance(Calendar,W2190,V2191,"f",FALSE)</f>
        <v>54274</v>
      </c>
      <c r="X2191" s="91">
        <f>_xll.qlCalendarAdvance(Calendar,W2191,NDays&amp;"D")</f>
        <v>54274</v>
      </c>
      <c r="Y2191" s="92" t="e">
        <v>#N/A</v>
      </c>
      <c r="Z2191" s="94" t="e">
        <v>#N/A</v>
      </c>
    </row>
    <row r="2192" spans="22:26" x14ac:dyDescent="0.2">
      <c r="V2192" s="123" t="str">
        <f t="shared" si="44"/>
        <v>1w</v>
      </c>
      <c r="W2192" s="82">
        <f>_xll.qlCalendarAdvance(Calendar,W2191,V2192,"f",FALSE)</f>
        <v>54281</v>
      </c>
      <c r="X2192" s="91">
        <f>_xll.qlCalendarAdvance(Calendar,W2192,NDays&amp;"D")</f>
        <v>54281</v>
      </c>
      <c r="Y2192" s="92" t="e">
        <v>#N/A</v>
      </c>
      <c r="Z2192" s="94" t="e">
        <v>#N/A</v>
      </c>
    </row>
    <row r="2193" spans="22:26" x14ac:dyDescent="0.2">
      <c r="V2193" s="123" t="str">
        <f t="shared" si="44"/>
        <v>1w</v>
      </c>
      <c r="W2193" s="82">
        <f>_xll.qlCalendarAdvance(Calendar,W2192,V2193,"f",FALSE)</f>
        <v>54288</v>
      </c>
      <c r="X2193" s="91">
        <f>_xll.qlCalendarAdvance(Calendar,W2193,NDays&amp;"D")</f>
        <v>54288</v>
      </c>
      <c r="Y2193" s="92" t="e">
        <v>#N/A</v>
      </c>
      <c r="Z2193" s="94" t="e">
        <v>#N/A</v>
      </c>
    </row>
    <row r="2194" spans="22:26" x14ac:dyDescent="0.2">
      <c r="V2194" s="123" t="str">
        <f t="shared" si="44"/>
        <v>1w</v>
      </c>
      <c r="W2194" s="82">
        <f>_xll.qlCalendarAdvance(Calendar,W2193,V2194,"f",FALSE)</f>
        <v>54295</v>
      </c>
      <c r="X2194" s="91">
        <f>_xll.qlCalendarAdvance(Calendar,W2194,NDays&amp;"D")</f>
        <v>54295</v>
      </c>
      <c r="Y2194" s="92" t="e">
        <v>#N/A</v>
      </c>
      <c r="Z2194" s="94" t="e">
        <v>#N/A</v>
      </c>
    </row>
    <row r="2195" spans="22:26" x14ac:dyDescent="0.2">
      <c r="V2195" s="123" t="str">
        <f t="shared" si="44"/>
        <v>1w</v>
      </c>
      <c r="W2195" s="82">
        <f>_xll.qlCalendarAdvance(Calendar,W2194,V2195,"f",FALSE)</f>
        <v>54302</v>
      </c>
      <c r="X2195" s="91">
        <f>_xll.qlCalendarAdvance(Calendar,W2195,NDays&amp;"D")</f>
        <v>54302</v>
      </c>
      <c r="Y2195" s="92" t="e">
        <v>#N/A</v>
      </c>
      <c r="Z2195" s="94" t="e">
        <v>#N/A</v>
      </c>
    </row>
    <row r="2196" spans="22:26" x14ac:dyDescent="0.2">
      <c r="V2196" s="123" t="str">
        <f t="shared" si="44"/>
        <v>1w</v>
      </c>
      <c r="W2196" s="82">
        <f>_xll.qlCalendarAdvance(Calendar,W2195,V2196,"f",FALSE)</f>
        <v>54309</v>
      </c>
      <c r="X2196" s="91">
        <f>_xll.qlCalendarAdvance(Calendar,W2196,NDays&amp;"D")</f>
        <v>54309</v>
      </c>
      <c r="Y2196" s="92" t="e">
        <v>#N/A</v>
      </c>
      <c r="Z2196" s="94" t="e">
        <v>#N/A</v>
      </c>
    </row>
    <row r="2197" spans="22:26" x14ac:dyDescent="0.2">
      <c r="V2197" s="123" t="str">
        <f t="shared" ref="V2197:V2260" si="45">V2196</f>
        <v>1w</v>
      </c>
      <c r="W2197" s="82">
        <f>_xll.qlCalendarAdvance(Calendar,W2196,V2197,"f",FALSE)</f>
        <v>54316</v>
      </c>
      <c r="X2197" s="91">
        <f>_xll.qlCalendarAdvance(Calendar,W2197,NDays&amp;"D")</f>
        <v>54316</v>
      </c>
      <c r="Y2197" s="92" t="e">
        <v>#N/A</v>
      </c>
      <c r="Z2197" s="94" t="e">
        <v>#N/A</v>
      </c>
    </row>
    <row r="2198" spans="22:26" x14ac:dyDescent="0.2">
      <c r="V2198" s="123" t="str">
        <f t="shared" si="45"/>
        <v>1w</v>
      </c>
      <c r="W2198" s="82">
        <f>_xll.qlCalendarAdvance(Calendar,W2197,V2198,"f",FALSE)</f>
        <v>54323</v>
      </c>
      <c r="X2198" s="91">
        <f>_xll.qlCalendarAdvance(Calendar,W2198,NDays&amp;"D")</f>
        <v>54323</v>
      </c>
      <c r="Y2198" s="92" t="e">
        <v>#N/A</v>
      </c>
      <c r="Z2198" s="94" t="e">
        <v>#N/A</v>
      </c>
    </row>
    <row r="2199" spans="22:26" x14ac:dyDescent="0.2">
      <c r="V2199" s="123" t="str">
        <f t="shared" si="45"/>
        <v>1w</v>
      </c>
      <c r="W2199" s="82">
        <f>_xll.qlCalendarAdvance(Calendar,W2198,V2199,"f",FALSE)</f>
        <v>54330</v>
      </c>
      <c r="X2199" s="91">
        <f>_xll.qlCalendarAdvance(Calendar,W2199,NDays&amp;"D")</f>
        <v>54330</v>
      </c>
      <c r="Y2199" s="92" t="e">
        <v>#N/A</v>
      </c>
      <c r="Z2199" s="94" t="e">
        <v>#N/A</v>
      </c>
    </row>
    <row r="2200" spans="22:26" x14ac:dyDescent="0.2">
      <c r="V2200" s="123" t="str">
        <f t="shared" si="45"/>
        <v>1w</v>
      </c>
      <c r="W2200" s="82">
        <f>_xll.qlCalendarAdvance(Calendar,W2199,V2200,"f",FALSE)</f>
        <v>54337</v>
      </c>
      <c r="X2200" s="91">
        <f>_xll.qlCalendarAdvance(Calendar,W2200,NDays&amp;"D")</f>
        <v>54337</v>
      </c>
      <c r="Y2200" s="92" t="e">
        <v>#N/A</v>
      </c>
      <c r="Z2200" s="94" t="e">
        <v>#N/A</v>
      </c>
    </row>
    <row r="2201" spans="22:26" x14ac:dyDescent="0.2">
      <c r="V2201" s="123" t="str">
        <f t="shared" si="45"/>
        <v>1w</v>
      </c>
      <c r="W2201" s="82">
        <f>_xll.qlCalendarAdvance(Calendar,W2200,V2201,"f",FALSE)</f>
        <v>54344</v>
      </c>
      <c r="X2201" s="91">
        <f>_xll.qlCalendarAdvance(Calendar,W2201,NDays&amp;"D")</f>
        <v>54344</v>
      </c>
      <c r="Y2201" s="92" t="e">
        <v>#N/A</v>
      </c>
      <c r="Z2201" s="94" t="e">
        <v>#N/A</v>
      </c>
    </row>
    <row r="2202" spans="22:26" x14ac:dyDescent="0.2">
      <c r="V2202" s="123" t="str">
        <f t="shared" si="45"/>
        <v>1w</v>
      </c>
      <c r="W2202" s="82">
        <f>_xll.qlCalendarAdvance(Calendar,W2201,V2202,"f",FALSE)</f>
        <v>54351</v>
      </c>
      <c r="X2202" s="91">
        <f>_xll.qlCalendarAdvance(Calendar,W2202,NDays&amp;"D")</f>
        <v>54351</v>
      </c>
      <c r="Y2202" s="92" t="e">
        <v>#N/A</v>
      </c>
      <c r="Z2202" s="94" t="e">
        <v>#N/A</v>
      </c>
    </row>
    <row r="2203" spans="22:26" x14ac:dyDescent="0.2">
      <c r="V2203" s="123" t="str">
        <f t="shared" si="45"/>
        <v>1w</v>
      </c>
      <c r="W2203" s="82">
        <f>_xll.qlCalendarAdvance(Calendar,W2202,V2203,"f",FALSE)</f>
        <v>54358</v>
      </c>
      <c r="X2203" s="91">
        <f>_xll.qlCalendarAdvance(Calendar,W2203,NDays&amp;"D")</f>
        <v>54358</v>
      </c>
      <c r="Y2203" s="92" t="e">
        <v>#N/A</v>
      </c>
      <c r="Z2203" s="94" t="e">
        <v>#N/A</v>
      </c>
    </row>
    <row r="2204" spans="22:26" x14ac:dyDescent="0.2">
      <c r="V2204" s="123" t="str">
        <f t="shared" si="45"/>
        <v>1w</v>
      </c>
      <c r="W2204" s="82">
        <f>_xll.qlCalendarAdvance(Calendar,W2203,V2204,"f",FALSE)</f>
        <v>54365</v>
      </c>
      <c r="X2204" s="91">
        <f>_xll.qlCalendarAdvance(Calendar,W2204,NDays&amp;"D")</f>
        <v>54365</v>
      </c>
      <c r="Y2204" s="92" t="e">
        <v>#N/A</v>
      </c>
      <c r="Z2204" s="94" t="e">
        <v>#N/A</v>
      </c>
    </row>
    <row r="2205" spans="22:26" x14ac:dyDescent="0.2">
      <c r="V2205" s="123" t="str">
        <f t="shared" si="45"/>
        <v>1w</v>
      </c>
      <c r="W2205" s="82">
        <f>_xll.qlCalendarAdvance(Calendar,W2204,V2205,"f",FALSE)</f>
        <v>54372</v>
      </c>
      <c r="X2205" s="91">
        <f>_xll.qlCalendarAdvance(Calendar,W2205,NDays&amp;"D")</f>
        <v>54372</v>
      </c>
      <c r="Y2205" s="92" t="e">
        <v>#N/A</v>
      </c>
      <c r="Z2205" s="94" t="e">
        <v>#N/A</v>
      </c>
    </row>
    <row r="2206" spans="22:26" x14ac:dyDescent="0.2">
      <c r="V2206" s="123" t="str">
        <f t="shared" si="45"/>
        <v>1w</v>
      </c>
      <c r="W2206" s="82">
        <f>_xll.qlCalendarAdvance(Calendar,W2205,V2206,"f",FALSE)</f>
        <v>54379</v>
      </c>
      <c r="X2206" s="91">
        <f>_xll.qlCalendarAdvance(Calendar,W2206,NDays&amp;"D")</f>
        <v>54379</v>
      </c>
      <c r="Y2206" s="92" t="e">
        <v>#N/A</v>
      </c>
      <c r="Z2206" s="94" t="e">
        <v>#N/A</v>
      </c>
    </row>
    <row r="2207" spans="22:26" x14ac:dyDescent="0.2">
      <c r="V2207" s="123" t="str">
        <f t="shared" si="45"/>
        <v>1w</v>
      </c>
      <c r="W2207" s="82">
        <f>_xll.qlCalendarAdvance(Calendar,W2206,V2207,"f",FALSE)</f>
        <v>54386</v>
      </c>
      <c r="X2207" s="91">
        <f>_xll.qlCalendarAdvance(Calendar,W2207,NDays&amp;"D")</f>
        <v>54386</v>
      </c>
      <c r="Y2207" s="92" t="e">
        <v>#N/A</v>
      </c>
      <c r="Z2207" s="94" t="e">
        <v>#N/A</v>
      </c>
    </row>
    <row r="2208" spans="22:26" x14ac:dyDescent="0.2">
      <c r="V2208" s="123" t="str">
        <f t="shared" si="45"/>
        <v>1w</v>
      </c>
      <c r="W2208" s="82">
        <f>_xll.qlCalendarAdvance(Calendar,W2207,V2208,"f",FALSE)</f>
        <v>54393</v>
      </c>
      <c r="X2208" s="91">
        <f>_xll.qlCalendarAdvance(Calendar,W2208,NDays&amp;"D")</f>
        <v>54393</v>
      </c>
      <c r="Y2208" s="92" t="e">
        <v>#N/A</v>
      </c>
      <c r="Z2208" s="94" t="e">
        <v>#N/A</v>
      </c>
    </row>
    <row r="2209" spans="22:26" x14ac:dyDescent="0.2">
      <c r="V2209" s="123" t="str">
        <f t="shared" si="45"/>
        <v>1w</v>
      </c>
      <c r="W2209" s="82">
        <f>_xll.qlCalendarAdvance(Calendar,W2208,V2209,"f",FALSE)</f>
        <v>54400</v>
      </c>
      <c r="X2209" s="91">
        <f>_xll.qlCalendarAdvance(Calendar,W2209,NDays&amp;"D")</f>
        <v>54400</v>
      </c>
      <c r="Y2209" s="92" t="e">
        <v>#N/A</v>
      </c>
      <c r="Z2209" s="94" t="e">
        <v>#N/A</v>
      </c>
    </row>
    <row r="2210" spans="22:26" x14ac:dyDescent="0.2">
      <c r="V2210" s="123" t="str">
        <f t="shared" si="45"/>
        <v>1w</v>
      </c>
      <c r="W2210" s="82">
        <f>_xll.qlCalendarAdvance(Calendar,W2209,V2210,"f",FALSE)</f>
        <v>54407</v>
      </c>
      <c r="X2210" s="91">
        <f>_xll.qlCalendarAdvance(Calendar,W2210,NDays&amp;"D")</f>
        <v>54407</v>
      </c>
      <c r="Y2210" s="92" t="e">
        <v>#N/A</v>
      </c>
      <c r="Z2210" s="94" t="e">
        <v>#N/A</v>
      </c>
    </row>
    <row r="2211" spans="22:26" x14ac:dyDescent="0.2">
      <c r="V2211" s="123" t="str">
        <f t="shared" si="45"/>
        <v>1w</v>
      </c>
      <c r="W2211" s="82">
        <f>_xll.qlCalendarAdvance(Calendar,W2210,V2211,"f",FALSE)</f>
        <v>54414</v>
      </c>
      <c r="X2211" s="91">
        <f>_xll.qlCalendarAdvance(Calendar,W2211,NDays&amp;"D")</f>
        <v>54414</v>
      </c>
      <c r="Y2211" s="92" t="e">
        <v>#N/A</v>
      </c>
      <c r="Z2211" s="94" t="e">
        <v>#N/A</v>
      </c>
    </row>
    <row r="2212" spans="22:26" x14ac:dyDescent="0.2">
      <c r="V2212" s="123" t="str">
        <f t="shared" si="45"/>
        <v>1w</v>
      </c>
      <c r="W2212" s="82">
        <f>_xll.qlCalendarAdvance(Calendar,W2211,V2212,"f",FALSE)</f>
        <v>54421</v>
      </c>
      <c r="X2212" s="91">
        <f>_xll.qlCalendarAdvance(Calendar,W2212,NDays&amp;"D")</f>
        <v>54421</v>
      </c>
      <c r="Y2212" s="92" t="e">
        <v>#N/A</v>
      </c>
      <c r="Z2212" s="94" t="e">
        <v>#N/A</v>
      </c>
    </row>
    <row r="2213" spans="22:26" x14ac:dyDescent="0.2">
      <c r="V2213" s="123" t="str">
        <f t="shared" si="45"/>
        <v>1w</v>
      </c>
      <c r="W2213" s="82">
        <f>_xll.qlCalendarAdvance(Calendar,W2212,V2213,"f",FALSE)</f>
        <v>54428</v>
      </c>
      <c r="X2213" s="91">
        <f>_xll.qlCalendarAdvance(Calendar,W2213,NDays&amp;"D")</f>
        <v>54428</v>
      </c>
      <c r="Y2213" s="92" t="e">
        <v>#N/A</v>
      </c>
      <c r="Z2213" s="94" t="e">
        <v>#N/A</v>
      </c>
    </row>
    <row r="2214" spans="22:26" x14ac:dyDescent="0.2">
      <c r="V2214" s="123" t="str">
        <f t="shared" si="45"/>
        <v>1w</v>
      </c>
      <c r="W2214" s="82">
        <f>_xll.qlCalendarAdvance(Calendar,W2213,V2214,"f",FALSE)</f>
        <v>54435</v>
      </c>
      <c r="X2214" s="91">
        <f>_xll.qlCalendarAdvance(Calendar,W2214,NDays&amp;"D")</f>
        <v>54435</v>
      </c>
      <c r="Y2214" s="92" t="e">
        <v>#N/A</v>
      </c>
      <c r="Z2214" s="94" t="e">
        <v>#N/A</v>
      </c>
    </row>
    <row r="2215" spans="22:26" x14ac:dyDescent="0.2">
      <c r="V2215" s="123" t="str">
        <f t="shared" si="45"/>
        <v>1w</v>
      </c>
      <c r="W2215" s="82">
        <f>_xll.qlCalendarAdvance(Calendar,W2214,V2215,"f",FALSE)</f>
        <v>54442</v>
      </c>
      <c r="X2215" s="91">
        <f>_xll.qlCalendarAdvance(Calendar,W2215,NDays&amp;"D")</f>
        <v>54442</v>
      </c>
      <c r="Y2215" s="92" t="e">
        <v>#N/A</v>
      </c>
      <c r="Z2215" s="94" t="e">
        <v>#N/A</v>
      </c>
    </row>
    <row r="2216" spans="22:26" x14ac:dyDescent="0.2">
      <c r="V2216" s="123" t="str">
        <f t="shared" si="45"/>
        <v>1w</v>
      </c>
      <c r="W2216" s="82">
        <f>_xll.qlCalendarAdvance(Calendar,W2215,V2216,"f",FALSE)</f>
        <v>54449</v>
      </c>
      <c r="X2216" s="91">
        <f>_xll.qlCalendarAdvance(Calendar,W2216,NDays&amp;"D")</f>
        <v>54449</v>
      </c>
      <c r="Y2216" s="92" t="e">
        <v>#N/A</v>
      </c>
      <c r="Z2216" s="94" t="e">
        <v>#N/A</v>
      </c>
    </row>
    <row r="2217" spans="22:26" x14ac:dyDescent="0.2">
      <c r="V2217" s="123" t="str">
        <f t="shared" si="45"/>
        <v>1w</v>
      </c>
      <c r="W2217" s="82">
        <f>_xll.qlCalendarAdvance(Calendar,W2216,V2217,"f",FALSE)</f>
        <v>54456</v>
      </c>
      <c r="X2217" s="91">
        <f>_xll.qlCalendarAdvance(Calendar,W2217,NDays&amp;"D")</f>
        <v>54456</v>
      </c>
      <c r="Y2217" s="92" t="e">
        <v>#N/A</v>
      </c>
      <c r="Z2217" s="94" t="e">
        <v>#N/A</v>
      </c>
    </row>
    <row r="2218" spans="22:26" x14ac:dyDescent="0.2">
      <c r="V2218" s="123" t="str">
        <f t="shared" si="45"/>
        <v>1w</v>
      </c>
      <c r="W2218" s="82">
        <f>_xll.qlCalendarAdvance(Calendar,W2217,V2218,"f",FALSE)</f>
        <v>54463</v>
      </c>
      <c r="X2218" s="91">
        <f>_xll.qlCalendarAdvance(Calendar,W2218,NDays&amp;"D")</f>
        <v>54463</v>
      </c>
      <c r="Y2218" s="92" t="e">
        <v>#N/A</v>
      </c>
      <c r="Z2218" s="94" t="e">
        <v>#N/A</v>
      </c>
    </row>
    <row r="2219" spans="22:26" x14ac:dyDescent="0.2">
      <c r="V2219" s="123" t="str">
        <f t="shared" si="45"/>
        <v>1w</v>
      </c>
      <c r="W2219" s="82">
        <f>_xll.qlCalendarAdvance(Calendar,W2218,V2219,"f",FALSE)</f>
        <v>54470</v>
      </c>
      <c r="X2219" s="91">
        <f>_xll.qlCalendarAdvance(Calendar,W2219,NDays&amp;"D")</f>
        <v>54470</v>
      </c>
      <c r="Y2219" s="92" t="e">
        <v>#N/A</v>
      </c>
      <c r="Z2219" s="94" t="e">
        <v>#N/A</v>
      </c>
    </row>
    <row r="2220" spans="22:26" x14ac:dyDescent="0.2">
      <c r="V2220" s="123" t="str">
        <f t="shared" si="45"/>
        <v>1w</v>
      </c>
      <c r="W2220" s="82">
        <f>_xll.qlCalendarAdvance(Calendar,W2219,V2220,"f",FALSE)</f>
        <v>54477</v>
      </c>
      <c r="X2220" s="91">
        <f>_xll.qlCalendarAdvance(Calendar,W2220,NDays&amp;"D")</f>
        <v>54477</v>
      </c>
      <c r="Y2220" s="92" t="e">
        <v>#N/A</v>
      </c>
      <c r="Z2220" s="94" t="e">
        <v>#N/A</v>
      </c>
    </row>
    <row r="2221" spans="22:26" x14ac:dyDescent="0.2">
      <c r="V2221" s="123" t="str">
        <f t="shared" si="45"/>
        <v>1w</v>
      </c>
      <c r="W2221" s="82">
        <f>_xll.qlCalendarAdvance(Calendar,W2220,V2221,"f",FALSE)</f>
        <v>54484</v>
      </c>
      <c r="X2221" s="91">
        <f>_xll.qlCalendarAdvance(Calendar,W2221,NDays&amp;"D")</f>
        <v>54484</v>
      </c>
      <c r="Y2221" s="92" t="e">
        <v>#N/A</v>
      </c>
      <c r="Z2221" s="94" t="e">
        <v>#N/A</v>
      </c>
    </row>
    <row r="2222" spans="22:26" x14ac:dyDescent="0.2">
      <c r="V2222" s="123" t="str">
        <f t="shared" si="45"/>
        <v>1w</v>
      </c>
      <c r="W2222" s="82">
        <f>_xll.qlCalendarAdvance(Calendar,W2221,V2222,"f",FALSE)</f>
        <v>54491</v>
      </c>
      <c r="X2222" s="91">
        <f>_xll.qlCalendarAdvance(Calendar,W2222,NDays&amp;"D")</f>
        <v>54491</v>
      </c>
      <c r="Y2222" s="92" t="e">
        <v>#N/A</v>
      </c>
      <c r="Z2222" s="94" t="e">
        <v>#N/A</v>
      </c>
    </row>
    <row r="2223" spans="22:26" x14ac:dyDescent="0.2">
      <c r="V2223" s="123" t="str">
        <f t="shared" si="45"/>
        <v>1w</v>
      </c>
      <c r="W2223" s="82">
        <f>_xll.qlCalendarAdvance(Calendar,W2222,V2223,"f",FALSE)</f>
        <v>54498</v>
      </c>
      <c r="X2223" s="91">
        <f>_xll.qlCalendarAdvance(Calendar,W2223,NDays&amp;"D")</f>
        <v>54498</v>
      </c>
      <c r="Y2223" s="92" t="e">
        <v>#N/A</v>
      </c>
      <c r="Z2223" s="94" t="e">
        <v>#N/A</v>
      </c>
    </row>
    <row r="2224" spans="22:26" x14ac:dyDescent="0.2">
      <c r="V2224" s="123" t="str">
        <f t="shared" si="45"/>
        <v>1w</v>
      </c>
      <c r="W2224" s="82">
        <f>_xll.qlCalendarAdvance(Calendar,W2223,V2224,"f",FALSE)</f>
        <v>54505</v>
      </c>
      <c r="X2224" s="91">
        <f>_xll.qlCalendarAdvance(Calendar,W2224,NDays&amp;"D")</f>
        <v>54505</v>
      </c>
      <c r="Y2224" s="92" t="e">
        <v>#N/A</v>
      </c>
      <c r="Z2224" s="94" t="e">
        <v>#N/A</v>
      </c>
    </row>
    <row r="2225" spans="22:26" x14ac:dyDescent="0.2">
      <c r="V2225" s="123" t="str">
        <f t="shared" si="45"/>
        <v>1w</v>
      </c>
      <c r="W2225" s="82">
        <f>_xll.qlCalendarAdvance(Calendar,W2224,V2225,"f",FALSE)</f>
        <v>54512</v>
      </c>
      <c r="X2225" s="91">
        <f>_xll.qlCalendarAdvance(Calendar,W2225,NDays&amp;"D")</f>
        <v>54512</v>
      </c>
      <c r="Y2225" s="92" t="e">
        <v>#N/A</v>
      </c>
      <c r="Z2225" s="94" t="e">
        <v>#N/A</v>
      </c>
    </row>
    <row r="2226" spans="22:26" x14ac:dyDescent="0.2">
      <c r="V2226" s="123" t="str">
        <f t="shared" si="45"/>
        <v>1w</v>
      </c>
      <c r="W2226" s="82">
        <f>_xll.qlCalendarAdvance(Calendar,W2225,V2226,"f",FALSE)</f>
        <v>54519</v>
      </c>
      <c r="X2226" s="91">
        <f>_xll.qlCalendarAdvance(Calendar,W2226,NDays&amp;"D")</f>
        <v>54519</v>
      </c>
      <c r="Y2226" s="92" t="e">
        <v>#N/A</v>
      </c>
      <c r="Z2226" s="94" t="e">
        <v>#N/A</v>
      </c>
    </row>
    <row r="2227" spans="22:26" x14ac:dyDescent="0.2">
      <c r="V2227" s="123" t="str">
        <f t="shared" si="45"/>
        <v>1w</v>
      </c>
      <c r="W2227" s="82">
        <f>_xll.qlCalendarAdvance(Calendar,W2226,V2227,"f",FALSE)</f>
        <v>54526</v>
      </c>
      <c r="X2227" s="91">
        <f>_xll.qlCalendarAdvance(Calendar,W2227,NDays&amp;"D")</f>
        <v>54526</v>
      </c>
      <c r="Y2227" s="92" t="e">
        <v>#N/A</v>
      </c>
      <c r="Z2227" s="94" t="e">
        <v>#N/A</v>
      </c>
    </row>
    <row r="2228" spans="22:26" x14ac:dyDescent="0.2">
      <c r="V2228" s="123" t="str">
        <f t="shared" si="45"/>
        <v>1w</v>
      </c>
      <c r="W2228" s="82">
        <f>_xll.qlCalendarAdvance(Calendar,W2227,V2228,"f",FALSE)</f>
        <v>54533</v>
      </c>
      <c r="X2228" s="91">
        <f>_xll.qlCalendarAdvance(Calendar,W2228,NDays&amp;"D")</f>
        <v>54533</v>
      </c>
      <c r="Y2228" s="92" t="e">
        <v>#N/A</v>
      </c>
      <c r="Z2228" s="94" t="e">
        <v>#N/A</v>
      </c>
    </row>
    <row r="2229" spans="22:26" x14ac:dyDescent="0.2">
      <c r="V2229" s="123" t="str">
        <f t="shared" si="45"/>
        <v>1w</v>
      </c>
      <c r="W2229" s="82">
        <f>_xll.qlCalendarAdvance(Calendar,W2228,V2229,"f",FALSE)</f>
        <v>54540</v>
      </c>
      <c r="X2229" s="91">
        <f>_xll.qlCalendarAdvance(Calendar,W2229,NDays&amp;"D")</f>
        <v>54540</v>
      </c>
      <c r="Y2229" s="92" t="e">
        <v>#N/A</v>
      </c>
      <c r="Z2229" s="94" t="e">
        <v>#N/A</v>
      </c>
    </row>
    <row r="2230" spans="22:26" x14ac:dyDescent="0.2">
      <c r="V2230" s="123" t="str">
        <f t="shared" si="45"/>
        <v>1w</v>
      </c>
      <c r="W2230" s="82">
        <f>_xll.qlCalendarAdvance(Calendar,W2229,V2230,"f",FALSE)</f>
        <v>54547</v>
      </c>
      <c r="X2230" s="91">
        <f>_xll.qlCalendarAdvance(Calendar,W2230,NDays&amp;"D")</f>
        <v>54547</v>
      </c>
      <c r="Y2230" s="92" t="e">
        <v>#N/A</v>
      </c>
      <c r="Z2230" s="94" t="e">
        <v>#N/A</v>
      </c>
    </row>
    <row r="2231" spans="22:26" x14ac:dyDescent="0.2">
      <c r="V2231" s="123" t="str">
        <f t="shared" si="45"/>
        <v>1w</v>
      </c>
      <c r="W2231" s="82">
        <f>_xll.qlCalendarAdvance(Calendar,W2230,V2231,"f",FALSE)</f>
        <v>54554</v>
      </c>
      <c r="X2231" s="91">
        <f>_xll.qlCalendarAdvance(Calendar,W2231,NDays&amp;"D")</f>
        <v>54554</v>
      </c>
      <c r="Y2231" s="92" t="e">
        <v>#N/A</v>
      </c>
      <c r="Z2231" s="94" t="e">
        <v>#N/A</v>
      </c>
    </row>
    <row r="2232" spans="22:26" x14ac:dyDescent="0.2">
      <c r="V2232" s="123" t="str">
        <f t="shared" si="45"/>
        <v>1w</v>
      </c>
      <c r="W2232" s="82">
        <f>_xll.qlCalendarAdvance(Calendar,W2231,V2232,"f",FALSE)</f>
        <v>54561</v>
      </c>
      <c r="X2232" s="91">
        <f>_xll.qlCalendarAdvance(Calendar,W2232,NDays&amp;"D")</f>
        <v>54561</v>
      </c>
      <c r="Y2232" s="92" t="e">
        <v>#N/A</v>
      </c>
      <c r="Z2232" s="94" t="e">
        <v>#N/A</v>
      </c>
    </row>
    <row r="2233" spans="22:26" x14ac:dyDescent="0.2">
      <c r="V2233" s="123" t="str">
        <f t="shared" si="45"/>
        <v>1w</v>
      </c>
      <c r="W2233" s="82">
        <f>_xll.qlCalendarAdvance(Calendar,W2232,V2233,"f",FALSE)</f>
        <v>54568</v>
      </c>
      <c r="X2233" s="91">
        <f>_xll.qlCalendarAdvance(Calendar,W2233,NDays&amp;"D")</f>
        <v>54568</v>
      </c>
      <c r="Y2233" s="92" t="e">
        <v>#N/A</v>
      </c>
      <c r="Z2233" s="94" t="e">
        <v>#N/A</v>
      </c>
    </row>
    <row r="2234" spans="22:26" x14ac:dyDescent="0.2">
      <c r="V2234" s="123" t="str">
        <f t="shared" si="45"/>
        <v>1w</v>
      </c>
      <c r="W2234" s="82">
        <f>_xll.qlCalendarAdvance(Calendar,W2233,V2234,"f",FALSE)</f>
        <v>54575</v>
      </c>
      <c r="X2234" s="91">
        <f>_xll.qlCalendarAdvance(Calendar,W2234,NDays&amp;"D")</f>
        <v>54575</v>
      </c>
      <c r="Y2234" s="92" t="e">
        <v>#N/A</v>
      </c>
      <c r="Z2234" s="94" t="e">
        <v>#N/A</v>
      </c>
    </row>
    <row r="2235" spans="22:26" x14ac:dyDescent="0.2">
      <c r="V2235" s="123" t="str">
        <f t="shared" si="45"/>
        <v>1w</v>
      </c>
      <c r="W2235" s="82">
        <f>_xll.qlCalendarAdvance(Calendar,W2234,V2235,"f",FALSE)</f>
        <v>54582</v>
      </c>
      <c r="X2235" s="91">
        <f>_xll.qlCalendarAdvance(Calendar,W2235,NDays&amp;"D")</f>
        <v>54582</v>
      </c>
      <c r="Y2235" s="92" t="e">
        <v>#N/A</v>
      </c>
      <c r="Z2235" s="94" t="e">
        <v>#N/A</v>
      </c>
    </row>
    <row r="2236" spans="22:26" x14ac:dyDescent="0.2">
      <c r="V2236" s="123" t="str">
        <f t="shared" si="45"/>
        <v>1w</v>
      </c>
      <c r="W2236" s="82">
        <f>_xll.qlCalendarAdvance(Calendar,W2235,V2236,"f",FALSE)</f>
        <v>54589</v>
      </c>
      <c r="X2236" s="91">
        <f>_xll.qlCalendarAdvance(Calendar,W2236,NDays&amp;"D")</f>
        <v>54589</v>
      </c>
      <c r="Y2236" s="92" t="e">
        <v>#N/A</v>
      </c>
      <c r="Z2236" s="94" t="e">
        <v>#N/A</v>
      </c>
    </row>
    <row r="2237" spans="22:26" x14ac:dyDescent="0.2">
      <c r="V2237" s="123" t="str">
        <f t="shared" si="45"/>
        <v>1w</v>
      </c>
      <c r="W2237" s="82">
        <f>_xll.qlCalendarAdvance(Calendar,W2236,V2237,"f",FALSE)</f>
        <v>54596</v>
      </c>
      <c r="X2237" s="91">
        <f>_xll.qlCalendarAdvance(Calendar,W2237,NDays&amp;"D")</f>
        <v>54596</v>
      </c>
      <c r="Y2237" s="92" t="e">
        <v>#N/A</v>
      </c>
      <c r="Z2237" s="94" t="e">
        <v>#N/A</v>
      </c>
    </row>
    <row r="2238" spans="22:26" x14ac:dyDescent="0.2">
      <c r="V2238" s="123" t="str">
        <f t="shared" si="45"/>
        <v>1w</v>
      </c>
      <c r="W2238" s="82">
        <f>_xll.qlCalendarAdvance(Calendar,W2237,V2238,"f",FALSE)</f>
        <v>54603</v>
      </c>
      <c r="X2238" s="91">
        <f>_xll.qlCalendarAdvance(Calendar,W2238,NDays&amp;"D")</f>
        <v>54603</v>
      </c>
      <c r="Y2238" s="92" t="e">
        <v>#N/A</v>
      </c>
      <c r="Z2238" s="94" t="e">
        <v>#N/A</v>
      </c>
    </row>
    <row r="2239" spans="22:26" x14ac:dyDescent="0.2">
      <c r="V2239" s="123" t="str">
        <f t="shared" si="45"/>
        <v>1w</v>
      </c>
      <c r="W2239" s="82">
        <f>_xll.qlCalendarAdvance(Calendar,W2238,V2239,"f",FALSE)</f>
        <v>54610</v>
      </c>
      <c r="X2239" s="91">
        <f>_xll.qlCalendarAdvance(Calendar,W2239,NDays&amp;"D")</f>
        <v>54610</v>
      </c>
      <c r="Y2239" s="92" t="e">
        <v>#N/A</v>
      </c>
      <c r="Z2239" s="94" t="e">
        <v>#N/A</v>
      </c>
    </row>
    <row r="2240" spans="22:26" x14ac:dyDescent="0.2">
      <c r="V2240" s="123" t="str">
        <f t="shared" si="45"/>
        <v>1w</v>
      </c>
      <c r="W2240" s="82">
        <f>_xll.qlCalendarAdvance(Calendar,W2239,V2240,"f",FALSE)</f>
        <v>54617</v>
      </c>
      <c r="X2240" s="91">
        <f>_xll.qlCalendarAdvance(Calendar,W2240,NDays&amp;"D")</f>
        <v>54617</v>
      </c>
      <c r="Y2240" s="92" t="e">
        <v>#N/A</v>
      </c>
      <c r="Z2240" s="94" t="e">
        <v>#N/A</v>
      </c>
    </row>
    <row r="2241" spans="22:26" x14ac:dyDescent="0.2">
      <c r="V2241" s="123" t="str">
        <f t="shared" si="45"/>
        <v>1w</v>
      </c>
      <c r="W2241" s="82">
        <f>_xll.qlCalendarAdvance(Calendar,W2240,V2241,"f",FALSE)</f>
        <v>54624</v>
      </c>
      <c r="X2241" s="91">
        <f>_xll.qlCalendarAdvance(Calendar,W2241,NDays&amp;"D")</f>
        <v>54624</v>
      </c>
      <c r="Y2241" s="92" t="e">
        <v>#N/A</v>
      </c>
      <c r="Z2241" s="94" t="e">
        <v>#N/A</v>
      </c>
    </row>
    <row r="2242" spans="22:26" x14ac:dyDescent="0.2">
      <c r="V2242" s="123" t="str">
        <f t="shared" si="45"/>
        <v>1w</v>
      </c>
      <c r="W2242" s="82">
        <f>_xll.qlCalendarAdvance(Calendar,W2241,V2242,"f",FALSE)</f>
        <v>54631</v>
      </c>
      <c r="X2242" s="91">
        <f>_xll.qlCalendarAdvance(Calendar,W2242,NDays&amp;"D")</f>
        <v>54631</v>
      </c>
      <c r="Y2242" s="92" t="e">
        <v>#N/A</v>
      </c>
      <c r="Z2242" s="94" t="e">
        <v>#N/A</v>
      </c>
    </row>
    <row r="2243" spans="22:26" x14ac:dyDescent="0.2">
      <c r="V2243" s="123" t="str">
        <f t="shared" si="45"/>
        <v>1w</v>
      </c>
      <c r="W2243" s="82">
        <f>_xll.qlCalendarAdvance(Calendar,W2242,V2243,"f",FALSE)</f>
        <v>54638</v>
      </c>
      <c r="X2243" s="91">
        <f>_xll.qlCalendarAdvance(Calendar,W2243,NDays&amp;"D")</f>
        <v>54638</v>
      </c>
      <c r="Y2243" s="92" t="e">
        <v>#N/A</v>
      </c>
      <c r="Z2243" s="94" t="e">
        <v>#N/A</v>
      </c>
    </row>
    <row r="2244" spans="22:26" x14ac:dyDescent="0.2">
      <c r="V2244" s="123" t="str">
        <f t="shared" si="45"/>
        <v>1w</v>
      </c>
      <c r="W2244" s="82">
        <f>_xll.qlCalendarAdvance(Calendar,W2243,V2244,"f",FALSE)</f>
        <v>54645</v>
      </c>
      <c r="X2244" s="91">
        <f>_xll.qlCalendarAdvance(Calendar,W2244,NDays&amp;"D")</f>
        <v>54645</v>
      </c>
      <c r="Y2244" s="92" t="e">
        <v>#N/A</v>
      </c>
      <c r="Z2244" s="94" t="e">
        <v>#N/A</v>
      </c>
    </row>
    <row r="2245" spans="22:26" x14ac:dyDescent="0.2">
      <c r="V2245" s="123" t="str">
        <f t="shared" si="45"/>
        <v>1w</v>
      </c>
      <c r="W2245" s="82">
        <f>_xll.qlCalendarAdvance(Calendar,W2244,V2245,"f",FALSE)</f>
        <v>54652</v>
      </c>
      <c r="X2245" s="91">
        <f>_xll.qlCalendarAdvance(Calendar,W2245,NDays&amp;"D")</f>
        <v>54652</v>
      </c>
      <c r="Y2245" s="92" t="e">
        <v>#N/A</v>
      </c>
      <c r="Z2245" s="94" t="e">
        <v>#N/A</v>
      </c>
    </row>
    <row r="2246" spans="22:26" x14ac:dyDescent="0.2">
      <c r="V2246" s="123" t="str">
        <f t="shared" si="45"/>
        <v>1w</v>
      </c>
      <c r="W2246" s="82">
        <f>_xll.qlCalendarAdvance(Calendar,W2245,V2246,"f",FALSE)</f>
        <v>54659</v>
      </c>
      <c r="X2246" s="91">
        <f>_xll.qlCalendarAdvance(Calendar,W2246,NDays&amp;"D")</f>
        <v>54659</v>
      </c>
      <c r="Y2246" s="92" t="e">
        <v>#N/A</v>
      </c>
      <c r="Z2246" s="94" t="e">
        <v>#N/A</v>
      </c>
    </row>
    <row r="2247" spans="22:26" x14ac:dyDescent="0.2">
      <c r="V2247" s="123" t="str">
        <f t="shared" si="45"/>
        <v>1w</v>
      </c>
      <c r="W2247" s="82">
        <f>_xll.qlCalendarAdvance(Calendar,W2246,V2247,"f",FALSE)</f>
        <v>54666</v>
      </c>
      <c r="X2247" s="91">
        <f>_xll.qlCalendarAdvance(Calendar,W2247,NDays&amp;"D")</f>
        <v>54666</v>
      </c>
      <c r="Y2247" s="92" t="e">
        <v>#N/A</v>
      </c>
      <c r="Z2247" s="94" t="e">
        <v>#N/A</v>
      </c>
    </row>
    <row r="2248" spans="22:26" x14ac:dyDescent="0.2">
      <c r="V2248" s="123" t="str">
        <f t="shared" si="45"/>
        <v>1w</v>
      </c>
      <c r="W2248" s="82">
        <f>_xll.qlCalendarAdvance(Calendar,W2247,V2248,"f",FALSE)</f>
        <v>54673</v>
      </c>
      <c r="X2248" s="91">
        <f>_xll.qlCalendarAdvance(Calendar,W2248,NDays&amp;"D")</f>
        <v>54673</v>
      </c>
      <c r="Y2248" s="92" t="e">
        <v>#N/A</v>
      </c>
      <c r="Z2248" s="94" t="e">
        <v>#N/A</v>
      </c>
    </row>
    <row r="2249" spans="22:26" x14ac:dyDescent="0.2">
      <c r="V2249" s="123" t="str">
        <f t="shared" si="45"/>
        <v>1w</v>
      </c>
      <c r="W2249" s="82">
        <f>_xll.qlCalendarAdvance(Calendar,W2248,V2249,"f",FALSE)</f>
        <v>54680</v>
      </c>
      <c r="X2249" s="91">
        <f>_xll.qlCalendarAdvance(Calendar,W2249,NDays&amp;"D")</f>
        <v>54680</v>
      </c>
      <c r="Y2249" s="92" t="e">
        <v>#N/A</v>
      </c>
      <c r="Z2249" s="94" t="e">
        <v>#N/A</v>
      </c>
    </row>
    <row r="2250" spans="22:26" x14ac:dyDescent="0.2">
      <c r="V2250" s="123" t="str">
        <f t="shared" si="45"/>
        <v>1w</v>
      </c>
      <c r="W2250" s="82">
        <f>_xll.qlCalendarAdvance(Calendar,W2249,V2250,"f",FALSE)</f>
        <v>54687</v>
      </c>
      <c r="X2250" s="91">
        <f>_xll.qlCalendarAdvance(Calendar,W2250,NDays&amp;"D")</f>
        <v>54687</v>
      </c>
      <c r="Y2250" s="92" t="e">
        <v>#N/A</v>
      </c>
      <c r="Z2250" s="94" t="e">
        <v>#N/A</v>
      </c>
    </row>
    <row r="2251" spans="22:26" x14ac:dyDescent="0.2">
      <c r="V2251" s="123" t="str">
        <f t="shared" si="45"/>
        <v>1w</v>
      </c>
      <c r="W2251" s="82">
        <f>_xll.qlCalendarAdvance(Calendar,W2250,V2251,"f",FALSE)</f>
        <v>54694</v>
      </c>
      <c r="X2251" s="91">
        <f>_xll.qlCalendarAdvance(Calendar,W2251,NDays&amp;"D")</f>
        <v>54694</v>
      </c>
      <c r="Y2251" s="92" t="e">
        <v>#N/A</v>
      </c>
      <c r="Z2251" s="94" t="e">
        <v>#N/A</v>
      </c>
    </row>
    <row r="2252" spans="22:26" x14ac:dyDescent="0.2">
      <c r="V2252" s="123" t="str">
        <f t="shared" si="45"/>
        <v>1w</v>
      </c>
      <c r="W2252" s="82">
        <f>_xll.qlCalendarAdvance(Calendar,W2251,V2252,"f",FALSE)</f>
        <v>54701</v>
      </c>
      <c r="X2252" s="91">
        <f>_xll.qlCalendarAdvance(Calendar,W2252,NDays&amp;"D")</f>
        <v>54701</v>
      </c>
      <c r="Y2252" s="92" t="e">
        <v>#N/A</v>
      </c>
      <c r="Z2252" s="94" t="e">
        <v>#N/A</v>
      </c>
    </row>
    <row r="2253" spans="22:26" x14ac:dyDescent="0.2">
      <c r="V2253" s="123" t="str">
        <f t="shared" si="45"/>
        <v>1w</v>
      </c>
      <c r="W2253" s="82">
        <f>_xll.qlCalendarAdvance(Calendar,W2252,V2253,"f",FALSE)</f>
        <v>54708</v>
      </c>
      <c r="X2253" s="91">
        <f>_xll.qlCalendarAdvance(Calendar,W2253,NDays&amp;"D")</f>
        <v>54708</v>
      </c>
      <c r="Y2253" s="92" t="e">
        <v>#N/A</v>
      </c>
      <c r="Z2253" s="94" t="e">
        <v>#N/A</v>
      </c>
    </row>
    <row r="2254" spans="22:26" x14ac:dyDescent="0.2">
      <c r="V2254" s="123" t="str">
        <f t="shared" si="45"/>
        <v>1w</v>
      </c>
      <c r="W2254" s="82">
        <f>_xll.qlCalendarAdvance(Calendar,W2253,V2254,"f",FALSE)</f>
        <v>54715</v>
      </c>
      <c r="X2254" s="91">
        <f>_xll.qlCalendarAdvance(Calendar,W2254,NDays&amp;"D")</f>
        <v>54715</v>
      </c>
      <c r="Y2254" s="92" t="e">
        <v>#N/A</v>
      </c>
      <c r="Z2254" s="94" t="e">
        <v>#N/A</v>
      </c>
    </row>
    <row r="2255" spans="22:26" x14ac:dyDescent="0.2">
      <c r="V2255" s="123" t="str">
        <f t="shared" si="45"/>
        <v>1w</v>
      </c>
      <c r="W2255" s="82">
        <f>_xll.qlCalendarAdvance(Calendar,W2254,V2255,"f",FALSE)</f>
        <v>54722</v>
      </c>
      <c r="X2255" s="91">
        <f>_xll.qlCalendarAdvance(Calendar,W2255,NDays&amp;"D")</f>
        <v>54722</v>
      </c>
      <c r="Y2255" s="92" t="e">
        <v>#N/A</v>
      </c>
      <c r="Z2255" s="94" t="e">
        <v>#N/A</v>
      </c>
    </row>
    <row r="2256" spans="22:26" x14ac:dyDescent="0.2">
      <c r="V2256" s="123" t="str">
        <f t="shared" si="45"/>
        <v>1w</v>
      </c>
      <c r="W2256" s="82">
        <f>_xll.qlCalendarAdvance(Calendar,W2255,V2256,"f",FALSE)</f>
        <v>54729</v>
      </c>
      <c r="X2256" s="91">
        <f>_xll.qlCalendarAdvance(Calendar,W2256,NDays&amp;"D")</f>
        <v>54729</v>
      </c>
      <c r="Y2256" s="92" t="e">
        <v>#N/A</v>
      </c>
      <c r="Z2256" s="94" t="e">
        <v>#N/A</v>
      </c>
    </row>
    <row r="2257" spans="22:26" x14ac:dyDescent="0.2">
      <c r="V2257" s="123" t="str">
        <f t="shared" si="45"/>
        <v>1w</v>
      </c>
      <c r="W2257" s="82">
        <f>_xll.qlCalendarAdvance(Calendar,W2256,V2257,"f",FALSE)</f>
        <v>54736</v>
      </c>
      <c r="X2257" s="91">
        <f>_xll.qlCalendarAdvance(Calendar,W2257,NDays&amp;"D")</f>
        <v>54736</v>
      </c>
      <c r="Y2257" s="92" t="e">
        <v>#N/A</v>
      </c>
      <c r="Z2257" s="94" t="e">
        <v>#N/A</v>
      </c>
    </row>
    <row r="2258" spans="22:26" x14ac:dyDescent="0.2">
      <c r="V2258" s="123" t="str">
        <f t="shared" si="45"/>
        <v>1w</v>
      </c>
      <c r="W2258" s="82">
        <f>_xll.qlCalendarAdvance(Calendar,W2257,V2258,"f",FALSE)</f>
        <v>54743</v>
      </c>
      <c r="X2258" s="91">
        <f>_xll.qlCalendarAdvance(Calendar,W2258,NDays&amp;"D")</f>
        <v>54743</v>
      </c>
      <c r="Y2258" s="92" t="e">
        <v>#N/A</v>
      </c>
      <c r="Z2258" s="94" t="e">
        <v>#N/A</v>
      </c>
    </row>
    <row r="2259" spans="22:26" x14ac:dyDescent="0.2">
      <c r="V2259" s="123" t="str">
        <f t="shared" si="45"/>
        <v>1w</v>
      </c>
      <c r="W2259" s="82">
        <f>_xll.qlCalendarAdvance(Calendar,W2258,V2259,"f",FALSE)</f>
        <v>54750</v>
      </c>
      <c r="X2259" s="91">
        <f>_xll.qlCalendarAdvance(Calendar,W2259,NDays&amp;"D")</f>
        <v>54750</v>
      </c>
      <c r="Y2259" s="92" t="e">
        <v>#N/A</v>
      </c>
      <c r="Z2259" s="94" t="e">
        <v>#N/A</v>
      </c>
    </row>
    <row r="2260" spans="22:26" x14ac:dyDescent="0.2">
      <c r="V2260" s="123" t="str">
        <f t="shared" si="45"/>
        <v>1w</v>
      </c>
      <c r="W2260" s="82">
        <f>_xll.qlCalendarAdvance(Calendar,W2259,V2260,"f",FALSE)</f>
        <v>54757</v>
      </c>
      <c r="X2260" s="91">
        <f>_xll.qlCalendarAdvance(Calendar,W2260,NDays&amp;"D")</f>
        <v>54757</v>
      </c>
      <c r="Y2260" s="92" t="e">
        <v>#N/A</v>
      </c>
      <c r="Z2260" s="94" t="e">
        <v>#N/A</v>
      </c>
    </row>
    <row r="2261" spans="22:26" x14ac:dyDescent="0.2">
      <c r="V2261" s="123" t="str">
        <f t="shared" ref="V2261:V2324" si="46">V2260</f>
        <v>1w</v>
      </c>
      <c r="W2261" s="82">
        <f>_xll.qlCalendarAdvance(Calendar,W2260,V2261,"f",FALSE)</f>
        <v>54764</v>
      </c>
      <c r="X2261" s="91">
        <f>_xll.qlCalendarAdvance(Calendar,W2261,NDays&amp;"D")</f>
        <v>54764</v>
      </c>
      <c r="Y2261" s="92" t="e">
        <v>#N/A</v>
      </c>
      <c r="Z2261" s="94" t="e">
        <v>#N/A</v>
      </c>
    </row>
    <row r="2262" spans="22:26" x14ac:dyDescent="0.2">
      <c r="V2262" s="123" t="str">
        <f t="shared" si="46"/>
        <v>1w</v>
      </c>
      <c r="W2262" s="82">
        <f>_xll.qlCalendarAdvance(Calendar,W2261,V2262,"f",FALSE)</f>
        <v>54771</v>
      </c>
      <c r="X2262" s="91">
        <f>_xll.qlCalendarAdvance(Calendar,W2262,NDays&amp;"D")</f>
        <v>54771</v>
      </c>
      <c r="Y2262" s="92" t="e">
        <v>#N/A</v>
      </c>
      <c r="Z2262" s="94" t="e">
        <v>#N/A</v>
      </c>
    </row>
    <row r="2263" spans="22:26" x14ac:dyDescent="0.2">
      <c r="V2263" s="123" t="str">
        <f t="shared" si="46"/>
        <v>1w</v>
      </c>
      <c r="W2263" s="82">
        <f>_xll.qlCalendarAdvance(Calendar,W2262,V2263,"f",FALSE)</f>
        <v>54778</v>
      </c>
      <c r="X2263" s="91">
        <f>_xll.qlCalendarAdvance(Calendar,W2263,NDays&amp;"D")</f>
        <v>54778</v>
      </c>
      <c r="Y2263" s="92" t="e">
        <v>#N/A</v>
      </c>
      <c r="Z2263" s="94" t="e">
        <v>#N/A</v>
      </c>
    </row>
    <row r="2264" spans="22:26" x14ac:dyDescent="0.2">
      <c r="V2264" s="123" t="str">
        <f t="shared" si="46"/>
        <v>1w</v>
      </c>
      <c r="W2264" s="82">
        <f>_xll.qlCalendarAdvance(Calendar,W2263,V2264,"f",FALSE)</f>
        <v>54785</v>
      </c>
      <c r="X2264" s="91">
        <f>_xll.qlCalendarAdvance(Calendar,W2264,NDays&amp;"D")</f>
        <v>54785</v>
      </c>
      <c r="Y2264" s="92" t="e">
        <v>#N/A</v>
      </c>
      <c r="Z2264" s="94" t="e">
        <v>#N/A</v>
      </c>
    </row>
    <row r="2265" spans="22:26" x14ac:dyDescent="0.2">
      <c r="V2265" s="123" t="str">
        <f t="shared" si="46"/>
        <v>1w</v>
      </c>
      <c r="W2265" s="82">
        <f>_xll.qlCalendarAdvance(Calendar,W2264,V2265,"f",FALSE)</f>
        <v>54792</v>
      </c>
      <c r="X2265" s="91">
        <f>_xll.qlCalendarAdvance(Calendar,W2265,NDays&amp;"D")</f>
        <v>54792</v>
      </c>
      <c r="Y2265" s="92" t="e">
        <v>#N/A</v>
      </c>
      <c r="Z2265" s="94" t="e">
        <v>#N/A</v>
      </c>
    </row>
    <row r="2266" spans="22:26" x14ac:dyDescent="0.2">
      <c r="V2266" s="123" t="str">
        <f t="shared" si="46"/>
        <v>1w</v>
      </c>
      <c r="W2266" s="82">
        <f>_xll.qlCalendarAdvance(Calendar,W2265,V2266,"f",FALSE)</f>
        <v>54799</v>
      </c>
      <c r="X2266" s="91">
        <f>_xll.qlCalendarAdvance(Calendar,W2266,NDays&amp;"D")</f>
        <v>54799</v>
      </c>
      <c r="Y2266" s="92" t="e">
        <v>#N/A</v>
      </c>
      <c r="Z2266" s="94" t="e">
        <v>#N/A</v>
      </c>
    </row>
    <row r="2267" spans="22:26" x14ac:dyDescent="0.2">
      <c r="V2267" s="123" t="str">
        <f t="shared" si="46"/>
        <v>1w</v>
      </c>
      <c r="W2267" s="82">
        <f>_xll.qlCalendarAdvance(Calendar,W2266,V2267,"f",FALSE)</f>
        <v>54806</v>
      </c>
      <c r="X2267" s="91">
        <f>_xll.qlCalendarAdvance(Calendar,W2267,NDays&amp;"D")</f>
        <v>54806</v>
      </c>
      <c r="Y2267" s="92" t="e">
        <v>#N/A</v>
      </c>
      <c r="Z2267" s="94" t="e">
        <v>#N/A</v>
      </c>
    </row>
    <row r="2268" spans="22:26" x14ac:dyDescent="0.2">
      <c r="V2268" s="123" t="str">
        <f t="shared" si="46"/>
        <v>1w</v>
      </c>
      <c r="W2268" s="82">
        <f>_xll.qlCalendarAdvance(Calendar,W2267,V2268,"f",FALSE)</f>
        <v>54813</v>
      </c>
      <c r="X2268" s="91">
        <f>_xll.qlCalendarAdvance(Calendar,W2268,NDays&amp;"D")</f>
        <v>54813</v>
      </c>
      <c r="Y2268" s="92" t="e">
        <v>#N/A</v>
      </c>
      <c r="Z2268" s="94" t="e">
        <v>#N/A</v>
      </c>
    </row>
    <row r="2269" spans="22:26" x14ac:dyDescent="0.2">
      <c r="V2269" s="123" t="str">
        <f t="shared" si="46"/>
        <v>1w</v>
      </c>
      <c r="W2269" s="82">
        <f>_xll.qlCalendarAdvance(Calendar,W2268,V2269,"f",FALSE)</f>
        <v>54820</v>
      </c>
      <c r="X2269" s="91">
        <f>_xll.qlCalendarAdvance(Calendar,W2269,NDays&amp;"D")</f>
        <v>54820</v>
      </c>
      <c r="Y2269" s="92" t="e">
        <v>#N/A</v>
      </c>
      <c r="Z2269" s="94" t="e">
        <v>#N/A</v>
      </c>
    </row>
    <row r="2270" spans="22:26" x14ac:dyDescent="0.2">
      <c r="V2270" s="123" t="str">
        <f t="shared" si="46"/>
        <v>1w</v>
      </c>
      <c r="W2270" s="82">
        <f>_xll.qlCalendarAdvance(Calendar,W2269,V2270,"f",FALSE)</f>
        <v>54827</v>
      </c>
      <c r="X2270" s="91">
        <f>_xll.qlCalendarAdvance(Calendar,W2270,NDays&amp;"D")</f>
        <v>54827</v>
      </c>
      <c r="Y2270" s="92" t="e">
        <v>#N/A</v>
      </c>
      <c r="Z2270" s="94" t="e">
        <v>#N/A</v>
      </c>
    </row>
    <row r="2271" spans="22:26" x14ac:dyDescent="0.2">
      <c r="V2271" s="123" t="str">
        <f t="shared" si="46"/>
        <v>1w</v>
      </c>
      <c r="W2271" s="82">
        <f>_xll.qlCalendarAdvance(Calendar,W2270,V2271,"f",FALSE)</f>
        <v>54834</v>
      </c>
      <c r="X2271" s="91">
        <f>_xll.qlCalendarAdvance(Calendar,W2271,NDays&amp;"D")</f>
        <v>54834</v>
      </c>
      <c r="Y2271" s="92" t="e">
        <v>#N/A</v>
      </c>
      <c r="Z2271" s="94" t="e">
        <v>#N/A</v>
      </c>
    </row>
    <row r="2272" spans="22:26" x14ac:dyDescent="0.2">
      <c r="V2272" s="123" t="str">
        <f t="shared" si="46"/>
        <v>1w</v>
      </c>
      <c r="W2272" s="82">
        <f>_xll.qlCalendarAdvance(Calendar,W2271,V2272,"f",FALSE)</f>
        <v>54841</v>
      </c>
      <c r="X2272" s="91">
        <f>_xll.qlCalendarAdvance(Calendar,W2272,NDays&amp;"D")</f>
        <v>54841</v>
      </c>
      <c r="Y2272" s="92" t="e">
        <v>#N/A</v>
      </c>
      <c r="Z2272" s="94" t="e">
        <v>#N/A</v>
      </c>
    </row>
    <row r="2273" spans="22:26" x14ac:dyDescent="0.2">
      <c r="V2273" s="123" t="str">
        <f t="shared" si="46"/>
        <v>1w</v>
      </c>
      <c r="W2273" s="82">
        <f>_xll.qlCalendarAdvance(Calendar,W2272,V2273,"f",FALSE)</f>
        <v>54848</v>
      </c>
      <c r="X2273" s="91">
        <f>_xll.qlCalendarAdvance(Calendar,W2273,NDays&amp;"D")</f>
        <v>54848</v>
      </c>
      <c r="Y2273" s="92" t="e">
        <v>#N/A</v>
      </c>
      <c r="Z2273" s="94" t="e">
        <v>#N/A</v>
      </c>
    </row>
    <row r="2274" spans="22:26" x14ac:dyDescent="0.2">
      <c r="V2274" s="123" t="str">
        <f t="shared" si="46"/>
        <v>1w</v>
      </c>
      <c r="W2274" s="82">
        <f>_xll.qlCalendarAdvance(Calendar,W2273,V2274,"f",FALSE)</f>
        <v>54855</v>
      </c>
      <c r="X2274" s="91">
        <f>_xll.qlCalendarAdvance(Calendar,W2274,NDays&amp;"D")</f>
        <v>54855</v>
      </c>
      <c r="Y2274" s="92" t="e">
        <v>#N/A</v>
      </c>
      <c r="Z2274" s="94" t="e">
        <v>#N/A</v>
      </c>
    </row>
    <row r="2275" spans="22:26" x14ac:dyDescent="0.2">
      <c r="V2275" s="123" t="str">
        <f t="shared" si="46"/>
        <v>1w</v>
      </c>
      <c r="W2275" s="82">
        <f>_xll.qlCalendarAdvance(Calendar,W2274,V2275,"f",FALSE)</f>
        <v>54862</v>
      </c>
      <c r="X2275" s="91">
        <f>_xll.qlCalendarAdvance(Calendar,W2275,NDays&amp;"D")</f>
        <v>54862</v>
      </c>
      <c r="Y2275" s="92" t="e">
        <v>#N/A</v>
      </c>
      <c r="Z2275" s="94" t="e">
        <v>#N/A</v>
      </c>
    </row>
    <row r="2276" spans="22:26" x14ac:dyDescent="0.2">
      <c r="V2276" s="123" t="str">
        <f t="shared" si="46"/>
        <v>1w</v>
      </c>
      <c r="W2276" s="82">
        <f>_xll.qlCalendarAdvance(Calendar,W2275,V2276,"f",FALSE)</f>
        <v>54869</v>
      </c>
      <c r="X2276" s="91">
        <f>_xll.qlCalendarAdvance(Calendar,W2276,NDays&amp;"D")</f>
        <v>54869</v>
      </c>
      <c r="Y2276" s="92" t="e">
        <v>#N/A</v>
      </c>
      <c r="Z2276" s="94" t="e">
        <v>#N/A</v>
      </c>
    </row>
    <row r="2277" spans="22:26" x14ac:dyDescent="0.2">
      <c r="V2277" s="123" t="str">
        <f t="shared" si="46"/>
        <v>1w</v>
      </c>
      <c r="W2277" s="82">
        <f>_xll.qlCalendarAdvance(Calendar,W2276,V2277,"f",FALSE)</f>
        <v>54876</v>
      </c>
      <c r="X2277" s="91">
        <f>_xll.qlCalendarAdvance(Calendar,W2277,NDays&amp;"D")</f>
        <v>54876</v>
      </c>
      <c r="Y2277" s="92" t="e">
        <v>#N/A</v>
      </c>
      <c r="Z2277" s="94" t="e">
        <v>#N/A</v>
      </c>
    </row>
    <row r="2278" spans="22:26" x14ac:dyDescent="0.2">
      <c r="V2278" s="123" t="str">
        <f t="shared" si="46"/>
        <v>1w</v>
      </c>
      <c r="W2278" s="82">
        <f>_xll.qlCalendarAdvance(Calendar,W2277,V2278,"f",FALSE)</f>
        <v>54883</v>
      </c>
      <c r="X2278" s="91">
        <f>_xll.qlCalendarAdvance(Calendar,W2278,NDays&amp;"D")</f>
        <v>54883</v>
      </c>
      <c r="Y2278" s="92" t="e">
        <v>#N/A</v>
      </c>
      <c r="Z2278" s="94" t="e">
        <v>#N/A</v>
      </c>
    </row>
    <row r="2279" spans="22:26" x14ac:dyDescent="0.2">
      <c r="V2279" s="123" t="str">
        <f t="shared" si="46"/>
        <v>1w</v>
      </c>
      <c r="W2279" s="82">
        <f>_xll.qlCalendarAdvance(Calendar,W2278,V2279,"f",FALSE)</f>
        <v>54890</v>
      </c>
      <c r="X2279" s="91">
        <f>_xll.qlCalendarAdvance(Calendar,W2279,NDays&amp;"D")</f>
        <v>54890</v>
      </c>
      <c r="Y2279" s="92" t="e">
        <v>#N/A</v>
      </c>
      <c r="Z2279" s="94" t="e">
        <v>#N/A</v>
      </c>
    </row>
    <row r="2280" spans="22:26" x14ac:dyDescent="0.2">
      <c r="V2280" s="123" t="str">
        <f t="shared" si="46"/>
        <v>1w</v>
      </c>
      <c r="W2280" s="82">
        <f>_xll.qlCalendarAdvance(Calendar,W2279,V2280,"f",FALSE)</f>
        <v>54897</v>
      </c>
      <c r="X2280" s="91">
        <f>_xll.qlCalendarAdvance(Calendar,W2280,NDays&amp;"D")</f>
        <v>54897</v>
      </c>
      <c r="Y2280" s="92" t="e">
        <v>#N/A</v>
      </c>
      <c r="Z2280" s="94" t="e">
        <v>#N/A</v>
      </c>
    </row>
    <row r="2281" spans="22:26" x14ac:dyDescent="0.2">
      <c r="V2281" s="123" t="str">
        <f t="shared" si="46"/>
        <v>1w</v>
      </c>
      <c r="W2281" s="82">
        <f>_xll.qlCalendarAdvance(Calendar,W2280,V2281,"f",FALSE)</f>
        <v>54904</v>
      </c>
      <c r="X2281" s="91">
        <f>_xll.qlCalendarAdvance(Calendar,W2281,NDays&amp;"D")</f>
        <v>54904</v>
      </c>
      <c r="Y2281" s="92" t="e">
        <v>#N/A</v>
      </c>
      <c r="Z2281" s="94" t="e">
        <v>#N/A</v>
      </c>
    </row>
    <row r="2282" spans="22:26" x14ac:dyDescent="0.2">
      <c r="V2282" s="123" t="str">
        <f t="shared" si="46"/>
        <v>1w</v>
      </c>
      <c r="W2282" s="82">
        <f>_xll.qlCalendarAdvance(Calendar,W2281,V2282,"f",FALSE)</f>
        <v>54911</v>
      </c>
      <c r="X2282" s="91">
        <f>_xll.qlCalendarAdvance(Calendar,W2282,NDays&amp;"D")</f>
        <v>54911</v>
      </c>
      <c r="Y2282" s="92" t="e">
        <v>#N/A</v>
      </c>
      <c r="Z2282" s="94" t="e">
        <v>#N/A</v>
      </c>
    </row>
    <row r="2283" spans="22:26" x14ac:dyDescent="0.2">
      <c r="V2283" s="123" t="str">
        <f t="shared" si="46"/>
        <v>1w</v>
      </c>
      <c r="W2283" s="82">
        <f>_xll.qlCalendarAdvance(Calendar,W2282,V2283,"f",FALSE)</f>
        <v>54918</v>
      </c>
      <c r="X2283" s="91">
        <f>_xll.qlCalendarAdvance(Calendar,W2283,NDays&amp;"D")</f>
        <v>54918</v>
      </c>
      <c r="Y2283" s="92" t="e">
        <v>#N/A</v>
      </c>
      <c r="Z2283" s="94" t="e">
        <v>#N/A</v>
      </c>
    </row>
    <row r="2284" spans="22:26" x14ac:dyDescent="0.2">
      <c r="V2284" s="123" t="str">
        <f t="shared" si="46"/>
        <v>1w</v>
      </c>
      <c r="W2284" s="82">
        <f>_xll.qlCalendarAdvance(Calendar,W2283,V2284,"f",FALSE)</f>
        <v>54925</v>
      </c>
      <c r="X2284" s="91">
        <f>_xll.qlCalendarAdvance(Calendar,W2284,NDays&amp;"D")</f>
        <v>54925</v>
      </c>
      <c r="Y2284" s="92" t="e">
        <v>#N/A</v>
      </c>
      <c r="Z2284" s="94" t="e">
        <v>#N/A</v>
      </c>
    </row>
    <row r="2285" spans="22:26" x14ac:dyDescent="0.2">
      <c r="V2285" s="123" t="str">
        <f t="shared" si="46"/>
        <v>1w</v>
      </c>
      <c r="W2285" s="82">
        <f>_xll.qlCalendarAdvance(Calendar,W2284,V2285,"f",FALSE)</f>
        <v>54932</v>
      </c>
      <c r="X2285" s="91">
        <f>_xll.qlCalendarAdvance(Calendar,W2285,NDays&amp;"D")</f>
        <v>54932</v>
      </c>
      <c r="Y2285" s="92" t="e">
        <v>#N/A</v>
      </c>
      <c r="Z2285" s="94" t="e">
        <v>#N/A</v>
      </c>
    </row>
    <row r="2286" spans="22:26" x14ac:dyDescent="0.2">
      <c r="V2286" s="123" t="str">
        <f t="shared" si="46"/>
        <v>1w</v>
      </c>
      <c r="W2286" s="82">
        <f>_xll.qlCalendarAdvance(Calendar,W2285,V2286,"f",FALSE)</f>
        <v>54939</v>
      </c>
      <c r="X2286" s="91">
        <f>_xll.qlCalendarAdvance(Calendar,W2286,NDays&amp;"D")</f>
        <v>54939</v>
      </c>
      <c r="Y2286" s="92" t="e">
        <v>#N/A</v>
      </c>
      <c r="Z2286" s="94" t="e">
        <v>#N/A</v>
      </c>
    </row>
    <row r="2287" spans="22:26" x14ac:dyDescent="0.2">
      <c r="V2287" s="123" t="str">
        <f t="shared" si="46"/>
        <v>1w</v>
      </c>
      <c r="W2287" s="82">
        <f>_xll.qlCalendarAdvance(Calendar,W2286,V2287,"f",FALSE)</f>
        <v>54946</v>
      </c>
      <c r="X2287" s="91">
        <f>_xll.qlCalendarAdvance(Calendar,W2287,NDays&amp;"D")</f>
        <v>54946</v>
      </c>
      <c r="Y2287" s="92" t="e">
        <v>#N/A</v>
      </c>
      <c r="Z2287" s="94" t="e">
        <v>#N/A</v>
      </c>
    </row>
    <row r="2288" spans="22:26" x14ac:dyDescent="0.2">
      <c r="V2288" s="123" t="str">
        <f t="shared" si="46"/>
        <v>1w</v>
      </c>
      <c r="W2288" s="82">
        <f>_xll.qlCalendarAdvance(Calendar,W2287,V2288,"f",FALSE)</f>
        <v>54953</v>
      </c>
      <c r="X2288" s="91">
        <f>_xll.qlCalendarAdvance(Calendar,W2288,NDays&amp;"D")</f>
        <v>54953</v>
      </c>
      <c r="Y2288" s="92" t="e">
        <v>#N/A</v>
      </c>
      <c r="Z2288" s="94" t="e">
        <v>#N/A</v>
      </c>
    </row>
    <row r="2289" spans="22:26" x14ac:dyDescent="0.2">
      <c r="V2289" s="123" t="str">
        <f t="shared" si="46"/>
        <v>1w</v>
      </c>
      <c r="W2289" s="82">
        <f>_xll.qlCalendarAdvance(Calendar,W2288,V2289,"f",FALSE)</f>
        <v>54960</v>
      </c>
      <c r="X2289" s="91">
        <f>_xll.qlCalendarAdvance(Calendar,W2289,NDays&amp;"D")</f>
        <v>54960</v>
      </c>
      <c r="Y2289" s="92" t="e">
        <v>#N/A</v>
      </c>
      <c r="Z2289" s="94" t="e">
        <v>#N/A</v>
      </c>
    </row>
    <row r="2290" spans="22:26" x14ac:dyDescent="0.2">
      <c r="V2290" s="123" t="str">
        <f t="shared" si="46"/>
        <v>1w</v>
      </c>
      <c r="W2290" s="82">
        <f>_xll.qlCalendarAdvance(Calendar,W2289,V2290,"f",FALSE)</f>
        <v>54967</v>
      </c>
      <c r="X2290" s="91">
        <f>_xll.qlCalendarAdvance(Calendar,W2290,NDays&amp;"D")</f>
        <v>54967</v>
      </c>
      <c r="Y2290" s="92" t="e">
        <v>#N/A</v>
      </c>
      <c r="Z2290" s="94" t="e">
        <v>#N/A</v>
      </c>
    </row>
    <row r="2291" spans="22:26" x14ac:dyDescent="0.2">
      <c r="V2291" s="123" t="str">
        <f t="shared" si="46"/>
        <v>1w</v>
      </c>
      <c r="W2291" s="82">
        <f>_xll.qlCalendarAdvance(Calendar,W2290,V2291,"f",FALSE)</f>
        <v>54974</v>
      </c>
      <c r="X2291" s="91">
        <f>_xll.qlCalendarAdvance(Calendar,W2291,NDays&amp;"D")</f>
        <v>54974</v>
      </c>
      <c r="Y2291" s="92" t="e">
        <v>#N/A</v>
      </c>
      <c r="Z2291" s="94" t="e">
        <v>#N/A</v>
      </c>
    </row>
    <row r="2292" spans="22:26" x14ac:dyDescent="0.2">
      <c r="V2292" s="123" t="str">
        <f t="shared" si="46"/>
        <v>1w</v>
      </c>
      <c r="W2292" s="82">
        <f>_xll.qlCalendarAdvance(Calendar,W2291,V2292,"f",FALSE)</f>
        <v>54981</v>
      </c>
      <c r="X2292" s="91">
        <f>_xll.qlCalendarAdvance(Calendar,W2292,NDays&amp;"D")</f>
        <v>54981</v>
      </c>
      <c r="Y2292" s="92" t="e">
        <v>#N/A</v>
      </c>
      <c r="Z2292" s="94" t="e">
        <v>#N/A</v>
      </c>
    </row>
    <row r="2293" spans="22:26" x14ac:dyDescent="0.2">
      <c r="V2293" s="123" t="str">
        <f t="shared" si="46"/>
        <v>1w</v>
      </c>
      <c r="W2293" s="82">
        <f>_xll.qlCalendarAdvance(Calendar,W2292,V2293,"f",FALSE)</f>
        <v>54988</v>
      </c>
      <c r="X2293" s="91">
        <f>_xll.qlCalendarAdvance(Calendar,W2293,NDays&amp;"D")</f>
        <v>54988</v>
      </c>
      <c r="Y2293" s="92" t="e">
        <v>#N/A</v>
      </c>
      <c r="Z2293" s="94" t="e">
        <v>#N/A</v>
      </c>
    </row>
    <row r="2294" spans="22:26" x14ac:dyDescent="0.2">
      <c r="V2294" s="123" t="str">
        <f t="shared" si="46"/>
        <v>1w</v>
      </c>
      <c r="W2294" s="82">
        <f>_xll.qlCalendarAdvance(Calendar,W2293,V2294,"f",FALSE)</f>
        <v>54995</v>
      </c>
      <c r="X2294" s="91">
        <f>_xll.qlCalendarAdvance(Calendar,W2294,NDays&amp;"D")</f>
        <v>54995</v>
      </c>
      <c r="Y2294" s="92" t="e">
        <v>#N/A</v>
      </c>
      <c r="Z2294" s="94" t="e">
        <v>#N/A</v>
      </c>
    </row>
    <row r="2295" spans="22:26" x14ac:dyDescent="0.2">
      <c r="V2295" s="123" t="str">
        <f t="shared" si="46"/>
        <v>1w</v>
      </c>
      <c r="W2295" s="82">
        <f>_xll.qlCalendarAdvance(Calendar,W2294,V2295,"f",FALSE)</f>
        <v>55002</v>
      </c>
      <c r="X2295" s="91">
        <f>_xll.qlCalendarAdvance(Calendar,W2295,NDays&amp;"D")</f>
        <v>55002</v>
      </c>
      <c r="Y2295" s="92" t="e">
        <v>#N/A</v>
      </c>
      <c r="Z2295" s="94" t="e">
        <v>#N/A</v>
      </c>
    </row>
    <row r="2296" spans="22:26" x14ac:dyDescent="0.2">
      <c r="V2296" s="123" t="str">
        <f t="shared" si="46"/>
        <v>1w</v>
      </c>
      <c r="W2296" s="82">
        <f>_xll.qlCalendarAdvance(Calendar,W2295,V2296,"f",FALSE)</f>
        <v>55009</v>
      </c>
      <c r="X2296" s="91">
        <f>_xll.qlCalendarAdvance(Calendar,W2296,NDays&amp;"D")</f>
        <v>55009</v>
      </c>
      <c r="Y2296" s="92" t="e">
        <v>#N/A</v>
      </c>
      <c r="Z2296" s="94" t="e">
        <v>#N/A</v>
      </c>
    </row>
    <row r="2297" spans="22:26" x14ac:dyDescent="0.2">
      <c r="V2297" s="123" t="str">
        <f t="shared" si="46"/>
        <v>1w</v>
      </c>
      <c r="W2297" s="82">
        <f>_xll.qlCalendarAdvance(Calendar,W2296,V2297,"f",FALSE)</f>
        <v>55016</v>
      </c>
      <c r="X2297" s="91">
        <f>_xll.qlCalendarAdvance(Calendar,W2297,NDays&amp;"D")</f>
        <v>55016</v>
      </c>
      <c r="Y2297" s="92" t="e">
        <v>#N/A</v>
      </c>
      <c r="Z2297" s="94" t="e">
        <v>#N/A</v>
      </c>
    </row>
    <row r="2298" spans="22:26" x14ac:dyDescent="0.2">
      <c r="V2298" s="123" t="str">
        <f t="shared" si="46"/>
        <v>1w</v>
      </c>
      <c r="W2298" s="82">
        <f>_xll.qlCalendarAdvance(Calendar,W2297,V2298,"f",FALSE)</f>
        <v>55023</v>
      </c>
      <c r="X2298" s="91">
        <f>_xll.qlCalendarAdvance(Calendar,W2298,NDays&amp;"D")</f>
        <v>55023</v>
      </c>
      <c r="Y2298" s="92" t="e">
        <v>#N/A</v>
      </c>
      <c r="Z2298" s="94" t="e">
        <v>#N/A</v>
      </c>
    </row>
    <row r="2299" spans="22:26" x14ac:dyDescent="0.2">
      <c r="V2299" s="123" t="str">
        <f t="shared" si="46"/>
        <v>1w</v>
      </c>
      <c r="W2299" s="82">
        <f>_xll.qlCalendarAdvance(Calendar,W2298,V2299,"f",FALSE)</f>
        <v>55030</v>
      </c>
      <c r="X2299" s="91">
        <f>_xll.qlCalendarAdvance(Calendar,W2299,NDays&amp;"D")</f>
        <v>55030</v>
      </c>
      <c r="Y2299" s="92" t="e">
        <v>#N/A</v>
      </c>
      <c r="Z2299" s="94" t="e">
        <v>#N/A</v>
      </c>
    </row>
    <row r="2300" spans="22:26" x14ac:dyDescent="0.2">
      <c r="V2300" s="123" t="str">
        <f t="shared" si="46"/>
        <v>1w</v>
      </c>
      <c r="W2300" s="82">
        <f>_xll.qlCalendarAdvance(Calendar,W2299,V2300,"f",FALSE)</f>
        <v>55037</v>
      </c>
      <c r="X2300" s="91">
        <f>_xll.qlCalendarAdvance(Calendar,W2300,NDays&amp;"D")</f>
        <v>55037</v>
      </c>
      <c r="Y2300" s="92" t="e">
        <v>#N/A</v>
      </c>
      <c r="Z2300" s="94" t="e">
        <v>#N/A</v>
      </c>
    </row>
    <row r="2301" spans="22:26" x14ac:dyDescent="0.2">
      <c r="V2301" s="123" t="str">
        <f t="shared" si="46"/>
        <v>1w</v>
      </c>
      <c r="W2301" s="82">
        <f>_xll.qlCalendarAdvance(Calendar,W2300,V2301,"f",FALSE)</f>
        <v>55044</v>
      </c>
      <c r="X2301" s="91">
        <f>_xll.qlCalendarAdvance(Calendar,W2301,NDays&amp;"D")</f>
        <v>55044</v>
      </c>
      <c r="Y2301" s="92" t="e">
        <v>#N/A</v>
      </c>
      <c r="Z2301" s="94" t="e">
        <v>#N/A</v>
      </c>
    </row>
    <row r="2302" spans="22:26" x14ac:dyDescent="0.2">
      <c r="V2302" s="123" t="str">
        <f t="shared" si="46"/>
        <v>1w</v>
      </c>
      <c r="W2302" s="82">
        <f>_xll.qlCalendarAdvance(Calendar,W2301,V2302,"f",FALSE)</f>
        <v>55051</v>
      </c>
      <c r="X2302" s="91">
        <f>_xll.qlCalendarAdvance(Calendar,W2302,NDays&amp;"D")</f>
        <v>55051</v>
      </c>
      <c r="Y2302" s="92" t="e">
        <v>#N/A</v>
      </c>
      <c r="Z2302" s="94" t="e">
        <v>#N/A</v>
      </c>
    </row>
    <row r="2303" spans="22:26" x14ac:dyDescent="0.2">
      <c r="V2303" s="123" t="str">
        <f t="shared" si="46"/>
        <v>1w</v>
      </c>
      <c r="W2303" s="82">
        <f>_xll.qlCalendarAdvance(Calendar,W2302,V2303,"f",FALSE)</f>
        <v>55058</v>
      </c>
      <c r="X2303" s="91">
        <f>_xll.qlCalendarAdvance(Calendar,W2303,NDays&amp;"D")</f>
        <v>55058</v>
      </c>
      <c r="Y2303" s="92" t="e">
        <v>#N/A</v>
      </c>
      <c r="Z2303" s="94" t="e">
        <v>#N/A</v>
      </c>
    </row>
    <row r="2304" spans="22:26" x14ac:dyDescent="0.2">
      <c r="V2304" s="123" t="str">
        <f t="shared" si="46"/>
        <v>1w</v>
      </c>
      <c r="W2304" s="82">
        <f>_xll.qlCalendarAdvance(Calendar,W2303,V2304,"f",FALSE)</f>
        <v>55065</v>
      </c>
      <c r="X2304" s="91">
        <f>_xll.qlCalendarAdvance(Calendar,W2304,NDays&amp;"D")</f>
        <v>55065</v>
      </c>
      <c r="Y2304" s="92" t="e">
        <v>#N/A</v>
      </c>
      <c r="Z2304" s="94" t="e">
        <v>#N/A</v>
      </c>
    </row>
    <row r="2305" spans="22:26" x14ac:dyDescent="0.2">
      <c r="V2305" s="123" t="str">
        <f t="shared" si="46"/>
        <v>1w</v>
      </c>
      <c r="W2305" s="82">
        <f>_xll.qlCalendarAdvance(Calendar,W2304,V2305,"f",FALSE)</f>
        <v>55072</v>
      </c>
      <c r="X2305" s="91">
        <f>_xll.qlCalendarAdvance(Calendar,W2305,NDays&amp;"D")</f>
        <v>55072</v>
      </c>
      <c r="Y2305" s="92" t="e">
        <v>#N/A</v>
      </c>
      <c r="Z2305" s="94" t="e">
        <v>#N/A</v>
      </c>
    </row>
    <row r="2306" spans="22:26" x14ac:dyDescent="0.2">
      <c r="V2306" s="123" t="str">
        <f t="shared" si="46"/>
        <v>1w</v>
      </c>
      <c r="W2306" s="82">
        <f>_xll.qlCalendarAdvance(Calendar,W2305,V2306,"f",FALSE)</f>
        <v>55079</v>
      </c>
      <c r="X2306" s="91">
        <f>_xll.qlCalendarAdvance(Calendar,W2306,NDays&amp;"D")</f>
        <v>55079</v>
      </c>
      <c r="Y2306" s="92" t="e">
        <v>#N/A</v>
      </c>
      <c r="Z2306" s="94" t="e">
        <v>#N/A</v>
      </c>
    </row>
    <row r="2307" spans="22:26" x14ac:dyDescent="0.2">
      <c r="V2307" s="123" t="str">
        <f t="shared" si="46"/>
        <v>1w</v>
      </c>
      <c r="W2307" s="82">
        <f>_xll.qlCalendarAdvance(Calendar,W2306,V2307,"f",FALSE)</f>
        <v>55086</v>
      </c>
      <c r="X2307" s="91">
        <f>_xll.qlCalendarAdvance(Calendar,W2307,NDays&amp;"D")</f>
        <v>55086</v>
      </c>
      <c r="Y2307" s="92" t="e">
        <v>#N/A</v>
      </c>
      <c r="Z2307" s="94" t="e">
        <v>#N/A</v>
      </c>
    </row>
    <row r="2308" spans="22:26" x14ac:dyDescent="0.2">
      <c r="V2308" s="123" t="str">
        <f t="shared" si="46"/>
        <v>1w</v>
      </c>
      <c r="W2308" s="82">
        <f>_xll.qlCalendarAdvance(Calendar,W2307,V2308,"f",FALSE)</f>
        <v>55093</v>
      </c>
      <c r="X2308" s="91">
        <f>_xll.qlCalendarAdvance(Calendar,W2308,NDays&amp;"D")</f>
        <v>55093</v>
      </c>
      <c r="Y2308" s="92" t="e">
        <v>#N/A</v>
      </c>
      <c r="Z2308" s="94" t="e">
        <v>#N/A</v>
      </c>
    </row>
    <row r="2309" spans="22:26" x14ac:dyDescent="0.2">
      <c r="V2309" s="123" t="str">
        <f t="shared" si="46"/>
        <v>1w</v>
      </c>
      <c r="W2309" s="82">
        <f>_xll.qlCalendarAdvance(Calendar,W2308,V2309,"f",FALSE)</f>
        <v>55100</v>
      </c>
      <c r="X2309" s="91">
        <f>_xll.qlCalendarAdvance(Calendar,W2309,NDays&amp;"D")</f>
        <v>55100</v>
      </c>
      <c r="Y2309" s="92" t="e">
        <v>#N/A</v>
      </c>
      <c r="Z2309" s="94" t="e">
        <v>#N/A</v>
      </c>
    </row>
    <row r="2310" spans="22:26" x14ac:dyDescent="0.2">
      <c r="V2310" s="123" t="str">
        <f t="shared" si="46"/>
        <v>1w</v>
      </c>
      <c r="W2310" s="82">
        <f>_xll.qlCalendarAdvance(Calendar,W2309,V2310,"f",FALSE)</f>
        <v>55107</v>
      </c>
      <c r="X2310" s="91">
        <f>_xll.qlCalendarAdvance(Calendar,W2310,NDays&amp;"D")</f>
        <v>55107</v>
      </c>
      <c r="Y2310" s="92" t="e">
        <v>#N/A</v>
      </c>
      <c r="Z2310" s="94" t="e">
        <v>#N/A</v>
      </c>
    </row>
    <row r="2311" spans="22:26" x14ac:dyDescent="0.2">
      <c r="V2311" s="123" t="str">
        <f t="shared" si="46"/>
        <v>1w</v>
      </c>
      <c r="W2311" s="82">
        <f>_xll.qlCalendarAdvance(Calendar,W2310,V2311,"f",FALSE)</f>
        <v>55114</v>
      </c>
      <c r="X2311" s="91">
        <f>_xll.qlCalendarAdvance(Calendar,W2311,NDays&amp;"D")</f>
        <v>55114</v>
      </c>
      <c r="Y2311" s="92" t="e">
        <v>#N/A</v>
      </c>
      <c r="Z2311" s="94" t="e">
        <v>#N/A</v>
      </c>
    </row>
    <row r="2312" spans="22:26" x14ac:dyDescent="0.2">
      <c r="V2312" s="123" t="str">
        <f t="shared" si="46"/>
        <v>1w</v>
      </c>
      <c r="W2312" s="82">
        <f>_xll.qlCalendarAdvance(Calendar,W2311,V2312,"f",FALSE)</f>
        <v>55121</v>
      </c>
      <c r="X2312" s="91">
        <f>_xll.qlCalendarAdvance(Calendar,W2312,NDays&amp;"D")</f>
        <v>55121</v>
      </c>
      <c r="Y2312" s="92" t="e">
        <v>#N/A</v>
      </c>
      <c r="Z2312" s="94" t="e">
        <v>#N/A</v>
      </c>
    </row>
    <row r="2313" spans="22:26" x14ac:dyDescent="0.2">
      <c r="V2313" s="123" t="str">
        <f t="shared" si="46"/>
        <v>1w</v>
      </c>
      <c r="W2313" s="82">
        <f>_xll.qlCalendarAdvance(Calendar,W2312,V2313,"f",FALSE)</f>
        <v>55128</v>
      </c>
      <c r="X2313" s="91">
        <f>_xll.qlCalendarAdvance(Calendar,W2313,NDays&amp;"D")</f>
        <v>55128</v>
      </c>
      <c r="Y2313" s="92" t="e">
        <v>#N/A</v>
      </c>
      <c r="Z2313" s="94" t="e">
        <v>#N/A</v>
      </c>
    </row>
    <row r="2314" spans="22:26" x14ac:dyDescent="0.2">
      <c r="V2314" s="123" t="str">
        <f t="shared" si="46"/>
        <v>1w</v>
      </c>
      <c r="W2314" s="82">
        <f>_xll.qlCalendarAdvance(Calendar,W2313,V2314,"f",FALSE)</f>
        <v>55135</v>
      </c>
      <c r="X2314" s="91">
        <f>_xll.qlCalendarAdvance(Calendar,W2314,NDays&amp;"D")</f>
        <v>55135</v>
      </c>
      <c r="Y2314" s="92" t="e">
        <v>#N/A</v>
      </c>
      <c r="Z2314" s="94" t="e">
        <v>#N/A</v>
      </c>
    </row>
    <row r="2315" spans="22:26" x14ac:dyDescent="0.2">
      <c r="V2315" s="123" t="str">
        <f t="shared" si="46"/>
        <v>1w</v>
      </c>
      <c r="W2315" s="82">
        <f>_xll.qlCalendarAdvance(Calendar,W2314,V2315,"f",FALSE)</f>
        <v>55142</v>
      </c>
      <c r="X2315" s="91">
        <f>_xll.qlCalendarAdvance(Calendar,W2315,NDays&amp;"D")</f>
        <v>55142</v>
      </c>
      <c r="Y2315" s="92" t="e">
        <v>#N/A</v>
      </c>
      <c r="Z2315" s="94" t="e">
        <v>#N/A</v>
      </c>
    </row>
    <row r="2316" spans="22:26" x14ac:dyDescent="0.2">
      <c r="V2316" s="123" t="str">
        <f t="shared" si="46"/>
        <v>1w</v>
      </c>
      <c r="W2316" s="82">
        <f>_xll.qlCalendarAdvance(Calendar,W2315,V2316,"f",FALSE)</f>
        <v>55149</v>
      </c>
      <c r="X2316" s="91">
        <f>_xll.qlCalendarAdvance(Calendar,W2316,NDays&amp;"D")</f>
        <v>55149</v>
      </c>
      <c r="Y2316" s="92" t="e">
        <v>#N/A</v>
      </c>
      <c r="Z2316" s="94" t="e">
        <v>#N/A</v>
      </c>
    </row>
    <row r="2317" spans="22:26" x14ac:dyDescent="0.2">
      <c r="V2317" s="123" t="str">
        <f t="shared" si="46"/>
        <v>1w</v>
      </c>
      <c r="W2317" s="82">
        <f>_xll.qlCalendarAdvance(Calendar,W2316,V2317,"f",FALSE)</f>
        <v>55156</v>
      </c>
      <c r="X2317" s="91">
        <f>_xll.qlCalendarAdvance(Calendar,W2317,NDays&amp;"D")</f>
        <v>55156</v>
      </c>
      <c r="Y2317" s="92" t="e">
        <v>#N/A</v>
      </c>
      <c r="Z2317" s="94" t="e">
        <v>#N/A</v>
      </c>
    </row>
    <row r="2318" spans="22:26" x14ac:dyDescent="0.2">
      <c r="V2318" s="123" t="str">
        <f t="shared" si="46"/>
        <v>1w</v>
      </c>
      <c r="W2318" s="82">
        <f>_xll.qlCalendarAdvance(Calendar,W2317,V2318,"f",FALSE)</f>
        <v>55163</v>
      </c>
      <c r="X2318" s="91">
        <f>_xll.qlCalendarAdvance(Calendar,W2318,NDays&amp;"D")</f>
        <v>55163</v>
      </c>
      <c r="Y2318" s="92" t="e">
        <v>#N/A</v>
      </c>
      <c r="Z2318" s="94" t="e">
        <v>#N/A</v>
      </c>
    </row>
    <row r="2319" spans="22:26" x14ac:dyDescent="0.2">
      <c r="V2319" s="123" t="str">
        <f t="shared" si="46"/>
        <v>1w</v>
      </c>
      <c r="W2319" s="82">
        <f>_xll.qlCalendarAdvance(Calendar,W2318,V2319,"f",FALSE)</f>
        <v>55170</v>
      </c>
      <c r="X2319" s="91">
        <f>_xll.qlCalendarAdvance(Calendar,W2319,NDays&amp;"D")</f>
        <v>55170</v>
      </c>
      <c r="Y2319" s="92" t="e">
        <v>#N/A</v>
      </c>
      <c r="Z2319" s="94" t="e">
        <v>#N/A</v>
      </c>
    </row>
    <row r="2320" spans="22:26" x14ac:dyDescent="0.2">
      <c r="V2320" s="123" t="str">
        <f t="shared" si="46"/>
        <v>1w</v>
      </c>
      <c r="W2320" s="82">
        <f>_xll.qlCalendarAdvance(Calendar,W2319,V2320,"f",FALSE)</f>
        <v>55177</v>
      </c>
      <c r="X2320" s="91">
        <f>_xll.qlCalendarAdvance(Calendar,W2320,NDays&amp;"D")</f>
        <v>55177</v>
      </c>
      <c r="Y2320" s="92" t="e">
        <v>#N/A</v>
      </c>
      <c r="Z2320" s="94" t="e">
        <v>#N/A</v>
      </c>
    </row>
    <row r="2321" spans="22:26" x14ac:dyDescent="0.2">
      <c r="V2321" s="123" t="str">
        <f t="shared" si="46"/>
        <v>1w</v>
      </c>
      <c r="W2321" s="82">
        <f>_xll.qlCalendarAdvance(Calendar,W2320,V2321,"f",FALSE)</f>
        <v>55184</v>
      </c>
      <c r="X2321" s="91">
        <f>_xll.qlCalendarAdvance(Calendar,W2321,NDays&amp;"D")</f>
        <v>55184</v>
      </c>
      <c r="Y2321" s="92" t="e">
        <v>#N/A</v>
      </c>
      <c r="Z2321" s="94" t="e">
        <v>#N/A</v>
      </c>
    </row>
    <row r="2322" spans="22:26" x14ac:dyDescent="0.2">
      <c r="V2322" s="123" t="str">
        <f t="shared" si="46"/>
        <v>1w</v>
      </c>
      <c r="W2322" s="82">
        <f>_xll.qlCalendarAdvance(Calendar,W2321,V2322,"f",FALSE)</f>
        <v>55191</v>
      </c>
      <c r="X2322" s="91">
        <f>_xll.qlCalendarAdvance(Calendar,W2322,NDays&amp;"D")</f>
        <v>55191</v>
      </c>
      <c r="Y2322" s="92" t="e">
        <v>#N/A</v>
      </c>
      <c r="Z2322" s="94" t="e">
        <v>#N/A</v>
      </c>
    </row>
    <row r="2323" spans="22:26" x14ac:dyDescent="0.2">
      <c r="V2323" s="123" t="str">
        <f t="shared" si="46"/>
        <v>1w</v>
      </c>
      <c r="W2323" s="82">
        <f>_xll.qlCalendarAdvance(Calendar,W2322,V2323,"f",FALSE)</f>
        <v>55198</v>
      </c>
      <c r="X2323" s="91">
        <f>_xll.qlCalendarAdvance(Calendar,W2323,NDays&amp;"D")</f>
        <v>55198</v>
      </c>
      <c r="Y2323" s="92" t="e">
        <v>#N/A</v>
      </c>
      <c r="Z2323" s="94" t="e">
        <v>#N/A</v>
      </c>
    </row>
    <row r="2324" spans="22:26" x14ac:dyDescent="0.2">
      <c r="V2324" s="123" t="str">
        <f t="shared" si="46"/>
        <v>1w</v>
      </c>
      <c r="W2324" s="82">
        <f>_xll.qlCalendarAdvance(Calendar,W2323,V2324,"f",FALSE)</f>
        <v>55205</v>
      </c>
      <c r="X2324" s="91">
        <f>_xll.qlCalendarAdvance(Calendar,W2324,NDays&amp;"D")</f>
        <v>55205</v>
      </c>
      <c r="Y2324" s="92" t="e">
        <v>#N/A</v>
      </c>
      <c r="Z2324" s="94" t="e">
        <v>#N/A</v>
      </c>
    </row>
    <row r="2325" spans="22:26" x14ac:dyDescent="0.2">
      <c r="V2325" s="123" t="str">
        <f t="shared" ref="V2325:V2388" si="47">V2324</f>
        <v>1w</v>
      </c>
      <c r="W2325" s="82">
        <f>_xll.qlCalendarAdvance(Calendar,W2324,V2325,"f",FALSE)</f>
        <v>55212</v>
      </c>
      <c r="X2325" s="91">
        <f>_xll.qlCalendarAdvance(Calendar,W2325,NDays&amp;"D")</f>
        <v>55212</v>
      </c>
      <c r="Y2325" s="92" t="e">
        <v>#N/A</v>
      </c>
      <c r="Z2325" s="94" t="e">
        <v>#N/A</v>
      </c>
    </row>
    <row r="2326" spans="22:26" x14ac:dyDescent="0.2">
      <c r="V2326" s="123" t="str">
        <f t="shared" si="47"/>
        <v>1w</v>
      </c>
      <c r="W2326" s="82">
        <f>_xll.qlCalendarAdvance(Calendar,W2325,V2326,"f",FALSE)</f>
        <v>55219</v>
      </c>
      <c r="X2326" s="91">
        <f>_xll.qlCalendarAdvance(Calendar,W2326,NDays&amp;"D")</f>
        <v>55219</v>
      </c>
      <c r="Y2326" s="92" t="e">
        <v>#N/A</v>
      </c>
      <c r="Z2326" s="94" t="e">
        <v>#N/A</v>
      </c>
    </row>
    <row r="2327" spans="22:26" x14ac:dyDescent="0.2">
      <c r="V2327" s="123" t="str">
        <f t="shared" si="47"/>
        <v>1w</v>
      </c>
      <c r="W2327" s="82">
        <f>_xll.qlCalendarAdvance(Calendar,W2326,V2327,"f",FALSE)</f>
        <v>55226</v>
      </c>
      <c r="X2327" s="91">
        <f>_xll.qlCalendarAdvance(Calendar,W2327,NDays&amp;"D")</f>
        <v>55226</v>
      </c>
      <c r="Y2327" s="92" t="e">
        <v>#N/A</v>
      </c>
      <c r="Z2327" s="94" t="e">
        <v>#N/A</v>
      </c>
    </row>
    <row r="2328" spans="22:26" x14ac:dyDescent="0.2">
      <c r="V2328" s="123" t="str">
        <f t="shared" si="47"/>
        <v>1w</v>
      </c>
      <c r="W2328" s="82">
        <f>_xll.qlCalendarAdvance(Calendar,W2327,V2328,"f",FALSE)</f>
        <v>55233</v>
      </c>
      <c r="X2328" s="91">
        <f>_xll.qlCalendarAdvance(Calendar,W2328,NDays&amp;"D")</f>
        <v>55233</v>
      </c>
      <c r="Y2328" s="92" t="e">
        <v>#N/A</v>
      </c>
      <c r="Z2328" s="94" t="e">
        <v>#N/A</v>
      </c>
    </row>
    <row r="2329" spans="22:26" x14ac:dyDescent="0.2">
      <c r="V2329" s="123" t="str">
        <f t="shared" si="47"/>
        <v>1w</v>
      </c>
      <c r="W2329" s="82">
        <f>_xll.qlCalendarAdvance(Calendar,W2328,V2329,"f",FALSE)</f>
        <v>55240</v>
      </c>
      <c r="X2329" s="91">
        <f>_xll.qlCalendarAdvance(Calendar,W2329,NDays&amp;"D")</f>
        <v>55240</v>
      </c>
      <c r="Y2329" s="92" t="e">
        <v>#N/A</v>
      </c>
      <c r="Z2329" s="94" t="e">
        <v>#N/A</v>
      </c>
    </row>
    <row r="2330" spans="22:26" x14ac:dyDescent="0.2">
      <c r="V2330" s="123" t="str">
        <f t="shared" si="47"/>
        <v>1w</v>
      </c>
      <c r="W2330" s="82">
        <f>_xll.qlCalendarAdvance(Calendar,W2329,V2330,"f",FALSE)</f>
        <v>55247</v>
      </c>
      <c r="X2330" s="91">
        <f>_xll.qlCalendarAdvance(Calendar,W2330,NDays&amp;"D")</f>
        <v>55247</v>
      </c>
      <c r="Y2330" s="92" t="e">
        <v>#N/A</v>
      </c>
      <c r="Z2330" s="94" t="e">
        <v>#N/A</v>
      </c>
    </row>
    <row r="2331" spans="22:26" x14ac:dyDescent="0.2">
      <c r="V2331" s="123" t="str">
        <f t="shared" si="47"/>
        <v>1w</v>
      </c>
      <c r="W2331" s="82">
        <f>_xll.qlCalendarAdvance(Calendar,W2330,V2331,"f",FALSE)</f>
        <v>55254</v>
      </c>
      <c r="X2331" s="91">
        <f>_xll.qlCalendarAdvance(Calendar,W2331,NDays&amp;"D")</f>
        <v>55254</v>
      </c>
      <c r="Y2331" s="92" t="e">
        <v>#N/A</v>
      </c>
      <c r="Z2331" s="94" t="e">
        <v>#N/A</v>
      </c>
    </row>
    <row r="2332" spans="22:26" x14ac:dyDescent="0.2">
      <c r="V2332" s="123" t="str">
        <f t="shared" si="47"/>
        <v>1w</v>
      </c>
      <c r="W2332" s="82">
        <f>_xll.qlCalendarAdvance(Calendar,W2331,V2332,"f",FALSE)</f>
        <v>55261</v>
      </c>
      <c r="X2332" s="91">
        <f>_xll.qlCalendarAdvance(Calendar,W2332,NDays&amp;"D")</f>
        <v>55261</v>
      </c>
      <c r="Y2332" s="92" t="e">
        <v>#N/A</v>
      </c>
      <c r="Z2332" s="94" t="e">
        <v>#N/A</v>
      </c>
    </row>
    <row r="2333" spans="22:26" x14ac:dyDescent="0.2">
      <c r="V2333" s="123" t="str">
        <f t="shared" si="47"/>
        <v>1w</v>
      </c>
      <c r="W2333" s="82">
        <f>_xll.qlCalendarAdvance(Calendar,W2332,V2333,"f",FALSE)</f>
        <v>55268</v>
      </c>
      <c r="X2333" s="91">
        <f>_xll.qlCalendarAdvance(Calendar,W2333,NDays&amp;"D")</f>
        <v>55268</v>
      </c>
      <c r="Y2333" s="92" t="e">
        <v>#N/A</v>
      </c>
      <c r="Z2333" s="94" t="e">
        <v>#N/A</v>
      </c>
    </row>
    <row r="2334" spans="22:26" x14ac:dyDescent="0.2">
      <c r="V2334" s="123" t="str">
        <f t="shared" si="47"/>
        <v>1w</v>
      </c>
      <c r="W2334" s="82">
        <f>_xll.qlCalendarAdvance(Calendar,W2333,V2334,"f",FALSE)</f>
        <v>55275</v>
      </c>
      <c r="X2334" s="91">
        <f>_xll.qlCalendarAdvance(Calendar,W2334,NDays&amp;"D")</f>
        <v>55275</v>
      </c>
      <c r="Y2334" s="92" t="e">
        <v>#N/A</v>
      </c>
      <c r="Z2334" s="94" t="e">
        <v>#N/A</v>
      </c>
    </row>
    <row r="2335" spans="22:26" x14ac:dyDescent="0.2">
      <c r="V2335" s="123" t="str">
        <f t="shared" si="47"/>
        <v>1w</v>
      </c>
      <c r="W2335" s="82">
        <f>_xll.qlCalendarAdvance(Calendar,W2334,V2335,"f",FALSE)</f>
        <v>55282</v>
      </c>
      <c r="X2335" s="91">
        <f>_xll.qlCalendarAdvance(Calendar,W2335,NDays&amp;"D")</f>
        <v>55282</v>
      </c>
      <c r="Y2335" s="92" t="e">
        <v>#N/A</v>
      </c>
      <c r="Z2335" s="94" t="e">
        <v>#N/A</v>
      </c>
    </row>
    <row r="2336" spans="22:26" x14ac:dyDescent="0.2">
      <c r="V2336" s="123" t="str">
        <f t="shared" si="47"/>
        <v>1w</v>
      </c>
      <c r="W2336" s="82">
        <f>_xll.qlCalendarAdvance(Calendar,W2335,V2336,"f",FALSE)</f>
        <v>55289</v>
      </c>
      <c r="X2336" s="91">
        <f>_xll.qlCalendarAdvance(Calendar,W2336,NDays&amp;"D")</f>
        <v>55289</v>
      </c>
      <c r="Y2336" s="92" t="e">
        <v>#N/A</v>
      </c>
      <c r="Z2336" s="94" t="e">
        <v>#N/A</v>
      </c>
    </row>
    <row r="2337" spans="22:26" x14ac:dyDescent="0.2">
      <c r="V2337" s="123" t="str">
        <f t="shared" si="47"/>
        <v>1w</v>
      </c>
      <c r="W2337" s="82">
        <f>_xll.qlCalendarAdvance(Calendar,W2336,V2337,"f",FALSE)</f>
        <v>55296</v>
      </c>
      <c r="X2337" s="91">
        <f>_xll.qlCalendarAdvance(Calendar,W2337,NDays&amp;"D")</f>
        <v>55296</v>
      </c>
      <c r="Y2337" s="92" t="e">
        <v>#N/A</v>
      </c>
      <c r="Z2337" s="94" t="e">
        <v>#N/A</v>
      </c>
    </row>
    <row r="2338" spans="22:26" x14ac:dyDescent="0.2">
      <c r="V2338" s="123" t="str">
        <f t="shared" si="47"/>
        <v>1w</v>
      </c>
      <c r="W2338" s="82">
        <f>_xll.qlCalendarAdvance(Calendar,W2337,V2338,"f",FALSE)</f>
        <v>55303</v>
      </c>
      <c r="X2338" s="91">
        <f>_xll.qlCalendarAdvance(Calendar,W2338,NDays&amp;"D")</f>
        <v>55303</v>
      </c>
      <c r="Y2338" s="92" t="e">
        <v>#N/A</v>
      </c>
      <c r="Z2338" s="94" t="e">
        <v>#N/A</v>
      </c>
    </row>
    <row r="2339" spans="22:26" x14ac:dyDescent="0.2">
      <c r="V2339" s="123" t="str">
        <f t="shared" si="47"/>
        <v>1w</v>
      </c>
      <c r="W2339" s="82">
        <f>_xll.qlCalendarAdvance(Calendar,W2338,V2339,"f",FALSE)</f>
        <v>55310</v>
      </c>
      <c r="X2339" s="91">
        <f>_xll.qlCalendarAdvance(Calendar,W2339,NDays&amp;"D")</f>
        <v>55310</v>
      </c>
      <c r="Y2339" s="92" t="e">
        <v>#N/A</v>
      </c>
      <c r="Z2339" s="94" t="e">
        <v>#N/A</v>
      </c>
    </row>
    <row r="2340" spans="22:26" x14ac:dyDescent="0.2">
      <c r="V2340" s="123" t="str">
        <f t="shared" si="47"/>
        <v>1w</v>
      </c>
      <c r="W2340" s="82">
        <f>_xll.qlCalendarAdvance(Calendar,W2339,V2340,"f",FALSE)</f>
        <v>55317</v>
      </c>
      <c r="X2340" s="91">
        <f>_xll.qlCalendarAdvance(Calendar,W2340,NDays&amp;"D")</f>
        <v>55317</v>
      </c>
      <c r="Y2340" s="92" t="e">
        <v>#N/A</v>
      </c>
      <c r="Z2340" s="94" t="e">
        <v>#N/A</v>
      </c>
    </row>
    <row r="2341" spans="22:26" x14ac:dyDescent="0.2">
      <c r="V2341" s="123" t="str">
        <f t="shared" si="47"/>
        <v>1w</v>
      </c>
      <c r="W2341" s="82">
        <f>_xll.qlCalendarAdvance(Calendar,W2340,V2341,"f",FALSE)</f>
        <v>55324</v>
      </c>
      <c r="X2341" s="91">
        <f>_xll.qlCalendarAdvance(Calendar,W2341,NDays&amp;"D")</f>
        <v>55324</v>
      </c>
      <c r="Y2341" s="92" t="e">
        <v>#N/A</v>
      </c>
      <c r="Z2341" s="94" t="e">
        <v>#N/A</v>
      </c>
    </row>
    <row r="2342" spans="22:26" x14ac:dyDescent="0.2">
      <c r="V2342" s="123" t="str">
        <f t="shared" si="47"/>
        <v>1w</v>
      </c>
      <c r="W2342" s="82">
        <f>_xll.qlCalendarAdvance(Calendar,W2341,V2342,"f",FALSE)</f>
        <v>55331</v>
      </c>
      <c r="X2342" s="91">
        <f>_xll.qlCalendarAdvance(Calendar,W2342,NDays&amp;"D")</f>
        <v>55331</v>
      </c>
      <c r="Y2342" s="92" t="e">
        <v>#N/A</v>
      </c>
      <c r="Z2342" s="94" t="e">
        <v>#N/A</v>
      </c>
    </row>
    <row r="2343" spans="22:26" x14ac:dyDescent="0.2">
      <c r="V2343" s="123" t="str">
        <f t="shared" si="47"/>
        <v>1w</v>
      </c>
      <c r="W2343" s="82">
        <f>_xll.qlCalendarAdvance(Calendar,W2342,V2343,"f",FALSE)</f>
        <v>55338</v>
      </c>
      <c r="X2343" s="91">
        <f>_xll.qlCalendarAdvance(Calendar,W2343,NDays&amp;"D")</f>
        <v>55338</v>
      </c>
      <c r="Y2343" s="92" t="e">
        <v>#N/A</v>
      </c>
      <c r="Z2343" s="94" t="e">
        <v>#N/A</v>
      </c>
    </row>
    <row r="2344" spans="22:26" x14ac:dyDescent="0.2">
      <c r="V2344" s="123" t="str">
        <f t="shared" si="47"/>
        <v>1w</v>
      </c>
      <c r="W2344" s="82">
        <f>_xll.qlCalendarAdvance(Calendar,W2343,V2344,"f",FALSE)</f>
        <v>55345</v>
      </c>
      <c r="X2344" s="91">
        <f>_xll.qlCalendarAdvance(Calendar,W2344,NDays&amp;"D")</f>
        <v>55345</v>
      </c>
      <c r="Y2344" s="92" t="e">
        <v>#N/A</v>
      </c>
      <c r="Z2344" s="94" t="e">
        <v>#N/A</v>
      </c>
    </row>
    <row r="2345" spans="22:26" x14ac:dyDescent="0.2">
      <c r="V2345" s="123" t="str">
        <f t="shared" si="47"/>
        <v>1w</v>
      </c>
      <c r="W2345" s="82">
        <f>_xll.qlCalendarAdvance(Calendar,W2344,V2345,"f",FALSE)</f>
        <v>55352</v>
      </c>
      <c r="X2345" s="91">
        <f>_xll.qlCalendarAdvance(Calendar,W2345,NDays&amp;"D")</f>
        <v>55352</v>
      </c>
      <c r="Y2345" s="92" t="e">
        <v>#N/A</v>
      </c>
      <c r="Z2345" s="94" t="e">
        <v>#N/A</v>
      </c>
    </row>
    <row r="2346" spans="22:26" x14ac:dyDescent="0.2">
      <c r="V2346" s="123" t="str">
        <f t="shared" si="47"/>
        <v>1w</v>
      </c>
      <c r="W2346" s="82">
        <f>_xll.qlCalendarAdvance(Calendar,W2345,V2346,"f",FALSE)</f>
        <v>55359</v>
      </c>
      <c r="X2346" s="91">
        <f>_xll.qlCalendarAdvance(Calendar,W2346,NDays&amp;"D")</f>
        <v>55359</v>
      </c>
      <c r="Y2346" s="92" t="e">
        <v>#N/A</v>
      </c>
      <c r="Z2346" s="94" t="e">
        <v>#N/A</v>
      </c>
    </row>
    <row r="2347" spans="22:26" x14ac:dyDescent="0.2">
      <c r="V2347" s="123" t="str">
        <f t="shared" si="47"/>
        <v>1w</v>
      </c>
      <c r="W2347" s="82">
        <f>_xll.qlCalendarAdvance(Calendar,W2346,V2347,"f",FALSE)</f>
        <v>55366</v>
      </c>
      <c r="X2347" s="91">
        <f>_xll.qlCalendarAdvance(Calendar,W2347,NDays&amp;"D")</f>
        <v>55366</v>
      </c>
      <c r="Y2347" s="92" t="e">
        <v>#N/A</v>
      </c>
      <c r="Z2347" s="94" t="e">
        <v>#N/A</v>
      </c>
    </row>
    <row r="2348" spans="22:26" x14ac:dyDescent="0.2">
      <c r="V2348" s="123" t="str">
        <f t="shared" si="47"/>
        <v>1w</v>
      </c>
      <c r="W2348" s="82">
        <f>_xll.qlCalendarAdvance(Calendar,W2347,V2348,"f",FALSE)</f>
        <v>55373</v>
      </c>
      <c r="X2348" s="91">
        <f>_xll.qlCalendarAdvance(Calendar,W2348,NDays&amp;"D")</f>
        <v>55373</v>
      </c>
      <c r="Y2348" s="92" t="e">
        <v>#N/A</v>
      </c>
      <c r="Z2348" s="94" t="e">
        <v>#N/A</v>
      </c>
    </row>
    <row r="2349" spans="22:26" x14ac:dyDescent="0.2">
      <c r="V2349" s="123" t="str">
        <f t="shared" si="47"/>
        <v>1w</v>
      </c>
      <c r="W2349" s="82">
        <f>_xll.qlCalendarAdvance(Calendar,W2348,V2349,"f",FALSE)</f>
        <v>55380</v>
      </c>
      <c r="X2349" s="91">
        <f>_xll.qlCalendarAdvance(Calendar,W2349,NDays&amp;"D")</f>
        <v>55380</v>
      </c>
      <c r="Y2349" s="92" t="e">
        <v>#N/A</v>
      </c>
      <c r="Z2349" s="94" t="e">
        <v>#N/A</v>
      </c>
    </row>
    <row r="2350" spans="22:26" x14ac:dyDescent="0.2">
      <c r="V2350" s="123" t="str">
        <f t="shared" si="47"/>
        <v>1w</v>
      </c>
      <c r="W2350" s="82">
        <f>_xll.qlCalendarAdvance(Calendar,W2349,V2350,"f",FALSE)</f>
        <v>55387</v>
      </c>
      <c r="X2350" s="91">
        <f>_xll.qlCalendarAdvance(Calendar,W2350,NDays&amp;"D")</f>
        <v>55387</v>
      </c>
      <c r="Y2350" s="92" t="e">
        <v>#N/A</v>
      </c>
      <c r="Z2350" s="94" t="e">
        <v>#N/A</v>
      </c>
    </row>
    <row r="2351" spans="22:26" x14ac:dyDescent="0.2">
      <c r="V2351" s="123" t="str">
        <f t="shared" si="47"/>
        <v>1w</v>
      </c>
      <c r="W2351" s="82">
        <f>_xll.qlCalendarAdvance(Calendar,W2350,V2351,"f",FALSE)</f>
        <v>55394</v>
      </c>
      <c r="X2351" s="91">
        <f>_xll.qlCalendarAdvance(Calendar,W2351,NDays&amp;"D")</f>
        <v>55394</v>
      </c>
      <c r="Y2351" s="92" t="e">
        <v>#N/A</v>
      </c>
      <c r="Z2351" s="94" t="e">
        <v>#N/A</v>
      </c>
    </row>
    <row r="2352" spans="22:26" x14ac:dyDescent="0.2">
      <c r="V2352" s="123" t="str">
        <f t="shared" si="47"/>
        <v>1w</v>
      </c>
      <c r="W2352" s="82">
        <f>_xll.qlCalendarAdvance(Calendar,W2351,V2352,"f",FALSE)</f>
        <v>55401</v>
      </c>
      <c r="X2352" s="91">
        <f>_xll.qlCalendarAdvance(Calendar,W2352,NDays&amp;"D")</f>
        <v>55401</v>
      </c>
      <c r="Y2352" s="92" t="e">
        <v>#N/A</v>
      </c>
      <c r="Z2352" s="94" t="e">
        <v>#N/A</v>
      </c>
    </row>
    <row r="2353" spans="22:26" x14ac:dyDescent="0.2">
      <c r="V2353" s="123" t="str">
        <f t="shared" si="47"/>
        <v>1w</v>
      </c>
      <c r="W2353" s="82">
        <f>_xll.qlCalendarAdvance(Calendar,W2352,V2353,"f",FALSE)</f>
        <v>55408</v>
      </c>
      <c r="X2353" s="91">
        <f>_xll.qlCalendarAdvance(Calendar,W2353,NDays&amp;"D")</f>
        <v>55408</v>
      </c>
      <c r="Y2353" s="92" t="e">
        <v>#N/A</v>
      </c>
      <c r="Z2353" s="94" t="e">
        <v>#N/A</v>
      </c>
    </row>
    <row r="2354" spans="22:26" x14ac:dyDescent="0.2">
      <c r="V2354" s="123" t="str">
        <f t="shared" si="47"/>
        <v>1w</v>
      </c>
      <c r="W2354" s="82">
        <f>_xll.qlCalendarAdvance(Calendar,W2353,V2354,"f",FALSE)</f>
        <v>55415</v>
      </c>
      <c r="X2354" s="91">
        <f>_xll.qlCalendarAdvance(Calendar,W2354,NDays&amp;"D")</f>
        <v>55415</v>
      </c>
      <c r="Y2354" s="92" t="e">
        <v>#N/A</v>
      </c>
      <c r="Z2354" s="94" t="e">
        <v>#N/A</v>
      </c>
    </row>
    <row r="2355" spans="22:26" x14ac:dyDescent="0.2">
      <c r="V2355" s="123" t="str">
        <f t="shared" si="47"/>
        <v>1w</v>
      </c>
      <c r="W2355" s="82">
        <f>_xll.qlCalendarAdvance(Calendar,W2354,V2355,"f",FALSE)</f>
        <v>55422</v>
      </c>
      <c r="X2355" s="91">
        <f>_xll.qlCalendarAdvance(Calendar,W2355,NDays&amp;"D")</f>
        <v>55422</v>
      </c>
      <c r="Y2355" s="92" t="e">
        <v>#N/A</v>
      </c>
      <c r="Z2355" s="94" t="e">
        <v>#N/A</v>
      </c>
    </row>
    <row r="2356" spans="22:26" x14ac:dyDescent="0.2">
      <c r="V2356" s="123" t="str">
        <f t="shared" si="47"/>
        <v>1w</v>
      </c>
      <c r="W2356" s="82">
        <f>_xll.qlCalendarAdvance(Calendar,W2355,V2356,"f",FALSE)</f>
        <v>55429</v>
      </c>
      <c r="X2356" s="91">
        <f>_xll.qlCalendarAdvance(Calendar,W2356,NDays&amp;"D")</f>
        <v>55429</v>
      </c>
      <c r="Y2356" s="92" t="e">
        <v>#N/A</v>
      </c>
      <c r="Z2356" s="94" t="e">
        <v>#N/A</v>
      </c>
    </row>
    <row r="2357" spans="22:26" x14ac:dyDescent="0.2">
      <c r="V2357" s="123" t="str">
        <f t="shared" si="47"/>
        <v>1w</v>
      </c>
      <c r="W2357" s="82">
        <f>_xll.qlCalendarAdvance(Calendar,W2356,V2357,"f",FALSE)</f>
        <v>55436</v>
      </c>
      <c r="X2357" s="91">
        <f>_xll.qlCalendarAdvance(Calendar,W2357,NDays&amp;"D")</f>
        <v>55436</v>
      </c>
      <c r="Y2357" s="92" t="e">
        <v>#N/A</v>
      </c>
      <c r="Z2357" s="94" t="e">
        <v>#N/A</v>
      </c>
    </row>
    <row r="2358" spans="22:26" x14ac:dyDescent="0.2">
      <c r="V2358" s="123" t="str">
        <f t="shared" si="47"/>
        <v>1w</v>
      </c>
      <c r="W2358" s="82">
        <f>_xll.qlCalendarAdvance(Calendar,W2357,V2358,"f",FALSE)</f>
        <v>55443</v>
      </c>
      <c r="X2358" s="91">
        <f>_xll.qlCalendarAdvance(Calendar,W2358,NDays&amp;"D")</f>
        <v>55443</v>
      </c>
      <c r="Y2358" s="92" t="e">
        <v>#N/A</v>
      </c>
      <c r="Z2358" s="94" t="e">
        <v>#N/A</v>
      </c>
    </row>
    <row r="2359" spans="22:26" x14ac:dyDescent="0.2">
      <c r="V2359" s="123" t="str">
        <f t="shared" si="47"/>
        <v>1w</v>
      </c>
      <c r="W2359" s="82">
        <f>_xll.qlCalendarAdvance(Calendar,W2358,V2359,"f",FALSE)</f>
        <v>55450</v>
      </c>
      <c r="X2359" s="91">
        <f>_xll.qlCalendarAdvance(Calendar,W2359,NDays&amp;"D")</f>
        <v>55450</v>
      </c>
      <c r="Y2359" s="92" t="e">
        <v>#N/A</v>
      </c>
      <c r="Z2359" s="94" t="e">
        <v>#N/A</v>
      </c>
    </row>
    <row r="2360" spans="22:26" x14ac:dyDescent="0.2">
      <c r="V2360" s="123" t="str">
        <f t="shared" si="47"/>
        <v>1w</v>
      </c>
      <c r="W2360" s="82">
        <f>_xll.qlCalendarAdvance(Calendar,W2359,V2360,"f",FALSE)</f>
        <v>55457</v>
      </c>
      <c r="X2360" s="91">
        <f>_xll.qlCalendarAdvance(Calendar,W2360,NDays&amp;"D")</f>
        <v>55457</v>
      </c>
      <c r="Y2360" s="92" t="e">
        <v>#N/A</v>
      </c>
      <c r="Z2360" s="94" t="e">
        <v>#N/A</v>
      </c>
    </row>
    <row r="2361" spans="22:26" x14ac:dyDescent="0.2">
      <c r="V2361" s="123" t="str">
        <f t="shared" si="47"/>
        <v>1w</v>
      </c>
      <c r="W2361" s="82">
        <f>_xll.qlCalendarAdvance(Calendar,W2360,V2361,"f",FALSE)</f>
        <v>55464</v>
      </c>
      <c r="X2361" s="91">
        <f>_xll.qlCalendarAdvance(Calendar,W2361,NDays&amp;"D")</f>
        <v>55464</v>
      </c>
      <c r="Y2361" s="92" t="e">
        <v>#N/A</v>
      </c>
      <c r="Z2361" s="94" t="e">
        <v>#N/A</v>
      </c>
    </row>
    <row r="2362" spans="22:26" x14ac:dyDescent="0.2">
      <c r="V2362" s="123" t="str">
        <f t="shared" si="47"/>
        <v>1w</v>
      </c>
      <c r="W2362" s="82">
        <f>_xll.qlCalendarAdvance(Calendar,W2361,V2362,"f",FALSE)</f>
        <v>55471</v>
      </c>
      <c r="X2362" s="91">
        <f>_xll.qlCalendarAdvance(Calendar,W2362,NDays&amp;"D")</f>
        <v>55471</v>
      </c>
      <c r="Y2362" s="92" t="e">
        <v>#N/A</v>
      </c>
      <c r="Z2362" s="94" t="e">
        <v>#N/A</v>
      </c>
    </row>
    <row r="2363" spans="22:26" x14ac:dyDescent="0.2">
      <c r="V2363" s="123" t="str">
        <f t="shared" si="47"/>
        <v>1w</v>
      </c>
      <c r="W2363" s="82">
        <f>_xll.qlCalendarAdvance(Calendar,W2362,V2363,"f",FALSE)</f>
        <v>55478</v>
      </c>
      <c r="X2363" s="91">
        <f>_xll.qlCalendarAdvance(Calendar,W2363,NDays&amp;"D")</f>
        <v>55478</v>
      </c>
      <c r="Y2363" s="92" t="e">
        <v>#N/A</v>
      </c>
      <c r="Z2363" s="94" t="e">
        <v>#N/A</v>
      </c>
    </row>
    <row r="2364" spans="22:26" x14ac:dyDescent="0.2">
      <c r="V2364" s="123" t="str">
        <f t="shared" si="47"/>
        <v>1w</v>
      </c>
      <c r="W2364" s="82">
        <f>_xll.qlCalendarAdvance(Calendar,W2363,V2364,"f",FALSE)</f>
        <v>55485</v>
      </c>
      <c r="X2364" s="91">
        <f>_xll.qlCalendarAdvance(Calendar,W2364,NDays&amp;"D")</f>
        <v>55485</v>
      </c>
      <c r="Y2364" s="92" t="e">
        <v>#N/A</v>
      </c>
      <c r="Z2364" s="94" t="e">
        <v>#N/A</v>
      </c>
    </row>
    <row r="2365" spans="22:26" x14ac:dyDescent="0.2">
      <c r="V2365" s="123" t="str">
        <f t="shared" si="47"/>
        <v>1w</v>
      </c>
      <c r="W2365" s="82">
        <f>_xll.qlCalendarAdvance(Calendar,W2364,V2365,"f",FALSE)</f>
        <v>55492</v>
      </c>
      <c r="X2365" s="91">
        <f>_xll.qlCalendarAdvance(Calendar,W2365,NDays&amp;"D")</f>
        <v>55492</v>
      </c>
      <c r="Y2365" s="92" t="e">
        <v>#N/A</v>
      </c>
      <c r="Z2365" s="94" t="e">
        <v>#N/A</v>
      </c>
    </row>
    <row r="2366" spans="22:26" x14ac:dyDescent="0.2">
      <c r="V2366" s="123" t="str">
        <f t="shared" si="47"/>
        <v>1w</v>
      </c>
      <c r="W2366" s="82">
        <f>_xll.qlCalendarAdvance(Calendar,W2365,V2366,"f",FALSE)</f>
        <v>55499</v>
      </c>
      <c r="X2366" s="91">
        <f>_xll.qlCalendarAdvance(Calendar,W2366,NDays&amp;"D")</f>
        <v>55499</v>
      </c>
      <c r="Y2366" s="92" t="e">
        <v>#N/A</v>
      </c>
      <c r="Z2366" s="94" t="e">
        <v>#N/A</v>
      </c>
    </row>
    <row r="2367" spans="22:26" x14ac:dyDescent="0.2">
      <c r="V2367" s="123" t="str">
        <f t="shared" si="47"/>
        <v>1w</v>
      </c>
      <c r="W2367" s="82">
        <f>_xll.qlCalendarAdvance(Calendar,W2366,V2367,"f",FALSE)</f>
        <v>55506</v>
      </c>
      <c r="X2367" s="91">
        <f>_xll.qlCalendarAdvance(Calendar,W2367,NDays&amp;"D")</f>
        <v>55506</v>
      </c>
      <c r="Y2367" s="92" t="e">
        <v>#N/A</v>
      </c>
      <c r="Z2367" s="94" t="e">
        <v>#N/A</v>
      </c>
    </row>
    <row r="2368" spans="22:26" x14ac:dyDescent="0.2">
      <c r="V2368" s="123" t="str">
        <f t="shared" si="47"/>
        <v>1w</v>
      </c>
      <c r="W2368" s="82">
        <f>_xll.qlCalendarAdvance(Calendar,W2367,V2368,"f",FALSE)</f>
        <v>55514</v>
      </c>
      <c r="X2368" s="91">
        <f>_xll.qlCalendarAdvance(Calendar,W2368,NDays&amp;"D")</f>
        <v>55514</v>
      </c>
      <c r="Y2368" s="92" t="e">
        <v>#N/A</v>
      </c>
      <c r="Z2368" s="94" t="e">
        <v>#N/A</v>
      </c>
    </row>
    <row r="2369" spans="22:26" x14ac:dyDescent="0.2">
      <c r="V2369" s="123" t="str">
        <f t="shared" si="47"/>
        <v>1w</v>
      </c>
      <c r="W2369" s="82">
        <f>_xll.qlCalendarAdvance(Calendar,W2368,V2369,"f",FALSE)</f>
        <v>55521</v>
      </c>
      <c r="X2369" s="91">
        <f>_xll.qlCalendarAdvance(Calendar,W2369,NDays&amp;"D")</f>
        <v>55521</v>
      </c>
      <c r="Y2369" s="92" t="e">
        <v>#N/A</v>
      </c>
      <c r="Z2369" s="94" t="e">
        <v>#N/A</v>
      </c>
    </row>
    <row r="2370" spans="22:26" x14ac:dyDescent="0.2">
      <c r="V2370" s="123" t="str">
        <f t="shared" si="47"/>
        <v>1w</v>
      </c>
      <c r="W2370" s="82">
        <f>_xll.qlCalendarAdvance(Calendar,W2369,V2370,"f",FALSE)</f>
        <v>55528</v>
      </c>
      <c r="X2370" s="91">
        <f>_xll.qlCalendarAdvance(Calendar,W2370,NDays&amp;"D")</f>
        <v>55528</v>
      </c>
      <c r="Y2370" s="92" t="e">
        <v>#N/A</v>
      </c>
      <c r="Z2370" s="94" t="e">
        <v>#N/A</v>
      </c>
    </row>
    <row r="2371" spans="22:26" x14ac:dyDescent="0.2">
      <c r="V2371" s="123" t="str">
        <f t="shared" si="47"/>
        <v>1w</v>
      </c>
      <c r="W2371" s="82">
        <f>_xll.qlCalendarAdvance(Calendar,W2370,V2371,"f",FALSE)</f>
        <v>55535</v>
      </c>
      <c r="X2371" s="91">
        <f>_xll.qlCalendarAdvance(Calendar,W2371,NDays&amp;"D")</f>
        <v>55535</v>
      </c>
      <c r="Y2371" s="92" t="e">
        <v>#N/A</v>
      </c>
      <c r="Z2371" s="94" t="e">
        <v>#N/A</v>
      </c>
    </row>
    <row r="2372" spans="22:26" x14ac:dyDescent="0.2">
      <c r="V2372" s="123" t="str">
        <f t="shared" si="47"/>
        <v>1w</v>
      </c>
      <c r="W2372" s="82">
        <f>_xll.qlCalendarAdvance(Calendar,W2371,V2372,"f",FALSE)</f>
        <v>55542</v>
      </c>
      <c r="X2372" s="91">
        <f>_xll.qlCalendarAdvance(Calendar,W2372,NDays&amp;"D")</f>
        <v>55542</v>
      </c>
      <c r="Y2372" s="92" t="e">
        <v>#N/A</v>
      </c>
      <c r="Z2372" s="94" t="e">
        <v>#N/A</v>
      </c>
    </row>
    <row r="2373" spans="22:26" x14ac:dyDescent="0.2">
      <c r="V2373" s="123" t="str">
        <f t="shared" si="47"/>
        <v>1w</v>
      </c>
      <c r="W2373" s="82">
        <f>_xll.qlCalendarAdvance(Calendar,W2372,V2373,"f",FALSE)</f>
        <v>55549</v>
      </c>
      <c r="X2373" s="91">
        <f>_xll.qlCalendarAdvance(Calendar,W2373,NDays&amp;"D")</f>
        <v>55549</v>
      </c>
      <c r="Y2373" s="92" t="e">
        <v>#N/A</v>
      </c>
      <c r="Z2373" s="94" t="e">
        <v>#N/A</v>
      </c>
    </row>
    <row r="2374" spans="22:26" x14ac:dyDescent="0.2">
      <c r="V2374" s="123" t="str">
        <f t="shared" si="47"/>
        <v>1w</v>
      </c>
      <c r="W2374" s="82">
        <f>_xll.qlCalendarAdvance(Calendar,W2373,V2374,"f",FALSE)</f>
        <v>55556</v>
      </c>
      <c r="X2374" s="91">
        <f>_xll.qlCalendarAdvance(Calendar,W2374,NDays&amp;"D")</f>
        <v>55556</v>
      </c>
      <c r="Y2374" s="92" t="e">
        <v>#N/A</v>
      </c>
      <c r="Z2374" s="94" t="e">
        <v>#N/A</v>
      </c>
    </row>
    <row r="2375" spans="22:26" x14ac:dyDescent="0.2">
      <c r="V2375" s="123" t="str">
        <f t="shared" si="47"/>
        <v>1w</v>
      </c>
      <c r="W2375" s="82">
        <f>_xll.qlCalendarAdvance(Calendar,W2374,V2375,"f",FALSE)</f>
        <v>55563</v>
      </c>
      <c r="X2375" s="91">
        <f>_xll.qlCalendarAdvance(Calendar,W2375,NDays&amp;"D")</f>
        <v>55563</v>
      </c>
      <c r="Y2375" s="92" t="e">
        <v>#N/A</v>
      </c>
      <c r="Z2375" s="94" t="e">
        <v>#N/A</v>
      </c>
    </row>
    <row r="2376" spans="22:26" x14ac:dyDescent="0.2">
      <c r="V2376" s="123" t="str">
        <f t="shared" si="47"/>
        <v>1w</v>
      </c>
      <c r="W2376" s="82">
        <f>_xll.qlCalendarAdvance(Calendar,W2375,V2376,"f",FALSE)</f>
        <v>55570</v>
      </c>
      <c r="X2376" s="91">
        <f>_xll.qlCalendarAdvance(Calendar,W2376,NDays&amp;"D")</f>
        <v>55570</v>
      </c>
      <c r="Y2376" s="92" t="e">
        <v>#N/A</v>
      </c>
      <c r="Z2376" s="94" t="e">
        <v>#N/A</v>
      </c>
    </row>
    <row r="2377" spans="22:26" x14ac:dyDescent="0.2">
      <c r="V2377" s="123" t="str">
        <f t="shared" si="47"/>
        <v>1w</v>
      </c>
      <c r="W2377" s="82">
        <f>_xll.qlCalendarAdvance(Calendar,W2376,V2377,"f",FALSE)</f>
        <v>55577</v>
      </c>
      <c r="X2377" s="91">
        <f>_xll.qlCalendarAdvance(Calendar,W2377,NDays&amp;"D")</f>
        <v>55577</v>
      </c>
      <c r="Y2377" s="92" t="e">
        <v>#N/A</v>
      </c>
      <c r="Z2377" s="94" t="e">
        <v>#N/A</v>
      </c>
    </row>
    <row r="2378" spans="22:26" x14ac:dyDescent="0.2">
      <c r="V2378" s="123" t="str">
        <f t="shared" si="47"/>
        <v>1w</v>
      </c>
      <c r="W2378" s="82">
        <f>_xll.qlCalendarAdvance(Calendar,W2377,V2378,"f",FALSE)</f>
        <v>55584</v>
      </c>
      <c r="X2378" s="91">
        <f>_xll.qlCalendarAdvance(Calendar,W2378,NDays&amp;"D")</f>
        <v>55584</v>
      </c>
      <c r="Y2378" s="92" t="e">
        <v>#N/A</v>
      </c>
      <c r="Z2378" s="94" t="e">
        <v>#N/A</v>
      </c>
    </row>
    <row r="2379" spans="22:26" x14ac:dyDescent="0.2">
      <c r="V2379" s="123" t="str">
        <f t="shared" si="47"/>
        <v>1w</v>
      </c>
      <c r="W2379" s="82">
        <f>_xll.qlCalendarAdvance(Calendar,W2378,V2379,"f",FALSE)</f>
        <v>55591</v>
      </c>
      <c r="X2379" s="91">
        <f>_xll.qlCalendarAdvance(Calendar,W2379,NDays&amp;"D")</f>
        <v>55591</v>
      </c>
      <c r="Y2379" s="92" t="e">
        <v>#N/A</v>
      </c>
      <c r="Z2379" s="94" t="e">
        <v>#N/A</v>
      </c>
    </row>
    <row r="2380" spans="22:26" x14ac:dyDescent="0.2">
      <c r="V2380" s="123" t="str">
        <f t="shared" si="47"/>
        <v>1w</v>
      </c>
      <c r="W2380" s="82">
        <f>_xll.qlCalendarAdvance(Calendar,W2379,V2380,"f",FALSE)</f>
        <v>55598</v>
      </c>
      <c r="X2380" s="91">
        <f>_xll.qlCalendarAdvance(Calendar,W2380,NDays&amp;"D")</f>
        <v>55598</v>
      </c>
      <c r="Y2380" s="92" t="e">
        <v>#N/A</v>
      </c>
      <c r="Z2380" s="94" t="e">
        <v>#N/A</v>
      </c>
    </row>
    <row r="2381" spans="22:26" x14ac:dyDescent="0.2">
      <c r="V2381" s="123" t="str">
        <f t="shared" si="47"/>
        <v>1w</v>
      </c>
      <c r="W2381" s="82">
        <f>_xll.qlCalendarAdvance(Calendar,W2380,V2381,"f",FALSE)</f>
        <v>55605</v>
      </c>
      <c r="X2381" s="91">
        <f>_xll.qlCalendarAdvance(Calendar,W2381,NDays&amp;"D")</f>
        <v>55605</v>
      </c>
      <c r="Y2381" s="92" t="e">
        <v>#N/A</v>
      </c>
      <c r="Z2381" s="94" t="e">
        <v>#N/A</v>
      </c>
    </row>
    <row r="2382" spans="22:26" x14ac:dyDescent="0.2">
      <c r="V2382" s="123" t="str">
        <f t="shared" si="47"/>
        <v>1w</v>
      </c>
      <c r="W2382" s="82">
        <f>_xll.qlCalendarAdvance(Calendar,W2381,V2382,"f",FALSE)</f>
        <v>55612</v>
      </c>
      <c r="X2382" s="91">
        <f>_xll.qlCalendarAdvance(Calendar,W2382,NDays&amp;"D")</f>
        <v>55612</v>
      </c>
      <c r="Y2382" s="92" t="e">
        <v>#N/A</v>
      </c>
      <c r="Z2382" s="94" t="e">
        <v>#N/A</v>
      </c>
    </row>
    <row r="2383" spans="22:26" x14ac:dyDescent="0.2">
      <c r="V2383" s="123" t="str">
        <f t="shared" si="47"/>
        <v>1w</v>
      </c>
      <c r="W2383" s="82">
        <f>_xll.qlCalendarAdvance(Calendar,W2382,V2383,"f",FALSE)</f>
        <v>55619</v>
      </c>
      <c r="X2383" s="91">
        <f>_xll.qlCalendarAdvance(Calendar,W2383,NDays&amp;"D")</f>
        <v>55619</v>
      </c>
      <c r="Y2383" s="92" t="e">
        <v>#N/A</v>
      </c>
      <c r="Z2383" s="94" t="e">
        <v>#N/A</v>
      </c>
    </row>
    <row r="2384" spans="22:26" x14ac:dyDescent="0.2">
      <c r="V2384" s="123" t="str">
        <f t="shared" si="47"/>
        <v>1w</v>
      </c>
      <c r="W2384" s="82">
        <f>_xll.qlCalendarAdvance(Calendar,W2383,V2384,"f",FALSE)</f>
        <v>55626</v>
      </c>
      <c r="X2384" s="91">
        <f>_xll.qlCalendarAdvance(Calendar,W2384,NDays&amp;"D")</f>
        <v>55626</v>
      </c>
      <c r="Y2384" s="92" t="e">
        <v>#N/A</v>
      </c>
      <c r="Z2384" s="94" t="e">
        <v>#N/A</v>
      </c>
    </row>
    <row r="2385" spans="22:26" x14ac:dyDescent="0.2">
      <c r="V2385" s="123" t="str">
        <f t="shared" si="47"/>
        <v>1w</v>
      </c>
      <c r="W2385" s="82">
        <f>_xll.qlCalendarAdvance(Calendar,W2384,V2385,"f",FALSE)</f>
        <v>55633</v>
      </c>
      <c r="X2385" s="91">
        <f>_xll.qlCalendarAdvance(Calendar,W2385,NDays&amp;"D")</f>
        <v>55633</v>
      </c>
      <c r="Y2385" s="92" t="e">
        <v>#N/A</v>
      </c>
      <c r="Z2385" s="94" t="e">
        <v>#N/A</v>
      </c>
    </row>
    <row r="2386" spans="22:26" x14ac:dyDescent="0.2">
      <c r="V2386" s="123" t="str">
        <f t="shared" si="47"/>
        <v>1w</v>
      </c>
      <c r="W2386" s="82">
        <f>_xll.qlCalendarAdvance(Calendar,W2385,V2386,"f",FALSE)</f>
        <v>55641</v>
      </c>
      <c r="X2386" s="91">
        <f>_xll.qlCalendarAdvance(Calendar,W2386,NDays&amp;"D")</f>
        <v>55641</v>
      </c>
      <c r="Y2386" s="92" t="e">
        <v>#N/A</v>
      </c>
      <c r="Z2386" s="94" t="e">
        <v>#N/A</v>
      </c>
    </row>
    <row r="2387" spans="22:26" x14ac:dyDescent="0.2">
      <c r="V2387" s="123" t="str">
        <f t="shared" si="47"/>
        <v>1w</v>
      </c>
      <c r="W2387" s="82">
        <f>_xll.qlCalendarAdvance(Calendar,W2386,V2387,"f",FALSE)</f>
        <v>55648</v>
      </c>
      <c r="X2387" s="91">
        <f>_xll.qlCalendarAdvance(Calendar,W2387,NDays&amp;"D")</f>
        <v>55648</v>
      </c>
      <c r="Y2387" s="92" t="e">
        <v>#N/A</v>
      </c>
      <c r="Z2387" s="94" t="e">
        <v>#N/A</v>
      </c>
    </row>
    <row r="2388" spans="22:26" x14ac:dyDescent="0.2">
      <c r="V2388" s="123" t="str">
        <f t="shared" si="47"/>
        <v>1w</v>
      </c>
      <c r="W2388" s="82">
        <f>_xll.qlCalendarAdvance(Calendar,W2387,V2388,"f",FALSE)</f>
        <v>55655</v>
      </c>
      <c r="X2388" s="91">
        <f>_xll.qlCalendarAdvance(Calendar,W2388,NDays&amp;"D")</f>
        <v>55655</v>
      </c>
      <c r="Y2388" s="92" t="e">
        <v>#N/A</v>
      </c>
      <c r="Z2388" s="94" t="e">
        <v>#N/A</v>
      </c>
    </row>
    <row r="2389" spans="22:26" x14ac:dyDescent="0.2">
      <c r="V2389" s="123" t="str">
        <f t="shared" ref="V2389:V2452" si="48">V2388</f>
        <v>1w</v>
      </c>
      <c r="W2389" s="82">
        <f>_xll.qlCalendarAdvance(Calendar,W2388,V2389,"f",FALSE)</f>
        <v>55662</v>
      </c>
      <c r="X2389" s="91">
        <f>_xll.qlCalendarAdvance(Calendar,W2389,NDays&amp;"D")</f>
        <v>55662</v>
      </c>
      <c r="Y2389" s="92" t="e">
        <v>#N/A</v>
      </c>
      <c r="Z2389" s="94" t="e">
        <v>#N/A</v>
      </c>
    </row>
    <row r="2390" spans="22:26" x14ac:dyDescent="0.2">
      <c r="V2390" s="123" t="str">
        <f t="shared" si="48"/>
        <v>1w</v>
      </c>
      <c r="W2390" s="82">
        <f>_xll.qlCalendarAdvance(Calendar,W2389,V2390,"f",FALSE)</f>
        <v>55669</v>
      </c>
      <c r="X2390" s="91">
        <f>_xll.qlCalendarAdvance(Calendar,W2390,NDays&amp;"D")</f>
        <v>55669</v>
      </c>
      <c r="Y2390" s="92" t="e">
        <v>#N/A</v>
      </c>
      <c r="Z2390" s="94" t="e">
        <v>#N/A</v>
      </c>
    </row>
    <row r="2391" spans="22:26" x14ac:dyDescent="0.2">
      <c r="V2391" s="123" t="str">
        <f t="shared" si="48"/>
        <v>1w</v>
      </c>
      <c r="W2391" s="82">
        <f>_xll.qlCalendarAdvance(Calendar,W2390,V2391,"f",FALSE)</f>
        <v>55676</v>
      </c>
      <c r="X2391" s="91">
        <f>_xll.qlCalendarAdvance(Calendar,W2391,NDays&amp;"D")</f>
        <v>55676</v>
      </c>
      <c r="Y2391" s="92" t="e">
        <v>#N/A</v>
      </c>
      <c r="Z2391" s="94" t="e">
        <v>#N/A</v>
      </c>
    </row>
    <row r="2392" spans="22:26" x14ac:dyDescent="0.2">
      <c r="V2392" s="123" t="str">
        <f t="shared" si="48"/>
        <v>1w</v>
      </c>
      <c r="W2392" s="82">
        <f>_xll.qlCalendarAdvance(Calendar,W2391,V2392,"f",FALSE)</f>
        <v>55683</v>
      </c>
      <c r="X2392" s="91">
        <f>_xll.qlCalendarAdvance(Calendar,W2392,NDays&amp;"D")</f>
        <v>55683</v>
      </c>
      <c r="Y2392" s="92" t="e">
        <v>#N/A</v>
      </c>
      <c r="Z2392" s="94" t="e">
        <v>#N/A</v>
      </c>
    </row>
    <row r="2393" spans="22:26" x14ac:dyDescent="0.2">
      <c r="V2393" s="123" t="str">
        <f t="shared" si="48"/>
        <v>1w</v>
      </c>
      <c r="W2393" s="82">
        <f>_xll.qlCalendarAdvance(Calendar,W2392,V2393,"f",FALSE)</f>
        <v>55690</v>
      </c>
      <c r="X2393" s="91">
        <f>_xll.qlCalendarAdvance(Calendar,W2393,NDays&amp;"D")</f>
        <v>55690</v>
      </c>
      <c r="Y2393" s="92" t="e">
        <v>#N/A</v>
      </c>
      <c r="Z2393" s="94" t="e">
        <v>#N/A</v>
      </c>
    </row>
    <row r="2394" spans="22:26" x14ac:dyDescent="0.2">
      <c r="V2394" s="123" t="str">
        <f t="shared" si="48"/>
        <v>1w</v>
      </c>
      <c r="W2394" s="82">
        <f>_xll.qlCalendarAdvance(Calendar,W2393,V2394,"f",FALSE)</f>
        <v>55697</v>
      </c>
      <c r="X2394" s="91">
        <f>_xll.qlCalendarAdvance(Calendar,W2394,NDays&amp;"D")</f>
        <v>55697</v>
      </c>
      <c r="Y2394" s="92" t="e">
        <v>#N/A</v>
      </c>
      <c r="Z2394" s="94" t="e">
        <v>#N/A</v>
      </c>
    </row>
    <row r="2395" spans="22:26" x14ac:dyDescent="0.2">
      <c r="V2395" s="123" t="str">
        <f t="shared" si="48"/>
        <v>1w</v>
      </c>
      <c r="W2395" s="82">
        <f>_xll.qlCalendarAdvance(Calendar,W2394,V2395,"f",FALSE)</f>
        <v>55704</v>
      </c>
      <c r="X2395" s="91">
        <f>_xll.qlCalendarAdvance(Calendar,W2395,NDays&amp;"D")</f>
        <v>55704</v>
      </c>
      <c r="Y2395" s="92" t="e">
        <v>#N/A</v>
      </c>
      <c r="Z2395" s="94" t="e">
        <v>#N/A</v>
      </c>
    </row>
    <row r="2396" spans="22:26" x14ac:dyDescent="0.2">
      <c r="V2396" s="123" t="str">
        <f t="shared" si="48"/>
        <v>1w</v>
      </c>
      <c r="W2396" s="82">
        <f>_xll.qlCalendarAdvance(Calendar,W2395,V2396,"f",FALSE)</f>
        <v>55711</v>
      </c>
      <c r="X2396" s="91">
        <f>_xll.qlCalendarAdvance(Calendar,W2396,NDays&amp;"D")</f>
        <v>55711</v>
      </c>
      <c r="Y2396" s="92" t="e">
        <v>#N/A</v>
      </c>
      <c r="Z2396" s="94" t="e">
        <v>#N/A</v>
      </c>
    </row>
    <row r="2397" spans="22:26" x14ac:dyDescent="0.2">
      <c r="V2397" s="123" t="str">
        <f t="shared" si="48"/>
        <v>1w</v>
      </c>
      <c r="W2397" s="82">
        <f>_xll.qlCalendarAdvance(Calendar,W2396,V2397,"f",FALSE)</f>
        <v>55718</v>
      </c>
      <c r="X2397" s="91">
        <f>_xll.qlCalendarAdvance(Calendar,W2397,NDays&amp;"D")</f>
        <v>55718</v>
      </c>
      <c r="Y2397" s="92" t="e">
        <v>#N/A</v>
      </c>
      <c r="Z2397" s="94" t="e">
        <v>#N/A</v>
      </c>
    </row>
    <row r="2398" spans="22:26" x14ac:dyDescent="0.2">
      <c r="V2398" s="123" t="str">
        <f t="shared" si="48"/>
        <v>1w</v>
      </c>
      <c r="W2398" s="82">
        <f>_xll.qlCalendarAdvance(Calendar,W2397,V2398,"f",FALSE)</f>
        <v>55725</v>
      </c>
      <c r="X2398" s="91">
        <f>_xll.qlCalendarAdvance(Calendar,W2398,NDays&amp;"D")</f>
        <v>55725</v>
      </c>
      <c r="Y2398" s="92" t="e">
        <v>#N/A</v>
      </c>
      <c r="Z2398" s="94" t="e">
        <v>#N/A</v>
      </c>
    </row>
    <row r="2399" spans="22:26" x14ac:dyDescent="0.2">
      <c r="V2399" s="123" t="str">
        <f t="shared" si="48"/>
        <v>1w</v>
      </c>
      <c r="W2399" s="82">
        <f>_xll.qlCalendarAdvance(Calendar,W2398,V2399,"f",FALSE)</f>
        <v>55732</v>
      </c>
      <c r="X2399" s="91">
        <f>_xll.qlCalendarAdvance(Calendar,W2399,NDays&amp;"D")</f>
        <v>55732</v>
      </c>
      <c r="Y2399" s="92" t="e">
        <v>#N/A</v>
      </c>
      <c r="Z2399" s="94" t="e">
        <v>#N/A</v>
      </c>
    </row>
    <row r="2400" spans="22:26" x14ac:dyDescent="0.2">
      <c r="V2400" s="123" t="str">
        <f t="shared" si="48"/>
        <v>1w</v>
      </c>
      <c r="W2400" s="82">
        <f>_xll.qlCalendarAdvance(Calendar,W2399,V2400,"f",FALSE)</f>
        <v>55739</v>
      </c>
      <c r="X2400" s="91">
        <f>_xll.qlCalendarAdvance(Calendar,W2400,NDays&amp;"D")</f>
        <v>55739</v>
      </c>
      <c r="Y2400" s="92" t="e">
        <v>#N/A</v>
      </c>
      <c r="Z2400" s="94" t="e">
        <v>#N/A</v>
      </c>
    </row>
    <row r="2401" spans="22:26" x14ac:dyDescent="0.2">
      <c r="V2401" s="123" t="str">
        <f t="shared" si="48"/>
        <v>1w</v>
      </c>
      <c r="W2401" s="82">
        <f>_xll.qlCalendarAdvance(Calendar,W2400,V2401,"f",FALSE)</f>
        <v>55746</v>
      </c>
      <c r="X2401" s="91">
        <f>_xll.qlCalendarAdvance(Calendar,W2401,NDays&amp;"D")</f>
        <v>55746</v>
      </c>
      <c r="Y2401" s="92" t="e">
        <v>#N/A</v>
      </c>
      <c r="Z2401" s="94" t="e">
        <v>#N/A</v>
      </c>
    </row>
    <row r="2402" spans="22:26" x14ac:dyDescent="0.2">
      <c r="V2402" s="123" t="str">
        <f t="shared" si="48"/>
        <v>1w</v>
      </c>
      <c r="W2402" s="82">
        <f>_xll.qlCalendarAdvance(Calendar,W2401,V2402,"f",FALSE)</f>
        <v>55753</v>
      </c>
      <c r="X2402" s="91">
        <f>_xll.qlCalendarAdvance(Calendar,W2402,NDays&amp;"D")</f>
        <v>55753</v>
      </c>
      <c r="Y2402" s="92" t="e">
        <v>#N/A</v>
      </c>
      <c r="Z2402" s="94" t="e">
        <v>#N/A</v>
      </c>
    </row>
    <row r="2403" spans="22:26" x14ac:dyDescent="0.2">
      <c r="V2403" s="123" t="str">
        <f t="shared" si="48"/>
        <v>1w</v>
      </c>
      <c r="W2403" s="82">
        <f>_xll.qlCalendarAdvance(Calendar,W2402,V2403,"f",FALSE)</f>
        <v>55760</v>
      </c>
      <c r="X2403" s="91">
        <f>_xll.qlCalendarAdvance(Calendar,W2403,NDays&amp;"D")</f>
        <v>55760</v>
      </c>
      <c r="Y2403" s="92" t="e">
        <v>#N/A</v>
      </c>
      <c r="Z2403" s="94" t="e">
        <v>#N/A</v>
      </c>
    </row>
    <row r="2404" spans="22:26" x14ac:dyDescent="0.2">
      <c r="V2404" s="123" t="str">
        <f t="shared" si="48"/>
        <v>1w</v>
      </c>
      <c r="W2404" s="82">
        <f>_xll.qlCalendarAdvance(Calendar,W2403,V2404,"f",FALSE)</f>
        <v>55767</v>
      </c>
      <c r="X2404" s="91">
        <f>_xll.qlCalendarAdvance(Calendar,W2404,NDays&amp;"D")</f>
        <v>55767</v>
      </c>
      <c r="Y2404" s="92" t="e">
        <v>#N/A</v>
      </c>
      <c r="Z2404" s="94" t="e">
        <v>#N/A</v>
      </c>
    </row>
    <row r="2405" spans="22:26" x14ac:dyDescent="0.2">
      <c r="V2405" s="123" t="str">
        <f t="shared" si="48"/>
        <v>1w</v>
      </c>
      <c r="W2405" s="82">
        <f>_xll.qlCalendarAdvance(Calendar,W2404,V2405,"f",FALSE)</f>
        <v>55774</v>
      </c>
      <c r="X2405" s="91">
        <f>_xll.qlCalendarAdvance(Calendar,W2405,NDays&amp;"D")</f>
        <v>55774</v>
      </c>
      <c r="Y2405" s="92" t="e">
        <v>#N/A</v>
      </c>
      <c r="Z2405" s="94" t="e">
        <v>#N/A</v>
      </c>
    </row>
    <row r="2406" spans="22:26" x14ac:dyDescent="0.2">
      <c r="V2406" s="123" t="str">
        <f t="shared" si="48"/>
        <v>1w</v>
      </c>
      <c r="W2406" s="82">
        <f>_xll.qlCalendarAdvance(Calendar,W2405,V2406,"f",FALSE)</f>
        <v>55781</v>
      </c>
      <c r="X2406" s="91">
        <f>_xll.qlCalendarAdvance(Calendar,W2406,NDays&amp;"D")</f>
        <v>55781</v>
      </c>
      <c r="Y2406" s="92" t="e">
        <v>#N/A</v>
      </c>
      <c r="Z2406" s="94" t="e">
        <v>#N/A</v>
      </c>
    </row>
    <row r="2407" spans="22:26" x14ac:dyDescent="0.2">
      <c r="V2407" s="123" t="str">
        <f t="shared" si="48"/>
        <v>1w</v>
      </c>
      <c r="W2407" s="82">
        <f>_xll.qlCalendarAdvance(Calendar,W2406,V2407,"f",FALSE)</f>
        <v>55788</v>
      </c>
      <c r="X2407" s="91">
        <f>_xll.qlCalendarAdvance(Calendar,W2407,NDays&amp;"D")</f>
        <v>55788</v>
      </c>
      <c r="Y2407" s="92" t="e">
        <v>#N/A</v>
      </c>
      <c r="Z2407" s="94" t="e">
        <v>#N/A</v>
      </c>
    </row>
    <row r="2408" spans="22:26" x14ac:dyDescent="0.2">
      <c r="V2408" s="123" t="str">
        <f t="shared" si="48"/>
        <v>1w</v>
      </c>
      <c r="W2408" s="82">
        <f>_xll.qlCalendarAdvance(Calendar,W2407,V2408,"f",FALSE)</f>
        <v>55795</v>
      </c>
      <c r="X2408" s="91">
        <f>_xll.qlCalendarAdvance(Calendar,W2408,NDays&amp;"D")</f>
        <v>55795</v>
      </c>
      <c r="Y2408" s="92" t="e">
        <v>#N/A</v>
      </c>
      <c r="Z2408" s="94" t="e">
        <v>#N/A</v>
      </c>
    </row>
    <row r="2409" spans="22:26" x14ac:dyDescent="0.2">
      <c r="V2409" s="123" t="str">
        <f t="shared" si="48"/>
        <v>1w</v>
      </c>
      <c r="W2409" s="82">
        <f>_xll.qlCalendarAdvance(Calendar,W2408,V2409,"f",FALSE)</f>
        <v>55802</v>
      </c>
      <c r="X2409" s="91">
        <f>_xll.qlCalendarAdvance(Calendar,W2409,NDays&amp;"D")</f>
        <v>55802</v>
      </c>
      <c r="Y2409" s="92" t="e">
        <v>#N/A</v>
      </c>
      <c r="Z2409" s="94" t="e">
        <v>#N/A</v>
      </c>
    </row>
    <row r="2410" spans="22:26" x14ac:dyDescent="0.2">
      <c r="V2410" s="123" t="str">
        <f t="shared" si="48"/>
        <v>1w</v>
      </c>
      <c r="W2410" s="82">
        <f>_xll.qlCalendarAdvance(Calendar,W2409,V2410,"f",FALSE)</f>
        <v>55809</v>
      </c>
      <c r="X2410" s="91">
        <f>_xll.qlCalendarAdvance(Calendar,W2410,NDays&amp;"D")</f>
        <v>55809</v>
      </c>
      <c r="Y2410" s="92" t="e">
        <v>#N/A</v>
      </c>
      <c r="Z2410" s="94" t="e">
        <v>#N/A</v>
      </c>
    </row>
    <row r="2411" spans="22:26" x14ac:dyDescent="0.2">
      <c r="V2411" s="123" t="str">
        <f t="shared" si="48"/>
        <v>1w</v>
      </c>
      <c r="W2411" s="82">
        <f>_xll.qlCalendarAdvance(Calendar,W2410,V2411,"f",FALSE)</f>
        <v>55816</v>
      </c>
      <c r="X2411" s="91">
        <f>_xll.qlCalendarAdvance(Calendar,W2411,NDays&amp;"D")</f>
        <v>55816</v>
      </c>
      <c r="Y2411" s="92" t="e">
        <v>#N/A</v>
      </c>
      <c r="Z2411" s="94" t="e">
        <v>#N/A</v>
      </c>
    </row>
    <row r="2412" spans="22:26" x14ac:dyDescent="0.2">
      <c r="V2412" s="123" t="str">
        <f t="shared" si="48"/>
        <v>1w</v>
      </c>
      <c r="W2412" s="82">
        <f>_xll.qlCalendarAdvance(Calendar,W2411,V2412,"f",FALSE)</f>
        <v>55823</v>
      </c>
      <c r="X2412" s="91">
        <f>_xll.qlCalendarAdvance(Calendar,W2412,NDays&amp;"D")</f>
        <v>55823</v>
      </c>
      <c r="Y2412" s="92" t="e">
        <v>#N/A</v>
      </c>
      <c r="Z2412" s="94" t="e">
        <v>#N/A</v>
      </c>
    </row>
    <row r="2413" spans="22:26" x14ac:dyDescent="0.2">
      <c r="V2413" s="123" t="str">
        <f t="shared" si="48"/>
        <v>1w</v>
      </c>
      <c r="W2413" s="82">
        <f>_xll.qlCalendarAdvance(Calendar,W2412,V2413,"f",FALSE)</f>
        <v>55830</v>
      </c>
      <c r="X2413" s="91">
        <f>_xll.qlCalendarAdvance(Calendar,W2413,NDays&amp;"D")</f>
        <v>55830</v>
      </c>
      <c r="Y2413" s="92" t="e">
        <v>#N/A</v>
      </c>
      <c r="Z2413" s="94" t="e">
        <v>#N/A</v>
      </c>
    </row>
    <row r="2414" spans="22:26" x14ac:dyDescent="0.2">
      <c r="V2414" s="123" t="str">
        <f t="shared" si="48"/>
        <v>1w</v>
      </c>
      <c r="W2414" s="82">
        <f>_xll.qlCalendarAdvance(Calendar,W2413,V2414,"f",FALSE)</f>
        <v>55837</v>
      </c>
      <c r="X2414" s="91">
        <f>_xll.qlCalendarAdvance(Calendar,W2414,NDays&amp;"D")</f>
        <v>55837</v>
      </c>
      <c r="Y2414" s="92" t="e">
        <v>#N/A</v>
      </c>
      <c r="Z2414" s="94" t="e">
        <v>#N/A</v>
      </c>
    </row>
    <row r="2415" spans="22:26" x14ac:dyDescent="0.2">
      <c r="V2415" s="123" t="str">
        <f t="shared" si="48"/>
        <v>1w</v>
      </c>
      <c r="W2415" s="82">
        <f>_xll.qlCalendarAdvance(Calendar,W2414,V2415,"f",FALSE)</f>
        <v>55844</v>
      </c>
      <c r="X2415" s="91">
        <f>_xll.qlCalendarAdvance(Calendar,W2415,NDays&amp;"D")</f>
        <v>55844</v>
      </c>
      <c r="Y2415" s="92" t="e">
        <v>#N/A</v>
      </c>
      <c r="Z2415" s="94" t="e">
        <v>#N/A</v>
      </c>
    </row>
    <row r="2416" spans="22:26" x14ac:dyDescent="0.2">
      <c r="V2416" s="123" t="str">
        <f t="shared" si="48"/>
        <v>1w</v>
      </c>
      <c r="W2416" s="82">
        <f>_xll.qlCalendarAdvance(Calendar,W2415,V2416,"f",FALSE)</f>
        <v>55851</v>
      </c>
      <c r="X2416" s="91">
        <f>_xll.qlCalendarAdvance(Calendar,W2416,NDays&amp;"D")</f>
        <v>55851</v>
      </c>
      <c r="Y2416" s="92" t="e">
        <v>#N/A</v>
      </c>
      <c r="Z2416" s="94" t="e">
        <v>#N/A</v>
      </c>
    </row>
    <row r="2417" spans="22:26" x14ac:dyDescent="0.2">
      <c r="V2417" s="123" t="str">
        <f t="shared" si="48"/>
        <v>1w</v>
      </c>
      <c r="W2417" s="82">
        <f>_xll.qlCalendarAdvance(Calendar,W2416,V2417,"f",FALSE)</f>
        <v>55858</v>
      </c>
      <c r="X2417" s="91">
        <f>_xll.qlCalendarAdvance(Calendar,W2417,NDays&amp;"D")</f>
        <v>55858</v>
      </c>
      <c r="Y2417" s="92" t="e">
        <v>#N/A</v>
      </c>
      <c r="Z2417" s="94" t="e">
        <v>#N/A</v>
      </c>
    </row>
    <row r="2418" spans="22:26" x14ac:dyDescent="0.2">
      <c r="V2418" s="123" t="str">
        <f t="shared" si="48"/>
        <v>1w</v>
      </c>
      <c r="W2418" s="82">
        <f>_xll.qlCalendarAdvance(Calendar,W2417,V2418,"f",FALSE)</f>
        <v>55865</v>
      </c>
      <c r="X2418" s="91">
        <f>_xll.qlCalendarAdvance(Calendar,W2418,NDays&amp;"D")</f>
        <v>55865</v>
      </c>
      <c r="Y2418" s="92" t="e">
        <v>#N/A</v>
      </c>
      <c r="Z2418" s="94" t="e">
        <v>#N/A</v>
      </c>
    </row>
    <row r="2419" spans="22:26" x14ac:dyDescent="0.2">
      <c r="V2419" s="123" t="str">
        <f t="shared" si="48"/>
        <v>1w</v>
      </c>
      <c r="W2419" s="82">
        <f>_xll.qlCalendarAdvance(Calendar,W2418,V2419,"f",FALSE)</f>
        <v>55872</v>
      </c>
      <c r="X2419" s="91">
        <f>_xll.qlCalendarAdvance(Calendar,W2419,NDays&amp;"D")</f>
        <v>55872</v>
      </c>
      <c r="Y2419" s="92" t="e">
        <v>#N/A</v>
      </c>
      <c r="Z2419" s="94" t="e">
        <v>#N/A</v>
      </c>
    </row>
    <row r="2420" spans="22:26" x14ac:dyDescent="0.2">
      <c r="V2420" s="123" t="str">
        <f t="shared" si="48"/>
        <v>1w</v>
      </c>
      <c r="W2420" s="82">
        <f>_xll.qlCalendarAdvance(Calendar,W2419,V2420,"f",FALSE)</f>
        <v>55880</v>
      </c>
      <c r="X2420" s="91">
        <f>_xll.qlCalendarAdvance(Calendar,W2420,NDays&amp;"D")</f>
        <v>55880</v>
      </c>
      <c r="Y2420" s="92" t="e">
        <v>#N/A</v>
      </c>
      <c r="Z2420" s="94" t="e">
        <v>#N/A</v>
      </c>
    </row>
    <row r="2421" spans="22:26" x14ac:dyDescent="0.2">
      <c r="V2421" s="123" t="str">
        <f t="shared" si="48"/>
        <v>1w</v>
      </c>
      <c r="W2421" s="82">
        <f>_xll.qlCalendarAdvance(Calendar,W2420,V2421,"f",FALSE)</f>
        <v>55887</v>
      </c>
      <c r="X2421" s="91">
        <f>_xll.qlCalendarAdvance(Calendar,W2421,NDays&amp;"D")</f>
        <v>55887</v>
      </c>
      <c r="Y2421" s="92" t="e">
        <v>#N/A</v>
      </c>
      <c r="Z2421" s="94" t="e">
        <v>#N/A</v>
      </c>
    </row>
    <row r="2422" spans="22:26" x14ac:dyDescent="0.2">
      <c r="V2422" s="123" t="str">
        <f t="shared" si="48"/>
        <v>1w</v>
      </c>
      <c r="W2422" s="82">
        <f>_xll.qlCalendarAdvance(Calendar,W2421,V2422,"f",FALSE)</f>
        <v>55894</v>
      </c>
      <c r="X2422" s="91">
        <f>_xll.qlCalendarAdvance(Calendar,W2422,NDays&amp;"D")</f>
        <v>55894</v>
      </c>
      <c r="Y2422" s="92" t="e">
        <v>#N/A</v>
      </c>
      <c r="Z2422" s="94" t="e">
        <v>#N/A</v>
      </c>
    </row>
    <row r="2423" spans="22:26" x14ac:dyDescent="0.2">
      <c r="V2423" s="123" t="str">
        <f t="shared" si="48"/>
        <v>1w</v>
      </c>
      <c r="W2423" s="82">
        <f>_xll.qlCalendarAdvance(Calendar,W2422,V2423,"f",FALSE)</f>
        <v>55901</v>
      </c>
      <c r="X2423" s="91">
        <f>_xll.qlCalendarAdvance(Calendar,W2423,NDays&amp;"D")</f>
        <v>55901</v>
      </c>
      <c r="Y2423" s="92" t="e">
        <v>#N/A</v>
      </c>
      <c r="Z2423" s="94" t="e">
        <v>#N/A</v>
      </c>
    </row>
    <row r="2424" spans="22:26" x14ac:dyDescent="0.2">
      <c r="V2424" s="123" t="str">
        <f t="shared" si="48"/>
        <v>1w</v>
      </c>
      <c r="W2424" s="82">
        <f>_xll.qlCalendarAdvance(Calendar,W2423,V2424,"f",FALSE)</f>
        <v>55908</v>
      </c>
      <c r="X2424" s="91">
        <f>_xll.qlCalendarAdvance(Calendar,W2424,NDays&amp;"D")</f>
        <v>55908</v>
      </c>
      <c r="Y2424" s="92" t="e">
        <v>#N/A</v>
      </c>
      <c r="Z2424" s="94" t="e">
        <v>#N/A</v>
      </c>
    </row>
    <row r="2425" spans="22:26" x14ac:dyDescent="0.2">
      <c r="V2425" s="123" t="str">
        <f t="shared" si="48"/>
        <v>1w</v>
      </c>
      <c r="W2425" s="82">
        <f>_xll.qlCalendarAdvance(Calendar,W2424,V2425,"f",FALSE)</f>
        <v>55915</v>
      </c>
      <c r="X2425" s="91">
        <f>_xll.qlCalendarAdvance(Calendar,W2425,NDays&amp;"D")</f>
        <v>55915</v>
      </c>
      <c r="Y2425" s="92" t="e">
        <v>#N/A</v>
      </c>
      <c r="Z2425" s="94" t="e">
        <v>#N/A</v>
      </c>
    </row>
    <row r="2426" spans="22:26" x14ac:dyDescent="0.2">
      <c r="V2426" s="123" t="str">
        <f t="shared" si="48"/>
        <v>1w</v>
      </c>
      <c r="W2426" s="82">
        <f>_xll.qlCalendarAdvance(Calendar,W2425,V2426,"f",FALSE)</f>
        <v>55922</v>
      </c>
      <c r="X2426" s="91">
        <f>_xll.qlCalendarAdvance(Calendar,W2426,NDays&amp;"D")</f>
        <v>55922</v>
      </c>
      <c r="Y2426" s="92" t="e">
        <v>#N/A</v>
      </c>
      <c r="Z2426" s="94" t="e">
        <v>#N/A</v>
      </c>
    </row>
    <row r="2427" spans="22:26" x14ac:dyDescent="0.2">
      <c r="V2427" s="123" t="str">
        <f t="shared" si="48"/>
        <v>1w</v>
      </c>
      <c r="W2427" s="82">
        <f>_xll.qlCalendarAdvance(Calendar,W2426,V2427,"f",FALSE)</f>
        <v>55929</v>
      </c>
      <c r="X2427" s="91">
        <f>_xll.qlCalendarAdvance(Calendar,W2427,NDays&amp;"D")</f>
        <v>55929</v>
      </c>
      <c r="Y2427" s="92" t="e">
        <v>#N/A</v>
      </c>
      <c r="Z2427" s="94" t="e">
        <v>#N/A</v>
      </c>
    </row>
    <row r="2428" spans="22:26" x14ac:dyDescent="0.2">
      <c r="V2428" s="123" t="str">
        <f t="shared" si="48"/>
        <v>1w</v>
      </c>
      <c r="W2428" s="82">
        <f>_xll.qlCalendarAdvance(Calendar,W2427,V2428,"f",FALSE)</f>
        <v>55936</v>
      </c>
      <c r="X2428" s="91">
        <f>_xll.qlCalendarAdvance(Calendar,W2428,NDays&amp;"D")</f>
        <v>55936</v>
      </c>
      <c r="Y2428" s="92" t="e">
        <v>#N/A</v>
      </c>
      <c r="Z2428" s="94" t="e">
        <v>#N/A</v>
      </c>
    </row>
    <row r="2429" spans="22:26" x14ac:dyDescent="0.2">
      <c r="V2429" s="123" t="str">
        <f t="shared" si="48"/>
        <v>1w</v>
      </c>
      <c r="W2429" s="82">
        <f>_xll.qlCalendarAdvance(Calendar,W2428,V2429,"f",FALSE)</f>
        <v>55943</v>
      </c>
      <c r="X2429" s="91">
        <f>_xll.qlCalendarAdvance(Calendar,W2429,NDays&amp;"D")</f>
        <v>55943</v>
      </c>
      <c r="Y2429" s="92" t="e">
        <v>#N/A</v>
      </c>
      <c r="Z2429" s="94" t="e">
        <v>#N/A</v>
      </c>
    </row>
    <row r="2430" spans="22:26" x14ac:dyDescent="0.2">
      <c r="V2430" s="123" t="str">
        <f t="shared" si="48"/>
        <v>1w</v>
      </c>
      <c r="W2430" s="82">
        <f>_xll.qlCalendarAdvance(Calendar,W2429,V2430,"f",FALSE)</f>
        <v>55950</v>
      </c>
      <c r="X2430" s="91">
        <f>_xll.qlCalendarAdvance(Calendar,W2430,NDays&amp;"D")</f>
        <v>55950</v>
      </c>
      <c r="Y2430" s="92" t="e">
        <v>#N/A</v>
      </c>
      <c r="Z2430" s="94" t="e">
        <v>#N/A</v>
      </c>
    </row>
    <row r="2431" spans="22:26" x14ac:dyDescent="0.2">
      <c r="V2431" s="123" t="str">
        <f t="shared" si="48"/>
        <v>1w</v>
      </c>
      <c r="W2431" s="82">
        <f>_xll.qlCalendarAdvance(Calendar,W2430,V2431,"f",FALSE)</f>
        <v>55957</v>
      </c>
      <c r="X2431" s="91">
        <f>_xll.qlCalendarAdvance(Calendar,W2431,NDays&amp;"D")</f>
        <v>55957</v>
      </c>
      <c r="Y2431" s="92" t="e">
        <v>#N/A</v>
      </c>
      <c r="Z2431" s="94" t="e">
        <v>#N/A</v>
      </c>
    </row>
    <row r="2432" spans="22:26" x14ac:dyDescent="0.2">
      <c r="V2432" s="123" t="str">
        <f t="shared" si="48"/>
        <v>1w</v>
      </c>
      <c r="W2432" s="82">
        <f>_xll.qlCalendarAdvance(Calendar,W2431,V2432,"f",FALSE)</f>
        <v>55964</v>
      </c>
      <c r="X2432" s="91">
        <f>_xll.qlCalendarAdvance(Calendar,W2432,NDays&amp;"D")</f>
        <v>55964</v>
      </c>
      <c r="Y2432" s="92" t="e">
        <v>#N/A</v>
      </c>
      <c r="Z2432" s="94" t="e">
        <v>#N/A</v>
      </c>
    </row>
    <row r="2433" spans="22:26" x14ac:dyDescent="0.2">
      <c r="V2433" s="123" t="str">
        <f t="shared" si="48"/>
        <v>1w</v>
      </c>
      <c r="W2433" s="82">
        <f>_xll.qlCalendarAdvance(Calendar,W2432,V2433,"f",FALSE)</f>
        <v>55971</v>
      </c>
      <c r="X2433" s="91">
        <f>_xll.qlCalendarAdvance(Calendar,W2433,NDays&amp;"D")</f>
        <v>55971</v>
      </c>
      <c r="Y2433" s="92" t="e">
        <v>#N/A</v>
      </c>
      <c r="Z2433" s="94" t="e">
        <v>#N/A</v>
      </c>
    </row>
    <row r="2434" spans="22:26" x14ac:dyDescent="0.2">
      <c r="V2434" s="123" t="str">
        <f t="shared" si="48"/>
        <v>1w</v>
      </c>
      <c r="W2434" s="82">
        <f>_xll.qlCalendarAdvance(Calendar,W2433,V2434,"f",FALSE)</f>
        <v>55982</v>
      </c>
      <c r="X2434" s="91">
        <f>_xll.qlCalendarAdvance(Calendar,W2434,NDays&amp;"D")</f>
        <v>55982</v>
      </c>
      <c r="Y2434" s="92" t="e">
        <v>#N/A</v>
      </c>
      <c r="Z2434" s="94" t="e">
        <v>#N/A</v>
      </c>
    </row>
    <row r="2435" spans="22:26" x14ac:dyDescent="0.2">
      <c r="V2435" s="123" t="str">
        <f t="shared" si="48"/>
        <v>1w</v>
      </c>
      <c r="W2435" s="82">
        <f>_xll.qlCalendarAdvance(Calendar,W2434,V2435,"f",FALSE)</f>
        <v>55989</v>
      </c>
      <c r="X2435" s="91">
        <f>_xll.qlCalendarAdvance(Calendar,W2435,NDays&amp;"D")</f>
        <v>55989</v>
      </c>
      <c r="Y2435" s="92" t="e">
        <v>#N/A</v>
      </c>
      <c r="Z2435" s="94" t="e">
        <v>#N/A</v>
      </c>
    </row>
    <row r="2436" spans="22:26" x14ac:dyDescent="0.2">
      <c r="V2436" s="123" t="str">
        <f t="shared" si="48"/>
        <v>1w</v>
      </c>
      <c r="W2436" s="82">
        <f>_xll.qlCalendarAdvance(Calendar,W2435,V2436,"f",FALSE)</f>
        <v>55996</v>
      </c>
      <c r="X2436" s="91">
        <f>_xll.qlCalendarAdvance(Calendar,W2436,NDays&amp;"D")</f>
        <v>55996</v>
      </c>
      <c r="Y2436" s="92" t="e">
        <v>#N/A</v>
      </c>
      <c r="Z2436" s="94" t="e">
        <v>#N/A</v>
      </c>
    </row>
    <row r="2437" spans="22:26" x14ac:dyDescent="0.2">
      <c r="V2437" s="123" t="str">
        <f t="shared" si="48"/>
        <v>1w</v>
      </c>
      <c r="W2437" s="82">
        <f>_xll.qlCalendarAdvance(Calendar,W2436,V2437,"f",FALSE)</f>
        <v>56003</v>
      </c>
      <c r="X2437" s="91">
        <f>_xll.qlCalendarAdvance(Calendar,W2437,NDays&amp;"D")</f>
        <v>56003</v>
      </c>
      <c r="Y2437" s="92" t="e">
        <v>#N/A</v>
      </c>
      <c r="Z2437" s="94" t="e">
        <v>#N/A</v>
      </c>
    </row>
    <row r="2438" spans="22:26" x14ac:dyDescent="0.2">
      <c r="V2438" s="123" t="str">
        <f t="shared" si="48"/>
        <v>1w</v>
      </c>
      <c r="W2438" s="82">
        <f>_xll.qlCalendarAdvance(Calendar,W2437,V2438,"f",FALSE)</f>
        <v>56010</v>
      </c>
      <c r="X2438" s="91">
        <f>_xll.qlCalendarAdvance(Calendar,W2438,NDays&amp;"D")</f>
        <v>56010</v>
      </c>
      <c r="Y2438" s="92" t="e">
        <v>#N/A</v>
      </c>
      <c r="Z2438" s="94" t="e">
        <v>#N/A</v>
      </c>
    </row>
    <row r="2439" spans="22:26" x14ac:dyDescent="0.2">
      <c r="V2439" s="123" t="str">
        <f t="shared" si="48"/>
        <v>1w</v>
      </c>
      <c r="W2439" s="82">
        <f>_xll.qlCalendarAdvance(Calendar,W2438,V2439,"f",FALSE)</f>
        <v>56017</v>
      </c>
      <c r="X2439" s="91">
        <f>_xll.qlCalendarAdvance(Calendar,W2439,NDays&amp;"D")</f>
        <v>56017</v>
      </c>
      <c r="Y2439" s="92" t="e">
        <v>#N/A</v>
      </c>
      <c r="Z2439" s="94" t="e">
        <v>#N/A</v>
      </c>
    </row>
    <row r="2440" spans="22:26" x14ac:dyDescent="0.2">
      <c r="V2440" s="123" t="str">
        <f t="shared" si="48"/>
        <v>1w</v>
      </c>
      <c r="W2440" s="82">
        <f>_xll.qlCalendarAdvance(Calendar,W2439,V2440,"f",FALSE)</f>
        <v>56024</v>
      </c>
      <c r="X2440" s="91">
        <f>_xll.qlCalendarAdvance(Calendar,W2440,NDays&amp;"D")</f>
        <v>56024</v>
      </c>
      <c r="Y2440" s="92" t="e">
        <v>#N/A</v>
      </c>
      <c r="Z2440" s="94" t="e">
        <v>#N/A</v>
      </c>
    </row>
    <row r="2441" spans="22:26" x14ac:dyDescent="0.2">
      <c r="V2441" s="123" t="str">
        <f t="shared" si="48"/>
        <v>1w</v>
      </c>
      <c r="W2441" s="82">
        <f>_xll.qlCalendarAdvance(Calendar,W2440,V2441,"f",FALSE)</f>
        <v>56031</v>
      </c>
      <c r="X2441" s="91">
        <f>_xll.qlCalendarAdvance(Calendar,W2441,NDays&amp;"D")</f>
        <v>56031</v>
      </c>
      <c r="Y2441" s="92" t="e">
        <v>#N/A</v>
      </c>
      <c r="Z2441" s="94" t="e">
        <v>#N/A</v>
      </c>
    </row>
    <row r="2442" spans="22:26" x14ac:dyDescent="0.2">
      <c r="V2442" s="123" t="str">
        <f t="shared" si="48"/>
        <v>1w</v>
      </c>
      <c r="W2442" s="82">
        <f>_xll.qlCalendarAdvance(Calendar,W2441,V2442,"f",FALSE)</f>
        <v>56038</v>
      </c>
      <c r="X2442" s="91">
        <f>_xll.qlCalendarAdvance(Calendar,W2442,NDays&amp;"D")</f>
        <v>56038</v>
      </c>
      <c r="Y2442" s="92" t="e">
        <v>#N/A</v>
      </c>
      <c r="Z2442" s="94" t="e">
        <v>#N/A</v>
      </c>
    </row>
    <row r="2443" spans="22:26" x14ac:dyDescent="0.2">
      <c r="V2443" s="123" t="str">
        <f t="shared" si="48"/>
        <v>1w</v>
      </c>
      <c r="W2443" s="82">
        <f>_xll.qlCalendarAdvance(Calendar,W2442,V2443,"f",FALSE)</f>
        <v>56045</v>
      </c>
      <c r="X2443" s="91">
        <f>_xll.qlCalendarAdvance(Calendar,W2443,NDays&amp;"D")</f>
        <v>56045</v>
      </c>
      <c r="Y2443" s="92" t="e">
        <v>#N/A</v>
      </c>
      <c r="Z2443" s="94" t="e">
        <v>#N/A</v>
      </c>
    </row>
    <row r="2444" spans="22:26" x14ac:dyDescent="0.2">
      <c r="V2444" s="123" t="str">
        <f t="shared" si="48"/>
        <v>1w</v>
      </c>
      <c r="W2444" s="82">
        <f>_xll.qlCalendarAdvance(Calendar,W2443,V2444,"f",FALSE)</f>
        <v>56052</v>
      </c>
      <c r="X2444" s="91">
        <f>_xll.qlCalendarAdvance(Calendar,W2444,NDays&amp;"D")</f>
        <v>56052</v>
      </c>
      <c r="Y2444" s="92" t="e">
        <v>#N/A</v>
      </c>
      <c r="Z2444" s="94" t="e">
        <v>#N/A</v>
      </c>
    </row>
    <row r="2445" spans="22:26" x14ac:dyDescent="0.2">
      <c r="V2445" s="123" t="str">
        <f t="shared" si="48"/>
        <v>1w</v>
      </c>
      <c r="W2445" s="82">
        <f>_xll.qlCalendarAdvance(Calendar,W2444,V2445,"f",FALSE)</f>
        <v>56059</v>
      </c>
      <c r="X2445" s="91">
        <f>_xll.qlCalendarAdvance(Calendar,W2445,NDays&amp;"D")</f>
        <v>56059</v>
      </c>
      <c r="Y2445" s="92" t="e">
        <v>#N/A</v>
      </c>
      <c r="Z2445" s="94" t="e">
        <v>#N/A</v>
      </c>
    </row>
    <row r="2446" spans="22:26" x14ac:dyDescent="0.2">
      <c r="V2446" s="123" t="str">
        <f t="shared" si="48"/>
        <v>1w</v>
      </c>
      <c r="W2446" s="82">
        <f>_xll.qlCalendarAdvance(Calendar,W2445,V2446,"f",FALSE)</f>
        <v>56067</v>
      </c>
      <c r="X2446" s="91">
        <f>_xll.qlCalendarAdvance(Calendar,W2446,NDays&amp;"D")</f>
        <v>56067</v>
      </c>
      <c r="Y2446" s="92" t="e">
        <v>#N/A</v>
      </c>
      <c r="Z2446" s="94" t="e">
        <v>#N/A</v>
      </c>
    </row>
    <row r="2447" spans="22:26" x14ac:dyDescent="0.2">
      <c r="V2447" s="123" t="str">
        <f t="shared" si="48"/>
        <v>1w</v>
      </c>
      <c r="W2447" s="82">
        <f>_xll.qlCalendarAdvance(Calendar,W2446,V2447,"f",FALSE)</f>
        <v>56074</v>
      </c>
      <c r="X2447" s="91">
        <f>_xll.qlCalendarAdvance(Calendar,W2447,NDays&amp;"D")</f>
        <v>56074</v>
      </c>
      <c r="Y2447" s="92" t="e">
        <v>#N/A</v>
      </c>
      <c r="Z2447" s="94" t="e">
        <v>#N/A</v>
      </c>
    </row>
    <row r="2448" spans="22:26" x14ac:dyDescent="0.2">
      <c r="V2448" s="123" t="str">
        <f t="shared" si="48"/>
        <v>1w</v>
      </c>
      <c r="W2448" s="82">
        <f>_xll.qlCalendarAdvance(Calendar,W2447,V2448,"f",FALSE)</f>
        <v>56081</v>
      </c>
      <c r="X2448" s="91">
        <f>_xll.qlCalendarAdvance(Calendar,W2448,NDays&amp;"D")</f>
        <v>56081</v>
      </c>
      <c r="Y2448" s="92" t="e">
        <v>#N/A</v>
      </c>
      <c r="Z2448" s="94" t="e">
        <v>#N/A</v>
      </c>
    </row>
    <row r="2449" spans="22:26" x14ac:dyDescent="0.2">
      <c r="V2449" s="123" t="str">
        <f t="shared" si="48"/>
        <v>1w</v>
      </c>
      <c r="W2449" s="82">
        <f>_xll.qlCalendarAdvance(Calendar,W2448,V2449,"f",FALSE)</f>
        <v>56088</v>
      </c>
      <c r="X2449" s="91">
        <f>_xll.qlCalendarAdvance(Calendar,W2449,NDays&amp;"D")</f>
        <v>56088</v>
      </c>
      <c r="Y2449" s="92" t="e">
        <v>#N/A</v>
      </c>
      <c r="Z2449" s="94" t="e">
        <v>#N/A</v>
      </c>
    </row>
    <row r="2450" spans="22:26" x14ac:dyDescent="0.2">
      <c r="V2450" s="123" t="str">
        <f t="shared" si="48"/>
        <v>1w</v>
      </c>
      <c r="W2450" s="82">
        <f>_xll.qlCalendarAdvance(Calendar,W2449,V2450,"f",FALSE)</f>
        <v>56095</v>
      </c>
      <c r="X2450" s="91">
        <f>_xll.qlCalendarAdvance(Calendar,W2450,NDays&amp;"D")</f>
        <v>56095</v>
      </c>
      <c r="Y2450" s="92" t="e">
        <v>#N/A</v>
      </c>
      <c r="Z2450" s="94" t="e">
        <v>#N/A</v>
      </c>
    </row>
    <row r="2451" spans="22:26" x14ac:dyDescent="0.2">
      <c r="V2451" s="123" t="str">
        <f t="shared" si="48"/>
        <v>1w</v>
      </c>
      <c r="W2451" s="82">
        <f>_xll.qlCalendarAdvance(Calendar,W2450,V2451,"f",FALSE)</f>
        <v>56102</v>
      </c>
      <c r="X2451" s="91">
        <f>_xll.qlCalendarAdvance(Calendar,W2451,NDays&amp;"D")</f>
        <v>56102</v>
      </c>
      <c r="Y2451" s="92" t="e">
        <v>#N/A</v>
      </c>
      <c r="Z2451" s="94" t="e">
        <v>#N/A</v>
      </c>
    </row>
    <row r="2452" spans="22:26" x14ac:dyDescent="0.2">
      <c r="V2452" s="123" t="str">
        <f t="shared" si="48"/>
        <v>1w</v>
      </c>
      <c r="W2452" s="82">
        <f>_xll.qlCalendarAdvance(Calendar,W2451,V2452,"f",FALSE)</f>
        <v>56109</v>
      </c>
      <c r="X2452" s="91">
        <f>_xll.qlCalendarAdvance(Calendar,W2452,NDays&amp;"D")</f>
        <v>56109</v>
      </c>
      <c r="Y2452" s="92" t="e">
        <v>#N/A</v>
      </c>
      <c r="Z2452" s="94" t="e">
        <v>#N/A</v>
      </c>
    </row>
    <row r="2453" spans="22:26" x14ac:dyDescent="0.2">
      <c r="V2453" s="123" t="str">
        <f t="shared" ref="V2453:V2516" si="49">V2452</f>
        <v>1w</v>
      </c>
      <c r="W2453" s="82">
        <f>_xll.qlCalendarAdvance(Calendar,W2452,V2453,"f",FALSE)</f>
        <v>56116</v>
      </c>
      <c r="X2453" s="91">
        <f>_xll.qlCalendarAdvance(Calendar,W2453,NDays&amp;"D")</f>
        <v>56116</v>
      </c>
      <c r="Y2453" s="92" t="e">
        <v>#N/A</v>
      </c>
      <c r="Z2453" s="94" t="e">
        <v>#N/A</v>
      </c>
    </row>
    <row r="2454" spans="22:26" x14ac:dyDescent="0.2">
      <c r="V2454" s="123" t="str">
        <f t="shared" si="49"/>
        <v>1w</v>
      </c>
      <c r="W2454" s="82">
        <f>_xll.qlCalendarAdvance(Calendar,W2453,V2454,"f",FALSE)</f>
        <v>56123</v>
      </c>
      <c r="X2454" s="91">
        <f>_xll.qlCalendarAdvance(Calendar,W2454,NDays&amp;"D")</f>
        <v>56123</v>
      </c>
      <c r="Y2454" s="92" t="e">
        <v>#N/A</v>
      </c>
      <c r="Z2454" s="94" t="e">
        <v>#N/A</v>
      </c>
    </row>
    <row r="2455" spans="22:26" x14ac:dyDescent="0.2">
      <c r="V2455" s="123" t="str">
        <f t="shared" si="49"/>
        <v>1w</v>
      </c>
      <c r="W2455" s="82">
        <f>_xll.qlCalendarAdvance(Calendar,W2454,V2455,"f",FALSE)</f>
        <v>56130</v>
      </c>
      <c r="X2455" s="91">
        <f>_xll.qlCalendarAdvance(Calendar,W2455,NDays&amp;"D")</f>
        <v>56130</v>
      </c>
      <c r="Y2455" s="92" t="e">
        <v>#N/A</v>
      </c>
      <c r="Z2455" s="94" t="e">
        <v>#N/A</v>
      </c>
    </row>
    <row r="2456" spans="22:26" x14ac:dyDescent="0.2">
      <c r="V2456" s="123" t="str">
        <f t="shared" si="49"/>
        <v>1w</v>
      </c>
      <c r="W2456" s="82">
        <f>_xll.qlCalendarAdvance(Calendar,W2455,V2456,"f",FALSE)</f>
        <v>56137</v>
      </c>
      <c r="X2456" s="91">
        <f>_xll.qlCalendarAdvance(Calendar,W2456,NDays&amp;"D")</f>
        <v>56137</v>
      </c>
      <c r="Y2456" s="92" t="e">
        <v>#N/A</v>
      </c>
      <c r="Z2456" s="94" t="e">
        <v>#N/A</v>
      </c>
    </row>
    <row r="2457" spans="22:26" x14ac:dyDescent="0.2">
      <c r="V2457" s="123" t="str">
        <f t="shared" si="49"/>
        <v>1w</v>
      </c>
      <c r="W2457" s="82">
        <f>_xll.qlCalendarAdvance(Calendar,W2456,V2457,"f",FALSE)</f>
        <v>56144</v>
      </c>
      <c r="X2457" s="91">
        <f>_xll.qlCalendarAdvance(Calendar,W2457,NDays&amp;"D")</f>
        <v>56144</v>
      </c>
      <c r="Y2457" s="92" t="e">
        <v>#N/A</v>
      </c>
      <c r="Z2457" s="94" t="e">
        <v>#N/A</v>
      </c>
    </row>
    <row r="2458" spans="22:26" x14ac:dyDescent="0.2">
      <c r="V2458" s="123" t="str">
        <f t="shared" si="49"/>
        <v>1w</v>
      </c>
      <c r="W2458" s="82">
        <f>_xll.qlCalendarAdvance(Calendar,W2457,V2458,"f",FALSE)</f>
        <v>56151</v>
      </c>
      <c r="X2458" s="91">
        <f>_xll.qlCalendarAdvance(Calendar,W2458,NDays&amp;"D")</f>
        <v>56151</v>
      </c>
      <c r="Y2458" s="92" t="e">
        <v>#N/A</v>
      </c>
      <c r="Z2458" s="94" t="e">
        <v>#N/A</v>
      </c>
    </row>
    <row r="2459" spans="22:26" x14ac:dyDescent="0.2">
      <c r="V2459" s="123" t="str">
        <f t="shared" si="49"/>
        <v>1w</v>
      </c>
      <c r="W2459" s="82">
        <f>_xll.qlCalendarAdvance(Calendar,W2458,V2459,"f",FALSE)</f>
        <v>56159</v>
      </c>
      <c r="X2459" s="91">
        <f>_xll.qlCalendarAdvance(Calendar,W2459,NDays&amp;"D")</f>
        <v>56159</v>
      </c>
      <c r="Y2459" s="92" t="e">
        <v>#N/A</v>
      </c>
      <c r="Z2459" s="94" t="e">
        <v>#N/A</v>
      </c>
    </row>
    <row r="2460" spans="22:26" x14ac:dyDescent="0.2">
      <c r="V2460" s="123" t="str">
        <f t="shared" si="49"/>
        <v>1w</v>
      </c>
      <c r="W2460" s="82">
        <f>_xll.qlCalendarAdvance(Calendar,W2459,V2460,"f",FALSE)</f>
        <v>56166</v>
      </c>
      <c r="X2460" s="91">
        <f>_xll.qlCalendarAdvance(Calendar,W2460,NDays&amp;"D")</f>
        <v>56166</v>
      </c>
      <c r="Y2460" s="92" t="e">
        <v>#N/A</v>
      </c>
      <c r="Z2460" s="94" t="e">
        <v>#N/A</v>
      </c>
    </row>
    <row r="2461" spans="22:26" x14ac:dyDescent="0.2">
      <c r="V2461" s="123" t="str">
        <f t="shared" si="49"/>
        <v>1w</v>
      </c>
      <c r="W2461" s="82">
        <f>_xll.qlCalendarAdvance(Calendar,W2460,V2461,"f",FALSE)</f>
        <v>56173</v>
      </c>
      <c r="X2461" s="91">
        <f>_xll.qlCalendarAdvance(Calendar,W2461,NDays&amp;"D")</f>
        <v>56173</v>
      </c>
      <c r="Y2461" s="92" t="e">
        <v>#N/A</v>
      </c>
      <c r="Z2461" s="94" t="e">
        <v>#N/A</v>
      </c>
    </row>
    <row r="2462" spans="22:26" x14ac:dyDescent="0.2">
      <c r="V2462" s="123" t="str">
        <f t="shared" si="49"/>
        <v>1w</v>
      </c>
      <c r="W2462" s="82">
        <f>_xll.qlCalendarAdvance(Calendar,W2461,V2462,"f",FALSE)</f>
        <v>56180</v>
      </c>
      <c r="X2462" s="91">
        <f>_xll.qlCalendarAdvance(Calendar,W2462,NDays&amp;"D")</f>
        <v>56180</v>
      </c>
      <c r="Y2462" s="92" t="e">
        <v>#N/A</v>
      </c>
      <c r="Z2462" s="94" t="e">
        <v>#N/A</v>
      </c>
    </row>
    <row r="2463" spans="22:26" x14ac:dyDescent="0.2">
      <c r="V2463" s="123" t="str">
        <f t="shared" si="49"/>
        <v>1w</v>
      </c>
      <c r="W2463" s="82">
        <f>_xll.qlCalendarAdvance(Calendar,W2462,V2463,"f",FALSE)</f>
        <v>56187</v>
      </c>
      <c r="X2463" s="91">
        <f>_xll.qlCalendarAdvance(Calendar,W2463,NDays&amp;"D")</f>
        <v>56187</v>
      </c>
      <c r="Y2463" s="92" t="e">
        <v>#N/A</v>
      </c>
      <c r="Z2463" s="94" t="e">
        <v>#N/A</v>
      </c>
    </row>
    <row r="2464" spans="22:26" x14ac:dyDescent="0.2">
      <c r="V2464" s="123" t="str">
        <f t="shared" si="49"/>
        <v>1w</v>
      </c>
      <c r="W2464" s="82">
        <f>_xll.qlCalendarAdvance(Calendar,W2463,V2464,"f",FALSE)</f>
        <v>56194</v>
      </c>
      <c r="X2464" s="91">
        <f>_xll.qlCalendarAdvance(Calendar,W2464,NDays&amp;"D")</f>
        <v>56194</v>
      </c>
      <c r="Y2464" s="92" t="e">
        <v>#N/A</v>
      </c>
      <c r="Z2464" s="94" t="e">
        <v>#N/A</v>
      </c>
    </row>
    <row r="2465" spans="22:26" x14ac:dyDescent="0.2">
      <c r="V2465" s="123" t="str">
        <f t="shared" si="49"/>
        <v>1w</v>
      </c>
      <c r="W2465" s="82">
        <f>_xll.qlCalendarAdvance(Calendar,W2464,V2465,"f",FALSE)</f>
        <v>56201</v>
      </c>
      <c r="X2465" s="91">
        <f>_xll.qlCalendarAdvance(Calendar,W2465,NDays&amp;"D")</f>
        <v>56201</v>
      </c>
      <c r="Y2465" s="92" t="e">
        <v>#N/A</v>
      </c>
      <c r="Z2465" s="94" t="e">
        <v>#N/A</v>
      </c>
    </row>
    <row r="2466" spans="22:26" x14ac:dyDescent="0.2">
      <c r="V2466" s="123" t="str">
        <f t="shared" si="49"/>
        <v>1w</v>
      </c>
      <c r="W2466" s="82">
        <f>_xll.qlCalendarAdvance(Calendar,W2465,V2466,"f",FALSE)</f>
        <v>56208</v>
      </c>
      <c r="X2466" s="91">
        <f>_xll.qlCalendarAdvance(Calendar,W2466,NDays&amp;"D")</f>
        <v>56208</v>
      </c>
      <c r="Y2466" s="92" t="e">
        <v>#N/A</v>
      </c>
      <c r="Z2466" s="94" t="e">
        <v>#N/A</v>
      </c>
    </row>
    <row r="2467" spans="22:26" x14ac:dyDescent="0.2">
      <c r="V2467" s="123" t="str">
        <f t="shared" si="49"/>
        <v>1w</v>
      </c>
      <c r="W2467" s="82">
        <f>_xll.qlCalendarAdvance(Calendar,W2466,V2467,"f",FALSE)</f>
        <v>56215</v>
      </c>
      <c r="X2467" s="91">
        <f>_xll.qlCalendarAdvance(Calendar,W2467,NDays&amp;"D")</f>
        <v>56215</v>
      </c>
      <c r="Y2467" s="92" t="e">
        <v>#N/A</v>
      </c>
      <c r="Z2467" s="94" t="e">
        <v>#N/A</v>
      </c>
    </row>
    <row r="2468" spans="22:26" x14ac:dyDescent="0.2">
      <c r="V2468" s="123" t="str">
        <f t="shared" si="49"/>
        <v>1w</v>
      </c>
      <c r="W2468" s="82">
        <f>_xll.qlCalendarAdvance(Calendar,W2467,V2468,"f",FALSE)</f>
        <v>56222</v>
      </c>
      <c r="X2468" s="91">
        <f>_xll.qlCalendarAdvance(Calendar,W2468,NDays&amp;"D")</f>
        <v>56222</v>
      </c>
      <c r="Y2468" s="92" t="e">
        <v>#N/A</v>
      </c>
      <c r="Z2468" s="94" t="e">
        <v>#N/A</v>
      </c>
    </row>
    <row r="2469" spans="22:26" x14ac:dyDescent="0.2">
      <c r="V2469" s="123" t="str">
        <f t="shared" si="49"/>
        <v>1w</v>
      </c>
      <c r="W2469" s="82">
        <f>_xll.qlCalendarAdvance(Calendar,W2468,V2469,"f",FALSE)</f>
        <v>56229</v>
      </c>
      <c r="X2469" s="91">
        <f>_xll.qlCalendarAdvance(Calendar,W2469,NDays&amp;"D")</f>
        <v>56229</v>
      </c>
      <c r="Y2469" s="92" t="e">
        <v>#N/A</v>
      </c>
      <c r="Z2469" s="94" t="e">
        <v>#N/A</v>
      </c>
    </row>
    <row r="2470" spans="22:26" x14ac:dyDescent="0.2">
      <c r="V2470" s="123" t="str">
        <f t="shared" si="49"/>
        <v>1w</v>
      </c>
      <c r="W2470" s="82">
        <f>_xll.qlCalendarAdvance(Calendar,W2469,V2470,"f",FALSE)</f>
        <v>56236</v>
      </c>
      <c r="X2470" s="91">
        <f>_xll.qlCalendarAdvance(Calendar,W2470,NDays&amp;"D")</f>
        <v>56236</v>
      </c>
      <c r="Y2470" s="92" t="e">
        <v>#N/A</v>
      </c>
      <c r="Z2470" s="94" t="e">
        <v>#N/A</v>
      </c>
    </row>
    <row r="2471" spans="22:26" x14ac:dyDescent="0.2">
      <c r="V2471" s="123" t="str">
        <f t="shared" si="49"/>
        <v>1w</v>
      </c>
      <c r="W2471" s="82">
        <f>_xll.qlCalendarAdvance(Calendar,W2470,V2471,"f",FALSE)</f>
        <v>56247</v>
      </c>
      <c r="X2471" s="91">
        <f>_xll.qlCalendarAdvance(Calendar,W2471,NDays&amp;"D")</f>
        <v>56247</v>
      </c>
      <c r="Y2471" s="92" t="e">
        <v>#N/A</v>
      </c>
      <c r="Z2471" s="94" t="e">
        <v>#N/A</v>
      </c>
    </row>
    <row r="2472" spans="22:26" x14ac:dyDescent="0.2">
      <c r="V2472" s="123" t="str">
        <f t="shared" si="49"/>
        <v>1w</v>
      </c>
      <c r="W2472" s="82">
        <f>_xll.qlCalendarAdvance(Calendar,W2471,V2472,"f",FALSE)</f>
        <v>56254</v>
      </c>
      <c r="X2472" s="91">
        <f>_xll.qlCalendarAdvance(Calendar,W2472,NDays&amp;"D")</f>
        <v>56254</v>
      </c>
      <c r="Y2472" s="92" t="e">
        <v>#N/A</v>
      </c>
      <c r="Z2472" s="94" t="e">
        <v>#N/A</v>
      </c>
    </row>
    <row r="2473" spans="22:26" x14ac:dyDescent="0.2">
      <c r="V2473" s="123" t="str">
        <f t="shared" si="49"/>
        <v>1w</v>
      </c>
      <c r="W2473" s="82">
        <f>_xll.qlCalendarAdvance(Calendar,W2472,V2473,"f",FALSE)</f>
        <v>56261</v>
      </c>
      <c r="X2473" s="91">
        <f>_xll.qlCalendarAdvance(Calendar,W2473,NDays&amp;"D")</f>
        <v>56261</v>
      </c>
      <c r="Y2473" s="92" t="e">
        <v>#N/A</v>
      </c>
      <c r="Z2473" s="94" t="e">
        <v>#N/A</v>
      </c>
    </row>
    <row r="2474" spans="22:26" x14ac:dyDescent="0.2">
      <c r="V2474" s="123" t="str">
        <f t="shared" si="49"/>
        <v>1w</v>
      </c>
      <c r="W2474" s="82">
        <f>_xll.qlCalendarAdvance(Calendar,W2473,V2474,"f",FALSE)</f>
        <v>56268</v>
      </c>
      <c r="X2474" s="91">
        <f>_xll.qlCalendarAdvance(Calendar,W2474,NDays&amp;"D")</f>
        <v>56268</v>
      </c>
      <c r="Y2474" s="92" t="e">
        <v>#N/A</v>
      </c>
      <c r="Z2474" s="94" t="e">
        <v>#N/A</v>
      </c>
    </row>
    <row r="2475" spans="22:26" x14ac:dyDescent="0.2">
      <c r="V2475" s="123" t="str">
        <f t="shared" si="49"/>
        <v>1w</v>
      </c>
      <c r="W2475" s="82">
        <f>_xll.qlCalendarAdvance(Calendar,W2474,V2475,"f",FALSE)</f>
        <v>56275</v>
      </c>
      <c r="X2475" s="91">
        <f>_xll.qlCalendarAdvance(Calendar,W2475,NDays&amp;"D")</f>
        <v>56275</v>
      </c>
      <c r="Y2475" s="92" t="e">
        <v>#N/A</v>
      </c>
      <c r="Z2475" s="94" t="e">
        <v>#N/A</v>
      </c>
    </row>
    <row r="2476" spans="22:26" x14ac:dyDescent="0.2">
      <c r="V2476" s="123" t="str">
        <f t="shared" si="49"/>
        <v>1w</v>
      </c>
      <c r="W2476" s="82">
        <f>_xll.qlCalendarAdvance(Calendar,W2475,V2476,"f",FALSE)</f>
        <v>56282</v>
      </c>
      <c r="X2476" s="91">
        <f>_xll.qlCalendarAdvance(Calendar,W2476,NDays&amp;"D")</f>
        <v>56282</v>
      </c>
      <c r="Y2476" s="92" t="e">
        <v>#N/A</v>
      </c>
      <c r="Z2476" s="94" t="e">
        <v>#N/A</v>
      </c>
    </row>
    <row r="2477" spans="22:26" x14ac:dyDescent="0.2">
      <c r="V2477" s="123" t="str">
        <f t="shared" si="49"/>
        <v>1w</v>
      </c>
      <c r="W2477" s="82">
        <f>_xll.qlCalendarAdvance(Calendar,W2476,V2477,"f",FALSE)</f>
        <v>56289</v>
      </c>
      <c r="X2477" s="91">
        <f>_xll.qlCalendarAdvance(Calendar,W2477,NDays&amp;"D")</f>
        <v>56289</v>
      </c>
      <c r="Y2477" s="92" t="e">
        <v>#N/A</v>
      </c>
      <c r="Z2477" s="94" t="e">
        <v>#N/A</v>
      </c>
    </row>
    <row r="2478" spans="22:26" x14ac:dyDescent="0.2">
      <c r="V2478" s="123" t="str">
        <f t="shared" si="49"/>
        <v>1w</v>
      </c>
      <c r="W2478" s="82">
        <f>_xll.qlCalendarAdvance(Calendar,W2477,V2478,"f",FALSE)</f>
        <v>56296</v>
      </c>
      <c r="X2478" s="91">
        <f>_xll.qlCalendarAdvance(Calendar,W2478,NDays&amp;"D")</f>
        <v>56296</v>
      </c>
      <c r="Y2478" s="92" t="e">
        <v>#N/A</v>
      </c>
      <c r="Z2478" s="94" t="e">
        <v>#N/A</v>
      </c>
    </row>
    <row r="2479" spans="22:26" x14ac:dyDescent="0.2">
      <c r="V2479" s="123" t="str">
        <f t="shared" si="49"/>
        <v>1w</v>
      </c>
      <c r="W2479" s="82">
        <f>_xll.qlCalendarAdvance(Calendar,W2478,V2479,"f",FALSE)</f>
        <v>56303</v>
      </c>
      <c r="X2479" s="91">
        <f>_xll.qlCalendarAdvance(Calendar,W2479,NDays&amp;"D")</f>
        <v>56303</v>
      </c>
      <c r="Y2479" s="92" t="e">
        <v>#N/A</v>
      </c>
      <c r="Z2479" s="94" t="e">
        <v>#N/A</v>
      </c>
    </row>
    <row r="2480" spans="22:26" x14ac:dyDescent="0.2">
      <c r="V2480" s="123" t="str">
        <f t="shared" si="49"/>
        <v>1w</v>
      </c>
      <c r="W2480" s="82">
        <f>_xll.qlCalendarAdvance(Calendar,W2479,V2480,"f",FALSE)</f>
        <v>56310</v>
      </c>
      <c r="X2480" s="91">
        <f>_xll.qlCalendarAdvance(Calendar,W2480,NDays&amp;"D")</f>
        <v>56310</v>
      </c>
      <c r="Y2480" s="92" t="e">
        <v>#N/A</v>
      </c>
      <c r="Z2480" s="94" t="e">
        <v>#N/A</v>
      </c>
    </row>
    <row r="2481" spans="22:26" x14ac:dyDescent="0.2">
      <c r="V2481" s="123" t="str">
        <f t="shared" si="49"/>
        <v>1w</v>
      </c>
      <c r="W2481" s="82">
        <f>_xll.qlCalendarAdvance(Calendar,W2480,V2481,"f",FALSE)</f>
        <v>56317</v>
      </c>
      <c r="X2481" s="91">
        <f>_xll.qlCalendarAdvance(Calendar,W2481,NDays&amp;"D")</f>
        <v>56317</v>
      </c>
      <c r="Y2481" s="92" t="e">
        <v>#N/A</v>
      </c>
      <c r="Z2481" s="94" t="e">
        <v>#N/A</v>
      </c>
    </row>
    <row r="2482" spans="22:26" x14ac:dyDescent="0.2">
      <c r="V2482" s="123" t="str">
        <f t="shared" si="49"/>
        <v>1w</v>
      </c>
      <c r="W2482" s="82">
        <f>_xll.qlCalendarAdvance(Calendar,W2481,V2482,"f",FALSE)</f>
        <v>56324</v>
      </c>
      <c r="X2482" s="91">
        <f>_xll.qlCalendarAdvance(Calendar,W2482,NDays&amp;"D")</f>
        <v>56324</v>
      </c>
      <c r="Y2482" s="92" t="e">
        <v>#N/A</v>
      </c>
      <c r="Z2482" s="94" t="e">
        <v>#N/A</v>
      </c>
    </row>
    <row r="2483" spans="22:26" x14ac:dyDescent="0.2">
      <c r="V2483" s="123" t="str">
        <f t="shared" si="49"/>
        <v>1w</v>
      </c>
      <c r="W2483" s="82">
        <f>_xll.qlCalendarAdvance(Calendar,W2482,V2483,"f",FALSE)</f>
        <v>56331</v>
      </c>
      <c r="X2483" s="91">
        <f>_xll.qlCalendarAdvance(Calendar,W2483,NDays&amp;"D")</f>
        <v>56331</v>
      </c>
      <c r="Y2483" s="92" t="e">
        <v>#N/A</v>
      </c>
      <c r="Z2483" s="94" t="e">
        <v>#N/A</v>
      </c>
    </row>
    <row r="2484" spans="22:26" x14ac:dyDescent="0.2">
      <c r="V2484" s="123" t="str">
        <f t="shared" si="49"/>
        <v>1w</v>
      </c>
      <c r="W2484" s="82">
        <f>_xll.qlCalendarAdvance(Calendar,W2483,V2484,"f",FALSE)</f>
        <v>56339</v>
      </c>
      <c r="X2484" s="91">
        <f>_xll.qlCalendarAdvance(Calendar,W2484,NDays&amp;"D")</f>
        <v>56339</v>
      </c>
      <c r="Y2484" s="92" t="e">
        <v>#N/A</v>
      </c>
      <c r="Z2484" s="94" t="e">
        <v>#N/A</v>
      </c>
    </row>
    <row r="2485" spans="22:26" x14ac:dyDescent="0.2">
      <c r="V2485" s="123" t="str">
        <f t="shared" si="49"/>
        <v>1w</v>
      </c>
      <c r="W2485" s="82">
        <f>_xll.qlCalendarAdvance(Calendar,W2484,V2485,"f",FALSE)</f>
        <v>56346</v>
      </c>
      <c r="X2485" s="91">
        <f>_xll.qlCalendarAdvance(Calendar,W2485,NDays&amp;"D")</f>
        <v>56346</v>
      </c>
      <c r="Y2485" s="92" t="e">
        <v>#N/A</v>
      </c>
      <c r="Z2485" s="94" t="e">
        <v>#N/A</v>
      </c>
    </row>
    <row r="2486" spans="22:26" x14ac:dyDescent="0.2">
      <c r="V2486" s="123" t="str">
        <f t="shared" si="49"/>
        <v>1w</v>
      </c>
      <c r="W2486" s="82">
        <f>_xll.qlCalendarAdvance(Calendar,W2485,V2486,"f",FALSE)</f>
        <v>56353</v>
      </c>
      <c r="X2486" s="91">
        <f>_xll.qlCalendarAdvance(Calendar,W2486,NDays&amp;"D")</f>
        <v>56353</v>
      </c>
      <c r="Y2486" s="92" t="e">
        <v>#N/A</v>
      </c>
      <c r="Z2486" s="94" t="e">
        <v>#N/A</v>
      </c>
    </row>
    <row r="2487" spans="22:26" x14ac:dyDescent="0.2">
      <c r="V2487" s="123" t="str">
        <f t="shared" si="49"/>
        <v>1w</v>
      </c>
      <c r="W2487" s="82">
        <f>_xll.qlCalendarAdvance(Calendar,W2486,V2487,"f",FALSE)</f>
        <v>56360</v>
      </c>
      <c r="X2487" s="91">
        <f>_xll.qlCalendarAdvance(Calendar,W2487,NDays&amp;"D")</f>
        <v>56360</v>
      </c>
      <c r="Y2487" s="92" t="e">
        <v>#N/A</v>
      </c>
      <c r="Z2487" s="94" t="e">
        <v>#N/A</v>
      </c>
    </row>
    <row r="2488" spans="22:26" x14ac:dyDescent="0.2">
      <c r="V2488" s="123" t="str">
        <f t="shared" si="49"/>
        <v>1w</v>
      </c>
      <c r="W2488" s="82">
        <f>_xll.qlCalendarAdvance(Calendar,W2487,V2488,"f",FALSE)</f>
        <v>56367</v>
      </c>
      <c r="X2488" s="91">
        <f>_xll.qlCalendarAdvance(Calendar,W2488,NDays&amp;"D")</f>
        <v>56367</v>
      </c>
      <c r="Y2488" s="92" t="e">
        <v>#N/A</v>
      </c>
      <c r="Z2488" s="94" t="e">
        <v>#N/A</v>
      </c>
    </row>
    <row r="2489" spans="22:26" x14ac:dyDescent="0.2">
      <c r="V2489" s="123" t="str">
        <f t="shared" si="49"/>
        <v>1w</v>
      </c>
      <c r="W2489" s="82">
        <f>_xll.qlCalendarAdvance(Calendar,W2488,V2489,"f",FALSE)</f>
        <v>56374</v>
      </c>
      <c r="X2489" s="91">
        <f>_xll.qlCalendarAdvance(Calendar,W2489,NDays&amp;"D")</f>
        <v>56374</v>
      </c>
      <c r="Y2489" s="92" t="e">
        <v>#N/A</v>
      </c>
      <c r="Z2489" s="94" t="e">
        <v>#N/A</v>
      </c>
    </row>
    <row r="2490" spans="22:26" x14ac:dyDescent="0.2">
      <c r="V2490" s="123" t="str">
        <f t="shared" si="49"/>
        <v>1w</v>
      </c>
      <c r="W2490" s="82">
        <f>_xll.qlCalendarAdvance(Calendar,W2489,V2490,"f",FALSE)</f>
        <v>56381</v>
      </c>
      <c r="X2490" s="91">
        <f>_xll.qlCalendarAdvance(Calendar,W2490,NDays&amp;"D")</f>
        <v>56381</v>
      </c>
      <c r="Y2490" s="92" t="e">
        <v>#N/A</v>
      </c>
      <c r="Z2490" s="94" t="e">
        <v>#N/A</v>
      </c>
    </row>
    <row r="2491" spans="22:26" x14ac:dyDescent="0.2">
      <c r="V2491" s="123" t="str">
        <f t="shared" si="49"/>
        <v>1w</v>
      </c>
      <c r="W2491" s="82">
        <f>_xll.qlCalendarAdvance(Calendar,W2490,V2491,"f",FALSE)</f>
        <v>56388</v>
      </c>
      <c r="X2491" s="91">
        <f>_xll.qlCalendarAdvance(Calendar,W2491,NDays&amp;"D")</f>
        <v>56388</v>
      </c>
      <c r="Y2491" s="92" t="e">
        <v>#N/A</v>
      </c>
      <c r="Z2491" s="94" t="e">
        <v>#N/A</v>
      </c>
    </row>
    <row r="2492" spans="22:26" x14ac:dyDescent="0.2">
      <c r="V2492" s="123" t="str">
        <f t="shared" si="49"/>
        <v>1w</v>
      </c>
      <c r="W2492" s="82">
        <f>_xll.qlCalendarAdvance(Calendar,W2491,V2492,"f",FALSE)</f>
        <v>56395</v>
      </c>
      <c r="X2492" s="91">
        <f>_xll.qlCalendarAdvance(Calendar,W2492,NDays&amp;"D")</f>
        <v>56395</v>
      </c>
      <c r="Y2492" s="92" t="e">
        <v>#N/A</v>
      </c>
      <c r="Z2492" s="94" t="e">
        <v>#N/A</v>
      </c>
    </row>
    <row r="2493" spans="22:26" x14ac:dyDescent="0.2">
      <c r="V2493" s="123" t="str">
        <f t="shared" si="49"/>
        <v>1w</v>
      </c>
      <c r="W2493" s="82">
        <f>_xll.qlCalendarAdvance(Calendar,W2492,V2493,"f",FALSE)</f>
        <v>56402</v>
      </c>
      <c r="X2493" s="91">
        <f>_xll.qlCalendarAdvance(Calendar,W2493,NDays&amp;"D")</f>
        <v>56402</v>
      </c>
      <c r="Y2493" s="92" t="e">
        <v>#N/A</v>
      </c>
      <c r="Z2493" s="94" t="e">
        <v>#N/A</v>
      </c>
    </row>
    <row r="2494" spans="22:26" x14ac:dyDescent="0.2">
      <c r="V2494" s="123" t="str">
        <f t="shared" si="49"/>
        <v>1w</v>
      </c>
      <c r="W2494" s="82">
        <f>_xll.qlCalendarAdvance(Calendar,W2493,V2494,"f",FALSE)</f>
        <v>56409</v>
      </c>
      <c r="X2494" s="91">
        <f>_xll.qlCalendarAdvance(Calendar,W2494,NDays&amp;"D")</f>
        <v>56409</v>
      </c>
      <c r="Y2494" s="92" t="e">
        <v>#N/A</v>
      </c>
      <c r="Z2494" s="94" t="e">
        <v>#N/A</v>
      </c>
    </row>
    <row r="2495" spans="22:26" x14ac:dyDescent="0.2">
      <c r="V2495" s="123" t="str">
        <f t="shared" si="49"/>
        <v>1w</v>
      </c>
      <c r="W2495" s="82">
        <f>_xll.qlCalendarAdvance(Calendar,W2494,V2495,"f",FALSE)</f>
        <v>56416</v>
      </c>
      <c r="X2495" s="91">
        <f>_xll.qlCalendarAdvance(Calendar,W2495,NDays&amp;"D")</f>
        <v>56416</v>
      </c>
      <c r="Y2495" s="92" t="e">
        <v>#N/A</v>
      </c>
      <c r="Z2495" s="94" t="e">
        <v>#N/A</v>
      </c>
    </row>
    <row r="2496" spans="22:26" x14ac:dyDescent="0.2">
      <c r="V2496" s="123" t="str">
        <f t="shared" si="49"/>
        <v>1w</v>
      </c>
      <c r="W2496" s="82">
        <f>_xll.qlCalendarAdvance(Calendar,W2495,V2496,"f",FALSE)</f>
        <v>56423</v>
      </c>
      <c r="X2496" s="91">
        <f>_xll.qlCalendarAdvance(Calendar,W2496,NDays&amp;"D")</f>
        <v>56423</v>
      </c>
      <c r="Y2496" s="92" t="e">
        <v>#N/A</v>
      </c>
      <c r="Z2496" s="94" t="e">
        <v>#N/A</v>
      </c>
    </row>
    <row r="2497" spans="22:26" x14ac:dyDescent="0.2">
      <c r="V2497" s="123" t="str">
        <f t="shared" si="49"/>
        <v>1w</v>
      </c>
      <c r="W2497" s="82">
        <f>_xll.qlCalendarAdvance(Calendar,W2496,V2497,"f",FALSE)</f>
        <v>56430</v>
      </c>
      <c r="X2497" s="91">
        <f>_xll.qlCalendarAdvance(Calendar,W2497,NDays&amp;"D")</f>
        <v>56430</v>
      </c>
      <c r="Y2497" s="92" t="e">
        <v>#N/A</v>
      </c>
      <c r="Z2497" s="94" t="e">
        <v>#N/A</v>
      </c>
    </row>
    <row r="2498" spans="22:26" x14ac:dyDescent="0.2">
      <c r="V2498" s="123" t="str">
        <f t="shared" si="49"/>
        <v>1w</v>
      </c>
      <c r="W2498" s="82">
        <f>_xll.qlCalendarAdvance(Calendar,W2497,V2498,"f",FALSE)</f>
        <v>56437</v>
      </c>
      <c r="X2498" s="91">
        <f>_xll.qlCalendarAdvance(Calendar,W2498,NDays&amp;"D")</f>
        <v>56437</v>
      </c>
      <c r="Y2498" s="92" t="e">
        <v>#N/A</v>
      </c>
      <c r="Z2498" s="94" t="e">
        <v>#N/A</v>
      </c>
    </row>
    <row r="2499" spans="22:26" x14ac:dyDescent="0.2">
      <c r="V2499" s="123" t="str">
        <f t="shared" si="49"/>
        <v>1w</v>
      </c>
      <c r="W2499" s="82">
        <f>_xll.qlCalendarAdvance(Calendar,W2498,V2499,"f",FALSE)</f>
        <v>56444</v>
      </c>
      <c r="X2499" s="91">
        <f>_xll.qlCalendarAdvance(Calendar,W2499,NDays&amp;"D")</f>
        <v>56444</v>
      </c>
      <c r="Y2499" s="92" t="e">
        <v>#N/A</v>
      </c>
      <c r="Z2499" s="94" t="e">
        <v>#N/A</v>
      </c>
    </row>
    <row r="2500" spans="22:26" x14ac:dyDescent="0.2">
      <c r="V2500" s="123" t="str">
        <f t="shared" si="49"/>
        <v>1w</v>
      </c>
      <c r="W2500" s="82">
        <f>_xll.qlCalendarAdvance(Calendar,W2499,V2500,"f",FALSE)</f>
        <v>56451</v>
      </c>
      <c r="X2500" s="91">
        <f>_xll.qlCalendarAdvance(Calendar,W2500,NDays&amp;"D")</f>
        <v>56451</v>
      </c>
      <c r="Y2500" s="92" t="e">
        <v>#N/A</v>
      </c>
      <c r="Z2500" s="94" t="e">
        <v>#N/A</v>
      </c>
    </row>
    <row r="2501" spans="22:26" x14ac:dyDescent="0.2">
      <c r="V2501" s="123" t="str">
        <f t="shared" si="49"/>
        <v>1w</v>
      </c>
      <c r="W2501" s="82">
        <f>_xll.qlCalendarAdvance(Calendar,W2500,V2501,"f",FALSE)</f>
        <v>56458</v>
      </c>
      <c r="X2501" s="91">
        <f>_xll.qlCalendarAdvance(Calendar,W2501,NDays&amp;"D")</f>
        <v>56458</v>
      </c>
      <c r="Y2501" s="92" t="e">
        <v>#N/A</v>
      </c>
      <c r="Z2501" s="94" t="e">
        <v>#N/A</v>
      </c>
    </row>
    <row r="2502" spans="22:26" x14ac:dyDescent="0.2">
      <c r="V2502" s="123" t="str">
        <f t="shared" si="49"/>
        <v>1w</v>
      </c>
      <c r="W2502" s="82">
        <f>_xll.qlCalendarAdvance(Calendar,W2501,V2502,"f",FALSE)</f>
        <v>56465</v>
      </c>
      <c r="X2502" s="91">
        <f>_xll.qlCalendarAdvance(Calendar,W2502,NDays&amp;"D")</f>
        <v>56465</v>
      </c>
      <c r="Y2502" s="92" t="e">
        <v>#N/A</v>
      </c>
      <c r="Z2502" s="94" t="e">
        <v>#N/A</v>
      </c>
    </row>
    <row r="2503" spans="22:26" x14ac:dyDescent="0.2">
      <c r="V2503" s="123" t="str">
        <f t="shared" si="49"/>
        <v>1w</v>
      </c>
      <c r="W2503" s="82">
        <f>_xll.qlCalendarAdvance(Calendar,W2502,V2503,"f",FALSE)</f>
        <v>56472</v>
      </c>
      <c r="X2503" s="91">
        <f>_xll.qlCalendarAdvance(Calendar,W2503,NDays&amp;"D")</f>
        <v>56472</v>
      </c>
      <c r="Y2503" s="92" t="e">
        <v>#N/A</v>
      </c>
      <c r="Z2503" s="94" t="e">
        <v>#N/A</v>
      </c>
    </row>
    <row r="2504" spans="22:26" x14ac:dyDescent="0.2">
      <c r="V2504" s="123" t="str">
        <f t="shared" si="49"/>
        <v>1w</v>
      </c>
      <c r="W2504" s="82">
        <f>_xll.qlCalendarAdvance(Calendar,W2503,V2504,"f",FALSE)</f>
        <v>56479</v>
      </c>
      <c r="X2504" s="91">
        <f>_xll.qlCalendarAdvance(Calendar,W2504,NDays&amp;"D")</f>
        <v>56479</v>
      </c>
      <c r="Y2504" s="92" t="e">
        <v>#N/A</v>
      </c>
      <c r="Z2504" s="94" t="e">
        <v>#N/A</v>
      </c>
    </row>
    <row r="2505" spans="22:26" x14ac:dyDescent="0.2">
      <c r="V2505" s="123" t="str">
        <f t="shared" si="49"/>
        <v>1w</v>
      </c>
      <c r="W2505" s="82">
        <f>_xll.qlCalendarAdvance(Calendar,W2504,V2505,"f",FALSE)</f>
        <v>56486</v>
      </c>
      <c r="X2505" s="91">
        <f>_xll.qlCalendarAdvance(Calendar,W2505,NDays&amp;"D")</f>
        <v>56486</v>
      </c>
      <c r="Y2505" s="92" t="e">
        <v>#N/A</v>
      </c>
      <c r="Z2505" s="94" t="e">
        <v>#N/A</v>
      </c>
    </row>
    <row r="2506" spans="22:26" x14ac:dyDescent="0.2">
      <c r="V2506" s="123" t="str">
        <f t="shared" si="49"/>
        <v>1w</v>
      </c>
      <c r="W2506" s="82">
        <f>_xll.qlCalendarAdvance(Calendar,W2505,V2506,"f",FALSE)</f>
        <v>56493</v>
      </c>
      <c r="X2506" s="91">
        <f>_xll.qlCalendarAdvance(Calendar,W2506,NDays&amp;"D")</f>
        <v>56493</v>
      </c>
      <c r="Y2506" s="92" t="e">
        <v>#N/A</v>
      </c>
      <c r="Z2506" s="94" t="e">
        <v>#N/A</v>
      </c>
    </row>
    <row r="2507" spans="22:26" x14ac:dyDescent="0.2">
      <c r="V2507" s="123" t="str">
        <f t="shared" si="49"/>
        <v>1w</v>
      </c>
      <c r="W2507" s="82">
        <f>_xll.qlCalendarAdvance(Calendar,W2506,V2507,"f",FALSE)</f>
        <v>56500</v>
      </c>
      <c r="X2507" s="91">
        <f>_xll.qlCalendarAdvance(Calendar,W2507,NDays&amp;"D")</f>
        <v>56500</v>
      </c>
      <c r="Y2507" s="92" t="e">
        <v>#N/A</v>
      </c>
      <c r="Z2507" s="94" t="e">
        <v>#N/A</v>
      </c>
    </row>
    <row r="2508" spans="22:26" x14ac:dyDescent="0.2">
      <c r="V2508" s="123" t="str">
        <f t="shared" si="49"/>
        <v>1w</v>
      </c>
      <c r="W2508" s="82">
        <f>_xll.qlCalendarAdvance(Calendar,W2507,V2508,"f",FALSE)</f>
        <v>56507</v>
      </c>
      <c r="X2508" s="91">
        <f>_xll.qlCalendarAdvance(Calendar,W2508,NDays&amp;"D")</f>
        <v>56507</v>
      </c>
      <c r="Y2508" s="92" t="e">
        <v>#N/A</v>
      </c>
      <c r="Z2508" s="94" t="e">
        <v>#N/A</v>
      </c>
    </row>
    <row r="2509" spans="22:26" x14ac:dyDescent="0.2">
      <c r="V2509" s="123" t="str">
        <f t="shared" si="49"/>
        <v>1w</v>
      </c>
      <c r="W2509" s="82">
        <f>_xll.qlCalendarAdvance(Calendar,W2508,V2509,"f",FALSE)</f>
        <v>56514</v>
      </c>
      <c r="X2509" s="91">
        <f>_xll.qlCalendarAdvance(Calendar,W2509,NDays&amp;"D")</f>
        <v>56514</v>
      </c>
      <c r="Y2509" s="92" t="e">
        <v>#N/A</v>
      </c>
      <c r="Z2509" s="94" t="e">
        <v>#N/A</v>
      </c>
    </row>
    <row r="2510" spans="22:26" x14ac:dyDescent="0.2">
      <c r="V2510" s="123" t="str">
        <f t="shared" si="49"/>
        <v>1w</v>
      </c>
      <c r="W2510" s="82">
        <f>_xll.qlCalendarAdvance(Calendar,W2509,V2510,"f",FALSE)</f>
        <v>56521</v>
      </c>
      <c r="X2510" s="91">
        <f>_xll.qlCalendarAdvance(Calendar,W2510,NDays&amp;"D")</f>
        <v>56521</v>
      </c>
      <c r="Y2510" s="92" t="e">
        <v>#N/A</v>
      </c>
      <c r="Z2510" s="94" t="e">
        <v>#N/A</v>
      </c>
    </row>
    <row r="2511" spans="22:26" x14ac:dyDescent="0.2">
      <c r="V2511" s="123" t="str">
        <f t="shared" si="49"/>
        <v>1w</v>
      </c>
      <c r="W2511" s="82">
        <f>_xll.qlCalendarAdvance(Calendar,W2510,V2511,"f",FALSE)</f>
        <v>56528</v>
      </c>
      <c r="X2511" s="91">
        <f>_xll.qlCalendarAdvance(Calendar,W2511,NDays&amp;"D")</f>
        <v>56528</v>
      </c>
      <c r="Y2511" s="92" t="e">
        <v>#N/A</v>
      </c>
      <c r="Z2511" s="94" t="e">
        <v>#N/A</v>
      </c>
    </row>
    <row r="2512" spans="22:26" x14ac:dyDescent="0.2">
      <c r="V2512" s="123" t="str">
        <f t="shared" si="49"/>
        <v>1w</v>
      </c>
      <c r="W2512" s="82">
        <f>_xll.qlCalendarAdvance(Calendar,W2511,V2512,"f",FALSE)</f>
        <v>56535</v>
      </c>
      <c r="X2512" s="91">
        <f>_xll.qlCalendarAdvance(Calendar,W2512,NDays&amp;"D")</f>
        <v>56535</v>
      </c>
      <c r="Y2512" s="92" t="e">
        <v>#N/A</v>
      </c>
      <c r="Z2512" s="94" t="e">
        <v>#N/A</v>
      </c>
    </row>
    <row r="2513" spans="22:26" x14ac:dyDescent="0.2">
      <c r="V2513" s="123" t="str">
        <f t="shared" si="49"/>
        <v>1w</v>
      </c>
      <c r="W2513" s="82">
        <f>_xll.qlCalendarAdvance(Calendar,W2512,V2513,"f",FALSE)</f>
        <v>56542</v>
      </c>
      <c r="X2513" s="91">
        <f>_xll.qlCalendarAdvance(Calendar,W2513,NDays&amp;"D")</f>
        <v>56542</v>
      </c>
      <c r="Y2513" s="92" t="e">
        <v>#N/A</v>
      </c>
      <c r="Z2513" s="94" t="e">
        <v>#N/A</v>
      </c>
    </row>
    <row r="2514" spans="22:26" x14ac:dyDescent="0.2">
      <c r="V2514" s="123" t="str">
        <f t="shared" si="49"/>
        <v>1w</v>
      </c>
      <c r="W2514" s="82">
        <f>_xll.qlCalendarAdvance(Calendar,W2513,V2514,"f",FALSE)</f>
        <v>56549</v>
      </c>
      <c r="X2514" s="91">
        <f>_xll.qlCalendarAdvance(Calendar,W2514,NDays&amp;"D")</f>
        <v>56549</v>
      </c>
      <c r="Y2514" s="92" t="e">
        <v>#N/A</v>
      </c>
      <c r="Z2514" s="94" t="e">
        <v>#N/A</v>
      </c>
    </row>
    <row r="2515" spans="22:26" x14ac:dyDescent="0.2">
      <c r="V2515" s="123" t="str">
        <f t="shared" si="49"/>
        <v>1w</v>
      </c>
      <c r="W2515" s="82">
        <f>_xll.qlCalendarAdvance(Calendar,W2514,V2515,"f",FALSE)</f>
        <v>56556</v>
      </c>
      <c r="X2515" s="91">
        <f>_xll.qlCalendarAdvance(Calendar,W2515,NDays&amp;"D")</f>
        <v>56556</v>
      </c>
      <c r="Y2515" s="92" t="e">
        <v>#N/A</v>
      </c>
      <c r="Z2515" s="94" t="e">
        <v>#N/A</v>
      </c>
    </row>
    <row r="2516" spans="22:26" x14ac:dyDescent="0.2">
      <c r="V2516" s="123" t="str">
        <f t="shared" si="49"/>
        <v>1w</v>
      </c>
      <c r="W2516" s="82">
        <f>_xll.qlCalendarAdvance(Calendar,W2515,V2516,"f",FALSE)</f>
        <v>56563</v>
      </c>
      <c r="X2516" s="91">
        <f>_xll.qlCalendarAdvance(Calendar,W2516,NDays&amp;"D")</f>
        <v>56563</v>
      </c>
      <c r="Y2516" s="92" t="e">
        <v>#N/A</v>
      </c>
      <c r="Z2516" s="94" t="e">
        <v>#N/A</v>
      </c>
    </row>
    <row r="2517" spans="22:26" x14ac:dyDescent="0.2">
      <c r="V2517" s="123" t="str">
        <f t="shared" ref="V2517:V2580" si="50">V2516</f>
        <v>1w</v>
      </c>
      <c r="W2517" s="82">
        <f>_xll.qlCalendarAdvance(Calendar,W2516,V2517,"f",FALSE)</f>
        <v>56570</v>
      </c>
      <c r="X2517" s="91">
        <f>_xll.qlCalendarAdvance(Calendar,W2517,NDays&amp;"D")</f>
        <v>56570</v>
      </c>
      <c r="Y2517" s="92" t="e">
        <v>#N/A</v>
      </c>
      <c r="Z2517" s="94" t="e">
        <v>#N/A</v>
      </c>
    </row>
    <row r="2518" spans="22:26" x14ac:dyDescent="0.2">
      <c r="V2518" s="123" t="str">
        <f t="shared" si="50"/>
        <v>1w</v>
      </c>
      <c r="W2518" s="82">
        <f>_xll.qlCalendarAdvance(Calendar,W2517,V2518,"f",FALSE)</f>
        <v>56577</v>
      </c>
      <c r="X2518" s="91">
        <f>_xll.qlCalendarAdvance(Calendar,W2518,NDays&amp;"D")</f>
        <v>56577</v>
      </c>
      <c r="Y2518" s="92" t="e">
        <v>#N/A</v>
      </c>
      <c r="Z2518" s="94" t="e">
        <v>#N/A</v>
      </c>
    </row>
    <row r="2519" spans="22:26" x14ac:dyDescent="0.2">
      <c r="V2519" s="123" t="str">
        <f t="shared" si="50"/>
        <v>1w</v>
      </c>
      <c r="W2519" s="82">
        <f>_xll.qlCalendarAdvance(Calendar,W2518,V2519,"f",FALSE)</f>
        <v>56584</v>
      </c>
      <c r="X2519" s="91">
        <f>_xll.qlCalendarAdvance(Calendar,W2519,NDays&amp;"D")</f>
        <v>56584</v>
      </c>
      <c r="Y2519" s="92" t="e">
        <v>#N/A</v>
      </c>
      <c r="Z2519" s="94" t="e">
        <v>#N/A</v>
      </c>
    </row>
    <row r="2520" spans="22:26" x14ac:dyDescent="0.2">
      <c r="V2520" s="123" t="str">
        <f t="shared" si="50"/>
        <v>1w</v>
      </c>
      <c r="W2520" s="82">
        <f>_xll.qlCalendarAdvance(Calendar,W2519,V2520,"f",FALSE)</f>
        <v>56591</v>
      </c>
      <c r="X2520" s="91">
        <f>_xll.qlCalendarAdvance(Calendar,W2520,NDays&amp;"D")</f>
        <v>56591</v>
      </c>
      <c r="Y2520" s="92" t="e">
        <v>#N/A</v>
      </c>
      <c r="Z2520" s="94" t="e">
        <v>#N/A</v>
      </c>
    </row>
    <row r="2521" spans="22:26" x14ac:dyDescent="0.2">
      <c r="V2521" s="123" t="str">
        <f t="shared" si="50"/>
        <v>1w</v>
      </c>
      <c r="W2521" s="82">
        <f>_xll.qlCalendarAdvance(Calendar,W2520,V2521,"f",FALSE)</f>
        <v>56598</v>
      </c>
      <c r="X2521" s="91">
        <f>_xll.qlCalendarAdvance(Calendar,W2521,NDays&amp;"D")</f>
        <v>56598</v>
      </c>
      <c r="Y2521" s="92" t="e">
        <v>#N/A</v>
      </c>
      <c r="Z2521" s="94" t="e">
        <v>#N/A</v>
      </c>
    </row>
    <row r="2522" spans="22:26" x14ac:dyDescent="0.2">
      <c r="V2522" s="123" t="str">
        <f t="shared" si="50"/>
        <v>1w</v>
      </c>
      <c r="W2522" s="82">
        <f>_xll.qlCalendarAdvance(Calendar,W2521,V2522,"f",FALSE)</f>
        <v>56605</v>
      </c>
      <c r="X2522" s="91">
        <f>_xll.qlCalendarAdvance(Calendar,W2522,NDays&amp;"D")</f>
        <v>56605</v>
      </c>
      <c r="Y2522" s="92" t="e">
        <v>#N/A</v>
      </c>
      <c r="Z2522" s="94" t="e">
        <v>#N/A</v>
      </c>
    </row>
    <row r="2523" spans="22:26" x14ac:dyDescent="0.2">
      <c r="V2523" s="123" t="str">
        <f t="shared" si="50"/>
        <v>1w</v>
      </c>
      <c r="W2523" s="82">
        <f>_xll.qlCalendarAdvance(Calendar,W2522,V2523,"f",FALSE)</f>
        <v>56612</v>
      </c>
      <c r="X2523" s="91">
        <f>_xll.qlCalendarAdvance(Calendar,W2523,NDays&amp;"D")</f>
        <v>56612</v>
      </c>
      <c r="Y2523" s="92" t="e">
        <v>#N/A</v>
      </c>
      <c r="Z2523" s="94" t="e">
        <v>#N/A</v>
      </c>
    </row>
    <row r="2524" spans="22:26" x14ac:dyDescent="0.2">
      <c r="V2524" s="123" t="str">
        <f t="shared" si="50"/>
        <v>1w</v>
      </c>
      <c r="W2524" s="82">
        <f>_xll.qlCalendarAdvance(Calendar,W2523,V2524,"f",FALSE)</f>
        <v>56619</v>
      </c>
      <c r="X2524" s="91">
        <f>_xll.qlCalendarAdvance(Calendar,W2524,NDays&amp;"D")</f>
        <v>56619</v>
      </c>
      <c r="Y2524" s="92" t="e">
        <v>#N/A</v>
      </c>
      <c r="Z2524" s="94" t="e">
        <v>#N/A</v>
      </c>
    </row>
    <row r="2525" spans="22:26" x14ac:dyDescent="0.2">
      <c r="V2525" s="123" t="str">
        <f t="shared" si="50"/>
        <v>1w</v>
      </c>
      <c r="W2525" s="82">
        <f>_xll.qlCalendarAdvance(Calendar,W2524,V2525,"f",FALSE)</f>
        <v>56626</v>
      </c>
      <c r="X2525" s="91">
        <f>_xll.qlCalendarAdvance(Calendar,W2525,NDays&amp;"D")</f>
        <v>56626</v>
      </c>
      <c r="Y2525" s="92" t="e">
        <v>#N/A</v>
      </c>
      <c r="Z2525" s="94" t="e">
        <v>#N/A</v>
      </c>
    </row>
    <row r="2526" spans="22:26" x14ac:dyDescent="0.2">
      <c r="V2526" s="123" t="str">
        <f t="shared" si="50"/>
        <v>1w</v>
      </c>
      <c r="W2526" s="82">
        <f>_xll.qlCalendarAdvance(Calendar,W2525,V2526,"f",FALSE)</f>
        <v>56633</v>
      </c>
      <c r="X2526" s="91">
        <f>_xll.qlCalendarAdvance(Calendar,W2526,NDays&amp;"D")</f>
        <v>56633</v>
      </c>
      <c r="Y2526" s="92" t="e">
        <v>#N/A</v>
      </c>
      <c r="Z2526" s="94" t="e">
        <v>#N/A</v>
      </c>
    </row>
    <row r="2527" spans="22:26" x14ac:dyDescent="0.2">
      <c r="V2527" s="123" t="str">
        <f t="shared" si="50"/>
        <v>1w</v>
      </c>
      <c r="W2527" s="82">
        <f>_xll.qlCalendarAdvance(Calendar,W2526,V2527,"f",FALSE)</f>
        <v>56640</v>
      </c>
      <c r="X2527" s="91">
        <f>_xll.qlCalendarAdvance(Calendar,W2527,NDays&amp;"D")</f>
        <v>56640</v>
      </c>
      <c r="Y2527" s="92" t="e">
        <v>#N/A</v>
      </c>
      <c r="Z2527" s="94" t="e">
        <v>#N/A</v>
      </c>
    </row>
    <row r="2528" spans="22:26" x14ac:dyDescent="0.2">
      <c r="V2528" s="123" t="str">
        <f t="shared" si="50"/>
        <v>1w</v>
      </c>
      <c r="W2528" s="82">
        <f>_xll.qlCalendarAdvance(Calendar,W2527,V2528,"f",FALSE)</f>
        <v>56647</v>
      </c>
      <c r="X2528" s="91">
        <f>_xll.qlCalendarAdvance(Calendar,W2528,NDays&amp;"D")</f>
        <v>56647</v>
      </c>
      <c r="Y2528" s="92" t="e">
        <v>#N/A</v>
      </c>
      <c r="Z2528" s="94" t="e">
        <v>#N/A</v>
      </c>
    </row>
    <row r="2529" spans="22:26" x14ac:dyDescent="0.2">
      <c r="V2529" s="123" t="str">
        <f t="shared" si="50"/>
        <v>1w</v>
      </c>
      <c r="W2529" s="82">
        <f>_xll.qlCalendarAdvance(Calendar,W2528,V2529,"f",FALSE)</f>
        <v>56654</v>
      </c>
      <c r="X2529" s="91">
        <f>_xll.qlCalendarAdvance(Calendar,W2529,NDays&amp;"D")</f>
        <v>56654</v>
      </c>
      <c r="Y2529" s="92" t="e">
        <v>#N/A</v>
      </c>
      <c r="Z2529" s="94" t="e">
        <v>#N/A</v>
      </c>
    </row>
    <row r="2530" spans="22:26" x14ac:dyDescent="0.2">
      <c r="V2530" s="123" t="str">
        <f t="shared" si="50"/>
        <v>1w</v>
      </c>
      <c r="W2530" s="82">
        <f>_xll.qlCalendarAdvance(Calendar,W2529,V2530,"f",FALSE)</f>
        <v>56661</v>
      </c>
      <c r="X2530" s="91">
        <f>_xll.qlCalendarAdvance(Calendar,W2530,NDays&amp;"D")</f>
        <v>56661</v>
      </c>
      <c r="Y2530" s="92" t="e">
        <v>#N/A</v>
      </c>
      <c r="Z2530" s="94" t="e">
        <v>#N/A</v>
      </c>
    </row>
    <row r="2531" spans="22:26" x14ac:dyDescent="0.2">
      <c r="V2531" s="123" t="str">
        <f t="shared" si="50"/>
        <v>1w</v>
      </c>
      <c r="W2531" s="82">
        <f>_xll.qlCalendarAdvance(Calendar,W2530,V2531,"f",FALSE)</f>
        <v>56668</v>
      </c>
      <c r="X2531" s="91">
        <f>_xll.qlCalendarAdvance(Calendar,W2531,NDays&amp;"D")</f>
        <v>56668</v>
      </c>
      <c r="Y2531" s="92" t="e">
        <v>#N/A</v>
      </c>
      <c r="Z2531" s="94" t="e">
        <v>#N/A</v>
      </c>
    </row>
    <row r="2532" spans="22:26" x14ac:dyDescent="0.2">
      <c r="V2532" s="123" t="str">
        <f t="shared" si="50"/>
        <v>1w</v>
      </c>
      <c r="W2532" s="82">
        <f>_xll.qlCalendarAdvance(Calendar,W2531,V2532,"f",FALSE)</f>
        <v>56675</v>
      </c>
      <c r="X2532" s="91">
        <f>_xll.qlCalendarAdvance(Calendar,W2532,NDays&amp;"D")</f>
        <v>56675</v>
      </c>
      <c r="Y2532" s="92" t="e">
        <v>#N/A</v>
      </c>
      <c r="Z2532" s="94" t="e">
        <v>#N/A</v>
      </c>
    </row>
    <row r="2533" spans="22:26" x14ac:dyDescent="0.2">
      <c r="V2533" s="123" t="str">
        <f t="shared" si="50"/>
        <v>1w</v>
      </c>
      <c r="W2533" s="82">
        <f>_xll.qlCalendarAdvance(Calendar,W2532,V2533,"f",FALSE)</f>
        <v>56682</v>
      </c>
      <c r="X2533" s="91">
        <f>_xll.qlCalendarAdvance(Calendar,W2533,NDays&amp;"D")</f>
        <v>56682</v>
      </c>
      <c r="Y2533" s="92" t="e">
        <v>#N/A</v>
      </c>
      <c r="Z2533" s="94" t="e">
        <v>#N/A</v>
      </c>
    </row>
    <row r="2534" spans="22:26" x14ac:dyDescent="0.2">
      <c r="V2534" s="123" t="str">
        <f t="shared" si="50"/>
        <v>1w</v>
      </c>
      <c r="W2534" s="82">
        <f>_xll.qlCalendarAdvance(Calendar,W2533,V2534,"f",FALSE)</f>
        <v>56689</v>
      </c>
      <c r="X2534" s="91">
        <f>_xll.qlCalendarAdvance(Calendar,W2534,NDays&amp;"D")</f>
        <v>56689</v>
      </c>
      <c r="Y2534" s="92" t="e">
        <v>#N/A</v>
      </c>
      <c r="Z2534" s="94" t="e">
        <v>#N/A</v>
      </c>
    </row>
    <row r="2535" spans="22:26" x14ac:dyDescent="0.2">
      <c r="V2535" s="123" t="str">
        <f t="shared" si="50"/>
        <v>1w</v>
      </c>
      <c r="W2535" s="82">
        <f>_xll.qlCalendarAdvance(Calendar,W2534,V2535,"f",FALSE)</f>
        <v>56696</v>
      </c>
      <c r="X2535" s="91">
        <f>_xll.qlCalendarAdvance(Calendar,W2535,NDays&amp;"D")</f>
        <v>56696</v>
      </c>
      <c r="Y2535" s="92" t="e">
        <v>#N/A</v>
      </c>
      <c r="Z2535" s="94" t="e">
        <v>#N/A</v>
      </c>
    </row>
    <row r="2536" spans="22:26" x14ac:dyDescent="0.2">
      <c r="V2536" s="123" t="str">
        <f t="shared" si="50"/>
        <v>1w</v>
      </c>
      <c r="W2536" s="82">
        <f>_xll.qlCalendarAdvance(Calendar,W2535,V2536,"f",FALSE)</f>
        <v>56703</v>
      </c>
      <c r="X2536" s="91">
        <f>_xll.qlCalendarAdvance(Calendar,W2536,NDays&amp;"D")</f>
        <v>56703</v>
      </c>
      <c r="Y2536" s="92" t="e">
        <v>#N/A</v>
      </c>
      <c r="Z2536" s="94" t="e">
        <v>#N/A</v>
      </c>
    </row>
    <row r="2537" spans="22:26" x14ac:dyDescent="0.2">
      <c r="V2537" s="123" t="str">
        <f t="shared" si="50"/>
        <v>1w</v>
      </c>
      <c r="W2537" s="82">
        <f>_xll.qlCalendarAdvance(Calendar,W2536,V2537,"f",FALSE)</f>
        <v>56710</v>
      </c>
      <c r="X2537" s="91">
        <f>_xll.qlCalendarAdvance(Calendar,W2537,NDays&amp;"D")</f>
        <v>56710</v>
      </c>
      <c r="Y2537" s="92" t="e">
        <v>#N/A</v>
      </c>
      <c r="Z2537" s="94" t="e">
        <v>#N/A</v>
      </c>
    </row>
    <row r="2538" spans="22:26" x14ac:dyDescent="0.2">
      <c r="V2538" s="123" t="str">
        <f t="shared" si="50"/>
        <v>1w</v>
      </c>
      <c r="W2538" s="82">
        <f>_xll.qlCalendarAdvance(Calendar,W2537,V2538,"f",FALSE)</f>
        <v>56717</v>
      </c>
      <c r="X2538" s="91">
        <f>_xll.qlCalendarAdvance(Calendar,W2538,NDays&amp;"D")</f>
        <v>56717</v>
      </c>
      <c r="Y2538" s="92" t="e">
        <v>#N/A</v>
      </c>
      <c r="Z2538" s="94" t="e">
        <v>#N/A</v>
      </c>
    </row>
    <row r="2539" spans="22:26" x14ac:dyDescent="0.2">
      <c r="V2539" s="123" t="str">
        <f t="shared" si="50"/>
        <v>1w</v>
      </c>
      <c r="W2539" s="82">
        <f>_xll.qlCalendarAdvance(Calendar,W2538,V2539,"f",FALSE)</f>
        <v>56724</v>
      </c>
      <c r="X2539" s="91">
        <f>_xll.qlCalendarAdvance(Calendar,W2539,NDays&amp;"D")</f>
        <v>56724</v>
      </c>
      <c r="Y2539" s="92" t="e">
        <v>#N/A</v>
      </c>
      <c r="Z2539" s="94" t="e">
        <v>#N/A</v>
      </c>
    </row>
    <row r="2540" spans="22:26" x14ac:dyDescent="0.2">
      <c r="V2540" s="123" t="str">
        <f t="shared" si="50"/>
        <v>1w</v>
      </c>
      <c r="W2540" s="82">
        <f>_xll.qlCalendarAdvance(Calendar,W2539,V2540,"f",FALSE)</f>
        <v>56731</v>
      </c>
      <c r="X2540" s="91">
        <f>_xll.qlCalendarAdvance(Calendar,W2540,NDays&amp;"D")</f>
        <v>56731</v>
      </c>
      <c r="Y2540" s="92" t="e">
        <v>#N/A</v>
      </c>
      <c r="Z2540" s="94" t="e">
        <v>#N/A</v>
      </c>
    </row>
    <row r="2541" spans="22:26" x14ac:dyDescent="0.2">
      <c r="V2541" s="123" t="str">
        <f t="shared" si="50"/>
        <v>1w</v>
      </c>
      <c r="W2541" s="82">
        <f>_xll.qlCalendarAdvance(Calendar,W2540,V2541,"f",FALSE)</f>
        <v>56738</v>
      </c>
      <c r="X2541" s="91">
        <f>_xll.qlCalendarAdvance(Calendar,W2541,NDays&amp;"D")</f>
        <v>56738</v>
      </c>
      <c r="Y2541" s="92" t="e">
        <v>#N/A</v>
      </c>
      <c r="Z2541" s="94" t="e">
        <v>#N/A</v>
      </c>
    </row>
    <row r="2542" spans="22:26" x14ac:dyDescent="0.2">
      <c r="V2542" s="123" t="str">
        <f t="shared" si="50"/>
        <v>1w</v>
      </c>
      <c r="W2542" s="82">
        <f>_xll.qlCalendarAdvance(Calendar,W2541,V2542,"f",FALSE)</f>
        <v>56745</v>
      </c>
      <c r="X2542" s="91">
        <f>_xll.qlCalendarAdvance(Calendar,W2542,NDays&amp;"D")</f>
        <v>56745</v>
      </c>
      <c r="Y2542" s="92" t="e">
        <v>#N/A</v>
      </c>
      <c r="Z2542" s="94" t="e">
        <v>#N/A</v>
      </c>
    </row>
    <row r="2543" spans="22:26" x14ac:dyDescent="0.2">
      <c r="V2543" s="123" t="str">
        <f t="shared" si="50"/>
        <v>1w</v>
      </c>
      <c r="W2543" s="82">
        <f>_xll.qlCalendarAdvance(Calendar,W2542,V2543,"f",FALSE)</f>
        <v>56752</v>
      </c>
      <c r="X2543" s="91">
        <f>_xll.qlCalendarAdvance(Calendar,W2543,NDays&amp;"D")</f>
        <v>56752</v>
      </c>
      <c r="Y2543" s="92" t="e">
        <v>#N/A</v>
      </c>
      <c r="Z2543" s="94" t="e">
        <v>#N/A</v>
      </c>
    </row>
    <row r="2544" spans="22:26" x14ac:dyDescent="0.2">
      <c r="V2544" s="123" t="str">
        <f t="shared" si="50"/>
        <v>1w</v>
      </c>
      <c r="W2544" s="82">
        <f>_xll.qlCalendarAdvance(Calendar,W2543,V2544,"f",FALSE)</f>
        <v>56759</v>
      </c>
      <c r="X2544" s="91">
        <f>_xll.qlCalendarAdvance(Calendar,W2544,NDays&amp;"D")</f>
        <v>56759</v>
      </c>
      <c r="Y2544" s="92" t="e">
        <v>#N/A</v>
      </c>
      <c r="Z2544" s="94" t="e">
        <v>#N/A</v>
      </c>
    </row>
    <row r="2545" spans="22:26" x14ac:dyDescent="0.2">
      <c r="V2545" s="123" t="str">
        <f t="shared" si="50"/>
        <v>1w</v>
      </c>
      <c r="W2545" s="82">
        <f>_xll.qlCalendarAdvance(Calendar,W2544,V2545,"f",FALSE)</f>
        <v>56766</v>
      </c>
      <c r="X2545" s="91">
        <f>_xll.qlCalendarAdvance(Calendar,W2545,NDays&amp;"D")</f>
        <v>56766</v>
      </c>
      <c r="Y2545" s="92" t="e">
        <v>#N/A</v>
      </c>
      <c r="Z2545" s="94" t="e">
        <v>#N/A</v>
      </c>
    </row>
    <row r="2546" spans="22:26" x14ac:dyDescent="0.2">
      <c r="V2546" s="123" t="str">
        <f t="shared" si="50"/>
        <v>1w</v>
      </c>
      <c r="W2546" s="82">
        <f>_xll.qlCalendarAdvance(Calendar,W2545,V2546,"f",FALSE)</f>
        <v>56773</v>
      </c>
      <c r="X2546" s="91">
        <f>_xll.qlCalendarAdvance(Calendar,W2546,NDays&amp;"D")</f>
        <v>56773</v>
      </c>
      <c r="Y2546" s="92" t="e">
        <v>#N/A</v>
      </c>
      <c r="Z2546" s="94" t="e">
        <v>#N/A</v>
      </c>
    </row>
    <row r="2547" spans="22:26" x14ac:dyDescent="0.2">
      <c r="V2547" s="123" t="str">
        <f t="shared" si="50"/>
        <v>1w</v>
      </c>
      <c r="W2547" s="82">
        <f>_xll.qlCalendarAdvance(Calendar,W2546,V2547,"f",FALSE)</f>
        <v>56780</v>
      </c>
      <c r="X2547" s="91">
        <f>_xll.qlCalendarAdvance(Calendar,W2547,NDays&amp;"D")</f>
        <v>56780</v>
      </c>
      <c r="Y2547" s="92" t="e">
        <v>#N/A</v>
      </c>
      <c r="Z2547" s="94" t="e">
        <v>#N/A</v>
      </c>
    </row>
    <row r="2548" spans="22:26" x14ac:dyDescent="0.2">
      <c r="V2548" s="123" t="str">
        <f t="shared" si="50"/>
        <v>1w</v>
      </c>
      <c r="W2548" s="82">
        <f>_xll.qlCalendarAdvance(Calendar,W2547,V2548,"f",FALSE)</f>
        <v>56787</v>
      </c>
      <c r="X2548" s="91">
        <f>_xll.qlCalendarAdvance(Calendar,W2548,NDays&amp;"D")</f>
        <v>56787</v>
      </c>
      <c r="Y2548" s="92" t="e">
        <v>#N/A</v>
      </c>
      <c r="Z2548" s="94" t="e">
        <v>#N/A</v>
      </c>
    </row>
    <row r="2549" spans="22:26" x14ac:dyDescent="0.2">
      <c r="V2549" s="123" t="str">
        <f t="shared" si="50"/>
        <v>1w</v>
      </c>
      <c r="W2549" s="82">
        <f>_xll.qlCalendarAdvance(Calendar,W2548,V2549,"f",FALSE)</f>
        <v>56794</v>
      </c>
      <c r="X2549" s="91">
        <f>_xll.qlCalendarAdvance(Calendar,W2549,NDays&amp;"D")</f>
        <v>56794</v>
      </c>
      <c r="Y2549" s="92" t="e">
        <v>#N/A</v>
      </c>
      <c r="Z2549" s="94" t="e">
        <v>#N/A</v>
      </c>
    </row>
    <row r="2550" spans="22:26" x14ac:dyDescent="0.2">
      <c r="V2550" s="123" t="str">
        <f t="shared" si="50"/>
        <v>1w</v>
      </c>
      <c r="W2550" s="82">
        <f>_xll.qlCalendarAdvance(Calendar,W2549,V2550,"f",FALSE)</f>
        <v>56801</v>
      </c>
      <c r="X2550" s="91">
        <f>_xll.qlCalendarAdvance(Calendar,W2550,NDays&amp;"D")</f>
        <v>56801</v>
      </c>
      <c r="Y2550" s="92" t="e">
        <v>#N/A</v>
      </c>
      <c r="Z2550" s="94" t="e">
        <v>#N/A</v>
      </c>
    </row>
    <row r="2551" spans="22:26" x14ac:dyDescent="0.2">
      <c r="V2551" s="123" t="str">
        <f t="shared" si="50"/>
        <v>1w</v>
      </c>
      <c r="W2551" s="82">
        <f>_xll.qlCalendarAdvance(Calendar,W2550,V2551,"f",FALSE)</f>
        <v>56808</v>
      </c>
      <c r="X2551" s="91">
        <f>_xll.qlCalendarAdvance(Calendar,W2551,NDays&amp;"D")</f>
        <v>56808</v>
      </c>
      <c r="Y2551" s="92" t="e">
        <v>#N/A</v>
      </c>
      <c r="Z2551" s="94" t="e">
        <v>#N/A</v>
      </c>
    </row>
    <row r="2552" spans="22:26" x14ac:dyDescent="0.2">
      <c r="V2552" s="123" t="str">
        <f t="shared" si="50"/>
        <v>1w</v>
      </c>
      <c r="W2552" s="82">
        <f>_xll.qlCalendarAdvance(Calendar,W2551,V2552,"f",FALSE)</f>
        <v>56815</v>
      </c>
      <c r="X2552" s="91">
        <f>_xll.qlCalendarAdvance(Calendar,W2552,NDays&amp;"D")</f>
        <v>56815</v>
      </c>
      <c r="Y2552" s="92" t="e">
        <v>#N/A</v>
      </c>
      <c r="Z2552" s="94" t="e">
        <v>#N/A</v>
      </c>
    </row>
    <row r="2553" spans="22:26" x14ac:dyDescent="0.2">
      <c r="V2553" s="123" t="str">
        <f t="shared" si="50"/>
        <v>1w</v>
      </c>
      <c r="W2553" s="82">
        <f>_xll.qlCalendarAdvance(Calendar,W2552,V2553,"f",FALSE)</f>
        <v>56822</v>
      </c>
      <c r="X2553" s="91">
        <f>_xll.qlCalendarAdvance(Calendar,W2553,NDays&amp;"D")</f>
        <v>56822</v>
      </c>
      <c r="Y2553" s="92" t="e">
        <v>#N/A</v>
      </c>
      <c r="Z2553" s="94" t="e">
        <v>#N/A</v>
      </c>
    </row>
    <row r="2554" spans="22:26" x14ac:dyDescent="0.2">
      <c r="V2554" s="123" t="str">
        <f t="shared" si="50"/>
        <v>1w</v>
      </c>
      <c r="W2554" s="82">
        <f>_xll.qlCalendarAdvance(Calendar,W2553,V2554,"f",FALSE)</f>
        <v>56829</v>
      </c>
      <c r="X2554" s="91">
        <f>_xll.qlCalendarAdvance(Calendar,W2554,NDays&amp;"D")</f>
        <v>56829</v>
      </c>
      <c r="Y2554" s="92" t="e">
        <v>#N/A</v>
      </c>
      <c r="Z2554" s="94" t="e">
        <v>#N/A</v>
      </c>
    </row>
    <row r="2555" spans="22:26" x14ac:dyDescent="0.2">
      <c r="V2555" s="123" t="str">
        <f t="shared" si="50"/>
        <v>1w</v>
      </c>
      <c r="W2555" s="82">
        <f>_xll.qlCalendarAdvance(Calendar,W2554,V2555,"f",FALSE)</f>
        <v>56836</v>
      </c>
      <c r="X2555" s="91">
        <f>_xll.qlCalendarAdvance(Calendar,W2555,NDays&amp;"D")</f>
        <v>56836</v>
      </c>
      <c r="Y2555" s="92" t="e">
        <v>#N/A</v>
      </c>
      <c r="Z2555" s="94" t="e">
        <v>#N/A</v>
      </c>
    </row>
    <row r="2556" spans="22:26" x14ac:dyDescent="0.2">
      <c r="V2556" s="123" t="str">
        <f t="shared" si="50"/>
        <v>1w</v>
      </c>
      <c r="W2556" s="82">
        <f>_xll.qlCalendarAdvance(Calendar,W2555,V2556,"f",FALSE)</f>
        <v>56843</v>
      </c>
      <c r="X2556" s="91">
        <f>_xll.qlCalendarAdvance(Calendar,W2556,NDays&amp;"D")</f>
        <v>56843</v>
      </c>
      <c r="Y2556" s="92" t="e">
        <v>#N/A</v>
      </c>
      <c r="Z2556" s="94" t="e">
        <v>#N/A</v>
      </c>
    </row>
    <row r="2557" spans="22:26" x14ac:dyDescent="0.2">
      <c r="V2557" s="123" t="str">
        <f t="shared" si="50"/>
        <v>1w</v>
      </c>
      <c r="W2557" s="82">
        <f>_xll.qlCalendarAdvance(Calendar,W2556,V2557,"f",FALSE)</f>
        <v>56850</v>
      </c>
      <c r="X2557" s="91">
        <f>_xll.qlCalendarAdvance(Calendar,W2557,NDays&amp;"D")</f>
        <v>56850</v>
      </c>
      <c r="Y2557" s="92" t="e">
        <v>#N/A</v>
      </c>
      <c r="Z2557" s="94" t="e">
        <v>#N/A</v>
      </c>
    </row>
    <row r="2558" spans="22:26" x14ac:dyDescent="0.2">
      <c r="V2558" s="123" t="str">
        <f t="shared" si="50"/>
        <v>1w</v>
      </c>
      <c r="W2558" s="82">
        <f>_xll.qlCalendarAdvance(Calendar,W2557,V2558,"f",FALSE)</f>
        <v>56857</v>
      </c>
      <c r="X2558" s="91">
        <f>_xll.qlCalendarAdvance(Calendar,W2558,NDays&amp;"D")</f>
        <v>56857</v>
      </c>
      <c r="Y2558" s="92" t="e">
        <v>#N/A</v>
      </c>
      <c r="Z2558" s="94" t="e">
        <v>#N/A</v>
      </c>
    </row>
    <row r="2559" spans="22:26" x14ac:dyDescent="0.2">
      <c r="V2559" s="123" t="str">
        <f t="shared" si="50"/>
        <v>1w</v>
      </c>
      <c r="W2559" s="82">
        <f>_xll.qlCalendarAdvance(Calendar,W2558,V2559,"f",FALSE)</f>
        <v>56864</v>
      </c>
      <c r="X2559" s="91">
        <f>_xll.qlCalendarAdvance(Calendar,W2559,NDays&amp;"D")</f>
        <v>56864</v>
      </c>
      <c r="Y2559" s="92" t="e">
        <v>#N/A</v>
      </c>
      <c r="Z2559" s="94" t="e">
        <v>#N/A</v>
      </c>
    </row>
    <row r="2560" spans="22:26" x14ac:dyDescent="0.2">
      <c r="V2560" s="123" t="str">
        <f t="shared" si="50"/>
        <v>1w</v>
      </c>
      <c r="W2560" s="82">
        <f>_xll.qlCalendarAdvance(Calendar,W2559,V2560,"f",FALSE)</f>
        <v>56871</v>
      </c>
      <c r="X2560" s="91">
        <f>_xll.qlCalendarAdvance(Calendar,W2560,NDays&amp;"D")</f>
        <v>56871</v>
      </c>
      <c r="Y2560" s="92" t="e">
        <v>#N/A</v>
      </c>
      <c r="Z2560" s="94" t="e">
        <v>#N/A</v>
      </c>
    </row>
    <row r="2561" spans="22:26" x14ac:dyDescent="0.2">
      <c r="V2561" s="123" t="str">
        <f t="shared" si="50"/>
        <v>1w</v>
      </c>
      <c r="W2561" s="82">
        <f>_xll.qlCalendarAdvance(Calendar,W2560,V2561,"f",FALSE)</f>
        <v>56878</v>
      </c>
      <c r="X2561" s="91">
        <f>_xll.qlCalendarAdvance(Calendar,W2561,NDays&amp;"D")</f>
        <v>56878</v>
      </c>
      <c r="Y2561" s="92" t="e">
        <v>#N/A</v>
      </c>
      <c r="Z2561" s="94" t="e">
        <v>#N/A</v>
      </c>
    </row>
    <row r="2562" spans="22:26" x14ac:dyDescent="0.2">
      <c r="V2562" s="123" t="str">
        <f t="shared" si="50"/>
        <v>1w</v>
      </c>
      <c r="W2562" s="82">
        <f>_xll.qlCalendarAdvance(Calendar,W2561,V2562,"f",FALSE)</f>
        <v>56885</v>
      </c>
      <c r="X2562" s="91">
        <f>_xll.qlCalendarAdvance(Calendar,W2562,NDays&amp;"D")</f>
        <v>56885</v>
      </c>
      <c r="Y2562" s="92" t="e">
        <v>#N/A</v>
      </c>
      <c r="Z2562" s="94" t="e">
        <v>#N/A</v>
      </c>
    </row>
    <row r="2563" spans="22:26" x14ac:dyDescent="0.2">
      <c r="V2563" s="123" t="str">
        <f t="shared" si="50"/>
        <v>1w</v>
      </c>
      <c r="W2563" s="82">
        <f>_xll.qlCalendarAdvance(Calendar,W2562,V2563,"f",FALSE)</f>
        <v>56892</v>
      </c>
      <c r="X2563" s="91">
        <f>_xll.qlCalendarAdvance(Calendar,W2563,NDays&amp;"D")</f>
        <v>56892</v>
      </c>
      <c r="Y2563" s="92" t="e">
        <v>#N/A</v>
      </c>
      <c r="Z2563" s="94" t="e">
        <v>#N/A</v>
      </c>
    </row>
    <row r="2564" spans="22:26" x14ac:dyDescent="0.2">
      <c r="V2564" s="123" t="str">
        <f t="shared" si="50"/>
        <v>1w</v>
      </c>
      <c r="W2564" s="82">
        <f>_xll.qlCalendarAdvance(Calendar,W2563,V2564,"f",FALSE)</f>
        <v>56899</v>
      </c>
      <c r="X2564" s="91">
        <f>_xll.qlCalendarAdvance(Calendar,W2564,NDays&amp;"D")</f>
        <v>56899</v>
      </c>
      <c r="Y2564" s="92" t="e">
        <v>#N/A</v>
      </c>
      <c r="Z2564" s="94" t="e">
        <v>#N/A</v>
      </c>
    </row>
    <row r="2565" spans="22:26" x14ac:dyDescent="0.2">
      <c r="V2565" s="123" t="str">
        <f t="shared" si="50"/>
        <v>1w</v>
      </c>
      <c r="W2565" s="82">
        <f>_xll.qlCalendarAdvance(Calendar,W2564,V2565,"f",FALSE)</f>
        <v>56906</v>
      </c>
      <c r="X2565" s="91">
        <f>_xll.qlCalendarAdvance(Calendar,W2565,NDays&amp;"D")</f>
        <v>56906</v>
      </c>
      <c r="Y2565" s="92" t="e">
        <v>#N/A</v>
      </c>
      <c r="Z2565" s="94" t="e">
        <v>#N/A</v>
      </c>
    </row>
    <row r="2566" spans="22:26" x14ac:dyDescent="0.2">
      <c r="V2566" s="123" t="str">
        <f t="shared" si="50"/>
        <v>1w</v>
      </c>
      <c r="W2566" s="82">
        <f>_xll.qlCalendarAdvance(Calendar,W2565,V2566,"f",FALSE)</f>
        <v>56913</v>
      </c>
      <c r="X2566" s="91">
        <f>_xll.qlCalendarAdvance(Calendar,W2566,NDays&amp;"D")</f>
        <v>56913</v>
      </c>
      <c r="Y2566" s="92" t="e">
        <v>#N/A</v>
      </c>
      <c r="Z2566" s="94" t="e">
        <v>#N/A</v>
      </c>
    </row>
    <row r="2567" spans="22:26" x14ac:dyDescent="0.2">
      <c r="V2567" s="123" t="str">
        <f t="shared" si="50"/>
        <v>1w</v>
      </c>
      <c r="W2567" s="82">
        <f>_xll.qlCalendarAdvance(Calendar,W2566,V2567,"f",FALSE)</f>
        <v>56920</v>
      </c>
      <c r="X2567" s="91">
        <f>_xll.qlCalendarAdvance(Calendar,W2567,NDays&amp;"D")</f>
        <v>56920</v>
      </c>
      <c r="Y2567" s="92" t="e">
        <v>#N/A</v>
      </c>
      <c r="Z2567" s="94" t="e">
        <v>#N/A</v>
      </c>
    </row>
    <row r="2568" spans="22:26" x14ac:dyDescent="0.2">
      <c r="V2568" s="123" t="str">
        <f t="shared" si="50"/>
        <v>1w</v>
      </c>
      <c r="W2568" s="82">
        <f>_xll.qlCalendarAdvance(Calendar,W2567,V2568,"f",FALSE)</f>
        <v>56927</v>
      </c>
      <c r="X2568" s="91">
        <f>_xll.qlCalendarAdvance(Calendar,W2568,NDays&amp;"D")</f>
        <v>56927</v>
      </c>
      <c r="Y2568" s="92" t="e">
        <v>#N/A</v>
      </c>
      <c r="Z2568" s="94" t="e">
        <v>#N/A</v>
      </c>
    </row>
    <row r="2569" spans="22:26" x14ac:dyDescent="0.2">
      <c r="V2569" s="123" t="str">
        <f t="shared" si="50"/>
        <v>1w</v>
      </c>
      <c r="W2569" s="82">
        <f>_xll.qlCalendarAdvance(Calendar,W2568,V2569,"f",FALSE)</f>
        <v>56934</v>
      </c>
      <c r="X2569" s="91">
        <f>_xll.qlCalendarAdvance(Calendar,W2569,NDays&amp;"D")</f>
        <v>56934</v>
      </c>
      <c r="Y2569" s="92" t="e">
        <v>#N/A</v>
      </c>
      <c r="Z2569" s="94" t="e">
        <v>#N/A</v>
      </c>
    </row>
    <row r="2570" spans="22:26" x14ac:dyDescent="0.2">
      <c r="V2570" s="123" t="str">
        <f t="shared" si="50"/>
        <v>1w</v>
      </c>
      <c r="W2570" s="82">
        <f>_xll.qlCalendarAdvance(Calendar,W2569,V2570,"f",FALSE)</f>
        <v>56941</v>
      </c>
      <c r="X2570" s="91">
        <f>_xll.qlCalendarAdvance(Calendar,W2570,NDays&amp;"D")</f>
        <v>56941</v>
      </c>
      <c r="Y2570" s="92" t="e">
        <v>#N/A</v>
      </c>
      <c r="Z2570" s="94" t="e">
        <v>#N/A</v>
      </c>
    </row>
    <row r="2571" spans="22:26" x14ac:dyDescent="0.2">
      <c r="V2571" s="123" t="str">
        <f t="shared" si="50"/>
        <v>1w</v>
      </c>
      <c r="W2571" s="82">
        <f>_xll.qlCalendarAdvance(Calendar,W2570,V2571,"f",FALSE)</f>
        <v>56948</v>
      </c>
      <c r="X2571" s="91">
        <f>_xll.qlCalendarAdvance(Calendar,W2571,NDays&amp;"D")</f>
        <v>56948</v>
      </c>
      <c r="Y2571" s="92" t="e">
        <v>#N/A</v>
      </c>
      <c r="Z2571" s="94" t="e">
        <v>#N/A</v>
      </c>
    </row>
    <row r="2572" spans="22:26" x14ac:dyDescent="0.2">
      <c r="V2572" s="123" t="str">
        <f t="shared" si="50"/>
        <v>1w</v>
      </c>
      <c r="W2572" s="82">
        <f>_xll.qlCalendarAdvance(Calendar,W2571,V2572,"f",FALSE)</f>
        <v>56955</v>
      </c>
      <c r="X2572" s="91">
        <f>_xll.qlCalendarAdvance(Calendar,W2572,NDays&amp;"D")</f>
        <v>56955</v>
      </c>
      <c r="Y2572" s="92" t="e">
        <v>#N/A</v>
      </c>
      <c r="Z2572" s="94" t="e">
        <v>#N/A</v>
      </c>
    </row>
    <row r="2573" spans="22:26" x14ac:dyDescent="0.2">
      <c r="V2573" s="123" t="str">
        <f t="shared" si="50"/>
        <v>1w</v>
      </c>
      <c r="W2573" s="82">
        <f>_xll.qlCalendarAdvance(Calendar,W2572,V2573,"f",FALSE)</f>
        <v>56962</v>
      </c>
      <c r="X2573" s="91">
        <f>_xll.qlCalendarAdvance(Calendar,W2573,NDays&amp;"D")</f>
        <v>56962</v>
      </c>
      <c r="Y2573" s="92" t="e">
        <v>#N/A</v>
      </c>
      <c r="Z2573" s="94" t="e">
        <v>#N/A</v>
      </c>
    </row>
    <row r="2574" spans="22:26" x14ac:dyDescent="0.2">
      <c r="V2574" s="123" t="str">
        <f t="shared" si="50"/>
        <v>1w</v>
      </c>
      <c r="W2574" s="82">
        <f>_xll.qlCalendarAdvance(Calendar,W2573,V2574,"f",FALSE)</f>
        <v>56969</v>
      </c>
      <c r="X2574" s="91">
        <f>_xll.qlCalendarAdvance(Calendar,W2574,NDays&amp;"D")</f>
        <v>56969</v>
      </c>
      <c r="Y2574" s="92" t="e">
        <v>#N/A</v>
      </c>
      <c r="Z2574" s="94" t="e">
        <v>#N/A</v>
      </c>
    </row>
    <row r="2575" spans="22:26" x14ac:dyDescent="0.2">
      <c r="V2575" s="123" t="str">
        <f t="shared" si="50"/>
        <v>1w</v>
      </c>
      <c r="W2575" s="82">
        <f>_xll.qlCalendarAdvance(Calendar,W2574,V2575,"f",FALSE)</f>
        <v>56976</v>
      </c>
      <c r="X2575" s="91">
        <f>_xll.qlCalendarAdvance(Calendar,W2575,NDays&amp;"D")</f>
        <v>56976</v>
      </c>
      <c r="Y2575" s="92" t="e">
        <v>#N/A</v>
      </c>
      <c r="Z2575" s="94" t="e">
        <v>#N/A</v>
      </c>
    </row>
    <row r="2576" spans="22:26" x14ac:dyDescent="0.2">
      <c r="V2576" s="123" t="str">
        <f t="shared" si="50"/>
        <v>1w</v>
      </c>
      <c r="W2576" s="82">
        <f>_xll.qlCalendarAdvance(Calendar,W2575,V2576,"f",FALSE)</f>
        <v>56983</v>
      </c>
      <c r="X2576" s="91">
        <f>_xll.qlCalendarAdvance(Calendar,W2576,NDays&amp;"D")</f>
        <v>56983</v>
      </c>
      <c r="Y2576" s="92" t="e">
        <v>#N/A</v>
      </c>
      <c r="Z2576" s="94" t="e">
        <v>#N/A</v>
      </c>
    </row>
    <row r="2577" spans="22:26" x14ac:dyDescent="0.2">
      <c r="V2577" s="123" t="str">
        <f t="shared" si="50"/>
        <v>1w</v>
      </c>
      <c r="W2577" s="82">
        <f>_xll.qlCalendarAdvance(Calendar,W2576,V2577,"f",FALSE)</f>
        <v>56990</v>
      </c>
      <c r="X2577" s="91">
        <f>_xll.qlCalendarAdvance(Calendar,W2577,NDays&amp;"D")</f>
        <v>56990</v>
      </c>
      <c r="Y2577" s="92" t="e">
        <v>#N/A</v>
      </c>
      <c r="Z2577" s="94" t="e">
        <v>#N/A</v>
      </c>
    </row>
    <row r="2578" spans="22:26" x14ac:dyDescent="0.2">
      <c r="V2578" s="123" t="str">
        <f t="shared" si="50"/>
        <v>1w</v>
      </c>
      <c r="W2578" s="82">
        <f>_xll.qlCalendarAdvance(Calendar,W2577,V2578,"f",FALSE)</f>
        <v>56997</v>
      </c>
      <c r="X2578" s="91">
        <f>_xll.qlCalendarAdvance(Calendar,W2578,NDays&amp;"D")</f>
        <v>56997</v>
      </c>
      <c r="Y2578" s="92" t="e">
        <v>#N/A</v>
      </c>
      <c r="Z2578" s="94" t="e">
        <v>#N/A</v>
      </c>
    </row>
    <row r="2579" spans="22:26" x14ac:dyDescent="0.2">
      <c r="V2579" s="123" t="str">
        <f t="shared" si="50"/>
        <v>1w</v>
      </c>
      <c r="W2579" s="82">
        <f>_xll.qlCalendarAdvance(Calendar,W2578,V2579,"f",FALSE)</f>
        <v>57004</v>
      </c>
      <c r="X2579" s="91">
        <f>_xll.qlCalendarAdvance(Calendar,W2579,NDays&amp;"D")</f>
        <v>57004</v>
      </c>
      <c r="Y2579" s="92" t="e">
        <v>#N/A</v>
      </c>
      <c r="Z2579" s="94" t="e">
        <v>#N/A</v>
      </c>
    </row>
    <row r="2580" spans="22:26" x14ac:dyDescent="0.2">
      <c r="V2580" s="123" t="str">
        <f t="shared" si="50"/>
        <v>1w</v>
      </c>
      <c r="W2580" s="82">
        <f>_xll.qlCalendarAdvance(Calendar,W2579,V2580,"f",FALSE)</f>
        <v>57011</v>
      </c>
      <c r="X2580" s="91">
        <f>_xll.qlCalendarAdvance(Calendar,W2580,NDays&amp;"D")</f>
        <v>57011</v>
      </c>
      <c r="Y2580" s="92" t="e">
        <v>#N/A</v>
      </c>
      <c r="Z2580" s="94" t="e">
        <v>#N/A</v>
      </c>
    </row>
    <row r="2581" spans="22:26" x14ac:dyDescent="0.2">
      <c r="V2581" s="123" t="str">
        <f t="shared" ref="V2581:V2644" si="51">V2580</f>
        <v>1w</v>
      </c>
      <c r="W2581" s="82">
        <f>_xll.qlCalendarAdvance(Calendar,W2580,V2581,"f",FALSE)</f>
        <v>57018</v>
      </c>
      <c r="X2581" s="91">
        <f>_xll.qlCalendarAdvance(Calendar,W2581,NDays&amp;"D")</f>
        <v>57018</v>
      </c>
      <c r="Y2581" s="92" t="e">
        <v>#N/A</v>
      </c>
      <c r="Z2581" s="94" t="e">
        <v>#N/A</v>
      </c>
    </row>
    <row r="2582" spans="22:26" x14ac:dyDescent="0.2">
      <c r="V2582" s="123" t="str">
        <f t="shared" si="51"/>
        <v>1w</v>
      </c>
      <c r="W2582" s="82">
        <f>_xll.qlCalendarAdvance(Calendar,W2581,V2582,"f",FALSE)</f>
        <v>57025</v>
      </c>
      <c r="X2582" s="91">
        <f>_xll.qlCalendarAdvance(Calendar,W2582,NDays&amp;"D")</f>
        <v>57025</v>
      </c>
      <c r="Y2582" s="92" t="e">
        <v>#N/A</v>
      </c>
      <c r="Z2582" s="94" t="e">
        <v>#N/A</v>
      </c>
    </row>
    <row r="2583" spans="22:26" x14ac:dyDescent="0.2">
      <c r="V2583" s="123" t="str">
        <f t="shared" si="51"/>
        <v>1w</v>
      </c>
      <c r="W2583" s="82">
        <f>_xll.qlCalendarAdvance(Calendar,W2582,V2583,"f",FALSE)</f>
        <v>57032</v>
      </c>
      <c r="X2583" s="91">
        <f>_xll.qlCalendarAdvance(Calendar,W2583,NDays&amp;"D")</f>
        <v>57032</v>
      </c>
      <c r="Y2583" s="92" t="e">
        <v>#N/A</v>
      </c>
      <c r="Z2583" s="94" t="e">
        <v>#N/A</v>
      </c>
    </row>
    <row r="2584" spans="22:26" x14ac:dyDescent="0.2">
      <c r="V2584" s="123" t="str">
        <f t="shared" si="51"/>
        <v>1w</v>
      </c>
      <c r="W2584" s="82">
        <f>_xll.qlCalendarAdvance(Calendar,W2583,V2584,"f",FALSE)</f>
        <v>57039</v>
      </c>
      <c r="X2584" s="91">
        <f>_xll.qlCalendarAdvance(Calendar,W2584,NDays&amp;"D")</f>
        <v>57039</v>
      </c>
      <c r="Y2584" s="92" t="e">
        <v>#N/A</v>
      </c>
      <c r="Z2584" s="94" t="e">
        <v>#N/A</v>
      </c>
    </row>
    <row r="2585" spans="22:26" x14ac:dyDescent="0.2">
      <c r="V2585" s="123" t="str">
        <f t="shared" si="51"/>
        <v>1w</v>
      </c>
      <c r="W2585" s="82">
        <f>_xll.qlCalendarAdvance(Calendar,W2584,V2585,"f",FALSE)</f>
        <v>57046</v>
      </c>
      <c r="X2585" s="91">
        <f>_xll.qlCalendarAdvance(Calendar,W2585,NDays&amp;"D")</f>
        <v>57046</v>
      </c>
      <c r="Y2585" s="92" t="e">
        <v>#N/A</v>
      </c>
      <c r="Z2585" s="94" t="e">
        <v>#N/A</v>
      </c>
    </row>
    <row r="2586" spans="22:26" x14ac:dyDescent="0.2">
      <c r="V2586" s="123" t="str">
        <f t="shared" si="51"/>
        <v>1w</v>
      </c>
      <c r="W2586" s="82">
        <f>_xll.qlCalendarAdvance(Calendar,W2585,V2586,"f",FALSE)</f>
        <v>57053</v>
      </c>
      <c r="X2586" s="91">
        <f>_xll.qlCalendarAdvance(Calendar,W2586,NDays&amp;"D")</f>
        <v>57053</v>
      </c>
      <c r="Y2586" s="92" t="e">
        <v>#N/A</v>
      </c>
      <c r="Z2586" s="94" t="e">
        <v>#N/A</v>
      </c>
    </row>
    <row r="2587" spans="22:26" x14ac:dyDescent="0.2">
      <c r="V2587" s="123" t="str">
        <f t="shared" si="51"/>
        <v>1w</v>
      </c>
      <c r="W2587" s="82">
        <f>_xll.qlCalendarAdvance(Calendar,W2586,V2587,"f",FALSE)</f>
        <v>57060</v>
      </c>
      <c r="X2587" s="91">
        <f>_xll.qlCalendarAdvance(Calendar,W2587,NDays&amp;"D")</f>
        <v>57060</v>
      </c>
      <c r="Y2587" s="92" t="e">
        <v>#N/A</v>
      </c>
      <c r="Z2587" s="94" t="e">
        <v>#N/A</v>
      </c>
    </row>
    <row r="2588" spans="22:26" x14ac:dyDescent="0.2">
      <c r="V2588" s="123" t="str">
        <f t="shared" si="51"/>
        <v>1w</v>
      </c>
      <c r="W2588" s="82">
        <f>_xll.qlCalendarAdvance(Calendar,W2587,V2588,"f",FALSE)</f>
        <v>57067</v>
      </c>
      <c r="X2588" s="91">
        <f>_xll.qlCalendarAdvance(Calendar,W2588,NDays&amp;"D")</f>
        <v>57067</v>
      </c>
      <c r="Y2588" s="92" t="e">
        <v>#N/A</v>
      </c>
      <c r="Z2588" s="94" t="e">
        <v>#N/A</v>
      </c>
    </row>
    <row r="2589" spans="22:26" x14ac:dyDescent="0.2">
      <c r="V2589" s="123" t="str">
        <f t="shared" si="51"/>
        <v>1w</v>
      </c>
      <c r="W2589" s="82">
        <f>_xll.qlCalendarAdvance(Calendar,W2588,V2589,"f",FALSE)</f>
        <v>57074</v>
      </c>
      <c r="X2589" s="91">
        <f>_xll.qlCalendarAdvance(Calendar,W2589,NDays&amp;"D")</f>
        <v>57074</v>
      </c>
      <c r="Y2589" s="92" t="e">
        <v>#N/A</v>
      </c>
      <c r="Z2589" s="94" t="e">
        <v>#N/A</v>
      </c>
    </row>
    <row r="2590" spans="22:26" x14ac:dyDescent="0.2">
      <c r="V2590" s="123" t="str">
        <f t="shared" si="51"/>
        <v>1w</v>
      </c>
      <c r="W2590" s="82">
        <f>_xll.qlCalendarAdvance(Calendar,W2589,V2590,"f",FALSE)</f>
        <v>57081</v>
      </c>
      <c r="X2590" s="91">
        <f>_xll.qlCalendarAdvance(Calendar,W2590,NDays&amp;"D")</f>
        <v>57081</v>
      </c>
      <c r="Y2590" s="92" t="e">
        <v>#N/A</v>
      </c>
      <c r="Z2590" s="94" t="e">
        <v>#N/A</v>
      </c>
    </row>
    <row r="2591" spans="22:26" x14ac:dyDescent="0.2">
      <c r="V2591" s="123" t="str">
        <f t="shared" si="51"/>
        <v>1w</v>
      </c>
      <c r="W2591" s="82">
        <f>_xll.qlCalendarAdvance(Calendar,W2590,V2591,"f",FALSE)</f>
        <v>57088</v>
      </c>
      <c r="X2591" s="91">
        <f>_xll.qlCalendarAdvance(Calendar,W2591,NDays&amp;"D")</f>
        <v>57088</v>
      </c>
      <c r="Y2591" s="92" t="e">
        <v>#N/A</v>
      </c>
      <c r="Z2591" s="94" t="e">
        <v>#N/A</v>
      </c>
    </row>
    <row r="2592" spans="22:26" x14ac:dyDescent="0.2">
      <c r="V2592" s="123" t="str">
        <f t="shared" si="51"/>
        <v>1w</v>
      </c>
      <c r="W2592" s="82">
        <f>_xll.qlCalendarAdvance(Calendar,W2591,V2592,"f",FALSE)</f>
        <v>57095</v>
      </c>
      <c r="X2592" s="91">
        <f>_xll.qlCalendarAdvance(Calendar,W2592,NDays&amp;"D")</f>
        <v>57095</v>
      </c>
      <c r="Y2592" s="92" t="e">
        <v>#N/A</v>
      </c>
      <c r="Z2592" s="94" t="e">
        <v>#N/A</v>
      </c>
    </row>
    <row r="2593" spans="22:26" x14ac:dyDescent="0.2">
      <c r="V2593" s="123" t="str">
        <f t="shared" si="51"/>
        <v>1w</v>
      </c>
      <c r="W2593" s="82">
        <f>_xll.qlCalendarAdvance(Calendar,W2592,V2593,"f",FALSE)</f>
        <v>57102</v>
      </c>
      <c r="X2593" s="91">
        <f>_xll.qlCalendarAdvance(Calendar,W2593,NDays&amp;"D")</f>
        <v>57102</v>
      </c>
      <c r="Y2593" s="92" t="e">
        <v>#N/A</v>
      </c>
      <c r="Z2593" s="94" t="e">
        <v>#N/A</v>
      </c>
    </row>
    <row r="2594" spans="22:26" x14ac:dyDescent="0.2">
      <c r="V2594" s="123" t="str">
        <f t="shared" si="51"/>
        <v>1w</v>
      </c>
      <c r="W2594" s="82">
        <f>_xll.qlCalendarAdvance(Calendar,W2593,V2594,"f",FALSE)</f>
        <v>57109</v>
      </c>
      <c r="X2594" s="91">
        <f>_xll.qlCalendarAdvance(Calendar,W2594,NDays&amp;"D")</f>
        <v>57109</v>
      </c>
      <c r="Y2594" s="92" t="e">
        <v>#N/A</v>
      </c>
      <c r="Z2594" s="94" t="e">
        <v>#N/A</v>
      </c>
    </row>
    <row r="2595" spans="22:26" x14ac:dyDescent="0.2">
      <c r="V2595" s="123" t="str">
        <f t="shared" si="51"/>
        <v>1w</v>
      </c>
      <c r="W2595" s="82">
        <f>_xll.qlCalendarAdvance(Calendar,W2594,V2595,"f",FALSE)</f>
        <v>57116</v>
      </c>
      <c r="X2595" s="91">
        <f>_xll.qlCalendarAdvance(Calendar,W2595,NDays&amp;"D")</f>
        <v>57116</v>
      </c>
      <c r="Y2595" s="92" t="e">
        <v>#N/A</v>
      </c>
      <c r="Z2595" s="94" t="e">
        <v>#N/A</v>
      </c>
    </row>
    <row r="2596" spans="22:26" x14ac:dyDescent="0.2">
      <c r="V2596" s="123" t="str">
        <f t="shared" si="51"/>
        <v>1w</v>
      </c>
      <c r="W2596" s="82">
        <f>_xll.qlCalendarAdvance(Calendar,W2595,V2596,"f",FALSE)</f>
        <v>57123</v>
      </c>
      <c r="X2596" s="91">
        <f>_xll.qlCalendarAdvance(Calendar,W2596,NDays&amp;"D")</f>
        <v>57123</v>
      </c>
      <c r="Y2596" s="92" t="e">
        <v>#N/A</v>
      </c>
      <c r="Z2596" s="94" t="e">
        <v>#N/A</v>
      </c>
    </row>
    <row r="2597" spans="22:26" x14ac:dyDescent="0.2">
      <c r="V2597" s="123" t="str">
        <f t="shared" si="51"/>
        <v>1w</v>
      </c>
      <c r="W2597" s="82">
        <f>_xll.qlCalendarAdvance(Calendar,W2596,V2597,"f",FALSE)</f>
        <v>57130</v>
      </c>
      <c r="X2597" s="91">
        <f>_xll.qlCalendarAdvance(Calendar,W2597,NDays&amp;"D")</f>
        <v>57130</v>
      </c>
      <c r="Y2597" s="92" t="e">
        <v>#N/A</v>
      </c>
      <c r="Z2597" s="94" t="e">
        <v>#N/A</v>
      </c>
    </row>
    <row r="2598" spans="22:26" x14ac:dyDescent="0.2">
      <c r="V2598" s="123" t="str">
        <f t="shared" si="51"/>
        <v>1w</v>
      </c>
      <c r="W2598" s="82">
        <f>_xll.qlCalendarAdvance(Calendar,W2597,V2598,"f",FALSE)</f>
        <v>57137</v>
      </c>
      <c r="X2598" s="91">
        <f>_xll.qlCalendarAdvance(Calendar,W2598,NDays&amp;"D")</f>
        <v>57137</v>
      </c>
      <c r="Y2598" s="92" t="e">
        <v>#N/A</v>
      </c>
      <c r="Z2598" s="94" t="e">
        <v>#N/A</v>
      </c>
    </row>
    <row r="2599" spans="22:26" x14ac:dyDescent="0.2">
      <c r="V2599" s="123" t="str">
        <f t="shared" si="51"/>
        <v>1w</v>
      </c>
      <c r="W2599" s="82">
        <f>_xll.qlCalendarAdvance(Calendar,W2598,V2599,"f",FALSE)</f>
        <v>57144</v>
      </c>
      <c r="X2599" s="91">
        <f>_xll.qlCalendarAdvance(Calendar,W2599,NDays&amp;"D")</f>
        <v>57144</v>
      </c>
      <c r="Y2599" s="92" t="e">
        <v>#N/A</v>
      </c>
      <c r="Z2599" s="94" t="e">
        <v>#N/A</v>
      </c>
    </row>
    <row r="2600" spans="22:26" x14ac:dyDescent="0.2">
      <c r="V2600" s="123" t="str">
        <f t="shared" si="51"/>
        <v>1w</v>
      </c>
      <c r="W2600" s="82">
        <f>_xll.qlCalendarAdvance(Calendar,W2599,V2600,"f",FALSE)</f>
        <v>57151</v>
      </c>
      <c r="X2600" s="91">
        <f>_xll.qlCalendarAdvance(Calendar,W2600,NDays&amp;"D")</f>
        <v>57151</v>
      </c>
      <c r="Y2600" s="92" t="e">
        <v>#N/A</v>
      </c>
      <c r="Z2600" s="94" t="e">
        <v>#N/A</v>
      </c>
    </row>
    <row r="2601" spans="22:26" x14ac:dyDescent="0.2">
      <c r="V2601" s="123" t="str">
        <f t="shared" si="51"/>
        <v>1w</v>
      </c>
      <c r="W2601" s="82">
        <f>_xll.qlCalendarAdvance(Calendar,W2600,V2601,"f",FALSE)</f>
        <v>57158</v>
      </c>
      <c r="X2601" s="91">
        <f>_xll.qlCalendarAdvance(Calendar,W2601,NDays&amp;"D")</f>
        <v>57158</v>
      </c>
      <c r="Y2601" s="92" t="e">
        <v>#N/A</v>
      </c>
      <c r="Z2601" s="94" t="e">
        <v>#N/A</v>
      </c>
    </row>
    <row r="2602" spans="22:26" x14ac:dyDescent="0.2">
      <c r="V2602" s="123" t="str">
        <f t="shared" si="51"/>
        <v>1w</v>
      </c>
      <c r="W2602" s="82">
        <f>_xll.qlCalendarAdvance(Calendar,W2601,V2602,"f",FALSE)</f>
        <v>57165</v>
      </c>
      <c r="X2602" s="91">
        <f>_xll.qlCalendarAdvance(Calendar,W2602,NDays&amp;"D")</f>
        <v>57165</v>
      </c>
      <c r="Y2602" s="92" t="e">
        <v>#N/A</v>
      </c>
      <c r="Z2602" s="94" t="e">
        <v>#N/A</v>
      </c>
    </row>
    <row r="2603" spans="22:26" x14ac:dyDescent="0.2">
      <c r="V2603" s="123" t="str">
        <f t="shared" si="51"/>
        <v>1w</v>
      </c>
      <c r="W2603" s="82">
        <f>_xll.qlCalendarAdvance(Calendar,W2602,V2603,"f",FALSE)</f>
        <v>57172</v>
      </c>
      <c r="X2603" s="91">
        <f>_xll.qlCalendarAdvance(Calendar,W2603,NDays&amp;"D")</f>
        <v>57172</v>
      </c>
      <c r="Y2603" s="92" t="e">
        <v>#N/A</v>
      </c>
      <c r="Z2603" s="94" t="e">
        <v>#N/A</v>
      </c>
    </row>
    <row r="2604" spans="22:26" x14ac:dyDescent="0.2">
      <c r="V2604" s="123" t="str">
        <f t="shared" si="51"/>
        <v>1w</v>
      </c>
      <c r="W2604" s="82">
        <f>_xll.qlCalendarAdvance(Calendar,W2603,V2604,"f",FALSE)</f>
        <v>57179</v>
      </c>
      <c r="X2604" s="91">
        <f>_xll.qlCalendarAdvance(Calendar,W2604,NDays&amp;"D")</f>
        <v>57179</v>
      </c>
      <c r="Y2604" s="92" t="e">
        <v>#N/A</v>
      </c>
      <c r="Z2604" s="94" t="e">
        <v>#N/A</v>
      </c>
    </row>
    <row r="2605" spans="22:26" x14ac:dyDescent="0.2">
      <c r="V2605" s="123" t="str">
        <f t="shared" si="51"/>
        <v>1w</v>
      </c>
      <c r="W2605" s="82">
        <f>_xll.qlCalendarAdvance(Calendar,W2604,V2605,"f",FALSE)</f>
        <v>57186</v>
      </c>
      <c r="X2605" s="91">
        <f>_xll.qlCalendarAdvance(Calendar,W2605,NDays&amp;"D")</f>
        <v>57186</v>
      </c>
      <c r="Y2605" s="92" t="e">
        <v>#N/A</v>
      </c>
      <c r="Z2605" s="94" t="e">
        <v>#N/A</v>
      </c>
    </row>
    <row r="2606" spans="22:26" x14ac:dyDescent="0.2">
      <c r="V2606" s="123" t="str">
        <f t="shared" si="51"/>
        <v>1w</v>
      </c>
      <c r="W2606" s="82">
        <f>_xll.qlCalendarAdvance(Calendar,W2605,V2606,"f",FALSE)</f>
        <v>57193</v>
      </c>
      <c r="X2606" s="91">
        <f>_xll.qlCalendarAdvance(Calendar,W2606,NDays&amp;"D")</f>
        <v>57193</v>
      </c>
      <c r="Y2606" s="92" t="e">
        <v>#N/A</v>
      </c>
      <c r="Z2606" s="94" t="e">
        <v>#N/A</v>
      </c>
    </row>
    <row r="2607" spans="22:26" x14ac:dyDescent="0.2">
      <c r="V2607" s="123" t="str">
        <f t="shared" si="51"/>
        <v>1w</v>
      </c>
      <c r="W2607" s="82">
        <f>_xll.qlCalendarAdvance(Calendar,W2606,V2607,"f",FALSE)</f>
        <v>57200</v>
      </c>
      <c r="X2607" s="91">
        <f>_xll.qlCalendarAdvance(Calendar,W2607,NDays&amp;"D")</f>
        <v>57200</v>
      </c>
      <c r="Y2607" s="92" t="e">
        <v>#N/A</v>
      </c>
      <c r="Z2607" s="94" t="e">
        <v>#N/A</v>
      </c>
    </row>
    <row r="2608" spans="22:26" x14ac:dyDescent="0.2">
      <c r="V2608" s="123" t="str">
        <f t="shared" si="51"/>
        <v>1w</v>
      </c>
      <c r="W2608" s="82">
        <f>_xll.qlCalendarAdvance(Calendar,W2607,V2608,"f",FALSE)</f>
        <v>57207</v>
      </c>
      <c r="X2608" s="91">
        <f>_xll.qlCalendarAdvance(Calendar,W2608,NDays&amp;"D")</f>
        <v>57207</v>
      </c>
      <c r="Y2608" s="92" t="e">
        <v>#N/A</v>
      </c>
      <c r="Z2608" s="94" t="e">
        <v>#N/A</v>
      </c>
    </row>
    <row r="2609" spans="22:26" x14ac:dyDescent="0.2">
      <c r="V2609" s="123" t="str">
        <f t="shared" si="51"/>
        <v>1w</v>
      </c>
      <c r="W2609" s="82">
        <f>_xll.qlCalendarAdvance(Calendar,W2608,V2609,"f",FALSE)</f>
        <v>57214</v>
      </c>
      <c r="X2609" s="91">
        <f>_xll.qlCalendarAdvance(Calendar,W2609,NDays&amp;"D")</f>
        <v>57214</v>
      </c>
      <c r="Y2609" s="92" t="e">
        <v>#N/A</v>
      </c>
      <c r="Z2609" s="94" t="e">
        <v>#N/A</v>
      </c>
    </row>
    <row r="2610" spans="22:26" x14ac:dyDescent="0.2">
      <c r="V2610" s="123" t="str">
        <f t="shared" si="51"/>
        <v>1w</v>
      </c>
      <c r="W2610" s="82">
        <f>_xll.qlCalendarAdvance(Calendar,W2609,V2610,"f",FALSE)</f>
        <v>57221</v>
      </c>
      <c r="X2610" s="91">
        <f>_xll.qlCalendarAdvance(Calendar,W2610,NDays&amp;"D")</f>
        <v>57221</v>
      </c>
      <c r="Y2610" s="92" t="e">
        <v>#N/A</v>
      </c>
      <c r="Z2610" s="94" t="e">
        <v>#N/A</v>
      </c>
    </row>
    <row r="2611" spans="22:26" x14ac:dyDescent="0.2">
      <c r="V2611" s="123" t="str">
        <f t="shared" si="51"/>
        <v>1w</v>
      </c>
      <c r="W2611" s="82">
        <f>_xll.qlCalendarAdvance(Calendar,W2610,V2611,"f",FALSE)</f>
        <v>57228</v>
      </c>
      <c r="X2611" s="91">
        <f>_xll.qlCalendarAdvance(Calendar,W2611,NDays&amp;"D")</f>
        <v>57228</v>
      </c>
      <c r="Y2611" s="92" t="e">
        <v>#N/A</v>
      </c>
      <c r="Z2611" s="94" t="e">
        <v>#N/A</v>
      </c>
    </row>
    <row r="2612" spans="22:26" x14ac:dyDescent="0.2">
      <c r="V2612" s="123" t="str">
        <f t="shared" si="51"/>
        <v>1w</v>
      </c>
      <c r="W2612" s="82">
        <f>_xll.qlCalendarAdvance(Calendar,W2611,V2612,"f",FALSE)</f>
        <v>57235</v>
      </c>
      <c r="X2612" s="91">
        <f>_xll.qlCalendarAdvance(Calendar,W2612,NDays&amp;"D")</f>
        <v>57235</v>
      </c>
      <c r="Y2612" s="92" t="e">
        <v>#N/A</v>
      </c>
      <c r="Z2612" s="94" t="e">
        <v>#N/A</v>
      </c>
    </row>
    <row r="2613" spans="22:26" x14ac:dyDescent="0.2">
      <c r="V2613" s="123" t="str">
        <f t="shared" si="51"/>
        <v>1w</v>
      </c>
      <c r="W2613" s="82">
        <f>_xll.qlCalendarAdvance(Calendar,W2612,V2613,"f",FALSE)</f>
        <v>57242</v>
      </c>
      <c r="X2613" s="91">
        <f>_xll.qlCalendarAdvance(Calendar,W2613,NDays&amp;"D")</f>
        <v>57242</v>
      </c>
      <c r="Y2613" s="92" t="e">
        <v>#N/A</v>
      </c>
      <c r="Z2613" s="94" t="e">
        <v>#N/A</v>
      </c>
    </row>
    <row r="2614" spans="22:26" x14ac:dyDescent="0.2">
      <c r="V2614" s="123" t="str">
        <f t="shared" si="51"/>
        <v>1w</v>
      </c>
      <c r="W2614" s="82">
        <f>_xll.qlCalendarAdvance(Calendar,W2613,V2614,"f",FALSE)</f>
        <v>57249</v>
      </c>
      <c r="X2614" s="91">
        <f>_xll.qlCalendarAdvance(Calendar,W2614,NDays&amp;"D")</f>
        <v>57249</v>
      </c>
      <c r="Y2614" s="92" t="e">
        <v>#N/A</v>
      </c>
      <c r="Z2614" s="94" t="e">
        <v>#N/A</v>
      </c>
    </row>
    <row r="2615" spans="22:26" x14ac:dyDescent="0.2">
      <c r="V2615" s="123" t="str">
        <f t="shared" si="51"/>
        <v>1w</v>
      </c>
      <c r="W2615" s="82">
        <f>_xll.qlCalendarAdvance(Calendar,W2614,V2615,"f",FALSE)</f>
        <v>57256</v>
      </c>
      <c r="X2615" s="91">
        <f>_xll.qlCalendarAdvance(Calendar,W2615,NDays&amp;"D")</f>
        <v>57256</v>
      </c>
      <c r="Y2615" s="92" t="e">
        <v>#N/A</v>
      </c>
      <c r="Z2615" s="94" t="e">
        <v>#N/A</v>
      </c>
    </row>
    <row r="2616" spans="22:26" x14ac:dyDescent="0.2">
      <c r="V2616" s="123" t="str">
        <f t="shared" si="51"/>
        <v>1w</v>
      </c>
      <c r="W2616" s="82">
        <f>_xll.qlCalendarAdvance(Calendar,W2615,V2616,"f",FALSE)</f>
        <v>57263</v>
      </c>
      <c r="X2616" s="91">
        <f>_xll.qlCalendarAdvance(Calendar,W2616,NDays&amp;"D")</f>
        <v>57263</v>
      </c>
      <c r="Y2616" s="92" t="e">
        <v>#N/A</v>
      </c>
      <c r="Z2616" s="94" t="e">
        <v>#N/A</v>
      </c>
    </row>
    <row r="2617" spans="22:26" x14ac:dyDescent="0.2">
      <c r="V2617" s="123" t="str">
        <f t="shared" si="51"/>
        <v>1w</v>
      </c>
      <c r="W2617" s="82">
        <f>_xll.qlCalendarAdvance(Calendar,W2616,V2617,"f",FALSE)</f>
        <v>57270</v>
      </c>
      <c r="X2617" s="91">
        <f>_xll.qlCalendarAdvance(Calendar,W2617,NDays&amp;"D")</f>
        <v>57270</v>
      </c>
      <c r="Y2617" s="92" t="e">
        <v>#N/A</v>
      </c>
      <c r="Z2617" s="94" t="e">
        <v>#N/A</v>
      </c>
    </row>
    <row r="2618" spans="22:26" x14ac:dyDescent="0.2">
      <c r="V2618" s="123" t="str">
        <f t="shared" si="51"/>
        <v>1w</v>
      </c>
      <c r="W2618" s="82">
        <f>_xll.qlCalendarAdvance(Calendar,W2617,V2618,"f",FALSE)</f>
        <v>57277</v>
      </c>
      <c r="X2618" s="91">
        <f>_xll.qlCalendarAdvance(Calendar,W2618,NDays&amp;"D")</f>
        <v>57277</v>
      </c>
      <c r="Y2618" s="92" t="e">
        <v>#N/A</v>
      </c>
      <c r="Z2618" s="94" t="e">
        <v>#N/A</v>
      </c>
    </row>
    <row r="2619" spans="22:26" x14ac:dyDescent="0.2">
      <c r="V2619" s="123" t="str">
        <f t="shared" si="51"/>
        <v>1w</v>
      </c>
      <c r="W2619" s="82">
        <f>_xll.qlCalendarAdvance(Calendar,W2618,V2619,"f",FALSE)</f>
        <v>57284</v>
      </c>
      <c r="X2619" s="91">
        <f>_xll.qlCalendarAdvance(Calendar,W2619,NDays&amp;"D")</f>
        <v>57284</v>
      </c>
      <c r="Y2619" s="92" t="e">
        <v>#N/A</v>
      </c>
      <c r="Z2619" s="94" t="e">
        <v>#N/A</v>
      </c>
    </row>
    <row r="2620" spans="22:26" x14ac:dyDescent="0.2">
      <c r="V2620" s="123" t="str">
        <f t="shared" si="51"/>
        <v>1w</v>
      </c>
      <c r="W2620" s="82">
        <f>_xll.qlCalendarAdvance(Calendar,W2619,V2620,"f",FALSE)</f>
        <v>57291</v>
      </c>
      <c r="X2620" s="91">
        <f>_xll.qlCalendarAdvance(Calendar,W2620,NDays&amp;"D")</f>
        <v>57291</v>
      </c>
      <c r="Y2620" s="92" t="e">
        <v>#N/A</v>
      </c>
      <c r="Z2620" s="94" t="e">
        <v>#N/A</v>
      </c>
    </row>
    <row r="2621" spans="22:26" x14ac:dyDescent="0.2">
      <c r="V2621" s="123" t="str">
        <f t="shared" si="51"/>
        <v>1w</v>
      </c>
      <c r="W2621" s="82">
        <f>_xll.qlCalendarAdvance(Calendar,W2620,V2621,"f",FALSE)</f>
        <v>57298</v>
      </c>
      <c r="X2621" s="91">
        <f>_xll.qlCalendarAdvance(Calendar,W2621,NDays&amp;"D")</f>
        <v>57298</v>
      </c>
      <c r="Y2621" s="92" t="e">
        <v>#N/A</v>
      </c>
      <c r="Z2621" s="94" t="e">
        <v>#N/A</v>
      </c>
    </row>
    <row r="2622" spans="22:26" x14ac:dyDescent="0.2">
      <c r="V2622" s="123" t="str">
        <f t="shared" si="51"/>
        <v>1w</v>
      </c>
      <c r="W2622" s="82">
        <f>_xll.qlCalendarAdvance(Calendar,W2621,V2622,"f",FALSE)</f>
        <v>57305</v>
      </c>
      <c r="X2622" s="91">
        <f>_xll.qlCalendarAdvance(Calendar,W2622,NDays&amp;"D")</f>
        <v>57305</v>
      </c>
      <c r="Y2622" s="92" t="e">
        <v>#N/A</v>
      </c>
      <c r="Z2622" s="94" t="e">
        <v>#N/A</v>
      </c>
    </row>
    <row r="2623" spans="22:26" x14ac:dyDescent="0.2">
      <c r="V2623" s="123" t="str">
        <f t="shared" si="51"/>
        <v>1w</v>
      </c>
      <c r="W2623" s="82">
        <f>_xll.qlCalendarAdvance(Calendar,W2622,V2623,"f",FALSE)</f>
        <v>57312</v>
      </c>
      <c r="X2623" s="91">
        <f>_xll.qlCalendarAdvance(Calendar,W2623,NDays&amp;"D")</f>
        <v>57312</v>
      </c>
      <c r="Y2623" s="92" t="e">
        <v>#N/A</v>
      </c>
      <c r="Z2623" s="94" t="e">
        <v>#N/A</v>
      </c>
    </row>
    <row r="2624" spans="22:26" x14ac:dyDescent="0.2">
      <c r="V2624" s="123" t="str">
        <f t="shared" si="51"/>
        <v>1w</v>
      </c>
      <c r="W2624" s="82">
        <f>_xll.qlCalendarAdvance(Calendar,W2623,V2624,"f",FALSE)</f>
        <v>57319</v>
      </c>
      <c r="X2624" s="91">
        <f>_xll.qlCalendarAdvance(Calendar,W2624,NDays&amp;"D")</f>
        <v>57319</v>
      </c>
      <c r="Y2624" s="92" t="e">
        <v>#N/A</v>
      </c>
      <c r="Z2624" s="94" t="e">
        <v>#N/A</v>
      </c>
    </row>
    <row r="2625" spans="22:26" x14ac:dyDescent="0.2">
      <c r="V2625" s="123" t="str">
        <f t="shared" si="51"/>
        <v>1w</v>
      </c>
      <c r="W2625" s="82">
        <f>_xll.qlCalendarAdvance(Calendar,W2624,V2625,"f",FALSE)</f>
        <v>57326</v>
      </c>
      <c r="X2625" s="91">
        <f>_xll.qlCalendarAdvance(Calendar,W2625,NDays&amp;"D")</f>
        <v>57326</v>
      </c>
      <c r="Y2625" s="92" t="e">
        <v>#N/A</v>
      </c>
      <c r="Z2625" s="94" t="e">
        <v>#N/A</v>
      </c>
    </row>
    <row r="2626" spans="22:26" x14ac:dyDescent="0.2">
      <c r="V2626" s="123" t="str">
        <f t="shared" si="51"/>
        <v>1w</v>
      </c>
      <c r="W2626" s="82">
        <f>_xll.qlCalendarAdvance(Calendar,W2625,V2626,"f",FALSE)</f>
        <v>57333</v>
      </c>
      <c r="X2626" s="91">
        <f>_xll.qlCalendarAdvance(Calendar,W2626,NDays&amp;"D")</f>
        <v>57333</v>
      </c>
      <c r="Y2626" s="92" t="e">
        <v>#N/A</v>
      </c>
      <c r="Z2626" s="94" t="e">
        <v>#N/A</v>
      </c>
    </row>
    <row r="2627" spans="22:26" x14ac:dyDescent="0.2">
      <c r="V2627" s="123" t="str">
        <f t="shared" si="51"/>
        <v>1w</v>
      </c>
      <c r="W2627" s="82">
        <f>_xll.qlCalendarAdvance(Calendar,W2626,V2627,"f",FALSE)</f>
        <v>57341</v>
      </c>
      <c r="X2627" s="91">
        <f>_xll.qlCalendarAdvance(Calendar,W2627,NDays&amp;"D")</f>
        <v>57341</v>
      </c>
      <c r="Y2627" s="92" t="e">
        <v>#N/A</v>
      </c>
      <c r="Z2627" s="94" t="e">
        <v>#N/A</v>
      </c>
    </row>
    <row r="2628" spans="22:26" x14ac:dyDescent="0.2">
      <c r="V2628" s="123" t="str">
        <f t="shared" si="51"/>
        <v>1w</v>
      </c>
      <c r="W2628" s="82">
        <f>_xll.qlCalendarAdvance(Calendar,W2627,V2628,"f",FALSE)</f>
        <v>57348</v>
      </c>
      <c r="X2628" s="91">
        <f>_xll.qlCalendarAdvance(Calendar,W2628,NDays&amp;"D")</f>
        <v>57348</v>
      </c>
      <c r="Y2628" s="92" t="e">
        <v>#N/A</v>
      </c>
      <c r="Z2628" s="94" t="e">
        <v>#N/A</v>
      </c>
    </row>
    <row r="2629" spans="22:26" x14ac:dyDescent="0.2">
      <c r="V2629" s="123" t="str">
        <f t="shared" si="51"/>
        <v>1w</v>
      </c>
      <c r="W2629" s="82">
        <f>_xll.qlCalendarAdvance(Calendar,W2628,V2629,"f",FALSE)</f>
        <v>57355</v>
      </c>
      <c r="X2629" s="91">
        <f>_xll.qlCalendarAdvance(Calendar,W2629,NDays&amp;"D")</f>
        <v>57355</v>
      </c>
      <c r="Y2629" s="92" t="e">
        <v>#N/A</v>
      </c>
      <c r="Z2629" s="94" t="e">
        <v>#N/A</v>
      </c>
    </row>
    <row r="2630" spans="22:26" x14ac:dyDescent="0.2">
      <c r="V2630" s="123" t="str">
        <f t="shared" si="51"/>
        <v>1w</v>
      </c>
      <c r="W2630" s="82">
        <f>_xll.qlCalendarAdvance(Calendar,W2629,V2630,"f",FALSE)</f>
        <v>57362</v>
      </c>
      <c r="X2630" s="91">
        <f>_xll.qlCalendarAdvance(Calendar,W2630,NDays&amp;"D")</f>
        <v>57362</v>
      </c>
      <c r="Y2630" s="92" t="e">
        <v>#N/A</v>
      </c>
      <c r="Z2630" s="94" t="e">
        <v>#N/A</v>
      </c>
    </row>
    <row r="2631" spans="22:26" x14ac:dyDescent="0.2">
      <c r="V2631" s="123" t="str">
        <f t="shared" si="51"/>
        <v>1w</v>
      </c>
      <c r="W2631" s="82">
        <f>_xll.qlCalendarAdvance(Calendar,W2630,V2631,"f",FALSE)</f>
        <v>57369</v>
      </c>
      <c r="X2631" s="91">
        <f>_xll.qlCalendarAdvance(Calendar,W2631,NDays&amp;"D")</f>
        <v>57369</v>
      </c>
      <c r="Y2631" s="92" t="e">
        <v>#N/A</v>
      </c>
      <c r="Z2631" s="94" t="e">
        <v>#N/A</v>
      </c>
    </row>
    <row r="2632" spans="22:26" x14ac:dyDescent="0.2">
      <c r="V2632" s="123" t="str">
        <f t="shared" si="51"/>
        <v>1w</v>
      </c>
      <c r="W2632" s="82">
        <f>_xll.qlCalendarAdvance(Calendar,W2631,V2632,"f",FALSE)</f>
        <v>57376</v>
      </c>
      <c r="X2632" s="91">
        <f>_xll.qlCalendarAdvance(Calendar,W2632,NDays&amp;"D")</f>
        <v>57376</v>
      </c>
      <c r="Y2632" s="92" t="e">
        <v>#N/A</v>
      </c>
      <c r="Z2632" s="94" t="e">
        <v>#N/A</v>
      </c>
    </row>
    <row r="2633" spans="22:26" x14ac:dyDescent="0.2">
      <c r="V2633" s="123" t="str">
        <f t="shared" si="51"/>
        <v>1w</v>
      </c>
      <c r="W2633" s="82">
        <f>_xll.qlCalendarAdvance(Calendar,W2632,V2633,"f",FALSE)</f>
        <v>57383</v>
      </c>
      <c r="X2633" s="91">
        <f>_xll.qlCalendarAdvance(Calendar,W2633,NDays&amp;"D")</f>
        <v>57383</v>
      </c>
      <c r="Y2633" s="92" t="e">
        <v>#N/A</v>
      </c>
      <c r="Z2633" s="94" t="e">
        <v>#N/A</v>
      </c>
    </row>
    <row r="2634" spans="22:26" x14ac:dyDescent="0.2">
      <c r="V2634" s="123" t="str">
        <f t="shared" si="51"/>
        <v>1w</v>
      </c>
      <c r="W2634" s="82">
        <f>_xll.qlCalendarAdvance(Calendar,W2633,V2634,"f",FALSE)</f>
        <v>57390</v>
      </c>
      <c r="X2634" s="91">
        <f>_xll.qlCalendarAdvance(Calendar,W2634,NDays&amp;"D")</f>
        <v>57390</v>
      </c>
      <c r="Y2634" s="92" t="e">
        <v>#N/A</v>
      </c>
      <c r="Z2634" s="94" t="e">
        <v>#N/A</v>
      </c>
    </row>
    <row r="2635" spans="22:26" x14ac:dyDescent="0.2">
      <c r="V2635" s="123" t="str">
        <f t="shared" si="51"/>
        <v>1w</v>
      </c>
      <c r="W2635" s="82">
        <f>_xll.qlCalendarAdvance(Calendar,W2634,V2635,"f",FALSE)</f>
        <v>57397</v>
      </c>
      <c r="X2635" s="91">
        <f>_xll.qlCalendarAdvance(Calendar,W2635,NDays&amp;"D")</f>
        <v>57397</v>
      </c>
      <c r="Y2635" s="92" t="e">
        <v>#N/A</v>
      </c>
      <c r="Z2635" s="94" t="e">
        <v>#N/A</v>
      </c>
    </row>
    <row r="2636" spans="22:26" x14ac:dyDescent="0.2">
      <c r="V2636" s="123" t="str">
        <f t="shared" si="51"/>
        <v>1w</v>
      </c>
      <c r="W2636" s="82">
        <f>_xll.qlCalendarAdvance(Calendar,W2635,V2636,"f",FALSE)</f>
        <v>57404</v>
      </c>
      <c r="X2636" s="91">
        <f>_xll.qlCalendarAdvance(Calendar,W2636,NDays&amp;"D")</f>
        <v>57404</v>
      </c>
      <c r="Y2636" s="92" t="e">
        <v>#N/A</v>
      </c>
      <c r="Z2636" s="94" t="e">
        <v>#N/A</v>
      </c>
    </row>
    <row r="2637" spans="22:26" x14ac:dyDescent="0.2">
      <c r="V2637" s="123" t="str">
        <f t="shared" si="51"/>
        <v>1w</v>
      </c>
      <c r="W2637" s="82">
        <f>_xll.qlCalendarAdvance(Calendar,W2636,V2637,"f",FALSE)</f>
        <v>57411</v>
      </c>
      <c r="X2637" s="91">
        <f>_xll.qlCalendarAdvance(Calendar,W2637,NDays&amp;"D")</f>
        <v>57411</v>
      </c>
      <c r="Y2637" s="92" t="e">
        <v>#N/A</v>
      </c>
      <c r="Z2637" s="94" t="e">
        <v>#N/A</v>
      </c>
    </row>
    <row r="2638" spans="22:26" x14ac:dyDescent="0.2">
      <c r="V2638" s="123" t="str">
        <f t="shared" si="51"/>
        <v>1w</v>
      </c>
      <c r="W2638" s="82">
        <f>_xll.qlCalendarAdvance(Calendar,W2637,V2638,"f",FALSE)</f>
        <v>57418</v>
      </c>
      <c r="X2638" s="91">
        <f>_xll.qlCalendarAdvance(Calendar,W2638,NDays&amp;"D")</f>
        <v>57418</v>
      </c>
      <c r="Y2638" s="92" t="e">
        <v>#N/A</v>
      </c>
      <c r="Z2638" s="94" t="e">
        <v>#N/A</v>
      </c>
    </row>
    <row r="2639" spans="22:26" x14ac:dyDescent="0.2">
      <c r="V2639" s="123" t="str">
        <f t="shared" si="51"/>
        <v>1w</v>
      </c>
      <c r="W2639" s="82">
        <f>_xll.qlCalendarAdvance(Calendar,W2638,V2639,"f",FALSE)</f>
        <v>57425</v>
      </c>
      <c r="X2639" s="91">
        <f>_xll.qlCalendarAdvance(Calendar,W2639,NDays&amp;"D")</f>
        <v>57425</v>
      </c>
      <c r="Y2639" s="92" t="e">
        <v>#N/A</v>
      </c>
      <c r="Z2639" s="94" t="e">
        <v>#N/A</v>
      </c>
    </row>
    <row r="2640" spans="22:26" x14ac:dyDescent="0.2">
      <c r="V2640" s="123" t="str">
        <f t="shared" si="51"/>
        <v>1w</v>
      </c>
      <c r="W2640" s="82">
        <f>_xll.qlCalendarAdvance(Calendar,W2639,V2640,"f",FALSE)</f>
        <v>57432</v>
      </c>
      <c r="X2640" s="91">
        <f>_xll.qlCalendarAdvance(Calendar,W2640,NDays&amp;"D")</f>
        <v>57432</v>
      </c>
      <c r="Y2640" s="92" t="e">
        <v>#N/A</v>
      </c>
      <c r="Z2640" s="94" t="e">
        <v>#N/A</v>
      </c>
    </row>
    <row r="2641" spans="22:26" x14ac:dyDescent="0.2">
      <c r="V2641" s="123" t="str">
        <f t="shared" si="51"/>
        <v>1w</v>
      </c>
      <c r="W2641" s="82">
        <f>_xll.qlCalendarAdvance(Calendar,W2640,V2641,"f",FALSE)</f>
        <v>57439</v>
      </c>
      <c r="X2641" s="91">
        <f>_xll.qlCalendarAdvance(Calendar,W2641,NDays&amp;"D")</f>
        <v>57439</v>
      </c>
      <c r="Y2641" s="92" t="e">
        <v>#N/A</v>
      </c>
      <c r="Z2641" s="94" t="e">
        <v>#N/A</v>
      </c>
    </row>
    <row r="2642" spans="22:26" x14ac:dyDescent="0.2">
      <c r="V2642" s="123" t="str">
        <f t="shared" si="51"/>
        <v>1w</v>
      </c>
      <c r="W2642" s="82">
        <f>_xll.qlCalendarAdvance(Calendar,W2641,V2642,"f",FALSE)</f>
        <v>57446</v>
      </c>
      <c r="X2642" s="91">
        <f>_xll.qlCalendarAdvance(Calendar,W2642,NDays&amp;"D")</f>
        <v>57446</v>
      </c>
      <c r="Y2642" s="92" t="e">
        <v>#N/A</v>
      </c>
      <c r="Z2642" s="94" t="e">
        <v>#N/A</v>
      </c>
    </row>
    <row r="2643" spans="22:26" x14ac:dyDescent="0.2">
      <c r="V2643" s="123" t="str">
        <f t="shared" si="51"/>
        <v>1w</v>
      </c>
      <c r="W2643" s="82">
        <f>_xll.qlCalendarAdvance(Calendar,W2642,V2643,"f",FALSE)</f>
        <v>57453</v>
      </c>
      <c r="X2643" s="91">
        <f>_xll.qlCalendarAdvance(Calendar,W2643,NDays&amp;"D")</f>
        <v>57453</v>
      </c>
      <c r="Y2643" s="92" t="e">
        <v>#N/A</v>
      </c>
      <c r="Z2643" s="94" t="e">
        <v>#N/A</v>
      </c>
    </row>
    <row r="2644" spans="22:26" x14ac:dyDescent="0.2">
      <c r="V2644" s="123" t="str">
        <f t="shared" si="51"/>
        <v>1w</v>
      </c>
      <c r="W2644" s="82">
        <f>_xll.qlCalendarAdvance(Calendar,W2643,V2644,"f",FALSE)</f>
        <v>57460</v>
      </c>
      <c r="X2644" s="91">
        <f>_xll.qlCalendarAdvance(Calendar,W2644,NDays&amp;"D")</f>
        <v>57460</v>
      </c>
      <c r="Y2644" s="92" t="e">
        <v>#N/A</v>
      </c>
      <c r="Z2644" s="94" t="e">
        <v>#N/A</v>
      </c>
    </row>
    <row r="2645" spans="22:26" x14ac:dyDescent="0.2">
      <c r="V2645" s="123" t="str">
        <f t="shared" ref="V2645:V2708" si="52">V2644</f>
        <v>1w</v>
      </c>
      <c r="W2645" s="82">
        <f>_xll.qlCalendarAdvance(Calendar,W2644,V2645,"f",FALSE)</f>
        <v>57467</v>
      </c>
      <c r="X2645" s="91">
        <f>_xll.qlCalendarAdvance(Calendar,W2645,NDays&amp;"D")</f>
        <v>57467</v>
      </c>
      <c r="Y2645" s="92" t="e">
        <v>#N/A</v>
      </c>
      <c r="Z2645" s="94" t="e">
        <v>#N/A</v>
      </c>
    </row>
    <row r="2646" spans="22:26" x14ac:dyDescent="0.2">
      <c r="V2646" s="123" t="str">
        <f t="shared" si="52"/>
        <v>1w</v>
      </c>
      <c r="W2646" s="82">
        <f>_xll.qlCalendarAdvance(Calendar,W2645,V2646,"f",FALSE)</f>
        <v>57474</v>
      </c>
      <c r="X2646" s="91">
        <f>_xll.qlCalendarAdvance(Calendar,W2646,NDays&amp;"D")</f>
        <v>57474</v>
      </c>
      <c r="Y2646" s="92" t="e">
        <v>#N/A</v>
      </c>
      <c r="Z2646" s="94" t="e">
        <v>#N/A</v>
      </c>
    </row>
    <row r="2647" spans="22:26" x14ac:dyDescent="0.2">
      <c r="V2647" s="123" t="str">
        <f t="shared" si="52"/>
        <v>1w</v>
      </c>
      <c r="W2647" s="82">
        <f>_xll.qlCalendarAdvance(Calendar,W2646,V2647,"f",FALSE)</f>
        <v>57481</v>
      </c>
      <c r="X2647" s="91">
        <f>_xll.qlCalendarAdvance(Calendar,W2647,NDays&amp;"D")</f>
        <v>57481</v>
      </c>
      <c r="Y2647" s="92" t="e">
        <v>#N/A</v>
      </c>
      <c r="Z2647" s="94" t="e">
        <v>#N/A</v>
      </c>
    </row>
    <row r="2648" spans="22:26" x14ac:dyDescent="0.2">
      <c r="V2648" s="123" t="str">
        <f t="shared" si="52"/>
        <v>1w</v>
      </c>
      <c r="W2648" s="82">
        <f>_xll.qlCalendarAdvance(Calendar,W2647,V2648,"f",FALSE)</f>
        <v>57488</v>
      </c>
      <c r="X2648" s="91">
        <f>_xll.qlCalendarAdvance(Calendar,W2648,NDays&amp;"D")</f>
        <v>57488</v>
      </c>
      <c r="Y2648" s="92" t="e">
        <v>#N/A</v>
      </c>
      <c r="Z2648" s="94" t="e">
        <v>#N/A</v>
      </c>
    </row>
    <row r="2649" spans="22:26" x14ac:dyDescent="0.2">
      <c r="V2649" s="123" t="str">
        <f t="shared" si="52"/>
        <v>1w</v>
      </c>
      <c r="W2649" s="82">
        <f>_xll.qlCalendarAdvance(Calendar,W2648,V2649,"f",FALSE)</f>
        <v>57495</v>
      </c>
      <c r="X2649" s="91">
        <f>_xll.qlCalendarAdvance(Calendar,W2649,NDays&amp;"D")</f>
        <v>57495</v>
      </c>
      <c r="Y2649" s="92" t="e">
        <v>#N/A</v>
      </c>
      <c r="Z2649" s="94" t="e">
        <v>#N/A</v>
      </c>
    </row>
    <row r="2650" spans="22:26" x14ac:dyDescent="0.2">
      <c r="V2650" s="123" t="str">
        <f t="shared" si="52"/>
        <v>1w</v>
      </c>
      <c r="W2650" s="82">
        <f>_xll.qlCalendarAdvance(Calendar,W2649,V2650,"f",FALSE)</f>
        <v>57502</v>
      </c>
      <c r="X2650" s="91">
        <f>_xll.qlCalendarAdvance(Calendar,W2650,NDays&amp;"D")</f>
        <v>57502</v>
      </c>
      <c r="Y2650" s="92" t="e">
        <v>#N/A</v>
      </c>
      <c r="Z2650" s="94" t="e">
        <v>#N/A</v>
      </c>
    </row>
    <row r="2651" spans="22:26" x14ac:dyDescent="0.2">
      <c r="V2651" s="123" t="str">
        <f t="shared" si="52"/>
        <v>1w</v>
      </c>
      <c r="W2651" s="82">
        <f>_xll.qlCalendarAdvance(Calendar,W2650,V2651,"f",FALSE)</f>
        <v>57509</v>
      </c>
      <c r="X2651" s="91">
        <f>_xll.qlCalendarAdvance(Calendar,W2651,NDays&amp;"D")</f>
        <v>57509</v>
      </c>
      <c r="Y2651" s="92" t="e">
        <v>#N/A</v>
      </c>
      <c r="Z2651" s="94" t="e">
        <v>#N/A</v>
      </c>
    </row>
    <row r="2652" spans="22:26" x14ac:dyDescent="0.2">
      <c r="V2652" s="123" t="str">
        <f t="shared" si="52"/>
        <v>1w</v>
      </c>
      <c r="W2652" s="82">
        <f>_xll.qlCalendarAdvance(Calendar,W2651,V2652,"f",FALSE)</f>
        <v>57516</v>
      </c>
      <c r="X2652" s="91">
        <f>_xll.qlCalendarAdvance(Calendar,W2652,NDays&amp;"D")</f>
        <v>57516</v>
      </c>
      <c r="Y2652" s="92" t="e">
        <v>#N/A</v>
      </c>
      <c r="Z2652" s="94" t="e">
        <v>#N/A</v>
      </c>
    </row>
    <row r="2653" spans="22:26" x14ac:dyDescent="0.2">
      <c r="V2653" s="123" t="str">
        <f t="shared" si="52"/>
        <v>1w</v>
      </c>
      <c r="W2653" s="82">
        <f>_xll.qlCalendarAdvance(Calendar,W2652,V2653,"f",FALSE)</f>
        <v>57523</v>
      </c>
      <c r="X2653" s="91">
        <f>_xll.qlCalendarAdvance(Calendar,W2653,NDays&amp;"D")</f>
        <v>57523</v>
      </c>
      <c r="Y2653" s="92" t="e">
        <v>#N/A</v>
      </c>
      <c r="Z2653" s="94" t="e">
        <v>#N/A</v>
      </c>
    </row>
    <row r="2654" spans="22:26" x14ac:dyDescent="0.2">
      <c r="V2654" s="123" t="str">
        <f t="shared" si="52"/>
        <v>1w</v>
      </c>
      <c r="W2654" s="82">
        <f>_xll.qlCalendarAdvance(Calendar,W2653,V2654,"f",FALSE)</f>
        <v>57530</v>
      </c>
      <c r="X2654" s="91">
        <f>_xll.qlCalendarAdvance(Calendar,W2654,NDays&amp;"D")</f>
        <v>57530</v>
      </c>
      <c r="Y2654" s="92" t="e">
        <v>#N/A</v>
      </c>
      <c r="Z2654" s="94" t="e">
        <v>#N/A</v>
      </c>
    </row>
    <row r="2655" spans="22:26" x14ac:dyDescent="0.2">
      <c r="V2655" s="123" t="str">
        <f t="shared" si="52"/>
        <v>1w</v>
      </c>
      <c r="W2655" s="82">
        <f>_xll.qlCalendarAdvance(Calendar,W2654,V2655,"f",FALSE)</f>
        <v>57537</v>
      </c>
      <c r="X2655" s="91">
        <f>_xll.qlCalendarAdvance(Calendar,W2655,NDays&amp;"D")</f>
        <v>57537</v>
      </c>
      <c r="Y2655" s="92" t="e">
        <v>#N/A</v>
      </c>
      <c r="Z2655" s="94" t="e">
        <v>#N/A</v>
      </c>
    </row>
    <row r="2656" spans="22:26" x14ac:dyDescent="0.2">
      <c r="V2656" s="123" t="str">
        <f t="shared" si="52"/>
        <v>1w</v>
      </c>
      <c r="W2656" s="82">
        <f>_xll.qlCalendarAdvance(Calendar,W2655,V2656,"f",FALSE)</f>
        <v>57544</v>
      </c>
      <c r="X2656" s="91">
        <f>_xll.qlCalendarAdvance(Calendar,W2656,NDays&amp;"D")</f>
        <v>57544</v>
      </c>
      <c r="Y2656" s="92" t="e">
        <v>#N/A</v>
      </c>
      <c r="Z2656" s="94" t="e">
        <v>#N/A</v>
      </c>
    </row>
    <row r="2657" spans="22:26" x14ac:dyDescent="0.2">
      <c r="V2657" s="123" t="str">
        <f t="shared" si="52"/>
        <v>1w</v>
      </c>
      <c r="W2657" s="82">
        <f>_xll.qlCalendarAdvance(Calendar,W2656,V2657,"f",FALSE)</f>
        <v>57551</v>
      </c>
      <c r="X2657" s="91">
        <f>_xll.qlCalendarAdvance(Calendar,W2657,NDays&amp;"D")</f>
        <v>57551</v>
      </c>
      <c r="Y2657" s="92" t="e">
        <v>#N/A</v>
      </c>
      <c r="Z2657" s="94" t="e">
        <v>#N/A</v>
      </c>
    </row>
    <row r="2658" spans="22:26" x14ac:dyDescent="0.2">
      <c r="V2658" s="123" t="str">
        <f t="shared" si="52"/>
        <v>1w</v>
      </c>
      <c r="W2658" s="82">
        <f>_xll.qlCalendarAdvance(Calendar,W2657,V2658,"f",FALSE)</f>
        <v>57558</v>
      </c>
      <c r="X2658" s="91">
        <f>_xll.qlCalendarAdvance(Calendar,W2658,NDays&amp;"D")</f>
        <v>57558</v>
      </c>
      <c r="Y2658" s="92" t="e">
        <v>#N/A</v>
      </c>
      <c r="Z2658" s="94" t="e">
        <v>#N/A</v>
      </c>
    </row>
    <row r="2659" spans="22:26" x14ac:dyDescent="0.2">
      <c r="V2659" s="123" t="str">
        <f t="shared" si="52"/>
        <v>1w</v>
      </c>
      <c r="W2659" s="82">
        <f>_xll.qlCalendarAdvance(Calendar,W2658,V2659,"f",FALSE)</f>
        <v>57565</v>
      </c>
      <c r="X2659" s="91">
        <f>_xll.qlCalendarAdvance(Calendar,W2659,NDays&amp;"D")</f>
        <v>57565</v>
      </c>
      <c r="Y2659" s="92" t="e">
        <v>#N/A</v>
      </c>
      <c r="Z2659" s="94" t="e">
        <v>#N/A</v>
      </c>
    </row>
    <row r="2660" spans="22:26" x14ac:dyDescent="0.2">
      <c r="V2660" s="123" t="str">
        <f t="shared" si="52"/>
        <v>1w</v>
      </c>
      <c r="W2660" s="82">
        <f>_xll.qlCalendarAdvance(Calendar,W2659,V2660,"f",FALSE)</f>
        <v>57572</v>
      </c>
      <c r="X2660" s="91">
        <f>_xll.qlCalendarAdvance(Calendar,W2660,NDays&amp;"D")</f>
        <v>57572</v>
      </c>
      <c r="Y2660" s="92" t="e">
        <v>#N/A</v>
      </c>
      <c r="Z2660" s="94" t="e">
        <v>#N/A</v>
      </c>
    </row>
    <row r="2661" spans="22:26" x14ac:dyDescent="0.2">
      <c r="V2661" s="123" t="str">
        <f t="shared" si="52"/>
        <v>1w</v>
      </c>
      <c r="W2661" s="82">
        <f>_xll.qlCalendarAdvance(Calendar,W2660,V2661,"f",FALSE)</f>
        <v>57579</v>
      </c>
      <c r="X2661" s="91">
        <f>_xll.qlCalendarAdvance(Calendar,W2661,NDays&amp;"D")</f>
        <v>57579</v>
      </c>
      <c r="Y2661" s="92" t="e">
        <v>#N/A</v>
      </c>
      <c r="Z2661" s="94" t="e">
        <v>#N/A</v>
      </c>
    </row>
    <row r="2662" spans="22:26" x14ac:dyDescent="0.2">
      <c r="V2662" s="123" t="str">
        <f t="shared" si="52"/>
        <v>1w</v>
      </c>
      <c r="W2662" s="82">
        <f>_xll.qlCalendarAdvance(Calendar,W2661,V2662,"f",FALSE)</f>
        <v>57586</v>
      </c>
      <c r="X2662" s="91">
        <f>_xll.qlCalendarAdvance(Calendar,W2662,NDays&amp;"D")</f>
        <v>57586</v>
      </c>
      <c r="Y2662" s="92" t="e">
        <v>#N/A</v>
      </c>
      <c r="Z2662" s="94" t="e">
        <v>#N/A</v>
      </c>
    </row>
    <row r="2663" spans="22:26" x14ac:dyDescent="0.2">
      <c r="V2663" s="123" t="str">
        <f t="shared" si="52"/>
        <v>1w</v>
      </c>
      <c r="W2663" s="82">
        <f>_xll.qlCalendarAdvance(Calendar,W2662,V2663,"f",FALSE)</f>
        <v>57593</v>
      </c>
      <c r="X2663" s="91">
        <f>_xll.qlCalendarAdvance(Calendar,W2663,NDays&amp;"D")</f>
        <v>57593</v>
      </c>
      <c r="Y2663" s="92" t="e">
        <v>#N/A</v>
      </c>
      <c r="Z2663" s="94" t="e">
        <v>#N/A</v>
      </c>
    </row>
    <row r="2664" spans="22:26" x14ac:dyDescent="0.2">
      <c r="V2664" s="123" t="str">
        <f t="shared" si="52"/>
        <v>1w</v>
      </c>
      <c r="W2664" s="82">
        <f>_xll.qlCalendarAdvance(Calendar,W2663,V2664,"f",FALSE)</f>
        <v>57600</v>
      </c>
      <c r="X2664" s="91">
        <f>_xll.qlCalendarAdvance(Calendar,W2664,NDays&amp;"D")</f>
        <v>57600</v>
      </c>
      <c r="Y2664" s="92" t="e">
        <v>#N/A</v>
      </c>
      <c r="Z2664" s="94" t="e">
        <v>#N/A</v>
      </c>
    </row>
    <row r="2665" spans="22:26" x14ac:dyDescent="0.2">
      <c r="V2665" s="123" t="str">
        <f t="shared" si="52"/>
        <v>1w</v>
      </c>
      <c r="W2665" s="82">
        <f>_xll.qlCalendarAdvance(Calendar,W2664,V2665,"f",FALSE)</f>
        <v>57607</v>
      </c>
      <c r="X2665" s="91">
        <f>_xll.qlCalendarAdvance(Calendar,W2665,NDays&amp;"D")</f>
        <v>57607</v>
      </c>
      <c r="Y2665" s="92" t="e">
        <v>#N/A</v>
      </c>
      <c r="Z2665" s="94" t="e">
        <v>#N/A</v>
      </c>
    </row>
    <row r="2666" spans="22:26" x14ac:dyDescent="0.2">
      <c r="V2666" s="123" t="str">
        <f t="shared" si="52"/>
        <v>1w</v>
      </c>
      <c r="W2666" s="82">
        <f>_xll.qlCalendarAdvance(Calendar,W2665,V2666,"f",FALSE)</f>
        <v>57614</v>
      </c>
      <c r="X2666" s="91">
        <f>_xll.qlCalendarAdvance(Calendar,W2666,NDays&amp;"D")</f>
        <v>57614</v>
      </c>
      <c r="Y2666" s="92" t="e">
        <v>#N/A</v>
      </c>
      <c r="Z2666" s="94" t="e">
        <v>#N/A</v>
      </c>
    </row>
    <row r="2667" spans="22:26" x14ac:dyDescent="0.2">
      <c r="V2667" s="123" t="str">
        <f t="shared" si="52"/>
        <v>1w</v>
      </c>
      <c r="W2667" s="82">
        <f>_xll.qlCalendarAdvance(Calendar,W2666,V2667,"f",FALSE)</f>
        <v>57621</v>
      </c>
      <c r="X2667" s="91">
        <f>_xll.qlCalendarAdvance(Calendar,W2667,NDays&amp;"D")</f>
        <v>57621</v>
      </c>
      <c r="Y2667" s="92" t="e">
        <v>#N/A</v>
      </c>
      <c r="Z2667" s="94" t="e">
        <v>#N/A</v>
      </c>
    </row>
    <row r="2668" spans="22:26" x14ac:dyDescent="0.2">
      <c r="V2668" s="123" t="str">
        <f t="shared" si="52"/>
        <v>1w</v>
      </c>
      <c r="W2668" s="82">
        <f>_xll.qlCalendarAdvance(Calendar,W2667,V2668,"f",FALSE)</f>
        <v>57628</v>
      </c>
      <c r="X2668" s="91">
        <f>_xll.qlCalendarAdvance(Calendar,W2668,NDays&amp;"D")</f>
        <v>57628</v>
      </c>
      <c r="Y2668" s="92" t="e">
        <v>#N/A</v>
      </c>
      <c r="Z2668" s="94" t="e">
        <v>#N/A</v>
      </c>
    </row>
    <row r="2669" spans="22:26" x14ac:dyDescent="0.2">
      <c r="V2669" s="123" t="str">
        <f t="shared" si="52"/>
        <v>1w</v>
      </c>
      <c r="W2669" s="82">
        <f>_xll.qlCalendarAdvance(Calendar,W2668,V2669,"f",FALSE)</f>
        <v>57635</v>
      </c>
      <c r="X2669" s="91">
        <f>_xll.qlCalendarAdvance(Calendar,W2669,NDays&amp;"D")</f>
        <v>57635</v>
      </c>
      <c r="Y2669" s="92" t="e">
        <v>#N/A</v>
      </c>
      <c r="Z2669" s="94" t="e">
        <v>#N/A</v>
      </c>
    </row>
    <row r="2670" spans="22:26" x14ac:dyDescent="0.2">
      <c r="V2670" s="123" t="str">
        <f t="shared" si="52"/>
        <v>1w</v>
      </c>
      <c r="W2670" s="82">
        <f>_xll.qlCalendarAdvance(Calendar,W2669,V2670,"f",FALSE)</f>
        <v>57642</v>
      </c>
      <c r="X2670" s="91">
        <f>_xll.qlCalendarAdvance(Calendar,W2670,NDays&amp;"D")</f>
        <v>57642</v>
      </c>
      <c r="Y2670" s="92" t="e">
        <v>#N/A</v>
      </c>
      <c r="Z2670" s="94" t="e">
        <v>#N/A</v>
      </c>
    </row>
    <row r="2671" spans="22:26" x14ac:dyDescent="0.2">
      <c r="V2671" s="123" t="str">
        <f t="shared" si="52"/>
        <v>1w</v>
      </c>
      <c r="W2671" s="82">
        <f>_xll.qlCalendarAdvance(Calendar,W2670,V2671,"f",FALSE)</f>
        <v>57649</v>
      </c>
      <c r="X2671" s="91">
        <f>_xll.qlCalendarAdvance(Calendar,W2671,NDays&amp;"D")</f>
        <v>57649</v>
      </c>
      <c r="Y2671" s="92" t="e">
        <v>#N/A</v>
      </c>
      <c r="Z2671" s="94" t="e">
        <v>#N/A</v>
      </c>
    </row>
    <row r="2672" spans="22:26" x14ac:dyDescent="0.2">
      <c r="V2672" s="123" t="str">
        <f t="shared" si="52"/>
        <v>1w</v>
      </c>
      <c r="W2672" s="82">
        <f>_xll.qlCalendarAdvance(Calendar,W2671,V2672,"f",FALSE)</f>
        <v>57656</v>
      </c>
      <c r="X2672" s="91">
        <f>_xll.qlCalendarAdvance(Calendar,W2672,NDays&amp;"D")</f>
        <v>57656</v>
      </c>
      <c r="Y2672" s="92" t="e">
        <v>#N/A</v>
      </c>
      <c r="Z2672" s="94" t="e">
        <v>#N/A</v>
      </c>
    </row>
    <row r="2673" spans="22:26" x14ac:dyDescent="0.2">
      <c r="V2673" s="123" t="str">
        <f t="shared" si="52"/>
        <v>1w</v>
      </c>
      <c r="W2673" s="82">
        <f>_xll.qlCalendarAdvance(Calendar,W2672,V2673,"f",FALSE)</f>
        <v>57663</v>
      </c>
      <c r="X2673" s="91">
        <f>_xll.qlCalendarAdvance(Calendar,W2673,NDays&amp;"D")</f>
        <v>57663</v>
      </c>
      <c r="Y2673" s="92" t="e">
        <v>#N/A</v>
      </c>
      <c r="Z2673" s="94" t="e">
        <v>#N/A</v>
      </c>
    </row>
    <row r="2674" spans="22:26" x14ac:dyDescent="0.2">
      <c r="V2674" s="123" t="str">
        <f t="shared" si="52"/>
        <v>1w</v>
      </c>
      <c r="W2674" s="82">
        <f>_xll.qlCalendarAdvance(Calendar,W2673,V2674,"f",FALSE)</f>
        <v>57670</v>
      </c>
      <c r="X2674" s="91">
        <f>_xll.qlCalendarAdvance(Calendar,W2674,NDays&amp;"D")</f>
        <v>57670</v>
      </c>
      <c r="Y2674" s="92" t="e">
        <v>#N/A</v>
      </c>
      <c r="Z2674" s="94" t="e">
        <v>#N/A</v>
      </c>
    </row>
    <row r="2675" spans="22:26" x14ac:dyDescent="0.2">
      <c r="V2675" s="123" t="str">
        <f t="shared" si="52"/>
        <v>1w</v>
      </c>
      <c r="W2675" s="82">
        <f>_xll.qlCalendarAdvance(Calendar,W2674,V2675,"f",FALSE)</f>
        <v>57677</v>
      </c>
      <c r="X2675" s="91">
        <f>_xll.qlCalendarAdvance(Calendar,W2675,NDays&amp;"D")</f>
        <v>57677</v>
      </c>
      <c r="Y2675" s="92" t="e">
        <v>#N/A</v>
      </c>
      <c r="Z2675" s="94" t="e">
        <v>#N/A</v>
      </c>
    </row>
    <row r="2676" spans="22:26" x14ac:dyDescent="0.2">
      <c r="V2676" s="123" t="str">
        <f t="shared" si="52"/>
        <v>1w</v>
      </c>
      <c r="W2676" s="82">
        <f>_xll.qlCalendarAdvance(Calendar,W2675,V2676,"f",FALSE)</f>
        <v>57684</v>
      </c>
      <c r="X2676" s="91">
        <f>_xll.qlCalendarAdvance(Calendar,W2676,NDays&amp;"D")</f>
        <v>57684</v>
      </c>
      <c r="Y2676" s="92" t="e">
        <v>#N/A</v>
      </c>
      <c r="Z2676" s="94" t="e">
        <v>#N/A</v>
      </c>
    </row>
    <row r="2677" spans="22:26" x14ac:dyDescent="0.2">
      <c r="V2677" s="123" t="str">
        <f t="shared" si="52"/>
        <v>1w</v>
      </c>
      <c r="W2677" s="82">
        <f>_xll.qlCalendarAdvance(Calendar,W2676,V2677,"f",FALSE)</f>
        <v>57691</v>
      </c>
      <c r="X2677" s="91">
        <f>_xll.qlCalendarAdvance(Calendar,W2677,NDays&amp;"D")</f>
        <v>57691</v>
      </c>
      <c r="Y2677" s="92" t="e">
        <v>#N/A</v>
      </c>
      <c r="Z2677" s="94" t="e">
        <v>#N/A</v>
      </c>
    </row>
    <row r="2678" spans="22:26" x14ac:dyDescent="0.2">
      <c r="V2678" s="123" t="str">
        <f t="shared" si="52"/>
        <v>1w</v>
      </c>
      <c r="W2678" s="82">
        <f>_xll.qlCalendarAdvance(Calendar,W2677,V2678,"f",FALSE)</f>
        <v>57698</v>
      </c>
      <c r="X2678" s="91">
        <f>_xll.qlCalendarAdvance(Calendar,W2678,NDays&amp;"D")</f>
        <v>57698</v>
      </c>
      <c r="Y2678" s="92" t="e">
        <v>#N/A</v>
      </c>
      <c r="Z2678" s="94" t="e">
        <v>#N/A</v>
      </c>
    </row>
    <row r="2679" spans="22:26" x14ac:dyDescent="0.2">
      <c r="V2679" s="123" t="str">
        <f t="shared" si="52"/>
        <v>1w</v>
      </c>
      <c r="W2679" s="82">
        <f>_xll.qlCalendarAdvance(Calendar,W2678,V2679,"f",FALSE)</f>
        <v>57706</v>
      </c>
      <c r="X2679" s="91">
        <f>_xll.qlCalendarAdvance(Calendar,W2679,NDays&amp;"D")</f>
        <v>57706</v>
      </c>
      <c r="Y2679" s="92" t="e">
        <v>#N/A</v>
      </c>
      <c r="Z2679" s="94" t="e">
        <v>#N/A</v>
      </c>
    </row>
    <row r="2680" spans="22:26" x14ac:dyDescent="0.2">
      <c r="V2680" s="123" t="str">
        <f t="shared" si="52"/>
        <v>1w</v>
      </c>
      <c r="W2680" s="82">
        <f>_xll.qlCalendarAdvance(Calendar,W2679,V2680,"f",FALSE)</f>
        <v>57713</v>
      </c>
      <c r="X2680" s="91">
        <f>_xll.qlCalendarAdvance(Calendar,W2680,NDays&amp;"D")</f>
        <v>57713</v>
      </c>
      <c r="Y2680" s="92" t="e">
        <v>#N/A</v>
      </c>
      <c r="Z2680" s="94" t="e">
        <v>#N/A</v>
      </c>
    </row>
    <row r="2681" spans="22:26" x14ac:dyDescent="0.2">
      <c r="V2681" s="123" t="str">
        <f t="shared" si="52"/>
        <v>1w</v>
      </c>
      <c r="W2681" s="82">
        <f>_xll.qlCalendarAdvance(Calendar,W2680,V2681,"f",FALSE)</f>
        <v>57720</v>
      </c>
      <c r="X2681" s="91">
        <f>_xll.qlCalendarAdvance(Calendar,W2681,NDays&amp;"D")</f>
        <v>57720</v>
      </c>
      <c r="Y2681" s="92" t="e">
        <v>#N/A</v>
      </c>
      <c r="Z2681" s="94" t="e">
        <v>#N/A</v>
      </c>
    </row>
    <row r="2682" spans="22:26" x14ac:dyDescent="0.2">
      <c r="V2682" s="123" t="str">
        <f t="shared" si="52"/>
        <v>1w</v>
      </c>
      <c r="W2682" s="82">
        <f>_xll.qlCalendarAdvance(Calendar,W2681,V2682,"f",FALSE)</f>
        <v>57727</v>
      </c>
      <c r="X2682" s="91">
        <f>_xll.qlCalendarAdvance(Calendar,W2682,NDays&amp;"D")</f>
        <v>57727</v>
      </c>
      <c r="Y2682" s="92" t="e">
        <v>#N/A</v>
      </c>
      <c r="Z2682" s="94" t="e">
        <v>#N/A</v>
      </c>
    </row>
    <row r="2683" spans="22:26" x14ac:dyDescent="0.2">
      <c r="V2683" s="123" t="str">
        <f t="shared" si="52"/>
        <v>1w</v>
      </c>
      <c r="W2683" s="82">
        <f>_xll.qlCalendarAdvance(Calendar,W2682,V2683,"f",FALSE)</f>
        <v>57734</v>
      </c>
      <c r="X2683" s="91">
        <f>_xll.qlCalendarAdvance(Calendar,W2683,NDays&amp;"D")</f>
        <v>57734</v>
      </c>
      <c r="Y2683" s="92" t="e">
        <v>#N/A</v>
      </c>
      <c r="Z2683" s="94" t="e">
        <v>#N/A</v>
      </c>
    </row>
    <row r="2684" spans="22:26" x14ac:dyDescent="0.2">
      <c r="V2684" s="123" t="str">
        <f t="shared" si="52"/>
        <v>1w</v>
      </c>
      <c r="W2684" s="82">
        <f>_xll.qlCalendarAdvance(Calendar,W2683,V2684,"f",FALSE)</f>
        <v>57741</v>
      </c>
      <c r="X2684" s="91">
        <f>_xll.qlCalendarAdvance(Calendar,W2684,NDays&amp;"D")</f>
        <v>57741</v>
      </c>
      <c r="Y2684" s="92" t="e">
        <v>#N/A</v>
      </c>
      <c r="Z2684" s="94" t="e">
        <v>#N/A</v>
      </c>
    </row>
    <row r="2685" spans="22:26" x14ac:dyDescent="0.2">
      <c r="V2685" s="123" t="str">
        <f t="shared" si="52"/>
        <v>1w</v>
      </c>
      <c r="W2685" s="82">
        <f>_xll.qlCalendarAdvance(Calendar,W2684,V2685,"f",FALSE)</f>
        <v>57748</v>
      </c>
      <c r="X2685" s="91">
        <f>_xll.qlCalendarAdvance(Calendar,W2685,NDays&amp;"D")</f>
        <v>57748</v>
      </c>
      <c r="Y2685" s="92" t="e">
        <v>#N/A</v>
      </c>
      <c r="Z2685" s="94" t="e">
        <v>#N/A</v>
      </c>
    </row>
    <row r="2686" spans="22:26" x14ac:dyDescent="0.2">
      <c r="V2686" s="123" t="str">
        <f t="shared" si="52"/>
        <v>1w</v>
      </c>
      <c r="W2686" s="82">
        <f>_xll.qlCalendarAdvance(Calendar,W2685,V2686,"f",FALSE)</f>
        <v>57755</v>
      </c>
      <c r="X2686" s="91">
        <f>_xll.qlCalendarAdvance(Calendar,W2686,NDays&amp;"D")</f>
        <v>57755</v>
      </c>
      <c r="Y2686" s="92" t="e">
        <v>#N/A</v>
      </c>
      <c r="Z2686" s="94" t="e">
        <v>#N/A</v>
      </c>
    </row>
    <row r="2687" spans="22:26" x14ac:dyDescent="0.2">
      <c r="V2687" s="123" t="str">
        <f t="shared" si="52"/>
        <v>1w</v>
      </c>
      <c r="W2687" s="82">
        <f>_xll.qlCalendarAdvance(Calendar,W2686,V2687,"f",FALSE)</f>
        <v>57762</v>
      </c>
      <c r="X2687" s="91">
        <f>_xll.qlCalendarAdvance(Calendar,W2687,NDays&amp;"D")</f>
        <v>57762</v>
      </c>
      <c r="Y2687" s="92" t="e">
        <v>#N/A</v>
      </c>
      <c r="Z2687" s="94" t="e">
        <v>#N/A</v>
      </c>
    </row>
    <row r="2688" spans="22:26" x14ac:dyDescent="0.2">
      <c r="V2688" s="123" t="str">
        <f t="shared" si="52"/>
        <v>1w</v>
      </c>
      <c r="W2688" s="82">
        <f>_xll.qlCalendarAdvance(Calendar,W2687,V2688,"f",FALSE)</f>
        <v>57769</v>
      </c>
      <c r="X2688" s="91">
        <f>_xll.qlCalendarAdvance(Calendar,W2688,NDays&amp;"D")</f>
        <v>57769</v>
      </c>
      <c r="Y2688" s="92" t="e">
        <v>#N/A</v>
      </c>
      <c r="Z2688" s="94" t="e">
        <v>#N/A</v>
      </c>
    </row>
    <row r="2689" spans="22:26" x14ac:dyDescent="0.2">
      <c r="V2689" s="123" t="str">
        <f t="shared" si="52"/>
        <v>1w</v>
      </c>
      <c r="W2689" s="82">
        <f>_xll.qlCalendarAdvance(Calendar,W2688,V2689,"f",FALSE)</f>
        <v>57776</v>
      </c>
      <c r="X2689" s="91">
        <f>_xll.qlCalendarAdvance(Calendar,W2689,NDays&amp;"D")</f>
        <v>57776</v>
      </c>
      <c r="Y2689" s="92" t="e">
        <v>#N/A</v>
      </c>
      <c r="Z2689" s="94" t="e">
        <v>#N/A</v>
      </c>
    </row>
    <row r="2690" spans="22:26" x14ac:dyDescent="0.2">
      <c r="V2690" s="123" t="str">
        <f t="shared" si="52"/>
        <v>1w</v>
      </c>
      <c r="W2690" s="82">
        <f>_xll.qlCalendarAdvance(Calendar,W2689,V2690,"f",FALSE)</f>
        <v>57783</v>
      </c>
      <c r="X2690" s="91">
        <f>_xll.qlCalendarAdvance(Calendar,W2690,NDays&amp;"D")</f>
        <v>57783</v>
      </c>
      <c r="Y2690" s="92" t="e">
        <v>#N/A</v>
      </c>
      <c r="Z2690" s="94" t="e">
        <v>#N/A</v>
      </c>
    </row>
    <row r="2691" spans="22:26" x14ac:dyDescent="0.2">
      <c r="V2691" s="123" t="str">
        <f t="shared" si="52"/>
        <v>1w</v>
      </c>
      <c r="W2691" s="82">
        <f>_xll.qlCalendarAdvance(Calendar,W2690,V2691,"f",FALSE)</f>
        <v>57790</v>
      </c>
      <c r="X2691" s="91">
        <f>_xll.qlCalendarAdvance(Calendar,W2691,NDays&amp;"D")</f>
        <v>57790</v>
      </c>
      <c r="Y2691" s="92" t="e">
        <v>#N/A</v>
      </c>
      <c r="Z2691" s="94" t="e">
        <v>#N/A</v>
      </c>
    </row>
    <row r="2692" spans="22:26" x14ac:dyDescent="0.2">
      <c r="V2692" s="123" t="str">
        <f t="shared" si="52"/>
        <v>1w</v>
      </c>
      <c r="W2692" s="82">
        <f>_xll.qlCalendarAdvance(Calendar,W2691,V2692,"f",FALSE)</f>
        <v>57797</v>
      </c>
      <c r="X2692" s="91">
        <f>_xll.qlCalendarAdvance(Calendar,W2692,NDays&amp;"D")</f>
        <v>57797</v>
      </c>
      <c r="Y2692" s="92" t="e">
        <v>#N/A</v>
      </c>
      <c r="Z2692" s="94" t="e">
        <v>#N/A</v>
      </c>
    </row>
    <row r="2693" spans="22:26" x14ac:dyDescent="0.2">
      <c r="V2693" s="123" t="str">
        <f t="shared" si="52"/>
        <v>1w</v>
      </c>
      <c r="W2693" s="82">
        <f>_xll.qlCalendarAdvance(Calendar,W2692,V2693,"f",FALSE)</f>
        <v>57804</v>
      </c>
      <c r="X2693" s="91">
        <f>_xll.qlCalendarAdvance(Calendar,W2693,NDays&amp;"D")</f>
        <v>57804</v>
      </c>
      <c r="Y2693" s="92" t="e">
        <v>#N/A</v>
      </c>
      <c r="Z2693" s="94" t="e">
        <v>#N/A</v>
      </c>
    </row>
    <row r="2694" spans="22:26" x14ac:dyDescent="0.2">
      <c r="V2694" s="123" t="str">
        <f t="shared" si="52"/>
        <v>1w</v>
      </c>
      <c r="W2694" s="82">
        <f>_xll.qlCalendarAdvance(Calendar,W2693,V2694,"f",FALSE)</f>
        <v>57811</v>
      </c>
      <c r="X2694" s="91">
        <f>_xll.qlCalendarAdvance(Calendar,W2694,NDays&amp;"D")</f>
        <v>57811</v>
      </c>
      <c r="Y2694" s="92" t="e">
        <v>#N/A</v>
      </c>
      <c r="Z2694" s="94" t="e">
        <v>#N/A</v>
      </c>
    </row>
    <row r="2695" spans="22:26" x14ac:dyDescent="0.2">
      <c r="V2695" s="123" t="str">
        <f t="shared" si="52"/>
        <v>1w</v>
      </c>
      <c r="W2695" s="82">
        <f>_xll.qlCalendarAdvance(Calendar,W2694,V2695,"f",FALSE)</f>
        <v>57818</v>
      </c>
      <c r="X2695" s="91">
        <f>_xll.qlCalendarAdvance(Calendar,W2695,NDays&amp;"D")</f>
        <v>57818</v>
      </c>
      <c r="Y2695" s="92" t="e">
        <v>#N/A</v>
      </c>
      <c r="Z2695" s="94" t="e">
        <v>#N/A</v>
      </c>
    </row>
    <row r="2696" spans="22:26" x14ac:dyDescent="0.2">
      <c r="V2696" s="123" t="str">
        <f t="shared" si="52"/>
        <v>1w</v>
      </c>
      <c r="W2696" s="82">
        <f>_xll.qlCalendarAdvance(Calendar,W2695,V2696,"f",FALSE)</f>
        <v>57825</v>
      </c>
      <c r="X2696" s="91">
        <f>_xll.qlCalendarAdvance(Calendar,W2696,NDays&amp;"D")</f>
        <v>57825</v>
      </c>
      <c r="Y2696" s="92" t="e">
        <v>#N/A</v>
      </c>
      <c r="Z2696" s="94" t="e">
        <v>#N/A</v>
      </c>
    </row>
    <row r="2697" spans="22:26" x14ac:dyDescent="0.2">
      <c r="V2697" s="123" t="str">
        <f t="shared" si="52"/>
        <v>1w</v>
      </c>
      <c r="W2697" s="82">
        <f>_xll.qlCalendarAdvance(Calendar,W2696,V2697,"f",FALSE)</f>
        <v>57832</v>
      </c>
      <c r="X2697" s="91">
        <f>_xll.qlCalendarAdvance(Calendar,W2697,NDays&amp;"D")</f>
        <v>57832</v>
      </c>
      <c r="Y2697" s="92" t="e">
        <v>#N/A</v>
      </c>
      <c r="Z2697" s="94" t="e">
        <v>#N/A</v>
      </c>
    </row>
    <row r="2698" spans="22:26" x14ac:dyDescent="0.2">
      <c r="V2698" s="123" t="str">
        <f t="shared" si="52"/>
        <v>1w</v>
      </c>
      <c r="W2698" s="82">
        <f>_xll.qlCalendarAdvance(Calendar,W2697,V2698,"f",FALSE)</f>
        <v>57839</v>
      </c>
      <c r="X2698" s="91">
        <f>_xll.qlCalendarAdvance(Calendar,W2698,NDays&amp;"D")</f>
        <v>57839</v>
      </c>
      <c r="Y2698" s="92" t="e">
        <v>#N/A</v>
      </c>
      <c r="Z2698" s="94" t="e">
        <v>#N/A</v>
      </c>
    </row>
    <row r="2699" spans="22:26" x14ac:dyDescent="0.2">
      <c r="V2699" s="123" t="str">
        <f t="shared" si="52"/>
        <v>1w</v>
      </c>
      <c r="W2699" s="82">
        <f>_xll.qlCalendarAdvance(Calendar,W2698,V2699,"f",FALSE)</f>
        <v>57846</v>
      </c>
      <c r="X2699" s="91">
        <f>_xll.qlCalendarAdvance(Calendar,W2699,NDays&amp;"D")</f>
        <v>57846</v>
      </c>
      <c r="Y2699" s="92" t="e">
        <v>#N/A</v>
      </c>
      <c r="Z2699" s="94" t="e">
        <v>#N/A</v>
      </c>
    </row>
    <row r="2700" spans="22:26" x14ac:dyDescent="0.2">
      <c r="V2700" s="123" t="str">
        <f t="shared" si="52"/>
        <v>1w</v>
      </c>
      <c r="W2700" s="82">
        <f>_xll.qlCalendarAdvance(Calendar,W2699,V2700,"f",FALSE)</f>
        <v>57853</v>
      </c>
      <c r="X2700" s="91">
        <f>_xll.qlCalendarAdvance(Calendar,W2700,NDays&amp;"D")</f>
        <v>57853</v>
      </c>
      <c r="Y2700" s="92" t="e">
        <v>#N/A</v>
      </c>
      <c r="Z2700" s="94" t="e">
        <v>#N/A</v>
      </c>
    </row>
    <row r="2701" spans="22:26" x14ac:dyDescent="0.2">
      <c r="V2701" s="123" t="str">
        <f t="shared" si="52"/>
        <v>1w</v>
      </c>
      <c r="W2701" s="82">
        <f>_xll.qlCalendarAdvance(Calendar,W2700,V2701,"f",FALSE)</f>
        <v>57860</v>
      </c>
      <c r="X2701" s="91">
        <f>_xll.qlCalendarAdvance(Calendar,W2701,NDays&amp;"D")</f>
        <v>57860</v>
      </c>
      <c r="Y2701" s="92" t="e">
        <v>#N/A</v>
      </c>
      <c r="Z2701" s="94" t="e">
        <v>#N/A</v>
      </c>
    </row>
    <row r="2702" spans="22:26" x14ac:dyDescent="0.2">
      <c r="V2702" s="123" t="str">
        <f t="shared" si="52"/>
        <v>1w</v>
      </c>
      <c r="W2702" s="82">
        <f>_xll.qlCalendarAdvance(Calendar,W2701,V2702,"f",FALSE)</f>
        <v>57867</v>
      </c>
      <c r="X2702" s="91">
        <f>_xll.qlCalendarAdvance(Calendar,W2702,NDays&amp;"D")</f>
        <v>57867</v>
      </c>
      <c r="Y2702" s="92" t="e">
        <v>#N/A</v>
      </c>
      <c r="Z2702" s="94" t="e">
        <v>#N/A</v>
      </c>
    </row>
    <row r="2703" spans="22:26" x14ac:dyDescent="0.2">
      <c r="V2703" s="123" t="str">
        <f t="shared" si="52"/>
        <v>1w</v>
      </c>
      <c r="W2703" s="82">
        <f>_xll.qlCalendarAdvance(Calendar,W2702,V2703,"f",FALSE)</f>
        <v>57874</v>
      </c>
      <c r="X2703" s="91">
        <f>_xll.qlCalendarAdvance(Calendar,W2703,NDays&amp;"D")</f>
        <v>57874</v>
      </c>
      <c r="Y2703" s="92" t="e">
        <v>#N/A</v>
      </c>
      <c r="Z2703" s="94" t="e">
        <v>#N/A</v>
      </c>
    </row>
    <row r="2704" spans="22:26" x14ac:dyDescent="0.2">
      <c r="V2704" s="123" t="str">
        <f t="shared" si="52"/>
        <v>1w</v>
      </c>
      <c r="W2704" s="82">
        <f>_xll.qlCalendarAdvance(Calendar,W2703,V2704,"f",FALSE)</f>
        <v>57881</v>
      </c>
      <c r="X2704" s="91">
        <f>_xll.qlCalendarAdvance(Calendar,W2704,NDays&amp;"D")</f>
        <v>57881</v>
      </c>
      <c r="Y2704" s="92" t="e">
        <v>#N/A</v>
      </c>
      <c r="Z2704" s="94" t="e">
        <v>#N/A</v>
      </c>
    </row>
    <row r="2705" spans="22:26" x14ac:dyDescent="0.2">
      <c r="V2705" s="123" t="str">
        <f t="shared" si="52"/>
        <v>1w</v>
      </c>
      <c r="W2705" s="82">
        <f>_xll.qlCalendarAdvance(Calendar,W2704,V2705,"f",FALSE)</f>
        <v>57888</v>
      </c>
      <c r="X2705" s="91">
        <f>_xll.qlCalendarAdvance(Calendar,W2705,NDays&amp;"D")</f>
        <v>57888</v>
      </c>
      <c r="Y2705" s="92" t="e">
        <v>#N/A</v>
      </c>
      <c r="Z2705" s="94" t="e">
        <v>#N/A</v>
      </c>
    </row>
    <row r="2706" spans="22:26" x14ac:dyDescent="0.2">
      <c r="V2706" s="123" t="str">
        <f t="shared" si="52"/>
        <v>1w</v>
      </c>
      <c r="W2706" s="82">
        <f>_xll.qlCalendarAdvance(Calendar,W2705,V2706,"f",FALSE)</f>
        <v>57895</v>
      </c>
      <c r="X2706" s="91">
        <f>_xll.qlCalendarAdvance(Calendar,W2706,NDays&amp;"D")</f>
        <v>57895</v>
      </c>
      <c r="Y2706" s="92" t="e">
        <v>#N/A</v>
      </c>
      <c r="Z2706" s="94" t="e">
        <v>#N/A</v>
      </c>
    </row>
    <row r="2707" spans="22:26" x14ac:dyDescent="0.2">
      <c r="V2707" s="123" t="str">
        <f t="shared" si="52"/>
        <v>1w</v>
      </c>
      <c r="W2707" s="82">
        <f>_xll.qlCalendarAdvance(Calendar,W2706,V2707,"f",FALSE)</f>
        <v>57902</v>
      </c>
      <c r="X2707" s="91">
        <f>_xll.qlCalendarAdvance(Calendar,W2707,NDays&amp;"D")</f>
        <v>57902</v>
      </c>
      <c r="Y2707" s="92" t="e">
        <v>#N/A</v>
      </c>
      <c r="Z2707" s="94" t="e">
        <v>#N/A</v>
      </c>
    </row>
    <row r="2708" spans="22:26" x14ac:dyDescent="0.2">
      <c r="V2708" s="123" t="str">
        <f t="shared" si="52"/>
        <v>1w</v>
      </c>
      <c r="W2708" s="82">
        <f>_xll.qlCalendarAdvance(Calendar,W2707,V2708,"f",FALSE)</f>
        <v>57909</v>
      </c>
      <c r="X2708" s="91">
        <f>_xll.qlCalendarAdvance(Calendar,W2708,NDays&amp;"D")</f>
        <v>57909</v>
      </c>
      <c r="Y2708" s="92" t="e">
        <v>#N/A</v>
      </c>
      <c r="Z2708" s="94" t="e">
        <v>#N/A</v>
      </c>
    </row>
    <row r="2709" spans="22:26" x14ac:dyDescent="0.2">
      <c r="V2709" s="123" t="str">
        <f t="shared" ref="V2709:V2772" si="53">V2708</f>
        <v>1w</v>
      </c>
      <c r="W2709" s="82">
        <f>_xll.qlCalendarAdvance(Calendar,W2708,V2709,"f",FALSE)</f>
        <v>57916</v>
      </c>
      <c r="X2709" s="91">
        <f>_xll.qlCalendarAdvance(Calendar,W2709,NDays&amp;"D")</f>
        <v>57916</v>
      </c>
      <c r="Y2709" s="92" t="e">
        <v>#N/A</v>
      </c>
      <c r="Z2709" s="94" t="e">
        <v>#N/A</v>
      </c>
    </row>
    <row r="2710" spans="22:26" x14ac:dyDescent="0.2">
      <c r="V2710" s="123" t="str">
        <f t="shared" si="53"/>
        <v>1w</v>
      </c>
      <c r="W2710" s="82">
        <f>_xll.qlCalendarAdvance(Calendar,W2709,V2710,"f",FALSE)</f>
        <v>57923</v>
      </c>
      <c r="X2710" s="91">
        <f>_xll.qlCalendarAdvance(Calendar,W2710,NDays&amp;"D")</f>
        <v>57923</v>
      </c>
      <c r="Y2710" s="92" t="e">
        <v>#N/A</v>
      </c>
      <c r="Z2710" s="94" t="e">
        <v>#N/A</v>
      </c>
    </row>
    <row r="2711" spans="22:26" x14ac:dyDescent="0.2">
      <c r="V2711" s="123" t="str">
        <f t="shared" si="53"/>
        <v>1w</v>
      </c>
      <c r="W2711" s="82">
        <f>_xll.qlCalendarAdvance(Calendar,W2710,V2711,"f",FALSE)</f>
        <v>57930</v>
      </c>
      <c r="X2711" s="91">
        <f>_xll.qlCalendarAdvance(Calendar,W2711,NDays&amp;"D")</f>
        <v>57930</v>
      </c>
      <c r="Y2711" s="92" t="e">
        <v>#N/A</v>
      </c>
      <c r="Z2711" s="94" t="e">
        <v>#N/A</v>
      </c>
    </row>
    <row r="2712" spans="22:26" x14ac:dyDescent="0.2">
      <c r="V2712" s="123" t="str">
        <f t="shared" si="53"/>
        <v>1w</v>
      </c>
      <c r="W2712" s="82">
        <f>_xll.qlCalendarAdvance(Calendar,W2711,V2712,"f",FALSE)</f>
        <v>57937</v>
      </c>
      <c r="X2712" s="91">
        <f>_xll.qlCalendarAdvance(Calendar,W2712,NDays&amp;"D")</f>
        <v>57937</v>
      </c>
      <c r="Y2712" s="92" t="e">
        <v>#N/A</v>
      </c>
      <c r="Z2712" s="94" t="e">
        <v>#N/A</v>
      </c>
    </row>
    <row r="2713" spans="22:26" x14ac:dyDescent="0.2">
      <c r="V2713" s="123" t="str">
        <f t="shared" si="53"/>
        <v>1w</v>
      </c>
      <c r="W2713" s="82">
        <f>_xll.qlCalendarAdvance(Calendar,W2712,V2713,"f",FALSE)</f>
        <v>57944</v>
      </c>
      <c r="X2713" s="91">
        <f>_xll.qlCalendarAdvance(Calendar,W2713,NDays&amp;"D")</f>
        <v>57944</v>
      </c>
      <c r="Y2713" s="92" t="e">
        <v>#N/A</v>
      </c>
      <c r="Z2713" s="94" t="e">
        <v>#N/A</v>
      </c>
    </row>
    <row r="2714" spans="22:26" x14ac:dyDescent="0.2">
      <c r="V2714" s="123" t="str">
        <f t="shared" si="53"/>
        <v>1w</v>
      </c>
      <c r="W2714" s="82">
        <f>_xll.qlCalendarAdvance(Calendar,W2713,V2714,"f",FALSE)</f>
        <v>57951</v>
      </c>
      <c r="X2714" s="91">
        <f>_xll.qlCalendarAdvance(Calendar,W2714,NDays&amp;"D")</f>
        <v>57951</v>
      </c>
      <c r="Y2714" s="92" t="e">
        <v>#N/A</v>
      </c>
      <c r="Z2714" s="94" t="e">
        <v>#N/A</v>
      </c>
    </row>
    <row r="2715" spans="22:26" x14ac:dyDescent="0.2">
      <c r="V2715" s="123" t="str">
        <f t="shared" si="53"/>
        <v>1w</v>
      </c>
      <c r="W2715" s="82">
        <f>_xll.qlCalendarAdvance(Calendar,W2714,V2715,"f",FALSE)</f>
        <v>57958</v>
      </c>
      <c r="X2715" s="91">
        <f>_xll.qlCalendarAdvance(Calendar,W2715,NDays&amp;"D")</f>
        <v>57958</v>
      </c>
      <c r="Y2715" s="92" t="e">
        <v>#N/A</v>
      </c>
      <c r="Z2715" s="94" t="e">
        <v>#N/A</v>
      </c>
    </row>
    <row r="2716" spans="22:26" x14ac:dyDescent="0.2">
      <c r="V2716" s="123" t="str">
        <f t="shared" si="53"/>
        <v>1w</v>
      </c>
      <c r="W2716" s="82">
        <f>_xll.qlCalendarAdvance(Calendar,W2715,V2716,"f",FALSE)</f>
        <v>57965</v>
      </c>
      <c r="X2716" s="91">
        <f>_xll.qlCalendarAdvance(Calendar,W2716,NDays&amp;"D")</f>
        <v>57965</v>
      </c>
      <c r="Y2716" s="92" t="e">
        <v>#N/A</v>
      </c>
      <c r="Z2716" s="94" t="e">
        <v>#N/A</v>
      </c>
    </row>
    <row r="2717" spans="22:26" x14ac:dyDescent="0.2">
      <c r="V2717" s="123" t="str">
        <f t="shared" si="53"/>
        <v>1w</v>
      </c>
      <c r="W2717" s="82">
        <f>_xll.qlCalendarAdvance(Calendar,W2716,V2717,"f",FALSE)</f>
        <v>57972</v>
      </c>
      <c r="X2717" s="91">
        <f>_xll.qlCalendarAdvance(Calendar,W2717,NDays&amp;"D")</f>
        <v>57972</v>
      </c>
      <c r="Y2717" s="92" t="e">
        <v>#N/A</v>
      </c>
      <c r="Z2717" s="94" t="e">
        <v>#N/A</v>
      </c>
    </row>
    <row r="2718" spans="22:26" x14ac:dyDescent="0.2">
      <c r="V2718" s="123" t="str">
        <f t="shared" si="53"/>
        <v>1w</v>
      </c>
      <c r="W2718" s="82">
        <f>_xll.qlCalendarAdvance(Calendar,W2717,V2718,"f",FALSE)</f>
        <v>57979</v>
      </c>
      <c r="X2718" s="91">
        <f>_xll.qlCalendarAdvance(Calendar,W2718,NDays&amp;"D")</f>
        <v>57979</v>
      </c>
      <c r="Y2718" s="92" t="e">
        <v>#N/A</v>
      </c>
      <c r="Z2718" s="94" t="e">
        <v>#N/A</v>
      </c>
    </row>
    <row r="2719" spans="22:26" x14ac:dyDescent="0.2">
      <c r="V2719" s="123" t="str">
        <f t="shared" si="53"/>
        <v>1w</v>
      </c>
      <c r="W2719" s="82">
        <f>_xll.qlCalendarAdvance(Calendar,W2718,V2719,"f",FALSE)</f>
        <v>57986</v>
      </c>
      <c r="X2719" s="91">
        <f>_xll.qlCalendarAdvance(Calendar,W2719,NDays&amp;"D")</f>
        <v>57986</v>
      </c>
      <c r="Y2719" s="92" t="e">
        <v>#N/A</v>
      </c>
      <c r="Z2719" s="94" t="e">
        <v>#N/A</v>
      </c>
    </row>
    <row r="2720" spans="22:26" x14ac:dyDescent="0.2">
      <c r="V2720" s="123" t="str">
        <f t="shared" si="53"/>
        <v>1w</v>
      </c>
      <c r="W2720" s="82">
        <f>_xll.qlCalendarAdvance(Calendar,W2719,V2720,"f",FALSE)</f>
        <v>57993</v>
      </c>
      <c r="X2720" s="91">
        <f>_xll.qlCalendarAdvance(Calendar,W2720,NDays&amp;"D")</f>
        <v>57993</v>
      </c>
      <c r="Y2720" s="92" t="e">
        <v>#N/A</v>
      </c>
      <c r="Z2720" s="94" t="e">
        <v>#N/A</v>
      </c>
    </row>
    <row r="2721" spans="22:26" x14ac:dyDescent="0.2">
      <c r="V2721" s="123" t="str">
        <f t="shared" si="53"/>
        <v>1w</v>
      </c>
      <c r="W2721" s="82">
        <f>_xll.qlCalendarAdvance(Calendar,W2720,V2721,"f",FALSE)</f>
        <v>58000</v>
      </c>
      <c r="X2721" s="91">
        <f>_xll.qlCalendarAdvance(Calendar,W2721,NDays&amp;"D")</f>
        <v>58000</v>
      </c>
      <c r="Y2721" s="92" t="e">
        <v>#N/A</v>
      </c>
      <c r="Z2721" s="94" t="e">
        <v>#N/A</v>
      </c>
    </row>
    <row r="2722" spans="22:26" x14ac:dyDescent="0.2">
      <c r="V2722" s="123" t="str">
        <f t="shared" si="53"/>
        <v>1w</v>
      </c>
      <c r="W2722" s="82">
        <f>_xll.qlCalendarAdvance(Calendar,W2721,V2722,"f",FALSE)</f>
        <v>58007</v>
      </c>
      <c r="X2722" s="91">
        <f>_xll.qlCalendarAdvance(Calendar,W2722,NDays&amp;"D")</f>
        <v>58007</v>
      </c>
      <c r="Y2722" s="92" t="e">
        <v>#N/A</v>
      </c>
      <c r="Z2722" s="94" t="e">
        <v>#N/A</v>
      </c>
    </row>
    <row r="2723" spans="22:26" x14ac:dyDescent="0.2">
      <c r="V2723" s="123" t="str">
        <f t="shared" si="53"/>
        <v>1w</v>
      </c>
      <c r="W2723" s="82">
        <f>_xll.qlCalendarAdvance(Calendar,W2722,V2723,"f",FALSE)</f>
        <v>58014</v>
      </c>
      <c r="X2723" s="91">
        <f>_xll.qlCalendarAdvance(Calendar,W2723,NDays&amp;"D")</f>
        <v>58014</v>
      </c>
      <c r="Y2723" s="92" t="e">
        <v>#N/A</v>
      </c>
      <c r="Z2723" s="94" t="e">
        <v>#N/A</v>
      </c>
    </row>
    <row r="2724" spans="22:26" x14ac:dyDescent="0.2">
      <c r="V2724" s="123" t="str">
        <f t="shared" si="53"/>
        <v>1w</v>
      </c>
      <c r="W2724" s="82">
        <f>_xll.qlCalendarAdvance(Calendar,W2723,V2724,"f",FALSE)</f>
        <v>58021</v>
      </c>
      <c r="X2724" s="91">
        <f>_xll.qlCalendarAdvance(Calendar,W2724,NDays&amp;"D")</f>
        <v>58021</v>
      </c>
      <c r="Y2724" s="92" t="e">
        <v>#N/A</v>
      </c>
      <c r="Z2724" s="94" t="e">
        <v>#N/A</v>
      </c>
    </row>
    <row r="2725" spans="22:26" x14ac:dyDescent="0.2">
      <c r="V2725" s="123" t="str">
        <f t="shared" si="53"/>
        <v>1w</v>
      </c>
      <c r="W2725" s="82">
        <f>_xll.qlCalendarAdvance(Calendar,W2724,V2725,"f",FALSE)</f>
        <v>58028</v>
      </c>
      <c r="X2725" s="91">
        <f>_xll.qlCalendarAdvance(Calendar,W2725,NDays&amp;"D")</f>
        <v>58028</v>
      </c>
      <c r="Y2725" s="92" t="e">
        <v>#N/A</v>
      </c>
      <c r="Z2725" s="94" t="e">
        <v>#N/A</v>
      </c>
    </row>
    <row r="2726" spans="22:26" x14ac:dyDescent="0.2">
      <c r="V2726" s="123" t="str">
        <f t="shared" si="53"/>
        <v>1w</v>
      </c>
      <c r="W2726" s="82">
        <f>_xll.qlCalendarAdvance(Calendar,W2725,V2726,"f",FALSE)</f>
        <v>58035</v>
      </c>
      <c r="X2726" s="91">
        <f>_xll.qlCalendarAdvance(Calendar,W2726,NDays&amp;"D")</f>
        <v>58035</v>
      </c>
      <c r="Y2726" s="92" t="e">
        <v>#N/A</v>
      </c>
      <c r="Z2726" s="94" t="e">
        <v>#N/A</v>
      </c>
    </row>
    <row r="2727" spans="22:26" x14ac:dyDescent="0.2">
      <c r="V2727" s="123" t="str">
        <f t="shared" si="53"/>
        <v>1w</v>
      </c>
      <c r="W2727" s="82">
        <f>_xll.qlCalendarAdvance(Calendar,W2726,V2727,"f",FALSE)</f>
        <v>58042</v>
      </c>
      <c r="X2727" s="91">
        <f>_xll.qlCalendarAdvance(Calendar,W2727,NDays&amp;"D")</f>
        <v>58042</v>
      </c>
      <c r="Y2727" s="92" t="e">
        <v>#N/A</v>
      </c>
      <c r="Z2727" s="94" t="e">
        <v>#N/A</v>
      </c>
    </row>
    <row r="2728" spans="22:26" x14ac:dyDescent="0.2">
      <c r="V2728" s="123" t="str">
        <f t="shared" si="53"/>
        <v>1w</v>
      </c>
      <c r="W2728" s="82">
        <f>_xll.qlCalendarAdvance(Calendar,W2727,V2728,"f",FALSE)</f>
        <v>58049</v>
      </c>
      <c r="X2728" s="91">
        <f>_xll.qlCalendarAdvance(Calendar,W2728,NDays&amp;"D")</f>
        <v>58049</v>
      </c>
      <c r="Y2728" s="92" t="e">
        <v>#N/A</v>
      </c>
      <c r="Z2728" s="94" t="e">
        <v>#N/A</v>
      </c>
    </row>
    <row r="2729" spans="22:26" x14ac:dyDescent="0.2">
      <c r="V2729" s="123" t="str">
        <f t="shared" si="53"/>
        <v>1w</v>
      </c>
      <c r="W2729" s="82">
        <f>_xll.qlCalendarAdvance(Calendar,W2728,V2729,"f",FALSE)</f>
        <v>58056</v>
      </c>
      <c r="X2729" s="91">
        <f>_xll.qlCalendarAdvance(Calendar,W2729,NDays&amp;"D")</f>
        <v>58056</v>
      </c>
      <c r="Y2729" s="92" t="e">
        <v>#N/A</v>
      </c>
      <c r="Z2729" s="94" t="e">
        <v>#N/A</v>
      </c>
    </row>
    <row r="2730" spans="22:26" x14ac:dyDescent="0.2">
      <c r="V2730" s="123" t="str">
        <f t="shared" si="53"/>
        <v>1w</v>
      </c>
      <c r="W2730" s="82">
        <f>_xll.qlCalendarAdvance(Calendar,W2729,V2730,"f",FALSE)</f>
        <v>58063</v>
      </c>
      <c r="X2730" s="91">
        <f>_xll.qlCalendarAdvance(Calendar,W2730,NDays&amp;"D")</f>
        <v>58063</v>
      </c>
      <c r="Y2730" s="92" t="e">
        <v>#N/A</v>
      </c>
      <c r="Z2730" s="94" t="e">
        <v>#N/A</v>
      </c>
    </row>
    <row r="2731" spans="22:26" x14ac:dyDescent="0.2">
      <c r="V2731" s="123" t="str">
        <f t="shared" si="53"/>
        <v>1w</v>
      </c>
      <c r="W2731" s="82">
        <f>_xll.qlCalendarAdvance(Calendar,W2730,V2731,"f",FALSE)</f>
        <v>58071</v>
      </c>
      <c r="X2731" s="91">
        <f>_xll.qlCalendarAdvance(Calendar,W2731,NDays&amp;"D")</f>
        <v>58071</v>
      </c>
      <c r="Y2731" s="92" t="e">
        <v>#N/A</v>
      </c>
      <c r="Z2731" s="94" t="e">
        <v>#N/A</v>
      </c>
    </row>
    <row r="2732" spans="22:26" x14ac:dyDescent="0.2">
      <c r="V2732" s="123" t="str">
        <f t="shared" si="53"/>
        <v>1w</v>
      </c>
      <c r="W2732" s="82">
        <f>_xll.qlCalendarAdvance(Calendar,W2731,V2732,"f",FALSE)</f>
        <v>58078</v>
      </c>
      <c r="X2732" s="91">
        <f>_xll.qlCalendarAdvance(Calendar,W2732,NDays&amp;"D")</f>
        <v>58078</v>
      </c>
      <c r="Y2732" s="92" t="e">
        <v>#N/A</v>
      </c>
      <c r="Z2732" s="94" t="e">
        <v>#N/A</v>
      </c>
    </row>
    <row r="2733" spans="22:26" x14ac:dyDescent="0.2">
      <c r="V2733" s="123" t="str">
        <f t="shared" si="53"/>
        <v>1w</v>
      </c>
      <c r="W2733" s="82">
        <f>_xll.qlCalendarAdvance(Calendar,W2732,V2733,"f",FALSE)</f>
        <v>58085</v>
      </c>
      <c r="X2733" s="91">
        <f>_xll.qlCalendarAdvance(Calendar,W2733,NDays&amp;"D")</f>
        <v>58085</v>
      </c>
      <c r="Y2733" s="92" t="e">
        <v>#N/A</v>
      </c>
      <c r="Z2733" s="94" t="e">
        <v>#N/A</v>
      </c>
    </row>
    <row r="2734" spans="22:26" x14ac:dyDescent="0.2">
      <c r="V2734" s="123" t="str">
        <f t="shared" si="53"/>
        <v>1w</v>
      </c>
      <c r="W2734" s="82">
        <f>_xll.qlCalendarAdvance(Calendar,W2733,V2734,"f",FALSE)</f>
        <v>58092</v>
      </c>
      <c r="X2734" s="91">
        <f>_xll.qlCalendarAdvance(Calendar,W2734,NDays&amp;"D")</f>
        <v>58092</v>
      </c>
      <c r="Y2734" s="92" t="e">
        <v>#N/A</v>
      </c>
      <c r="Z2734" s="94" t="e">
        <v>#N/A</v>
      </c>
    </row>
    <row r="2735" spans="22:26" x14ac:dyDescent="0.2">
      <c r="V2735" s="123" t="str">
        <f t="shared" si="53"/>
        <v>1w</v>
      </c>
      <c r="W2735" s="82">
        <f>_xll.qlCalendarAdvance(Calendar,W2734,V2735,"f",FALSE)</f>
        <v>58099</v>
      </c>
      <c r="X2735" s="91">
        <f>_xll.qlCalendarAdvance(Calendar,W2735,NDays&amp;"D")</f>
        <v>58099</v>
      </c>
      <c r="Y2735" s="92" t="e">
        <v>#N/A</v>
      </c>
      <c r="Z2735" s="94" t="e">
        <v>#N/A</v>
      </c>
    </row>
    <row r="2736" spans="22:26" x14ac:dyDescent="0.2">
      <c r="V2736" s="123" t="str">
        <f t="shared" si="53"/>
        <v>1w</v>
      </c>
      <c r="W2736" s="82">
        <f>_xll.qlCalendarAdvance(Calendar,W2735,V2736,"f",FALSE)</f>
        <v>58106</v>
      </c>
      <c r="X2736" s="91">
        <f>_xll.qlCalendarAdvance(Calendar,W2736,NDays&amp;"D")</f>
        <v>58106</v>
      </c>
      <c r="Y2736" s="92" t="e">
        <v>#N/A</v>
      </c>
      <c r="Z2736" s="94" t="e">
        <v>#N/A</v>
      </c>
    </row>
    <row r="2737" spans="22:26" x14ac:dyDescent="0.2">
      <c r="V2737" s="123" t="str">
        <f t="shared" si="53"/>
        <v>1w</v>
      </c>
      <c r="W2737" s="82">
        <f>_xll.qlCalendarAdvance(Calendar,W2736,V2737,"f",FALSE)</f>
        <v>58113</v>
      </c>
      <c r="X2737" s="91">
        <f>_xll.qlCalendarAdvance(Calendar,W2737,NDays&amp;"D")</f>
        <v>58113</v>
      </c>
      <c r="Y2737" s="92" t="e">
        <v>#N/A</v>
      </c>
      <c r="Z2737" s="94" t="e">
        <v>#N/A</v>
      </c>
    </row>
    <row r="2738" spans="22:26" x14ac:dyDescent="0.2">
      <c r="V2738" s="123" t="str">
        <f t="shared" si="53"/>
        <v>1w</v>
      </c>
      <c r="W2738" s="82">
        <f>_xll.qlCalendarAdvance(Calendar,W2737,V2738,"f",FALSE)</f>
        <v>58120</v>
      </c>
      <c r="X2738" s="91">
        <f>_xll.qlCalendarAdvance(Calendar,W2738,NDays&amp;"D")</f>
        <v>58120</v>
      </c>
      <c r="Y2738" s="92" t="e">
        <v>#N/A</v>
      </c>
      <c r="Z2738" s="94" t="e">
        <v>#N/A</v>
      </c>
    </row>
    <row r="2739" spans="22:26" x14ac:dyDescent="0.2">
      <c r="V2739" s="123" t="str">
        <f t="shared" si="53"/>
        <v>1w</v>
      </c>
      <c r="W2739" s="82">
        <f>_xll.qlCalendarAdvance(Calendar,W2738,V2739,"f",FALSE)</f>
        <v>58127</v>
      </c>
      <c r="X2739" s="91">
        <f>_xll.qlCalendarAdvance(Calendar,W2739,NDays&amp;"D")</f>
        <v>58127</v>
      </c>
      <c r="Y2739" s="92" t="e">
        <v>#N/A</v>
      </c>
      <c r="Z2739" s="94" t="e">
        <v>#N/A</v>
      </c>
    </row>
    <row r="2740" spans="22:26" x14ac:dyDescent="0.2">
      <c r="V2740" s="123" t="str">
        <f t="shared" si="53"/>
        <v>1w</v>
      </c>
      <c r="W2740" s="82">
        <f>_xll.qlCalendarAdvance(Calendar,W2739,V2740,"f",FALSE)</f>
        <v>58134</v>
      </c>
      <c r="X2740" s="91">
        <f>_xll.qlCalendarAdvance(Calendar,W2740,NDays&amp;"D")</f>
        <v>58134</v>
      </c>
      <c r="Y2740" s="92" t="e">
        <v>#N/A</v>
      </c>
      <c r="Z2740" s="94" t="e">
        <v>#N/A</v>
      </c>
    </row>
    <row r="2741" spans="22:26" x14ac:dyDescent="0.2">
      <c r="V2741" s="123" t="str">
        <f t="shared" si="53"/>
        <v>1w</v>
      </c>
      <c r="W2741" s="82">
        <f>_xll.qlCalendarAdvance(Calendar,W2740,V2741,"f",FALSE)</f>
        <v>58141</v>
      </c>
      <c r="X2741" s="91">
        <f>_xll.qlCalendarAdvance(Calendar,W2741,NDays&amp;"D")</f>
        <v>58141</v>
      </c>
      <c r="Y2741" s="92" t="e">
        <v>#N/A</v>
      </c>
      <c r="Z2741" s="94" t="e">
        <v>#N/A</v>
      </c>
    </row>
    <row r="2742" spans="22:26" x14ac:dyDescent="0.2">
      <c r="V2742" s="123" t="str">
        <f t="shared" si="53"/>
        <v>1w</v>
      </c>
      <c r="W2742" s="82">
        <f>_xll.qlCalendarAdvance(Calendar,W2741,V2742,"f",FALSE)</f>
        <v>58148</v>
      </c>
      <c r="X2742" s="91">
        <f>_xll.qlCalendarAdvance(Calendar,W2742,NDays&amp;"D")</f>
        <v>58148</v>
      </c>
      <c r="Y2742" s="92" t="e">
        <v>#N/A</v>
      </c>
      <c r="Z2742" s="94" t="e">
        <v>#N/A</v>
      </c>
    </row>
    <row r="2743" spans="22:26" x14ac:dyDescent="0.2">
      <c r="V2743" s="123" t="str">
        <f t="shared" si="53"/>
        <v>1w</v>
      </c>
      <c r="W2743" s="82">
        <f>_xll.qlCalendarAdvance(Calendar,W2742,V2743,"f",FALSE)</f>
        <v>58155</v>
      </c>
      <c r="X2743" s="91">
        <f>_xll.qlCalendarAdvance(Calendar,W2743,NDays&amp;"D")</f>
        <v>58155</v>
      </c>
      <c r="Y2743" s="92" t="e">
        <v>#N/A</v>
      </c>
      <c r="Z2743" s="94" t="e">
        <v>#N/A</v>
      </c>
    </row>
    <row r="2744" spans="22:26" x14ac:dyDescent="0.2">
      <c r="V2744" s="123" t="str">
        <f t="shared" si="53"/>
        <v>1w</v>
      </c>
      <c r="W2744" s="82">
        <f>_xll.qlCalendarAdvance(Calendar,W2743,V2744,"f",FALSE)</f>
        <v>58166</v>
      </c>
      <c r="X2744" s="91">
        <f>_xll.qlCalendarAdvance(Calendar,W2744,NDays&amp;"D")</f>
        <v>58166</v>
      </c>
      <c r="Y2744" s="92" t="e">
        <v>#N/A</v>
      </c>
      <c r="Z2744" s="94" t="e">
        <v>#N/A</v>
      </c>
    </row>
    <row r="2745" spans="22:26" x14ac:dyDescent="0.2">
      <c r="V2745" s="123" t="str">
        <f t="shared" si="53"/>
        <v>1w</v>
      </c>
      <c r="W2745" s="82">
        <f>_xll.qlCalendarAdvance(Calendar,W2744,V2745,"f",FALSE)</f>
        <v>58173</v>
      </c>
      <c r="X2745" s="91">
        <f>_xll.qlCalendarAdvance(Calendar,W2745,NDays&amp;"D")</f>
        <v>58173</v>
      </c>
      <c r="Y2745" s="92" t="e">
        <v>#N/A</v>
      </c>
      <c r="Z2745" s="94" t="e">
        <v>#N/A</v>
      </c>
    </row>
    <row r="2746" spans="22:26" x14ac:dyDescent="0.2">
      <c r="V2746" s="123" t="str">
        <f t="shared" si="53"/>
        <v>1w</v>
      </c>
      <c r="W2746" s="82">
        <f>_xll.qlCalendarAdvance(Calendar,W2745,V2746,"f",FALSE)</f>
        <v>58180</v>
      </c>
      <c r="X2746" s="91">
        <f>_xll.qlCalendarAdvance(Calendar,W2746,NDays&amp;"D")</f>
        <v>58180</v>
      </c>
      <c r="Y2746" s="92" t="e">
        <v>#N/A</v>
      </c>
      <c r="Z2746" s="94" t="e">
        <v>#N/A</v>
      </c>
    </row>
    <row r="2747" spans="22:26" x14ac:dyDescent="0.2">
      <c r="V2747" s="123" t="str">
        <f t="shared" si="53"/>
        <v>1w</v>
      </c>
      <c r="W2747" s="82">
        <f>_xll.qlCalendarAdvance(Calendar,W2746,V2747,"f",FALSE)</f>
        <v>58187</v>
      </c>
      <c r="X2747" s="91">
        <f>_xll.qlCalendarAdvance(Calendar,W2747,NDays&amp;"D")</f>
        <v>58187</v>
      </c>
      <c r="Y2747" s="92" t="e">
        <v>#N/A</v>
      </c>
      <c r="Z2747" s="94" t="e">
        <v>#N/A</v>
      </c>
    </row>
    <row r="2748" spans="22:26" x14ac:dyDescent="0.2">
      <c r="V2748" s="123" t="str">
        <f t="shared" si="53"/>
        <v>1w</v>
      </c>
      <c r="W2748" s="82">
        <f>_xll.qlCalendarAdvance(Calendar,W2747,V2748,"f",FALSE)</f>
        <v>58194</v>
      </c>
      <c r="X2748" s="91">
        <f>_xll.qlCalendarAdvance(Calendar,W2748,NDays&amp;"D")</f>
        <v>58194</v>
      </c>
      <c r="Y2748" s="92" t="e">
        <v>#N/A</v>
      </c>
      <c r="Z2748" s="94" t="e">
        <v>#N/A</v>
      </c>
    </row>
    <row r="2749" spans="22:26" x14ac:dyDescent="0.2">
      <c r="V2749" s="123" t="str">
        <f t="shared" si="53"/>
        <v>1w</v>
      </c>
      <c r="W2749" s="82">
        <f>_xll.qlCalendarAdvance(Calendar,W2748,V2749,"f",FALSE)</f>
        <v>58201</v>
      </c>
      <c r="X2749" s="91">
        <f>_xll.qlCalendarAdvance(Calendar,W2749,NDays&amp;"D")</f>
        <v>58201</v>
      </c>
      <c r="Y2749" s="92" t="e">
        <v>#N/A</v>
      </c>
      <c r="Z2749" s="94" t="e">
        <v>#N/A</v>
      </c>
    </row>
    <row r="2750" spans="22:26" x14ac:dyDescent="0.2">
      <c r="V2750" s="123" t="str">
        <f t="shared" si="53"/>
        <v>1w</v>
      </c>
      <c r="W2750" s="82">
        <f>_xll.qlCalendarAdvance(Calendar,W2749,V2750,"f",FALSE)</f>
        <v>58208</v>
      </c>
      <c r="X2750" s="91">
        <f>_xll.qlCalendarAdvance(Calendar,W2750,NDays&amp;"D")</f>
        <v>58208</v>
      </c>
      <c r="Y2750" s="92" t="e">
        <v>#N/A</v>
      </c>
      <c r="Z2750" s="94" t="e">
        <v>#N/A</v>
      </c>
    </row>
    <row r="2751" spans="22:26" x14ac:dyDescent="0.2">
      <c r="V2751" s="123" t="str">
        <f t="shared" si="53"/>
        <v>1w</v>
      </c>
      <c r="W2751" s="82">
        <f>_xll.qlCalendarAdvance(Calendar,W2750,V2751,"f",FALSE)</f>
        <v>58215</v>
      </c>
      <c r="X2751" s="91">
        <f>_xll.qlCalendarAdvance(Calendar,W2751,NDays&amp;"D")</f>
        <v>58215</v>
      </c>
      <c r="Y2751" s="92" t="e">
        <v>#N/A</v>
      </c>
      <c r="Z2751" s="94" t="e">
        <v>#N/A</v>
      </c>
    </row>
    <row r="2752" spans="22:26" x14ac:dyDescent="0.2">
      <c r="V2752" s="123" t="str">
        <f t="shared" si="53"/>
        <v>1w</v>
      </c>
      <c r="W2752" s="82">
        <f>_xll.qlCalendarAdvance(Calendar,W2751,V2752,"f",FALSE)</f>
        <v>58222</v>
      </c>
      <c r="X2752" s="91">
        <f>_xll.qlCalendarAdvance(Calendar,W2752,NDays&amp;"D")</f>
        <v>58222</v>
      </c>
      <c r="Y2752" s="92" t="e">
        <v>#N/A</v>
      </c>
      <c r="Z2752" s="94" t="e">
        <v>#N/A</v>
      </c>
    </row>
    <row r="2753" spans="22:26" x14ac:dyDescent="0.2">
      <c r="V2753" s="123" t="str">
        <f t="shared" si="53"/>
        <v>1w</v>
      </c>
      <c r="W2753" s="82">
        <f>_xll.qlCalendarAdvance(Calendar,W2752,V2753,"f",FALSE)</f>
        <v>58229</v>
      </c>
      <c r="X2753" s="91">
        <f>_xll.qlCalendarAdvance(Calendar,W2753,NDays&amp;"D")</f>
        <v>58229</v>
      </c>
      <c r="Y2753" s="92" t="e">
        <v>#N/A</v>
      </c>
      <c r="Z2753" s="94" t="e">
        <v>#N/A</v>
      </c>
    </row>
    <row r="2754" spans="22:26" x14ac:dyDescent="0.2">
      <c r="V2754" s="123" t="str">
        <f t="shared" si="53"/>
        <v>1w</v>
      </c>
      <c r="W2754" s="82">
        <f>_xll.qlCalendarAdvance(Calendar,W2753,V2754,"f",FALSE)</f>
        <v>58236</v>
      </c>
      <c r="X2754" s="91">
        <f>_xll.qlCalendarAdvance(Calendar,W2754,NDays&amp;"D")</f>
        <v>58236</v>
      </c>
      <c r="Y2754" s="92" t="e">
        <v>#N/A</v>
      </c>
      <c r="Z2754" s="94" t="e">
        <v>#N/A</v>
      </c>
    </row>
    <row r="2755" spans="22:26" x14ac:dyDescent="0.2">
      <c r="V2755" s="123" t="str">
        <f t="shared" si="53"/>
        <v>1w</v>
      </c>
      <c r="W2755" s="82">
        <f>_xll.qlCalendarAdvance(Calendar,W2754,V2755,"f",FALSE)</f>
        <v>58243</v>
      </c>
      <c r="X2755" s="91">
        <f>_xll.qlCalendarAdvance(Calendar,W2755,NDays&amp;"D")</f>
        <v>58243</v>
      </c>
      <c r="Y2755" s="92" t="e">
        <v>#N/A</v>
      </c>
      <c r="Z2755" s="94" t="e">
        <v>#N/A</v>
      </c>
    </row>
    <row r="2756" spans="22:26" x14ac:dyDescent="0.2">
      <c r="V2756" s="123" t="str">
        <f t="shared" si="53"/>
        <v>1w</v>
      </c>
      <c r="W2756" s="82">
        <f>_xll.qlCalendarAdvance(Calendar,W2755,V2756,"f",FALSE)</f>
        <v>58250</v>
      </c>
      <c r="X2756" s="91">
        <f>_xll.qlCalendarAdvance(Calendar,W2756,NDays&amp;"D")</f>
        <v>58250</v>
      </c>
      <c r="Y2756" s="92" t="e">
        <v>#N/A</v>
      </c>
      <c r="Z2756" s="94" t="e">
        <v>#N/A</v>
      </c>
    </row>
    <row r="2757" spans="22:26" x14ac:dyDescent="0.2">
      <c r="V2757" s="123" t="str">
        <f t="shared" si="53"/>
        <v>1w</v>
      </c>
      <c r="W2757" s="82">
        <f>_xll.qlCalendarAdvance(Calendar,W2756,V2757,"f",FALSE)</f>
        <v>58258</v>
      </c>
      <c r="X2757" s="91">
        <f>_xll.qlCalendarAdvance(Calendar,W2757,NDays&amp;"D")</f>
        <v>58258</v>
      </c>
      <c r="Y2757" s="92" t="e">
        <v>#N/A</v>
      </c>
      <c r="Z2757" s="94" t="e">
        <v>#N/A</v>
      </c>
    </row>
    <row r="2758" spans="22:26" x14ac:dyDescent="0.2">
      <c r="V2758" s="123" t="str">
        <f t="shared" si="53"/>
        <v>1w</v>
      </c>
      <c r="W2758" s="82">
        <f>_xll.qlCalendarAdvance(Calendar,W2757,V2758,"f",FALSE)</f>
        <v>58265</v>
      </c>
      <c r="X2758" s="91">
        <f>_xll.qlCalendarAdvance(Calendar,W2758,NDays&amp;"D")</f>
        <v>58265</v>
      </c>
      <c r="Y2758" s="92" t="e">
        <v>#N/A</v>
      </c>
      <c r="Z2758" s="94" t="e">
        <v>#N/A</v>
      </c>
    </row>
    <row r="2759" spans="22:26" x14ac:dyDescent="0.2">
      <c r="V2759" s="123" t="str">
        <f t="shared" si="53"/>
        <v>1w</v>
      </c>
      <c r="W2759" s="82">
        <f>_xll.qlCalendarAdvance(Calendar,W2758,V2759,"f",FALSE)</f>
        <v>58272</v>
      </c>
      <c r="X2759" s="91">
        <f>_xll.qlCalendarAdvance(Calendar,W2759,NDays&amp;"D")</f>
        <v>58272</v>
      </c>
      <c r="Y2759" s="92" t="e">
        <v>#N/A</v>
      </c>
      <c r="Z2759" s="94" t="e">
        <v>#N/A</v>
      </c>
    </row>
    <row r="2760" spans="22:26" x14ac:dyDescent="0.2">
      <c r="V2760" s="123" t="str">
        <f t="shared" si="53"/>
        <v>1w</v>
      </c>
      <c r="W2760" s="82">
        <f>_xll.qlCalendarAdvance(Calendar,W2759,V2760,"f",FALSE)</f>
        <v>58279</v>
      </c>
      <c r="X2760" s="91">
        <f>_xll.qlCalendarAdvance(Calendar,W2760,NDays&amp;"D")</f>
        <v>58279</v>
      </c>
      <c r="Y2760" s="92" t="e">
        <v>#N/A</v>
      </c>
      <c r="Z2760" s="94" t="e">
        <v>#N/A</v>
      </c>
    </row>
    <row r="2761" spans="22:26" x14ac:dyDescent="0.2">
      <c r="V2761" s="123" t="str">
        <f t="shared" si="53"/>
        <v>1w</v>
      </c>
      <c r="W2761" s="82">
        <f>_xll.qlCalendarAdvance(Calendar,W2760,V2761,"f",FALSE)</f>
        <v>58286</v>
      </c>
      <c r="X2761" s="91">
        <f>_xll.qlCalendarAdvance(Calendar,W2761,NDays&amp;"D")</f>
        <v>58286</v>
      </c>
      <c r="Y2761" s="92" t="e">
        <v>#N/A</v>
      </c>
      <c r="Z2761" s="94" t="e">
        <v>#N/A</v>
      </c>
    </row>
    <row r="2762" spans="22:26" x14ac:dyDescent="0.2">
      <c r="V2762" s="123" t="str">
        <f t="shared" si="53"/>
        <v>1w</v>
      </c>
      <c r="W2762" s="82">
        <f>_xll.qlCalendarAdvance(Calendar,W2761,V2762,"f",FALSE)</f>
        <v>58293</v>
      </c>
      <c r="X2762" s="91">
        <f>_xll.qlCalendarAdvance(Calendar,W2762,NDays&amp;"D")</f>
        <v>58293</v>
      </c>
      <c r="Y2762" s="92" t="e">
        <v>#N/A</v>
      </c>
      <c r="Z2762" s="94" t="e">
        <v>#N/A</v>
      </c>
    </row>
    <row r="2763" spans="22:26" x14ac:dyDescent="0.2">
      <c r="V2763" s="123" t="str">
        <f t="shared" si="53"/>
        <v>1w</v>
      </c>
      <c r="W2763" s="82">
        <f>_xll.qlCalendarAdvance(Calendar,W2762,V2763,"f",FALSE)</f>
        <v>58300</v>
      </c>
      <c r="X2763" s="91">
        <f>_xll.qlCalendarAdvance(Calendar,W2763,NDays&amp;"D")</f>
        <v>58300</v>
      </c>
      <c r="Y2763" s="92" t="e">
        <v>#N/A</v>
      </c>
      <c r="Z2763" s="94" t="e">
        <v>#N/A</v>
      </c>
    </row>
    <row r="2764" spans="22:26" x14ac:dyDescent="0.2">
      <c r="V2764" s="123" t="str">
        <f t="shared" si="53"/>
        <v>1w</v>
      </c>
      <c r="W2764" s="82">
        <f>_xll.qlCalendarAdvance(Calendar,W2763,V2764,"f",FALSE)</f>
        <v>58307</v>
      </c>
      <c r="X2764" s="91">
        <f>_xll.qlCalendarAdvance(Calendar,W2764,NDays&amp;"D")</f>
        <v>58307</v>
      </c>
      <c r="Y2764" s="92" t="e">
        <v>#N/A</v>
      </c>
      <c r="Z2764" s="94" t="e">
        <v>#N/A</v>
      </c>
    </row>
    <row r="2765" spans="22:26" x14ac:dyDescent="0.2">
      <c r="V2765" s="123" t="str">
        <f t="shared" si="53"/>
        <v>1w</v>
      </c>
      <c r="W2765" s="82">
        <f>_xll.qlCalendarAdvance(Calendar,W2764,V2765,"f",FALSE)</f>
        <v>58314</v>
      </c>
      <c r="X2765" s="91">
        <f>_xll.qlCalendarAdvance(Calendar,W2765,NDays&amp;"D")</f>
        <v>58314</v>
      </c>
      <c r="Y2765" s="92" t="e">
        <v>#N/A</v>
      </c>
      <c r="Z2765" s="94" t="e">
        <v>#N/A</v>
      </c>
    </row>
    <row r="2766" spans="22:26" x14ac:dyDescent="0.2">
      <c r="V2766" s="123" t="str">
        <f t="shared" si="53"/>
        <v>1w</v>
      </c>
      <c r="W2766" s="82">
        <f>_xll.qlCalendarAdvance(Calendar,W2765,V2766,"f",FALSE)</f>
        <v>58321</v>
      </c>
      <c r="X2766" s="91">
        <f>_xll.qlCalendarAdvance(Calendar,W2766,NDays&amp;"D")</f>
        <v>58321</v>
      </c>
      <c r="Y2766" s="92" t="e">
        <v>#N/A</v>
      </c>
      <c r="Z2766" s="94" t="e">
        <v>#N/A</v>
      </c>
    </row>
    <row r="2767" spans="22:26" x14ac:dyDescent="0.2">
      <c r="V2767" s="123" t="str">
        <f t="shared" si="53"/>
        <v>1w</v>
      </c>
      <c r="W2767" s="82">
        <f>_xll.qlCalendarAdvance(Calendar,W2766,V2767,"f",FALSE)</f>
        <v>58328</v>
      </c>
      <c r="X2767" s="91">
        <f>_xll.qlCalendarAdvance(Calendar,W2767,NDays&amp;"D")</f>
        <v>58328</v>
      </c>
      <c r="Y2767" s="92" t="e">
        <v>#N/A</v>
      </c>
      <c r="Z2767" s="94" t="e">
        <v>#N/A</v>
      </c>
    </row>
    <row r="2768" spans="22:26" x14ac:dyDescent="0.2">
      <c r="V2768" s="123" t="str">
        <f t="shared" si="53"/>
        <v>1w</v>
      </c>
      <c r="W2768" s="82">
        <f>_xll.qlCalendarAdvance(Calendar,W2767,V2768,"f",FALSE)</f>
        <v>58335</v>
      </c>
      <c r="X2768" s="91">
        <f>_xll.qlCalendarAdvance(Calendar,W2768,NDays&amp;"D")</f>
        <v>58335</v>
      </c>
      <c r="Y2768" s="92" t="e">
        <v>#N/A</v>
      </c>
      <c r="Z2768" s="94" t="e">
        <v>#N/A</v>
      </c>
    </row>
    <row r="2769" spans="22:26" x14ac:dyDescent="0.2">
      <c r="V2769" s="123" t="str">
        <f t="shared" si="53"/>
        <v>1w</v>
      </c>
      <c r="W2769" s="82">
        <f>_xll.qlCalendarAdvance(Calendar,W2768,V2769,"f",FALSE)</f>
        <v>58342</v>
      </c>
      <c r="X2769" s="91">
        <f>_xll.qlCalendarAdvance(Calendar,W2769,NDays&amp;"D")</f>
        <v>58342</v>
      </c>
      <c r="Y2769" s="92" t="e">
        <v>#N/A</v>
      </c>
      <c r="Z2769" s="94" t="e">
        <v>#N/A</v>
      </c>
    </row>
    <row r="2770" spans="22:26" x14ac:dyDescent="0.2">
      <c r="V2770" s="123" t="str">
        <f t="shared" si="53"/>
        <v>1w</v>
      </c>
      <c r="W2770" s="82">
        <f>_xll.qlCalendarAdvance(Calendar,W2769,V2770,"f",FALSE)</f>
        <v>58350</v>
      </c>
      <c r="X2770" s="91">
        <f>_xll.qlCalendarAdvance(Calendar,W2770,NDays&amp;"D")</f>
        <v>58350</v>
      </c>
      <c r="Y2770" s="92" t="e">
        <v>#N/A</v>
      </c>
      <c r="Z2770" s="94" t="e">
        <v>#N/A</v>
      </c>
    </row>
    <row r="2771" spans="22:26" x14ac:dyDescent="0.2">
      <c r="V2771" s="123" t="str">
        <f t="shared" si="53"/>
        <v>1w</v>
      </c>
      <c r="W2771" s="82">
        <f>_xll.qlCalendarAdvance(Calendar,W2770,V2771,"f",FALSE)</f>
        <v>58357</v>
      </c>
      <c r="X2771" s="91">
        <f>_xll.qlCalendarAdvance(Calendar,W2771,NDays&amp;"D")</f>
        <v>58357</v>
      </c>
      <c r="Y2771" s="92" t="e">
        <v>#N/A</v>
      </c>
      <c r="Z2771" s="94" t="e">
        <v>#N/A</v>
      </c>
    </row>
    <row r="2772" spans="22:26" x14ac:dyDescent="0.2">
      <c r="V2772" s="123" t="str">
        <f t="shared" si="53"/>
        <v>1w</v>
      </c>
      <c r="W2772" s="82">
        <f>_xll.qlCalendarAdvance(Calendar,W2771,V2772,"f",FALSE)</f>
        <v>58364</v>
      </c>
      <c r="X2772" s="91">
        <f>_xll.qlCalendarAdvance(Calendar,W2772,NDays&amp;"D")</f>
        <v>58364</v>
      </c>
      <c r="Y2772" s="92" t="e">
        <v>#N/A</v>
      </c>
      <c r="Z2772" s="94" t="e">
        <v>#N/A</v>
      </c>
    </row>
    <row r="2773" spans="22:26" x14ac:dyDescent="0.2">
      <c r="V2773" s="123" t="str">
        <f t="shared" ref="V2773:V2836" si="54">V2772</f>
        <v>1w</v>
      </c>
      <c r="W2773" s="82">
        <f>_xll.qlCalendarAdvance(Calendar,W2772,V2773,"f",FALSE)</f>
        <v>58371</v>
      </c>
      <c r="X2773" s="91">
        <f>_xll.qlCalendarAdvance(Calendar,W2773,NDays&amp;"D")</f>
        <v>58371</v>
      </c>
      <c r="Y2773" s="92" t="e">
        <v>#N/A</v>
      </c>
      <c r="Z2773" s="94" t="e">
        <v>#N/A</v>
      </c>
    </row>
    <row r="2774" spans="22:26" x14ac:dyDescent="0.2">
      <c r="V2774" s="123" t="str">
        <f t="shared" si="54"/>
        <v>1w</v>
      </c>
      <c r="W2774" s="82">
        <f>_xll.qlCalendarAdvance(Calendar,W2773,V2774,"f",FALSE)</f>
        <v>58378</v>
      </c>
      <c r="X2774" s="91">
        <f>_xll.qlCalendarAdvance(Calendar,W2774,NDays&amp;"D")</f>
        <v>58378</v>
      </c>
      <c r="Y2774" s="92" t="e">
        <v>#N/A</v>
      </c>
      <c r="Z2774" s="94" t="e">
        <v>#N/A</v>
      </c>
    </row>
    <row r="2775" spans="22:26" x14ac:dyDescent="0.2">
      <c r="V2775" s="123" t="str">
        <f t="shared" si="54"/>
        <v>1w</v>
      </c>
      <c r="W2775" s="82">
        <f>_xll.qlCalendarAdvance(Calendar,W2774,V2775,"f",FALSE)</f>
        <v>58385</v>
      </c>
      <c r="X2775" s="91">
        <f>_xll.qlCalendarAdvance(Calendar,W2775,NDays&amp;"D")</f>
        <v>58385</v>
      </c>
      <c r="Y2775" s="92" t="e">
        <v>#N/A</v>
      </c>
      <c r="Z2775" s="94" t="e">
        <v>#N/A</v>
      </c>
    </row>
    <row r="2776" spans="22:26" x14ac:dyDescent="0.2">
      <c r="V2776" s="123" t="str">
        <f t="shared" si="54"/>
        <v>1w</v>
      </c>
      <c r="W2776" s="82">
        <f>_xll.qlCalendarAdvance(Calendar,W2775,V2776,"f",FALSE)</f>
        <v>58392</v>
      </c>
      <c r="X2776" s="91">
        <f>_xll.qlCalendarAdvance(Calendar,W2776,NDays&amp;"D")</f>
        <v>58392</v>
      </c>
      <c r="Y2776" s="92" t="e">
        <v>#N/A</v>
      </c>
      <c r="Z2776" s="94" t="e">
        <v>#N/A</v>
      </c>
    </row>
    <row r="2777" spans="22:26" x14ac:dyDescent="0.2">
      <c r="V2777" s="123" t="str">
        <f t="shared" si="54"/>
        <v>1w</v>
      </c>
      <c r="W2777" s="82">
        <f>_xll.qlCalendarAdvance(Calendar,W2776,V2777,"f",FALSE)</f>
        <v>58399</v>
      </c>
      <c r="X2777" s="91">
        <f>_xll.qlCalendarAdvance(Calendar,W2777,NDays&amp;"D")</f>
        <v>58399</v>
      </c>
      <c r="Y2777" s="92" t="e">
        <v>#N/A</v>
      </c>
      <c r="Z2777" s="94" t="e">
        <v>#N/A</v>
      </c>
    </row>
    <row r="2778" spans="22:26" x14ac:dyDescent="0.2">
      <c r="V2778" s="123" t="str">
        <f t="shared" si="54"/>
        <v>1w</v>
      </c>
      <c r="W2778" s="82">
        <f>_xll.qlCalendarAdvance(Calendar,W2777,V2778,"f",FALSE)</f>
        <v>58406</v>
      </c>
      <c r="X2778" s="91">
        <f>_xll.qlCalendarAdvance(Calendar,W2778,NDays&amp;"D")</f>
        <v>58406</v>
      </c>
      <c r="Y2778" s="92" t="e">
        <v>#N/A</v>
      </c>
      <c r="Z2778" s="94" t="e">
        <v>#N/A</v>
      </c>
    </row>
    <row r="2779" spans="22:26" x14ac:dyDescent="0.2">
      <c r="V2779" s="123" t="str">
        <f t="shared" si="54"/>
        <v>1w</v>
      </c>
      <c r="W2779" s="82">
        <f>_xll.qlCalendarAdvance(Calendar,W2778,V2779,"f",FALSE)</f>
        <v>58413</v>
      </c>
      <c r="X2779" s="91">
        <f>_xll.qlCalendarAdvance(Calendar,W2779,NDays&amp;"D")</f>
        <v>58413</v>
      </c>
      <c r="Y2779" s="92" t="e">
        <v>#N/A</v>
      </c>
      <c r="Z2779" s="94" t="e">
        <v>#N/A</v>
      </c>
    </row>
    <row r="2780" spans="22:26" x14ac:dyDescent="0.2">
      <c r="V2780" s="123" t="str">
        <f t="shared" si="54"/>
        <v>1w</v>
      </c>
      <c r="W2780" s="82">
        <f>_xll.qlCalendarAdvance(Calendar,W2779,V2780,"f",FALSE)</f>
        <v>58420</v>
      </c>
      <c r="X2780" s="91">
        <f>_xll.qlCalendarAdvance(Calendar,W2780,NDays&amp;"D")</f>
        <v>58420</v>
      </c>
      <c r="Y2780" s="92" t="e">
        <v>#N/A</v>
      </c>
      <c r="Z2780" s="94" t="e">
        <v>#N/A</v>
      </c>
    </row>
    <row r="2781" spans="22:26" x14ac:dyDescent="0.2">
      <c r="V2781" s="123" t="str">
        <f t="shared" si="54"/>
        <v>1w</v>
      </c>
      <c r="W2781" s="82">
        <f>_xll.qlCalendarAdvance(Calendar,W2780,V2781,"f",FALSE)</f>
        <v>58427</v>
      </c>
      <c r="X2781" s="91">
        <f>_xll.qlCalendarAdvance(Calendar,W2781,NDays&amp;"D")</f>
        <v>58427</v>
      </c>
      <c r="Y2781" s="92" t="e">
        <v>#N/A</v>
      </c>
      <c r="Z2781" s="94" t="e">
        <v>#N/A</v>
      </c>
    </row>
    <row r="2782" spans="22:26" x14ac:dyDescent="0.2">
      <c r="V2782" s="123" t="str">
        <f t="shared" si="54"/>
        <v>1w</v>
      </c>
      <c r="W2782" s="82">
        <f>_xll.qlCalendarAdvance(Calendar,W2781,V2782,"f",FALSE)</f>
        <v>58438</v>
      </c>
      <c r="X2782" s="91">
        <f>_xll.qlCalendarAdvance(Calendar,W2782,NDays&amp;"D")</f>
        <v>58438</v>
      </c>
      <c r="Y2782" s="92" t="e">
        <v>#N/A</v>
      </c>
      <c r="Z2782" s="94" t="e">
        <v>#N/A</v>
      </c>
    </row>
    <row r="2783" spans="22:26" x14ac:dyDescent="0.2">
      <c r="V2783" s="123" t="str">
        <f t="shared" si="54"/>
        <v>1w</v>
      </c>
      <c r="W2783" s="82">
        <f>_xll.qlCalendarAdvance(Calendar,W2782,V2783,"f",FALSE)</f>
        <v>58445</v>
      </c>
      <c r="X2783" s="91">
        <f>_xll.qlCalendarAdvance(Calendar,W2783,NDays&amp;"D")</f>
        <v>58445</v>
      </c>
      <c r="Y2783" s="92" t="e">
        <v>#N/A</v>
      </c>
      <c r="Z2783" s="94" t="e">
        <v>#N/A</v>
      </c>
    </row>
    <row r="2784" spans="22:26" x14ac:dyDescent="0.2">
      <c r="V2784" s="123" t="str">
        <f t="shared" si="54"/>
        <v>1w</v>
      </c>
      <c r="W2784" s="82">
        <f>_xll.qlCalendarAdvance(Calendar,W2783,V2784,"f",FALSE)</f>
        <v>58452</v>
      </c>
      <c r="X2784" s="91">
        <f>_xll.qlCalendarAdvance(Calendar,W2784,NDays&amp;"D")</f>
        <v>58452</v>
      </c>
      <c r="Y2784" s="92" t="e">
        <v>#N/A</v>
      </c>
      <c r="Z2784" s="94" t="e">
        <v>#N/A</v>
      </c>
    </row>
    <row r="2785" spans="22:26" x14ac:dyDescent="0.2">
      <c r="V2785" s="123" t="str">
        <f t="shared" si="54"/>
        <v>1w</v>
      </c>
      <c r="W2785" s="82">
        <f>_xll.qlCalendarAdvance(Calendar,W2784,V2785,"f",FALSE)</f>
        <v>58459</v>
      </c>
      <c r="X2785" s="91">
        <f>_xll.qlCalendarAdvance(Calendar,W2785,NDays&amp;"D")</f>
        <v>58459</v>
      </c>
      <c r="Y2785" s="92" t="e">
        <v>#N/A</v>
      </c>
      <c r="Z2785" s="94" t="e">
        <v>#N/A</v>
      </c>
    </row>
    <row r="2786" spans="22:26" x14ac:dyDescent="0.2">
      <c r="V2786" s="123" t="str">
        <f t="shared" si="54"/>
        <v>1w</v>
      </c>
      <c r="W2786" s="82">
        <f>_xll.qlCalendarAdvance(Calendar,W2785,V2786,"f",FALSE)</f>
        <v>58466</v>
      </c>
      <c r="X2786" s="91">
        <f>_xll.qlCalendarAdvance(Calendar,W2786,NDays&amp;"D")</f>
        <v>58466</v>
      </c>
      <c r="Y2786" s="92" t="e">
        <v>#N/A</v>
      </c>
      <c r="Z2786" s="94" t="e">
        <v>#N/A</v>
      </c>
    </row>
    <row r="2787" spans="22:26" x14ac:dyDescent="0.2">
      <c r="V2787" s="123" t="str">
        <f t="shared" si="54"/>
        <v>1w</v>
      </c>
      <c r="W2787" s="82">
        <f>_xll.qlCalendarAdvance(Calendar,W2786,V2787,"f",FALSE)</f>
        <v>58473</v>
      </c>
      <c r="X2787" s="91">
        <f>_xll.qlCalendarAdvance(Calendar,W2787,NDays&amp;"D")</f>
        <v>58473</v>
      </c>
      <c r="Y2787" s="92" t="e">
        <v>#N/A</v>
      </c>
      <c r="Z2787" s="94" t="e">
        <v>#N/A</v>
      </c>
    </row>
    <row r="2788" spans="22:26" x14ac:dyDescent="0.2">
      <c r="V2788" s="123" t="str">
        <f t="shared" si="54"/>
        <v>1w</v>
      </c>
      <c r="W2788" s="82">
        <f>_xll.qlCalendarAdvance(Calendar,W2787,V2788,"f",FALSE)</f>
        <v>58480</v>
      </c>
      <c r="X2788" s="91">
        <f>_xll.qlCalendarAdvance(Calendar,W2788,NDays&amp;"D")</f>
        <v>58480</v>
      </c>
      <c r="Y2788" s="92" t="e">
        <v>#N/A</v>
      </c>
      <c r="Z2788" s="94" t="e">
        <v>#N/A</v>
      </c>
    </row>
    <row r="2789" spans="22:26" x14ac:dyDescent="0.2">
      <c r="V2789" s="123" t="str">
        <f t="shared" si="54"/>
        <v>1w</v>
      </c>
      <c r="W2789" s="82">
        <f>_xll.qlCalendarAdvance(Calendar,W2788,V2789,"f",FALSE)</f>
        <v>58487</v>
      </c>
      <c r="X2789" s="91">
        <f>_xll.qlCalendarAdvance(Calendar,W2789,NDays&amp;"D")</f>
        <v>58487</v>
      </c>
      <c r="Y2789" s="92" t="e">
        <v>#N/A</v>
      </c>
      <c r="Z2789" s="94" t="e">
        <v>#N/A</v>
      </c>
    </row>
    <row r="2790" spans="22:26" x14ac:dyDescent="0.2">
      <c r="V2790" s="123" t="str">
        <f t="shared" si="54"/>
        <v>1w</v>
      </c>
      <c r="W2790" s="82">
        <f>_xll.qlCalendarAdvance(Calendar,W2789,V2790,"f",FALSE)</f>
        <v>58494</v>
      </c>
      <c r="X2790" s="91">
        <f>_xll.qlCalendarAdvance(Calendar,W2790,NDays&amp;"D")</f>
        <v>58494</v>
      </c>
      <c r="Y2790" s="92" t="e">
        <v>#N/A</v>
      </c>
      <c r="Z2790" s="94" t="e">
        <v>#N/A</v>
      </c>
    </row>
    <row r="2791" spans="22:26" x14ac:dyDescent="0.2">
      <c r="V2791" s="123" t="str">
        <f t="shared" si="54"/>
        <v>1w</v>
      </c>
      <c r="W2791" s="82">
        <f>_xll.qlCalendarAdvance(Calendar,W2790,V2791,"f",FALSE)</f>
        <v>58501</v>
      </c>
      <c r="X2791" s="91">
        <f>_xll.qlCalendarAdvance(Calendar,W2791,NDays&amp;"D")</f>
        <v>58501</v>
      </c>
      <c r="Y2791" s="92" t="e">
        <v>#N/A</v>
      </c>
      <c r="Z2791" s="94" t="e">
        <v>#N/A</v>
      </c>
    </row>
    <row r="2792" spans="22:26" x14ac:dyDescent="0.2">
      <c r="V2792" s="123" t="str">
        <f t="shared" si="54"/>
        <v>1w</v>
      </c>
      <c r="W2792" s="82">
        <f>_xll.qlCalendarAdvance(Calendar,W2791,V2792,"f",FALSE)</f>
        <v>58508</v>
      </c>
      <c r="X2792" s="91">
        <f>_xll.qlCalendarAdvance(Calendar,W2792,NDays&amp;"D")</f>
        <v>58508</v>
      </c>
      <c r="Y2792" s="92" t="e">
        <v>#N/A</v>
      </c>
      <c r="Z2792" s="94" t="e">
        <v>#N/A</v>
      </c>
    </row>
    <row r="2793" spans="22:26" x14ac:dyDescent="0.2">
      <c r="V2793" s="123" t="str">
        <f t="shared" si="54"/>
        <v>1w</v>
      </c>
      <c r="W2793" s="82">
        <f>_xll.qlCalendarAdvance(Calendar,W2792,V2793,"f",FALSE)</f>
        <v>58515</v>
      </c>
      <c r="X2793" s="91">
        <f>_xll.qlCalendarAdvance(Calendar,W2793,NDays&amp;"D")</f>
        <v>58515</v>
      </c>
      <c r="Y2793" s="92" t="e">
        <v>#N/A</v>
      </c>
      <c r="Z2793" s="94" t="e">
        <v>#N/A</v>
      </c>
    </row>
    <row r="2794" spans="22:26" x14ac:dyDescent="0.2">
      <c r="V2794" s="123" t="str">
        <f t="shared" si="54"/>
        <v>1w</v>
      </c>
      <c r="W2794" s="82">
        <f>_xll.qlCalendarAdvance(Calendar,W2793,V2794,"f",FALSE)</f>
        <v>58522</v>
      </c>
      <c r="X2794" s="91">
        <f>_xll.qlCalendarAdvance(Calendar,W2794,NDays&amp;"D")</f>
        <v>58522</v>
      </c>
      <c r="Y2794" s="92" t="e">
        <v>#N/A</v>
      </c>
      <c r="Z2794" s="94" t="e">
        <v>#N/A</v>
      </c>
    </row>
    <row r="2795" spans="22:26" x14ac:dyDescent="0.2">
      <c r="V2795" s="123" t="str">
        <f t="shared" si="54"/>
        <v>1w</v>
      </c>
      <c r="W2795" s="82">
        <f>_xll.qlCalendarAdvance(Calendar,W2794,V2795,"f",FALSE)</f>
        <v>58529</v>
      </c>
      <c r="X2795" s="91">
        <f>_xll.qlCalendarAdvance(Calendar,W2795,NDays&amp;"D")</f>
        <v>58529</v>
      </c>
      <c r="Y2795" s="92" t="e">
        <v>#N/A</v>
      </c>
      <c r="Z2795" s="94" t="e">
        <v>#N/A</v>
      </c>
    </row>
    <row r="2796" spans="22:26" x14ac:dyDescent="0.2">
      <c r="V2796" s="123" t="str">
        <f t="shared" si="54"/>
        <v>1w</v>
      </c>
      <c r="W2796" s="82">
        <f>_xll.qlCalendarAdvance(Calendar,W2795,V2796,"f",FALSE)</f>
        <v>58536</v>
      </c>
      <c r="X2796" s="91">
        <f>_xll.qlCalendarAdvance(Calendar,W2796,NDays&amp;"D")</f>
        <v>58536</v>
      </c>
      <c r="Y2796" s="92" t="e">
        <v>#N/A</v>
      </c>
      <c r="Z2796" s="94" t="e">
        <v>#N/A</v>
      </c>
    </row>
    <row r="2797" spans="22:26" x14ac:dyDescent="0.2">
      <c r="V2797" s="123" t="str">
        <f t="shared" si="54"/>
        <v>1w</v>
      </c>
      <c r="W2797" s="82">
        <f>_xll.qlCalendarAdvance(Calendar,W2796,V2797,"f",FALSE)</f>
        <v>58543</v>
      </c>
      <c r="X2797" s="91">
        <f>_xll.qlCalendarAdvance(Calendar,W2797,NDays&amp;"D")</f>
        <v>58543</v>
      </c>
      <c r="Y2797" s="92" t="e">
        <v>#N/A</v>
      </c>
      <c r="Z2797" s="94" t="e">
        <v>#N/A</v>
      </c>
    </row>
    <row r="2798" spans="22:26" x14ac:dyDescent="0.2">
      <c r="V2798" s="123" t="str">
        <f t="shared" si="54"/>
        <v>1w</v>
      </c>
      <c r="W2798" s="82">
        <f>_xll.qlCalendarAdvance(Calendar,W2797,V2798,"f",FALSE)</f>
        <v>58551</v>
      </c>
      <c r="X2798" s="91">
        <f>_xll.qlCalendarAdvance(Calendar,W2798,NDays&amp;"D")</f>
        <v>58551</v>
      </c>
      <c r="Y2798" s="92" t="e">
        <v>#N/A</v>
      </c>
      <c r="Z2798" s="94" t="e">
        <v>#N/A</v>
      </c>
    </row>
    <row r="2799" spans="22:26" x14ac:dyDescent="0.2">
      <c r="V2799" s="123" t="str">
        <f t="shared" si="54"/>
        <v>1w</v>
      </c>
      <c r="W2799" s="82">
        <f>_xll.qlCalendarAdvance(Calendar,W2798,V2799,"f",FALSE)</f>
        <v>58558</v>
      </c>
      <c r="X2799" s="91">
        <f>_xll.qlCalendarAdvance(Calendar,W2799,NDays&amp;"D")</f>
        <v>58558</v>
      </c>
      <c r="Y2799" s="92" t="e">
        <v>#N/A</v>
      </c>
      <c r="Z2799" s="94" t="e">
        <v>#N/A</v>
      </c>
    </row>
    <row r="2800" spans="22:26" x14ac:dyDescent="0.2">
      <c r="V2800" s="123" t="str">
        <f t="shared" si="54"/>
        <v>1w</v>
      </c>
      <c r="W2800" s="82">
        <f>_xll.qlCalendarAdvance(Calendar,W2799,V2800,"f",FALSE)</f>
        <v>58565</v>
      </c>
      <c r="X2800" s="91">
        <f>_xll.qlCalendarAdvance(Calendar,W2800,NDays&amp;"D")</f>
        <v>58565</v>
      </c>
      <c r="Y2800" s="92" t="e">
        <v>#N/A</v>
      </c>
      <c r="Z2800" s="94" t="e">
        <v>#N/A</v>
      </c>
    </row>
    <row r="2801" spans="22:26" x14ac:dyDescent="0.2">
      <c r="V2801" s="123" t="str">
        <f t="shared" si="54"/>
        <v>1w</v>
      </c>
      <c r="W2801" s="82">
        <f>_xll.qlCalendarAdvance(Calendar,W2800,V2801,"f",FALSE)</f>
        <v>58572</v>
      </c>
      <c r="X2801" s="91">
        <f>_xll.qlCalendarAdvance(Calendar,W2801,NDays&amp;"D")</f>
        <v>58572</v>
      </c>
      <c r="Y2801" s="92" t="e">
        <v>#N/A</v>
      </c>
      <c r="Z2801" s="94" t="e">
        <v>#N/A</v>
      </c>
    </row>
    <row r="2802" spans="22:26" x14ac:dyDescent="0.2">
      <c r="V2802" s="123" t="str">
        <f t="shared" si="54"/>
        <v>1w</v>
      </c>
      <c r="W2802" s="82">
        <f>_xll.qlCalendarAdvance(Calendar,W2801,V2802,"f",FALSE)</f>
        <v>58579</v>
      </c>
      <c r="X2802" s="91">
        <f>_xll.qlCalendarAdvance(Calendar,W2802,NDays&amp;"D")</f>
        <v>58579</v>
      </c>
      <c r="Y2802" s="92" t="e">
        <v>#N/A</v>
      </c>
      <c r="Z2802" s="94" t="e">
        <v>#N/A</v>
      </c>
    </row>
    <row r="2803" spans="22:26" x14ac:dyDescent="0.2">
      <c r="V2803" s="123" t="str">
        <f t="shared" si="54"/>
        <v>1w</v>
      </c>
      <c r="W2803" s="82">
        <f>_xll.qlCalendarAdvance(Calendar,W2802,V2803,"f",FALSE)</f>
        <v>58586</v>
      </c>
      <c r="X2803" s="91">
        <f>_xll.qlCalendarAdvance(Calendar,W2803,NDays&amp;"D")</f>
        <v>58586</v>
      </c>
      <c r="Y2803" s="92" t="e">
        <v>#N/A</v>
      </c>
      <c r="Z2803" s="94" t="e">
        <v>#N/A</v>
      </c>
    </row>
    <row r="2804" spans="22:26" x14ac:dyDescent="0.2">
      <c r="V2804" s="123" t="str">
        <f t="shared" si="54"/>
        <v>1w</v>
      </c>
      <c r="W2804" s="82">
        <f>_xll.qlCalendarAdvance(Calendar,W2803,V2804,"f",FALSE)</f>
        <v>58593</v>
      </c>
      <c r="X2804" s="91">
        <f>_xll.qlCalendarAdvance(Calendar,W2804,NDays&amp;"D")</f>
        <v>58593</v>
      </c>
      <c r="Y2804" s="92" t="e">
        <v>#N/A</v>
      </c>
      <c r="Z2804" s="94" t="e">
        <v>#N/A</v>
      </c>
    </row>
    <row r="2805" spans="22:26" x14ac:dyDescent="0.2">
      <c r="V2805" s="123" t="str">
        <f t="shared" si="54"/>
        <v>1w</v>
      </c>
      <c r="W2805" s="82">
        <f>_xll.qlCalendarAdvance(Calendar,W2804,V2805,"f",FALSE)</f>
        <v>58600</v>
      </c>
      <c r="X2805" s="91">
        <f>_xll.qlCalendarAdvance(Calendar,W2805,NDays&amp;"D")</f>
        <v>58600</v>
      </c>
      <c r="Y2805" s="92" t="e">
        <v>#N/A</v>
      </c>
      <c r="Z2805" s="94" t="e">
        <v>#N/A</v>
      </c>
    </row>
    <row r="2806" spans="22:26" x14ac:dyDescent="0.2">
      <c r="V2806" s="123" t="str">
        <f t="shared" si="54"/>
        <v>1w</v>
      </c>
      <c r="W2806" s="82">
        <f>_xll.qlCalendarAdvance(Calendar,W2805,V2806,"f",FALSE)</f>
        <v>58607</v>
      </c>
      <c r="X2806" s="91">
        <f>_xll.qlCalendarAdvance(Calendar,W2806,NDays&amp;"D")</f>
        <v>58607</v>
      </c>
      <c r="Y2806" s="92" t="e">
        <v>#N/A</v>
      </c>
      <c r="Z2806" s="94" t="e">
        <v>#N/A</v>
      </c>
    </row>
    <row r="2807" spans="22:26" x14ac:dyDescent="0.2">
      <c r="V2807" s="123" t="str">
        <f t="shared" si="54"/>
        <v>1w</v>
      </c>
      <c r="W2807" s="82">
        <f>_xll.qlCalendarAdvance(Calendar,W2806,V2807,"f",FALSE)</f>
        <v>58614</v>
      </c>
      <c r="X2807" s="91">
        <f>_xll.qlCalendarAdvance(Calendar,W2807,NDays&amp;"D")</f>
        <v>58614</v>
      </c>
      <c r="Y2807" s="92" t="e">
        <v>#N/A</v>
      </c>
      <c r="Z2807" s="94" t="e">
        <v>#N/A</v>
      </c>
    </row>
    <row r="2808" spans="22:26" x14ac:dyDescent="0.2">
      <c r="V2808" s="123" t="str">
        <f t="shared" si="54"/>
        <v>1w</v>
      </c>
      <c r="W2808" s="82">
        <f>_xll.qlCalendarAdvance(Calendar,W2807,V2808,"f",FALSE)</f>
        <v>58621</v>
      </c>
      <c r="X2808" s="91">
        <f>_xll.qlCalendarAdvance(Calendar,W2808,NDays&amp;"D")</f>
        <v>58621</v>
      </c>
      <c r="Y2808" s="92" t="e">
        <v>#N/A</v>
      </c>
      <c r="Z2808" s="94" t="e">
        <v>#N/A</v>
      </c>
    </row>
    <row r="2809" spans="22:26" x14ac:dyDescent="0.2">
      <c r="V2809" s="123" t="str">
        <f t="shared" si="54"/>
        <v>1w</v>
      </c>
      <c r="W2809" s="82">
        <f>_xll.qlCalendarAdvance(Calendar,W2808,V2809,"f",FALSE)</f>
        <v>58628</v>
      </c>
      <c r="X2809" s="91">
        <f>_xll.qlCalendarAdvance(Calendar,W2809,NDays&amp;"D")</f>
        <v>58628</v>
      </c>
      <c r="Y2809" s="92" t="e">
        <v>#N/A</v>
      </c>
      <c r="Z2809" s="94" t="e">
        <v>#N/A</v>
      </c>
    </row>
    <row r="2810" spans="22:26" x14ac:dyDescent="0.2">
      <c r="V2810" s="123" t="str">
        <f t="shared" si="54"/>
        <v>1w</v>
      </c>
      <c r="W2810" s="82">
        <f>_xll.qlCalendarAdvance(Calendar,W2809,V2810,"f",FALSE)</f>
        <v>58635</v>
      </c>
      <c r="X2810" s="91">
        <f>_xll.qlCalendarAdvance(Calendar,W2810,NDays&amp;"D")</f>
        <v>58635</v>
      </c>
      <c r="Y2810" s="92" t="e">
        <v>#N/A</v>
      </c>
      <c r="Z2810" s="94" t="e">
        <v>#N/A</v>
      </c>
    </row>
    <row r="2811" spans="22:26" x14ac:dyDescent="0.2">
      <c r="V2811" s="123" t="str">
        <f t="shared" si="54"/>
        <v>1w</v>
      </c>
      <c r="W2811" s="82">
        <f>_xll.qlCalendarAdvance(Calendar,W2810,V2811,"f",FALSE)</f>
        <v>58642</v>
      </c>
      <c r="X2811" s="91">
        <f>_xll.qlCalendarAdvance(Calendar,W2811,NDays&amp;"D")</f>
        <v>58642</v>
      </c>
      <c r="Y2811" s="92" t="e">
        <v>#N/A</v>
      </c>
      <c r="Z2811" s="94" t="e">
        <v>#N/A</v>
      </c>
    </row>
    <row r="2812" spans="22:26" x14ac:dyDescent="0.2">
      <c r="V2812" s="123" t="str">
        <f t="shared" si="54"/>
        <v>1w</v>
      </c>
      <c r="W2812" s="82">
        <f>_xll.qlCalendarAdvance(Calendar,W2811,V2812,"f",FALSE)</f>
        <v>58649</v>
      </c>
      <c r="X2812" s="91">
        <f>_xll.qlCalendarAdvance(Calendar,W2812,NDays&amp;"D")</f>
        <v>58649</v>
      </c>
      <c r="Y2812" s="92" t="e">
        <v>#N/A</v>
      </c>
      <c r="Z2812" s="94" t="e">
        <v>#N/A</v>
      </c>
    </row>
    <row r="2813" spans="22:26" x14ac:dyDescent="0.2">
      <c r="V2813" s="123" t="str">
        <f t="shared" si="54"/>
        <v>1w</v>
      </c>
      <c r="W2813" s="82">
        <f>_xll.qlCalendarAdvance(Calendar,W2812,V2813,"f",FALSE)</f>
        <v>58656</v>
      </c>
      <c r="X2813" s="91">
        <f>_xll.qlCalendarAdvance(Calendar,W2813,NDays&amp;"D")</f>
        <v>58656</v>
      </c>
      <c r="Y2813" s="92" t="e">
        <v>#N/A</v>
      </c>
      <c r="Z2813" s="94" t="e">
        <v>#N/A</v>
      </c>
    </row>
    <row r="2814" spans="22:26" x14ac:dyDescent="0.2">
      <c r="V2814" s="123" t="str">
        <f t="shared" si="54"/>
        <v>1w</v>
      </c>
      <c r="W2814" s="82">
        <f>_xll.qlCalendarAdvance(Calendar,W2813,V2814,"f",FALSE)</f>
        <v>58663</v>
      </c>
      <c r="X2814" s="91">
        <f>_xll.qlCalendarAdvance(Calendar,W2814,NDays&amp;"D")</f>
        <v>58663</v>
      </c>
      <c r="Y2814" s="92" t="e">
        <v>#N/A</v>
      </c>
      <c r="Z2814" s="94" t="e">
        <v>#N/A</v>
      </c>
    </row>
    <row r="2815" spans="22:26" x14ac:dyDescent="0.2">
      <c r="V2815" s="123" t="str">
        <f t="shared" si="54"/>
        <v>1w</v>
      </c>
      <c r="W2815" s="82">
        <f>_xll.qlCalendarAdvance(Calendar,W2814,V2815,"f",FALSE)</f>
        <v>58670</v>
      </c>
      <c r="X2815" s="91">
        <f>_xll.qlCalendarAdvance(Calendar,W2815,NDays&amp;"D")</f>
        <v>58670</v>
      </c>
      <c r="Y2815" s="92" t="e">
        <v>#N/A</v>
      </c>
      <c r="Z2815" s="94" t="e">
        <v>#N/A</v>
      </c>
    </row>
    <row r="2816" spans="22:26" x14ac:dyDescent="0.2">
      <c r="V2816" s="123" t="str">
        <f t="shared" si="54"/>
        <v>1w</v>
      </c>
      <c r="W2816" s="82">
        <f>_xll.qlCalendarAdvance(Calendar,W2815,V2816,"f",FALSE)</f>
        <v>58677</v>
      </c>
      <c r="X2816" s="91">
        <f>_xll.qlCalendarAdvance(Calendar,W2816,NDays&amp;"D")</f>
        <v>58677</v>
      </c>
      <c r="Y2816" s="92" t="e">
        <v>#N/A</v>
      </c>
      <c r="Z2816" s="94" t="e">
        <v>#N/A</v>
      </c>
    </row>
    <row r="2817" spans="22:26" x14ac:dyDescent="0.2">
      <c r="V2817" s="123" t="str">
        <f t="shared" si="54"/>
        <v>1w</v>
      </c>
      <c r="W2817" s="82">
        <f>_xll.qlCalendarAdvance(Calendar,W2816,V2817,"f",FALSE)</f>
        <v>58684</v>
      </c>
      <c r="X2817" s="91">
        <f>_xll.qlCalendarAdvance(Calendar,W2817,NDays&amp;"D")</f>
        <v>58684</v>
      </c>
      <c r="Y2817" s="92" t="e">
        <v>#N/A</v>
      </c>
      <c r="Z2817" s="94" t="e">
        <v>#N/A</v>
      </c>
    </row>
    <row r="2818" spans="22:26" x14ac:dyDescent="0.2">
      <c r="V2818" s="123" t="str">
        <f t="shared" si="54"/>
        <v>1w</v>
      </c>
      <c r="W2818" s="82">
        <f>_xll.qlCalendarAdvance(Calendar,W2817,V2818,"f",FALSE)</f>
        <v>58691</v>
      </c>
      <c r="X2818" s="91">
        <f>_xll.qlCalendarAdvance(Calendar,W2818,NDays&amp;"D")</f>
        <v>58691</v>
      </c>
      <c r="Y2818" s="92" t="e">
        <v>#N/A</v>
      </c>
      <c r="Z2818" s="94" t="e">
        <v>#N/A</v>
      </c>
    </row>
    <row r="2819" spans="22:26" x14ac:dyDescent="0.2">
      <c r="V2819" s="123" t="str">
        <f t="shared" si="54"/>
        <v>1w</v>
      </c>
      <c r="W2819" s="82">
        <f>_xll.qlCalendarAdvance(Calendar,W2818,V2819,"f",FALSE)</f>
        <v>58698</v>
      </c>
      <c r="X2819" s="91">
        <f>_xll.qlCalendarAdvance(Calendar,W2819,NDays&amp;"D")</f>
        <v>58698</v>
      </c>
      <c r="Y2819" s="92" t="e">
        <v>#N/A</v>
      </c>
      <c r="Z2819" s="94" t="e">
        <v>#N/A</v>
      </c>
    </row>
    <row r="2820" spans="22:26" x14ac:dyDescent="0.2">
      <c r="V2820" s="123" t="str">
        <f t="shared" si="54"/>
        <v>1w</v>
      </c>
      <c r="W2820" s="82">
        <f>_xll.qlCalendarAdvance(Calendar,W2819,V2820,"f",FALSE)</f>
        <v>58705</v>
      </c>
      <c r="X2820" s="91">
        <f>_xll.qlCalendarAdvance(Calendar,W2820,NDays&amp;"D")</f>
        <v>58705</v>
      </c>
      <c r="Y2820" s="92" t="e">
        <v>#N/A</v>
      </c>
      <c r="Z2820" s="94" t="e">
        <v>#N/A</v>
      </c>
    </row>
    <row r="2821" spans="22:26" x14ac:dyDescent="0.2">
      <c r="V2821" s="123" t="str">
        <f t="shared" si="54"/>
        <v>1w</v>
      </c>
      <c r="W2821" s="82">
        <f>_xll.qlCalendarAdvance(Calendar,W2820,V2821,"f",FALSE)</f>
        <v>58712</v>
      </c>
      <c r="X2821" s="91">
        <f>_xll.qlCalendarAdvance(Calendar,W2821,NDays&amp;"D")</f>
        <v>58712</v>
      </c>
      <c r="Y2821" s="92" t="e">
        <v>#N/A</v>
      </c>
      <c r="Z2821" s="94" t="e">
        <v>#N/A</v>
      </c>
    </row>
    <row r="2822" spans="22:26" x14ac:dyDescent="0.2">
      <c r="V2822" s="123" t="str">
        <f t="shared" si="54"/>
        <v>1w</v>
      </c>
      <c r="W2822" s="82">
        <f>_xll.qlCalendarAdvance(Calendar,W2821,V2822,"f",FALSE)</f>
        <v>58719</v>
      </c>
      <c r="X2822" s="91">
        <f>_xll.qlCalendarAdvance(Calendar,W2822,NDays&amp;"D")</f>
        <v>58719</v>
      </c>
      <c r="Y2822" s="92" t="e">
        <v>#N/A</v>
      </c>
      <c r="Z2822" s="94" t="e">
        <v>#N/A</v>
      </c>
    </row>
    <row r="2823" spans="22:26" x14ac:dyDescent="0.2">
      <c r="V2823" s="123" t="str">
        <f t="shared" si="54"/>
        <v>1w</v>
      </c>
      <c r="W2823" s="82">
        <f>_xll.qlCalendarAdvance(Calendar,W2822,V2823,"f",FALSE)</f>
        <v>58726</v>
      </c>
      <c r="X2823" s="91">
        <f>_xll.qlCalendarAdvance(Calendar,W2823,NDays&amp;"D")</f>
        <v>58726</v>
      </c>
      <c r="Y2823" s="92" t="e">
        <v>#N/A</v>
      </c>
      <c r="Z2823" s="94" t="e">
        <v>#N/A</v>
      </c>
    </row>
    <row r="2824" spans="22:26" x14ac:dyDescent="0.2">
      <c r="V2824" s="123" t="str">
        <f t="shared" si="54"/>
        <v>1w</v>
      </c>
      <c r="W2824" s="82">
        <f>_xll.qlCalendarAdvance(Calendar,W2823,V2824,"f",FALSE)</f>
        <v>58733</v>
      </c>
      <c r="X2824" s="91">
        <f>_xll.qlCalendarAdvance(Calendar,W2824,NDays&amp;"D")</f>
        <v>58733</v>
      </c>
      <c r="Y2824" s="92" t="e">
        <v>#N/A</v>
      </c>
      <c r="Z2824" s="94" t="e">
        <v>#N/A</v>
      </c>
    </row>
    <row r="2825" spans="22:26" x14ac:dyDescent="0.2">
      <c r="V2825" s="123" t="str">
        <f t="shared" si="54"/>
        <v>1w</v>
      </c>
      <c r="W2825" s="82">
        <f>_xll.qlCalendarAdvance(Calendar,W2824,V2825,"f",FALSE)</f>
        <v>58740</v>
      </c>
      <c r="X2825" s="91">
        <f>_xll.qlCalendarAdvance(Calendar,W2825,NDays&amp;"D")</f>
        <v>58740</v>
      </c>
      <c r="Y2825" s="92" t="e">
        <v>#N/A</v>
      </c>
      <c r="Z2825" s="94" t="e">
        <v>#N/A</v>
      </c>
    </row>
    <row r="2826" spans="22:26" x14ac:dyDescent="0.2">
      <c r="V2826" s="123" t="str">
        <f t="shared" si="54"/>
        <v>1w</v>
      </c>
      <c r="W2826" s="82">
        <f>_xll.qlCalendarAdvance(Calendar,W2825,V2826,"f",FALSE)</f>
        <v>58747</v>
      </c>
      <c r="X2826" s="91">
        <f>_xll.qlCalendarAdvance(Calendar,W2826,NDays&amp;"D")</f>
        <v>58747</v>
      </c>
      <c r="Y2826" s="92" t="e">
        <v>#N/A</v>
      </c>
      <c r="Z2826" s="94" t="e">
        <v>#N/A</v>
      </c>
    </row>
    <row r="2827" spans="22:26" x14ac:dyDescent="0.2">
      <c r="V2827" s="123" t="str">
        <f t="shared" si="54"/>
        <v>1w</v>
      </c>
      <c r="W2827" s="82">
        <f>_xll.qlCalendarAdvance(Calendar,W2826,V2827,"f",FALSE)</f>
        <v>58754</v>
      </c>
      <c r="X2827" s="91">
        <f>_xll.qlCalendarAdvance(Calendar,W2827,NDays&amp;"D")</f>
        <v>58754</v>
      </c>
      <c r="Y2827" s="92" t="e">
        <v>#N/A</v>
      </c>
      <c r="Z2827" s="94" t="e">
        <v>#N/A</v>
      </c>
    </row>
    <row r="2828" spans="22:26" x14ac:dyDescent="0.2">
      <c r="V2828" s="123" t="str">
        <f t="shared" si="54"/>
        <v>1w</v>
      </c>
      <c r="W2828" s="82">
        <f>_xll.qlCalendarAdvance(Calendar,W2827,V2828,"f",FALSE)</f>
        <v>58761</v>
      </c>
      <c r="X2828" s="91">
        <f>_xll.qlCalendarAdvance(Calendar,W2828,NDays&amp;"D")</f>
        <v>58761</v>
      </c>
      <c r="Y2828" s="92" t="e">
        <v>#N/A</v>
      </c>
      <c r="Z2828" s="94" t="e">
        <v>#N/A</v>
      </c>
    </row>
    <row r="2829" spans="22:26" x14ac:dyDescent="0.2">
      <c r="V2829" s="123" t="str">
        <f t="shared" si="54"/>
        <v>1w</v>
      </c>
      <c r="W2829" s="82">
        <f>_xll.qlCalendarAdvance(Calendar,W2828,V2829,"f",FALSE)</f>
        <v>58768</v>
      </c>
      <c r="X2829" s="91">
        <f>_xll.qlCalendarAdvance(Calendar,W2829,NDays&amp;"D")</f>
        <v>58768</v>
      </c>
      <c r="Y2829" s="92" t="e">
        <v>#N/A</v>
      </c>
      <c r="Z2829" s="94" t="e">
        <v>#N/A</v>
      </c>
    </row>
    <row r="2830" spans="22:26" x14ac:dyDescent="0.2">
      <c r="V2830" s="123" t="str">
        <f t="shared" si="54"/>
        <v>1w</v>
      </c>
      <c r="W2830" s="82">
        <f>_xll.qlCalendarAdvance(Calendar,W2829,V2830,"f",FALSE)</f>
        <v>58775</v>
      </c>
      <c r="X2830" s="91">
        <f>_xll.qlCalendarAdvance(Calendar,W2830,NDays&amp;"D")</f>
        <v>58775</v>
      </c>
      <c r="Y2830" s="92" t="e">
        <v>#N/A</v>
      </c>
      <c r="Z2830" s="94" t="e">
        <v>#N/A</v>
      </c>
    </row>
    <row r="2831" spans="22:26" x14ac:dyDescent="0.2">
      <c r="V2831" s="123" t="str">
        <f t="shared" si="54"/>
        <v>1w</v>
      </c>
      <c r="W2831" s="82">
        <f>_xll.qlCalendarAdvance(Calendar,W2830,V2831,"f",FALSE)</f>
        <v>58782</v>
      </c>
      <c r="X2831" s="91">
        <f>_xll.qlCalendarAdvance(Calendar,W2831,NDays&amp;"D")</f>
        <v>58782</v>
      </c>
      <c r="Y2831" s="92" t="e">
        <v>#N/A</v>
      </c>
      <c r="Z2831" s="94" t="e">
        <v>#N/A</v>
      </c>
    </row>
    <row r="2832" spans="22:26" x14ac:dyDescent="0.2">
      <c r="V2832" s="123" t="str">
        <f t="shared" si="54"/>
        <v>1w</v>
      </c>
      <c r="W2832" s="82">
        <f>_xll.qlCalendarAdvance(Calendar,W2831,V2832,"f",FALSE)</f>
        <v>58789</v>
      </c>
      <c r="X2832" s="91">
        <f>_xll.qlCalendarAdvance(Calendar,W2832,NDays&amp;"D")</f>
        <v>58789</v>
      </c>
      <c r="Y2832" s="92" t="e">
        <v>#N/A</v>
      </c>
      <c r="Z2832" s="94" t="e">
        <v>#N/A</v>
      </c>
    </row>
    <row r="2833" spans="22:26" x14ac:dyDescent="0.2">
      <c r="V2833" s="123" t="str">
        <f t="shared" si="54"/>
        <v>1w</v>
      </c>
      <c r="W2833" s="82">
        <f>_xll.qlCalendarAdvance(Calendar,W2832,V2833,"f",FALSE)</f>
        <v>58796</v>
      </c>
      <c r="X2833" s="91">
        <f>_xll.qlCalendarAdvance(Calendar,W2833,NDays&amp;"D")</f>
        <v>58796</v>
      </c>
      <c r="Y2833" s="92" t="e">
        <v>#N/A</v>
      </c>
      <c r="Z2833" s="94" t="e">
        <v>#N/A</v>
      </c>
    </row>
    <row r="2834" spans="22:26" x14ac:dyDescent="0.2">
      <c r="V2834" s="123" t="str">
        <f t="shared" si="54"/>
        <v>1w</v>
      </c>
      <c r="W2834" s="82">
        <f>_xll.qlCalendarAdvance(Calendar,W2833,V2834,"f",FALSE)</f>
        <v>58803</v>
      </c>
      <c r="X2834" s="91">
        <f>_xll.qlCalendarAdvance(Calendar,W2834,NDays&amp;"D")</f>
        <v>58803</v>
      </c>
      <c r="Y2834" s="92" t="e">
        <v>#N/A</v>
      </c>
      <c r="Z2834" s="94" t="e">
        <v>#N/A</v>
      </c>
    </row>
    <row r="2835" spans="22:26" x14ac:dyDescent="0.2">
      <c r="V2835" s="123" t="str">
        <f t="shared" si="54"/>
        <v>1w</v>
      </c>
      <c r="W2835" s="82">
        <f>_xll.qlCalendarAdvance(Calendar,W2834,V2835,"f",FALSE)</f>
        <v>58810</v>
      </c>
      <c r="X2835" s="91">
        <f>_xll.qlCalendarAdvance(Calendar,W2835,NDays&amp;"D")</f>
        <v>58810</v>
      </c>
      <c r="Y2835" s="92" t="e">
        <v>#N/A</v>
      </c>
      <c r="Z2835" s="94" t="e">
        <v>#N/A</v>
      </c>
    </row>
    <row r="2836" spans="22:26" x14ac:dyDescent="0.2">
      <c r="V2836" s="123" t="str">
        <f t="shared" si="54"/>
        <v>1w</v>
      </c>
      <c r="W2836" s="82">
        <f>_xll.qlCalendarAdvance(Calendar,W2835,V2836,"f",FALSE)</f>
        <v>58817</v>
      </c>
      <c r="X2836" s="91">
        <f>_xll.qlCalendarAdvance(Calendar,W2836,NDays&amp;"D")</f>
        <v>58817</v>
      </c>
      <c r="Y2836" s="92" t="e">
        <v>#N/A</v>
      </c>
      <c r="Z2836" s="94" t="e">
        <v>#N/A</v>
      </c>
    </row>
    <row r="2837" spans="22:26" x14ac:dyDescent="0.2">
      <c r="V2837" s="123" t="str">
        <f t="shared" ref="V2837:V2900" si="55">V2836</f>
        <v>1w</v>
      </c>
      <c r="W2837" s="82">
        <f>_xll.qlCalendarAdvance(Calendar,W2836,V2837,"f",FALSE)</f>
        <v>58824</v>
      </c>
      <c r="X2837" s="91">
        <f>_xll.qlCalendarAdvance(Calendar,W2837,NDays&amp;"D")</f>
        <v>58824</v>
      </c>
      <c r="Y2837" s="92" t="e">
        <v>#N/A</v>
      </c>
      <c r="Z2837" s="94" t="e">
        <v>#N/A</v>
      </c>
    </row>
    <row r="2838" spans="22:26" x14ac:dyDescent="0.2">
      <c r="V2838" s="123" t="str">
        <f t="shared" si="55"/>
        <v>1w</v>
      </c>
      <c r="W2838" s="82">
        <f>_xll.qlCalendarAdvance(Calendar,W2837,V2838,"f",FALSE)</f>
        <v>58831</v>
      </c>
      <c r="X2838" s="91">
        <f>_xll.qlCalendarAdvance(Calendar,W2838,NDays&amp;"D")</f>
        <v>58831</v>
      </c>
      <c r="Y2838" s="92" t="e">
        <v>#N/A</v>
      </c>
      <c r="Z2838" s="94" t="e">
        <v>#N/A</v>
      </c>
    </row>
    <row r="2839" spans="22:26" x14ac:dyDescent="0.2">
      <c r="V2839" s="123" t="str">
        <f t="shared" si="55"/>
        <v>1w</v>
      </c>
      <c r="W2839" s="82">
        <f>_xll.qlCalendarAdvance(Calendar,W2838,V2839,"f",FALSE)</f>
        <v>58838</v>
      </c>
      <c r="X2839" s="91">
        <f>_xll.qlCalendarAdvance(Calendar,W2839,NDays&amp;"D")</f>
        <v>58838</v>
      </c>
      <c r="Y2839" s="92" t="e">
        <v>#N/A</v>
      </c>
      <c r="Z2839" s="94" t="e">
        <v>#N/A</v>
      </c>
    </row>
    <row r="2840" spans="22:26" x14ac:dyDescent="0.2">
      <c r="V2840" s="123" t="str">
        <f t="shared" si="55"/>
        <v>1w</v>
      </c>
      <c r="W2840" s="82">
        <f>_xll.qlCalendarAdvance(Calendar,W2839,V2840,"f",FALSE)</f>
        <v>58845</v>
      </c>
      <c r="X2840" s="91">
        <f>_xll.qlCalendarAdvance(Calendar,W2840,NDays&amp;"D")</f>
        <v>58845</v>
      </c>
      <c r="Y2840" s="92" t="e">
        <v>#N/A</v>
      </c>
      <c r="Z2840" s="94" t="e">
        <v>#N/A</v>
      </c>
    </row>
    <row r="2841" spans="22:26" x14ac:dyDescent="0.2">
      <c r="V2841" s="123" t="str">
        <f t="shared" si="55"/>
        <v>1w</v>
      </c>
      <c r="W2841" s="82">
        <f>_xll.qlCalendarAdvance(Calendar,W2840,V2841,"f",FALSE)</f>
        <v>58852</v>
      </c>
      <c r="X2841" s="91">
        <f>_xll.qlCalendarAdvance(Calendar,W2841,NDays&amp;"D")</f>
        <v>58852</v>
      </c>
      <c r="Y2841" s="92" t="e">
        <v>#N/A</v>
      </c>
      <c r="Z2841" s="94" t="e">
        <v>#N/A</v>
      </c>
    </row>
    <row r="2842" spans="22:26" x14ac:dyDescent="0.2">
      <c r="V2842" s="123" t="str">
        <f t="shared" si="55"/>
        <v>1w</v>
      </c>
      <c r="W2842" s="82">
        <f>_xll.qlCalendarAdvance(Calendar,W2841,V2842,"f",FALSE)</f>
        <v>58859</v>
      </c>
      <c r="X2842" s="91">
        <f>_xll.qlCalendarAdvance(Calendar,W2842,NDays&amp;"D")</f>
        <v>58859</v>
      </c>
      <c r="Y2842" s="92" t="e">
        <v>#N/A</v>
      </c>
      <c r="Z2842" s="94" t="e">
        <v>#N/A</v>
      </c>
    </row>
    <row r="2843" spans="22:26" x14ac:dyDescent="0.2">
      <c r="V2843" s="123" t="str">
        <f t="shared" si="55"/>
        <v>1w</v>
      </c>
      <c r="W2843" s="82">
        <f>_xll.qlCalendarAdvance(Calendar,W2842,V2843,"f",FALSE)</f>
        <v>58866</v>
      </c>
      <c r="X2843" s="91">
        <f>_xll.qlCalendarAdvance(Calendar,W2843,NDays&amp;"D")</f>
        <v>58866</v>
      </c>
      <c r="Y2843" s="92" t="e">
        <v>#N/A</v>
      </c>
      <c r="Z2843" s="94" t="e">
        <v>#N/A</v>
      </c>
    </row>
    <row r="2844" spans="22:26" x14ac:dyDescent="0.2">
      <c r="V2844" s="123" t="str">
        <f t="shared" si="55"/>
        <v>1w</v>
      </c>
      <c r="W2844" s="82">
        <f>_xll.qlCalendarAdvance(Calendar,W2843,V2844,"f",FALSE)</f>
        <v>58873</v>
      </c>
      <c r="X2844" s="91">
        <f>_xll.qlCalendarAdvance(Calendar,W2844,NDays&amp;"D")</f>
        <v>58873</v>
      </c>
      <c r="Y2844" s="92" t="e">
        <v>#N/A</v>
      </c>
      <c r="Z2844" s="94" t="e">
        <v>#N/A</v>
      </c>
    </row>
    <row r="2845" spans="22:26" x14ac:dyDescent="0.2">
      <c r="V2845" s="123" t="str">
        <f t="shared" si="55"/>
        <v>1w</v>
      </c>
      <c r="W2845" s="82">
        <f>_xll.qlCalendarAdvance(Calendar,W2844,V2845,"f",FALSE)</f>
        <v>58880</v>
      </c>
      <c r="X2845" s="91">
        <f>_xll.qlCalendarAdvance(Calendar,W2845,NDays&amp;"D")</f>
        <v>58880</v>
      </c>
      <c r="Y2845" s="92" t="e">
        <v>#N/A</v>
      </c>
      <c r="Z2845" s="94" t="e">
        <v>#N/A</v>
      </c>
    </row>
    <row r="2846" spans="22:26" x14ac:dyDescent="0.2">
      <c r="V2846" s="123" t="str">
        <f t="shared" si="55"/>
        <v>1w</v>
      </c>
      <c r="W2846" s="82">
        <f>_xll.qlCalendarAdvance(Calendar,W2845,V2846,"f",FALSE)</f>
        <v>58887</v>
      </c>
      <c r="X2846" s="91">
        <f>_xll.qlCalendarAdvance(Calendar,W2846,NDays&amp;"D")</f>
        <v>58887</v>
      </c>
      <c r="Y2846" s="92" t="e">
        <v>#N/A</v>
      </c>
      <c r="Z2846" s="94" t="e">
        <v>#N/A</v>
      </c>
    </row>
    <row r="2847" spans="22:26" x14ac:dyDescent="0.2">
      <c r="V2847" s="123" t="str">
        <f t="shared" si="55"/>
        <v>1w</v>
      </c>
      <c r="W2847" s="82">
        <f>_xll.qlCalendarAdvance(Calendar,W2846,V2847,"f",FALSE)</f>
        <v>58894</v>
      </c>
      <c r="X2847" s="91">
        <f>_xll.qlCalendarAdvance(Calendar,W2847,NDays&amp;"D")</f>
        <v>58894</v>
      </c>
      <c r="Y2847" s="92" t="e">
        <v>#N/A</v>
      </c>
      <c r="Z2847" s="94" t="e">
        <v>#N/A</v>
      </c>
    </row>
    <row r="2848" spans="22:26" x14ac:dyDescent="0.2">
      <c r="V2848" s="123" t="str">
        <f t="shared" si="55"/>
        <v>1w</v>
      </c>
      <c r="W2848" s="82">
        <f>_xll.qlCalendarAdvance(Calendar,W2847,V2848,"f",FALSE)</f>
        <v>58901</v>
      </c>
      <c r="X2848" s="91">
        <f>_xll.qlCalendarAdvance(Calendar,W2848,NDays&amp;"D")</f>
        <v>58901</v>
      </c>
      <c r="Y2848" s="92" t="e">
        <v>#N/A</v>
      </c>
      <c r="Z2848" s="94" t="e">
        <v>#N/A</v>
      </c>
    </row>
    <row r="2849" spans="22:26" x14ac:dyDescent="0.2">
      <c r="V2849" s="123" t="str">
        <f t="shared" si="55"/>
        <v>1w</v>
      </c>
      <c r="W2849" s="82">
        <f>_xll.qlCalendarAdvance(Calendar,W2848,V2849,"f",FALSE)</f>
        <v>58908</v>
      </c>
      <c r="X2849" s="91">
        <f>_xll.qlCalendarAdvance(Calendar,W2849,NDays&amp;"D")</f>
        <v>58908</v>
      </c>
      <c r="Y2849" s="92" t="e">
        <v>#N/A</v>
      </c>
      <c r="Z2849" s="94" t="e">
        <v>#N/A</v>
      </c>
    </row>
    <row r="2850" spans="22:26" x14ac:dyDescent="0.2">
      <c r="V2850" s="123" t="str">
        <f t="shared" si="55"/>
        <v>1w</v>
      </c>
      <c r="W2850" s="82">
        <f>_xll.qlCalendarAdvance(Calendar,W2849,V2850,"f",FALSE)</f>
        <v>58915</v>
      </c>
      <c r="X2850" s="91">
        <f>_xll.qlCalendarAdvance(Calendar,W2850,NDays&amp;"D")</f>
        <v>58915</v>
      </c>
      <c r="Y2850" s="92" t="e">
        <v>#N/A</v>
      </c>
      <c r="Z2850" s="94" t="e">
        <v>#N/A</v>
      </c>
    </row>
    <row r="2851" spans="22:26" x14ac:dyDescent="0.2">
      <c r="V2851" s="123" t="str">
        <f t="shared" si="55"/>
        <v>1w</v>
      </c>
      <c r="W2851" s="82">
        <f>_xll.qlCalendarAdvance(Calendar,W2850,V2851,"f",FALSE)</f>
        <v>58922</v>
      </c>
      <c r="X2851" s="91">
        <f>_xll.qlCalendarAdvance(Calendar,W2851,NDays&amp;"D")</f>
        <v>58922</v>
      </c>
      <c r="Y2851" s="92" t="e">
        <v>#N/A</v>
      </c>
      <c r="Z2851" s="94" t="e">
        <v>#N/A</v>
      </c>
    </row>
    <row r="2852" spans="22:26" x14ac:dyDescent="0.2">
      <c r="V2852" s="123" t="str">
        <f t="shared" si="55"/>
        <v>1w</v>
      </c>
      <c r="W2852" s="82">
        <f>_xll.qlCalendarAdvance(Calendar,W2851,V2852,"f",FALSE)</f>
        <v>58929</v>
      </c>
      <c r="X2852" s="91">
        <f>_xll.qlCalendarAdvance(Calendar,W2852,NDays&amp;"D")</f>
        <v>58929</v>
      </c>
      <c r="Y2852" s="92" t="e">
        <v>#N/A</v>
      </c>
      <c r="Z2852" s="94" t="e">
        <v>#N/A</v>
      </c>
    </row>
    <row r="2853" spans="22:26" x14ac:dyDescent="0.2">
      <c r="V2853" s="123" t="str">
        <f t="shared" si="55"/>
        <v>1w</v>
      </c>
      <c r="W2853" s="82">
        <f>_xll.qlCalendarAdvance(Calendar,W2852,V2853,"f",FALSE)</f>
        <v>58936</v>
      </c>
      <c r="X2853" s="91">
        <f>_xll.qlCalendarAdvance(Calendar,W2853,NDays&amp;"D")</f>
        <v>58936</v>
      </c>
      <c r="Y2853" s="92" t="e">
        <v>#N/A</v>
      </c>
      <c r="Z2853" s="94" t="e">
        <v>#N/A</v>
      </c>
    </row>
    <row r="2854" spans="22:26" x14ac:dyDescent="0.2">
      <c r="V2854" s="123" t="str">
        <f t="shared" si="55"/>
        <v>1w</v>
      </c>
      <c r="W2854" s="82">
        <f>_xll.qlCalendarAdvance(Calendar,W2853,V2854,"f",FALSE)</f>
        <v>58943</v>
      </c>
      <c r="X2854" s="91">
        <f>_xll.qlCalendarAdvance(Calendar,W2854,NDays&amp;"D")</f>
        <v>58943</v>
      </c>
      <c r="Y2854" s="92" t="e">
        <v>#N/A</v>
      </c>
      <c r="Z2854" s="94" t="e">
        <v>#N/A</v>
      </c>
    </row>
    <row r="2855" spans="22:26" x14ac:dyDescent="0.2">
      <c r="V2855" s="123" t="str">
        <f t="shared" si="55"/>
        <v>1w</v>
      </c>
      <c r="W2855" s="82">
        <f>_xll.qlCalendarAdvance(Calendar,W2854,V2855,"f",FALSE)</f>
        <v>58950</v>
      </c>
      <c r="X2855" s="91">
        <f>_xll.qlCalendarAdvance(Calendar,W2855,NDays&amp;"D")</f>
        <v>58950</v>
      </c>
      <c r="Y2855" s="92" t="e">
        <v>#N/A</v>
      </c>
      <c r="Z2855" s="94" t="e">
        <v>#N/A</v>
      </c>
    </row>
    <row r="2856" spans="22:26" x14ac:dyDescent="0.2">
      <c r="V2856" s="123" t="str">
        <f t="shared" si="55"/>
        <v>1w</v>
      </c>
      <c r="W2856" s="82">
        <f>_xll.qlCalendarAdvance(Calendar,W2855,V2856,"f",FALSE)</f>
        <v>58957</v>
      </c>
      <c r="X2856" s="91">
        <f>_xll.qlCalendarAdvance(Calendar,W2856,NDays&amp;"D")</f>
        <v>58957</v>
      </c>
      <c r="Y2856" s="92" t="e">
        <v>#N/A</v>
      </c>
      <c r="Z2856" s="94" t="e">
        <v>#N/A</v>
      </c>
    </row>
    <row r="2857" spans="22:26" x14ac:dyDescent="0.2">
      <c r="V2857" s="123" t="str">
        <f t="shared" si="55"/>
        <v>1w</v>
      </c>
      <c r="W2857" s="82">
        <f>_xll.qlCalendarAdvance(Calendar,W2856,V2857,"f",FALSE)</f>
        <v>58964</v>
      </c>
      <c r="X2857" s="91">
        <f>_xll.qlCalendarAdvance(Calendar,W2857,NDays&amp;"D")</f>
        <v>58964</v>
      </c>
      <c r="Y2857" s="92" t="e">
        <v>#N/A</v>
      </c>
      <c r="Z2857" s="94" t="e">
        <v>#N/A</v>
      </c>
    </row>
    <row r="2858" spans="22:26" x14ac:dyDescent="0.2">
      <c r="V2858" s="123" t="str">
        <f t="shared" si="55"/>
        <v>1w</v>
      </c>
      <c r="W2858" s="82">
        <f>_xll.qlCalendarAdvance(Calendar,W2857,V2858,"f",FALSE)</f>
        <v>58971</v>
      </c>
      <c r="X2858" s="91">
        <f>_xll.qlCalendarAdvance(Calendar,W2858,NDays&amp;"D")</f>
        <v>58971</v>
      </c>
      <c r="Y2858" s="92" t="e">
        <v>#N/A</v>
      </c>
      <c r="Z2858" s="94" t="e">
        <v>#N/A</v>
      </c>
    </row>
    <row r="2859" spans="22:26" x14ac:dyDescent="0.2">
      <c r="V2859" s="123" t="str">
        <f t="shared" si="55"/>
        <v>1w</v>
      </c>
      <c r="W2859" s="82">
        <f>_xll.qlCalendarAdvance(Calendar,W2858,V2859,"f",FALSE)</f>
        <v>58978</v>
      </c>
      <c r="X2859" s="91">
        <f>_xll.qlCalendarAdvance(Calendar,W2859,NDays&amp;"D")</f>
        <v>58978</v>
      </c>
      <c r="Y2859" s="92" t="e">
        <v>#N/A</v>
      </c>
      <c r="Z2859" s="94" t="e">
        <v>#N/A</v>
      </c>
    </row>
    <row r="2860" spans="22:26" x14ac:dyDescent="0.2">
      <c r="V2860" s="123" t="str">
        <f t="shared" si="55"/>
        <v>1w</v>
      </c>
      <c r="W2860" s="82">
        <f>_xll.qlCalendarAdvance(Calendar,W2859,V2860,"f",FALSE)</f>
        <v>58985</v>
      </c>
      <c r="X2860" s="91">
        <f>_xll.qlCalendarAdvance(Calendar,W2860,NDays&amp;"D")</f>
        <v>58985</v>
      </c>
      <c r="Y2860" s="92" t="e">
        <v>#N/A</v>
      </c>
      <c r="Z2860" s="94" t="e">
        <v>#N/A</v>
      </c>
    </row>
    <row r="2861" spans="22:26" x14ac:dyDescent="0.2">
      <c r="V2861" s="123" t="str">
        <f t="shared" si="55"/>
        <v>1w</v>
      </c>
      <c r="W2861" s="82">
        <f>_xll.qlCalendarAdvance(Calendar,W2860,V2861,"f",FALSE)</f>
        <v>58992</v>
      </c>
      <c r="X2861" s="91">
        <f>_xll.qlCalendarAdvance(Calendar,W2861,NDays&amp;"D")</f>
        <v>58992</v>
      </c>
      <c r="Y2861" s="92" t="e">
        <v>#N/A</v>
      </c>
      <c r="Z2861" s="94" t="e">
        <v>#N/A</v>
      </c>
    </row>
    <row r="2862" spans="22:26" x14ac:dyDescent="0.2">
      <c r="V2862" s="123" t="str">
        <f t="shared" si="55"/>
        <v>1w</v>
      </c>
      <c r="W2862" s="82">
        <f>_xll.qlCalendarAdvance(Calendar,W2861,V2862,"f",FALSE)</f>
        <v>58999</v>
      </c>
      <c r="X2862" s="91">
        <f>_xll.qlCalendarAdvance(Calendar,W2862,NDays&amp;"D")</f>
        <v>58999</v>
      </c>
      <c r="Y2862" s="92" t="e">
        <v>#N/A</v>
      </c>
      <c r="Z2862" s="94" t="e">
        <v>#N/A</v>
      </c>
    </row>
    <row r="2863" spans="22:26" x14ac:dyDescent="0.2">
      <c r="V2863" s="123" t="str">
        <f t="shared" si="55"/>
        <v>1w</v>
      </c>
      <c r="W2863" s="82">
        <f>_xll.qlCalendarAdvance(Calendar,W2862,V2863,"f",FALSE)</f>
        <v>59006</v>
      </c>
      <c r="X2863" s="91">
        <f>_xll.qlCalendarAdvance(Calendar,W2863,NDays&amp;"D")</f>
        <v>59006</v>
      </c>
      <c r="Y2863" s="92" t="e">
        <v>#N/A</v>
      </c>
      <c r="Z2863" s="94" t="e">
        <v>#N/A</v>
      </c>
    </row>
    <row r="2864" spans="22:26" x14ac:dyDescent="0.2">
      <c r="V2864" s="123" t="str">
        <f t="shared" si="55"/>
        <v>1w</v>
      </c>
      <c r="W2864" s="82">
        <f>_xll.qlCalendarAdvance(Calendar,W2863,V2864,"f",FALSE)</f>
        <v>59013</v>
      </c>
      <c r="X2864" s="91">
        <f>_xll.qlCalendarAdvance(Calendar,W2864,NDays&amp;"D")</f>
        <v>59013</v>
      </c>
      <c r="Y2864" s="92" t="e">
        <v>#N/A</v>
      </c>
      <c r="Z2864" s="94" t="e">
        <v>#N/A</v>
      </c>
    </row>
    <row r="2865" spans="22:26" x14ac:dyDescent="0.2">
      <c r="V2865" s="123" t="str">
        <f t="shared" si="55"/>
        <v>1w</v>
      </c>
      <c r="W2865" s="82">
        <f>_xll.qlCalendarAdvance(Calendar,W2864,V2865,"f",FALSE)</f>
        <v>59020</v>
      </c>
      <c r="X2865" s="91">
        <f>_xll.qlCalendarAdvance(Calendar,W2865,NDays&amp;"D")</f>
        <v>59020</v>
      </c>
      <c r="Y2865" s="92" t="e">
        <v>#N/A</v>
      </c>
      <c r="Z2865" s="94" t="e">
        <v>#N/A</v>
      </c>
    </row>
    <row r="2866" spans="22:26" x14ac:dyDescent="0.2">
      <c r="V2866" s="123" t="str">
        <f t="shared" si="55"/>
        <v>1w</v>
      </c>
      <c r="W2866" s="82">
        <f>_xll.qlCalendarAdvance(Calendar,W2865,V2866,"f",FALSE)</f>
        <v>59027</v>
      </c>
      <c r="X2866" s="91">
        <f>_xll.qlCalendarAdvance(Calendar,W2866,NDays&amp;"D")</f>
        <v>59027</v>
      </c>
      <c r="Y2866" s="92" t="e">
        <v>#N/A</v>
      </c>
      <c r="Z2866" s="94" t="e">
        <v>#N/A</v>
      </c>
    </row>
    <row r="2867" spans="22:26" x14ac:dyDescent="0.2">
      <c r="V2867" s="123" t="str">
        <f t="shared" si="55"/>
        <v>1w</v>
      </c>
      <c r="W2867" s="82">
        <f>_xll.qlCalendarAdvance(Calendar,W2866,V2867,"f",FALSE)</f>
        <v>59034</v>
      </c>
      <c r="X2867" s="91">
        <f>_xll.qlCalendarAdvance(Calendar,W2867,NDays&amp;"D")</f>
        <v>59034</v>
      </c>
      <c r="Y2867" s="92" t="e">
        <v>#N/A</v>
      </c>
      <c r="Z2867" s="94" t="e">
        <v>#N/A</v>
      </c>
    </row>
    <row r="2868" spans="22:26" x14ac:dyDescent="0.2">
      <c r="V2868" s="123" t="str">
        <f t="shared" si="55"/>
        <v>1w</v>
      </c>
      <c r="W2868" s="82">
        <f>_xll.qlCalendarAdvance(Calendar,W2867,V2868,"f",FALSE)</f>
        <v>59041</v>
      </c>
      <c r="X2868" s="91">
        <f>_xll.qlCalendarAdvance(Calendar,W2868,NDays&amp;"D")</f>
        <v>59041</v>
      </c>
      <c r="Y2868" s="92" t="e">
        <v>#N/A</v>
      </c>
      <c r="Z2868" s="94" t="e">
        <v>#N/A</v>
      </c>
    </row>
    <row r="2869" spans="22:26" x14ac:dyDescent="0.2">
      <c r="V2869" s="123" t="str">
        <f t="shared" si="55"/>
        <v>1w</v>
      </c>
      <c r="W2869" s="82">
        <f>_xll.qlCalendarAdvance(Calendar,W2868,V2869,"f",FALSE)</f>
        <v>59048</v>
      </c>
      <c r="X2869" s="91">
        <f>_xll.qlCalendarAdvance(Calendar,W2869,NDays&amp;"D")</f>
        <v>59048</v>
      </c>
      <c r="Y2869" s="92" t="e">
        <v>#N/A</v>
      </c>
      <c r="Z2869" s="94" t="e">
        <v>#N/A</v>
      </c>
    </row>
    <row r="2870" spans="22:26" x14ac:dyDescent="0.2">
      <c r="V2870" s="123" t="str">
        <f t="shared" si="55"/>
        <v>1w</v>
      </c>
      <c r="W2870" s="82">
        <f>_xll.qlCalendarAdvance(Calendar,W2869,V2870,"f",FALSE)</f>
        <v>59055</v>
      </c>
      <c r="X2870" s="91">
        <f>_xll.qlCalendarAdvance(Calendar,W2870,NDays&amp;"D")</f>
        <v>59055</v>
      </c>
      <c r="Y2870" s="92" t="e">
        <v>#N/A</v>
      </c>
      <c r="Z2870" s="94" t="e">
        <v>#N/A</v>
      </c>
    </row>
    <row r="2871" spans="22:26" x14ac:dyDescent="0.2">
      <c r="V2871" s="123" t="str">
        <f t="shared" si="55"/>
        <v>1w</v>
      </c>
      <c r="W2871" s="82">
        <f>_xll.qlCalendarAdvance(Calendar,W2870,V2871,"f",FALSE)</f>
        <v>59062</v>
      </c>
      <c r="X2871" s="91">
        <f>_xll.qlCalendarAdvance(Calendar,W2871,NDays&amp;"D")</f>
        <v>59062</v>
      </c>
      <c r="Y2871" s="92" t="e">
        <v>#N/A</v>
      </c>
      <c r="Z2871" s="94" t="e">
        <v>#N/A</v>
      </c>
    </row>
    <row r="2872" spans="22:26" x14ac:dyDescent="0.2">
      <c r="V2872" s="123" t="str">
        <f t="shared" si="55"/>
        <v>1w</v>
      </c>
      <c r="W2872" s="82">
        <f>_xll.qlCalendarAdvance(Calendar,W2871,V2872,"f",FALSE)</f>
        <v>59069</v>
      </c>
      <c r="X2872" s="91">
        <f>_xll.qlCalendarAdvance(Calendar,W2872,NDays&amp;"D")</f>
        <v>59069</v>
      </c>
      <c r="Y2872" s="92" t="e">
        <v>#N/A</v>
      </c>
      <c r="Z2872" s="94" t="e">
        <v>#N/A</v>
      </c>
    </row>
    <row r="2873" spans="22:26" x14ac:dyDescent="0.2">
      <c r="V2873" s="123" t="str">
        <f t="shared" si="55"/>
        <v>1w</v>
      </c>
      <c r="W2873" s="82">
        <f>_xll.qlCalendarAdvance(Calendar,W2872,V2873,"f",FALSE)</f>
        <v>59076</v>
      </c>
      <c r="X2873" s="91">
        <f>_xll.qlCalendarAdvance(Calendar,W2873,NDays&amp;"D")</f>
        <v>59076</v>
      </c>
      <c r="Y2873" s="92" t="e">
        <v>#N/A</v>
      </c>
      <c r="Z2873" s="94" t="e">
        <v>#N/A</v>
      </c>
    </row>
    <row r="2874" spans="22:26" x14ac:dyDescent="0.2">
      <c r="V2874" s="123" t="str">
        <f t="shared" si="55"/>
        <v>1w</v>
      </c>
      <c r="W2874" s="82">
        <f>_xll.qlCalendarAdvance(Calendar,W2873,V2874,"f",FALSE)</f>
        <v>59083</v>
      </c>
      <c r="X2874" s="91">
        <f>_xll.qlCalendarAdvance(Calendar,W2874,NDays&amp;"D")</f>
        <v>59083</v>
      </c>
      <c r="Y2874" s="92" t="e">
        <v>#N/A</v>
      </c>
      <c r="Z2874" s="94" t="e">
        <v>#N/A</v>
      </c>
    </row>
    <row r="2875" spans="22:26" x14ac:dyDescent="0.2">
      <c r="V2875" s="123" t="str">
        <f t="shared" si="55"/>
        <v>1w</v>
      </c>
      <c r="W2875" s="82">
        <f>_xll.qlCalendarAdvance(Calendar,W2874,V2875,"f",FALSE)</f>
        <v>59090</v>
      </c>
      <c r="X2875" s="91">
        <f>_xll.qlCalendarAdvance(Calendar,W2875,NDays&amp;"D")</f>
        <v>59090</v>
      </c>
      <c r="Y2875" s="92" t="e">
        <v>#N/A</v>
      </c>
      <c r="Z2875" s="94" t="e">
        <v>#N/A</v>
      </c>
    </row>
    <row r="2876" spans="22:26" x14ac:dyDescent="0.2">
      <c r="V2876" s="123" t="str">
        <f t="shared" si="55"/>
        <v>1w</v>
      </c>
      <c r="W2876" s="82">
        <f>_xll.qlCalendarAdvance(Calendar,W2875,V2876,"f",FALSE)</f>
        <v>59097</v>
      </c>
      <c r="X2876" s="91">
        <f>_xll.qlCalendarAdvance(Calendar,W2876,NDays&amp;"D")</f>
        <v>59097</v>
      </c>
      <c r="Y2876" s="92" t="e">
        <v>#N/A</v>
      </c>
      <c r="Z2876" s="94" t="e">
        <v>#N/A</v>
      </c>
    </row>
    <row r="2877" spans="22:26" x14ac:dyDescent="0.2">
      <c r="V2877" s="123" t="str">
        <f t="shared" si="55"/>
        <v>1w</v>
      </c>
      <c r="W2877" s="82">
        <f>_xll.qlCalendarAdvance(Calendar,W2876,V2877,"f",FALSE)</f>
        <v>59104</v>
      </c>
      <c r="X2877" s="91">
        <f>_xll.qlCalendarAdvance(Calendar,W2877,NDays&amp;"D")</f>
        <v>59104</v>
      </c>
      <c r="Y2877" s="92" t="e">
        <v>#N/A</v>
      </c>
      <c r="Z2877" s="94" t="e">
        <v>#N/A</v>
      </c>
    </row>
    <row r="2878" spans="22:26" x14ac:dyDescent="0.2">
      <c r="V2878" s="123" t="str">
        <f t="shared" si="55"/>
        <v>1w</v>
      </c>
      <c r="W2878" s="82">
        <f>_xll.qlCalendarAdvance(Calendar,W2877,V2878,"f",FALSE)</f>
        <v>59111</v>
      </c>
      <c r="X2878" s="91">
        <f>_xll.qlCalendarAdvance(Calendar,W2878,NDays&amp;"D")</f>
        <v>59111</v>
      </c>
      <c r="Y2878" s="92" t="e">
        <v>#N/A</v>
      </c>
      <c r="Z2878" s="94" t="e">
        <v>#N/A</v>
      </c>
    </row>
    <row r="2879" spans="22:26" x14ac:dyDescent="0.2">
      <c r="V2879" s="123" t="str">
        <f t="shared" si="55"/>
        <v>1w</v>
      </c>
      <c r="W2879" s="82">
        <f>_xll.qlCalendarAdvance(Calendar,W2878,V2879,"f",FALSE)</f>
        <v>59118</v>
      </c>
      <c r="X2879" s="91">
        <f>_xll.qlCalendarAdvance(Calendar,W2879,NDays&amp;"D")</f>
        <v>59118</v>
      </c>
      <c r="Y2879" s="92" t="e">
        <v>#N/A</v>
      </c>
      <c r="Z2879" s="94" t="e">
        <v>#N/A</v>
      </c>
    </row>
    <row r="2880" spans="22:26" x14ac:dyDescent="0.2">
      <c r="V2880" s="123" t="str">
        <f t="shared" si="55"/>
        <v>1w</v>
      </c>
      <c r="W2880" s="82">
        <f>_xll.qlCalendarAdvance(Calendar,W2879,V2880,"f",FALSE)</f>
        <v>59125</v>
      </c>
      <c r="X2880" s="91">
        <f>_xll.qlCalendarAdvance(Calendar,W2880,NDays&amp;"D")</f>
        <v>59125</v>
      </c>
      <c r="Y2880" s="92" t="e">
        <v>#N/A</v>
      </c>
      <c r="Z2880" s="94" t="e">
        <v>#N/A</v>
      </c>
    </row>
    <row r="2881" spans="22:26" x14ac:dyDescent="0.2">
      <c r="V2881" s="123" t="str">
        <f t="shared" si="55"/>
        <v>1w</v>
      </c>
      <c r="W2881" s="82">
        <f>_xll.qlCalendarAdvance(Calendar,W2880,V2881,"f",FALSE)</f>
        <v>59132</v>
      </c>
      <c r="X2881" s="91">
        <f>_xll.qlCalendarAdvance(Calendar,W2881,NDays&amp;"D")</f>
        <v>59132</v>
      </c>
      <c r="Y2881" s="92" t="e">
        <v>#N/A</v>
      </c>
      <c r="Z2881" s="94" t="e">
        <v>#N/A</v>
      </c>
    </row>
    <row r="2882" spans="22:26" x14ac:dyDescent="0.2">
      <c r="V2882" s="123" t="str">
        <f t="shared" si="55"/>
        <v>1w</v>
      </c>
      <c r="W2882" s="82">
        <f>_xll.qlCalendarAdvance(Calendar,W2881,V2882,"f",FALSE)</f>
        <v>59139</v>
      </c>
      <c r="X2882" s="91">
        <f>_xll.qlCalendarAdvance(Calendar,W2882,NDays&amp;"D")</f>
        <v>59139</v>
      </c>
      <c r="Y2882" s="92" t="e">
        <v>#N/A</v>
      </c>
      <c r="Z2882" s="94" t="e">
        <v>#N/A</v>
      </c>
    </row>
    <row r="2883" spans="22:26" x14ac:dyDescent="0.2">
      <c r="V2883" s="123" t="str">
        <f t="shared" si="55"/>
        <v>1w</v>
      </c>
      <c r="W2883" s="82">
        <f>_xll.qlCalendarAdvance(Calendar,W2882,V2883,"f",FALSE)</f>
        <v>59146</v>
      </c>
      <c r="X2883" s="91">
        <f>_xll.qlCalendarAdvance(Calendar,W2883,NDays&amp;"D")</f>
        <v>59146</v>
      </c>
      <c r="Y2883" s="92" t="e">
        <v>#N/A</v>
      </c>
      <c r="Z2883" s="94" t="e">
        <v>#N/A</v>
      </c>
    </row>
    <row r="2884" spans="22:26" x14ac:dyDescent="0.2">
      <c r="V2884" s="123" t="str">
        <f t="shared" si="55"/>
        <v>1w</v>
      </c>
      <c r="W2884" s="82">
        <f>_xll.qlCalendarAdvance(Calendar,W2883,V2884,"f",FALSE)</f>
        <v>59153</v>
      </c>
      <c r="X2884" s="91">
        <f>_xll.qlCalendarAdvance(Calendar,W2884,NDays&amp;"D")</f>
        <v>59153</v>
      </c>
      <c r="Y2884" s="92" t="e">
        <v>#N/A</v>
      </c>
      <c r="Z2884" s="94" t="e">
        <v>#N/A</v>
      </c>
    </row>
    <row r="2885" spans="22:26" x14ac:dyDescent="0.2">
      <c r="V2885" s="123" t="str">
        <f t="shared" si="55"/>
        <v>1w</v>
      </c>
      <c r="W2885" s="82">
        <f>_xll.qlCalendarAdvance(Calendar,W2884,V2885,"f",FALSE)</f>
        <v>59160</v>
      </c>
      <c r="X2885" s="91">
        <f>_xll.qlCalendarAdvance(Calendar,W2885,NDays&amp;"D")</f>
        <v>59160</v>
      </c>
      <c r="Y2885" s="92" t="e">
        <v>#N/A</v>
      </c>
      <c r="Z2885" s="94" t="e">
        <v>#N/A</v>
      </c>
    </row>
    <row r="2886" spans="22:26" x14ac:dyDescent="0.2">
      <c r="V2886" s="123" t="str">
        <f t="shared" si="55"/>
        <v>1w</v>
      </c>
      <c r="W2886" s="82">
        <f>_xll.qlCalendarAdvance(Calendar,W2885,V2886,"f",FALSE)</f>
        <v>59167</v>
      </c>
      <c r="X2886" s="91">
        <f>_xll.qlCalendarAdvance(Calendar,W2886,NDays&amp;"D")</f>
        <v>59167</v>
      </c>
      <c r="Y2886" s="92" t="e">
        <v>#N/A</v>
      </c>
      <c r="Z2886" s="94" t="e">
        <v>#N/A</v>
      </c>
    </row>
    <row r="2887" spans="22:26" x14ac:dyDescent="0.2">
      <c r="V2887" s="123" t="str">
        <f t="shared" si="55"/>
        <v>1w</v>
      </c>
      <c r="W2887" s="82">
        <f>_xll.qlCalendarAdvance(Calendar,W2886,V2887,"f",FALSE)</f>
        <v>59174</v>
      </c>
      <c r="X2887" s="91">
        <f>_xll.qlCalendarAdvance(Calendar,W2887,NDays&amp;"D")</f>
        <v>59174</v>
      </c>
      <c r="Y2887" s="92" t="e">
        <v>#N/A</v>
      </c>
      <c r="Z2887" s="94" t="e">
        <v>#N/A</v>
      </c>
    </row>
    <row r="2888" spans="22:26" x14ac:dyDescent="0.2">
      <c r="V2888" s="123" t="str">
        <f t="shared" si="55"/>
        <v>1w</v>
      </c>
      <c r="W2888" s="82">
        <f>_xll.qlCalendarAdvance(Calendar,W2887,V2888,"f",FALSE)</f>
        <v>59181</v>
      </c>
      <c r="X2888" s="91">
        <f>_xll.qlCalendarAdvance(Calendar,W2888,NDays&amp;"D")</f>
        <v>59181</v>
      </c>
      <c r="Y2888" s="92" t="e">
        <v>#N/A</v>
      </c>
      <c r="Z2888" s="94" t="e">
        <v>#N/A</v>
      </c>
    </row>
    <row r="2889" spans="22:26" x14ac:dyDescent="0.2">
      <c r="V2889" s="123" t="str">
        <f t="shared" si="55"/>
        <v>1w</v>
      </c>
      <c r="W2889" s="82">
        <f>_xll.qlCalendarAdvance(Calendar,W2888,V2889,"f",FALSE)</f>
        <v>59188</v>
      </c>
      <c r="X2889" s="91">
        <f>_xll.qlCalendarAdvance(Calendar,W2889,NDays&amp;"D")</f>
        <v>59188</v>
      </c>
      <c r="Y2889" s="92" t="e">
        <v>#N/A</v>
      </c>
      <c r="Z2889" s="94" t="e">
        <v>#N/A</v>
      </c>
    </row>
    <row r="2890" spans="22:26" x14ac:dyDescent="0.2">
      <c r="V2890" s="123" t="str">
        <f t="shared" si="55"/>
        <v>1w</v>
      </c>
      <c r="W2890" s="82">
        <f>_xll.qlCalendarAdvance(Calendar,W2889,V2890,"f",FALSE)</f>
        <v>59195</v>
      </c>
      <c r="X2890" s="91">
        <f>_xll.qlCalendarAdvance(Calendar,W2890,NDays&amp;"D")</f>
        <v>59195</v>
      </c>
      <c r="Y2890" s="92" t="e">
        <v>#N/A</v>
      </c>
      <c r="Z2890" s="94" t="e">
        <v>#N/A</v>
      </c>
    </row>
    <row r="2891" spans="22:26" x14ac:dyDescent="0.2">
      <c r="V2891" s="123" t="str">
        <f t="shared" si="55"/>
        <v>1w</v>
      </c>
      <c r="W2891" s="82">
        <f>_xll.qlCalendarAdvance(Calendar,W2890,V2891,"f",FALSE)</f>
        <v>59202</v>
      </c>
      <c r="X2891" s="91">
        <f>_xll.qlCalendarAdvance(Calendar,W2891,NDays&amp;"D")</f>
        <v>59202</v>
      </c>
      <c r="Y2891" s="92" t="e">
        <v>#N/A</v>
      </c>
      <c r="Z2891" s="94" t="e">
        <v>#N/A</v>
      </c>
    </row>
    <row r="2892" spans="22:26" x14ac:dyDescent="0.2">
      <c r="V2892" s="123" t="str">
        <f t="shared" si="55"/>
        <v>1w</v>
      </c>
      <c r="W2892" s="82">
        <f>_xll.qlCalendarAdvance(Calendar,W2891,V2892,"f",FALSE)</f>
        <v>59209</v>
      </c>
      <c r="X2892" s="91">
        <f>_xll.qlCalendarAdvance(Calendar,W2892,NDays&amp;"D")</f>
        <v>59209</v>
      </c>
      <c r="Y2892" s="92" t="e">
        <v>#N/A</v>
      </c>
      <c r="Z2892" s="94" t="e">
        <v>#N/A</v>
      </c>
    </row>
    <row r="2893" spans="22:26" x14ac:dyDescent="0.2">
      <c r="V2893" s="123" t="str">
        <f t="shared" si="55"/>
        <v>1w</v>
      </c>
      <c r="W2893" s="82">
        <f>_xll.qlCalendarAdvance(Calendar,W2892,V2893,"f",FALSE)</f>
        <v>59216</v>
      </c>
      <c r="X2893" s="91">
        <f>_xll.qlCalendarAdvance(Calendar,W2893,NDays&amp;"D")</f>
        <v>59216</v>
      </c>
      <c r="Y2893" s="92" t="e">
        <v>#N/A</v>
      </c>
      <c r="Z2893" s="94" t="e">
        <v>#N/A</v>
      </c>
    </row>
    <row r="2894" spans="22:26" x14ac:dyDescent="0.2">
      <c r="V2894" s="123" t="str">
        <f t="shared" si="55"/>
        <v>1w</v>
      </c>
      <c r="W2894" s="82">
        <f>_xll.qlCalendarAdvance(Calendar,W2893,V2894,"f",FALSE)</f>
        <v>59223</v>
      </c>
      <c r="X2894" s="91">
        <f>_xll.qlCalendarAdvance(Calendar,W2894,NDays&amp;"D")</f>
        <v>59223</v>
      </c>
      <c r="Y2894" s="92" t="e">
        <v>#N/A</v>
      </c>
      <c r="Z2894" s="94" t="e">
        <v>#N/A</v>
      </c>
    </row>
    <row r="2895" spans="22:26" x14ac:dyDescent="0.2">
      <c r="V2895" s="123" t="str">
        <f t="shared" si="55"/>
        <v>1w</v>
      </c>
      <c r="W2895" s="82">
        <f>_xll.qlCalendarAdvance(Calendar,W2894,V2895,"f",FALSE)</f>
        <v>59230</v>
      </c>
      <c r="X2895" s="91">
        <f>_xll.qlCalendarAdvance(Calendar,W2895,NDays&amp;"D")</f>
        <v>59230</v>
      </c>
      <c r="Y2895" s="92" t="e">
        <v>#N/A</v>
      </c>
      <c r="Z2895" s="94" t="e">
        <v>#N/A</v>
      </c>
    </row>
    <row r="2896" spans="22:26" x14ac:dyDescent="0.2">
      <c r="V2896" s="123" t="str">
        <f t="shared" si="55"/>
        <v>1w</v>
      </c>
      <c r="W2896" s="82">
        <f>_xll.qlCalendarAdvance(Calendar,W2895,V2896,"f",FALSE)</f>
        <v>59237</v>
      </c>
      <c r="X2896" s="91">
        <f>_xll.qlCalendarAdvance(Calendar,W2896,NDays&amp;"D")</f>
        <v>59237</v>
      </c>
      <c r="Y2896" s="92" t="e">
        <v>#N/A</v>
      </c>
      <c r="Z2896" s="94" t="e">
        <v>#N/A</v>
      </c>
    </row>
    <row r="2897" spans="22:26" x14ac:dyDescent="0.2">
      <c r="V2897" s="123" t="str">
        <f t="shared" si="55"/>
        <v>1w</v>
      </c>
      <c r="W2897" s="82">
        <f>_xll.qlCalendarAdvance(Calendar,W2896,V2897,"f",FALSE)</f>
        <v>59244</v>
      </c>
      <c r="X2897" s="91">
        <f>_xll.qlCalendarAdvance(Calendar,W2897,NDays&amp;"D")</f>
        <v>59244</v>
      </c>
      <c r="Y2897" s="92" t="e">
        <v>#N/A</v>
      </c>
      <c r="Z2897" s="94" t="e">
        <v>#N/A</v>
      </c>
    </row>
    <row r="2898" spans="22:26" x14ac:dyDescent="0.2">
      <c r="V2898" s="123" t="str">
        <f t="shared" si="55"/>
        <v>1w</v>
      </c>
      <c r="W2898" s="82">
        <f>_xll.qlCalendarAdvance(Calendar,W2897,V2898,"f",FALSE)</f>
        <v>59251</v>
      </c>
      <c r="X2898" s="91">
        <f>_xll.qlCalendarAdvance(Calendar,W2898,NDays&amp;"D")</f>
        <v>59251</v>
      </c>
      <c r="Y2898" s="92" t="e">
        <v>#N/A</v>
      </c>
      <c r="Z2898" s="94" t="e">
        <v>#N/A</v>
      </c>
    </row>
    <row r="2899" spans="22:26" x14ac:dyDescent="0.2">
      <c r="V2899" s="123" t="str">
        <f t="shared" si="55"/>
        <v>1w</v>
      </c>
      <c r="W2899" s="82">
        <f>_xll.qlCalendarAdvance(Calendar,W2898,V2899,"f",FALSE)</f>
        <v>59258</v>
      </c>
      <c r="X2899" s="91">
        <f>_xll.qlCalendarAdvance(Calendar,W2899,NDays&amp;"D")</f>
        <v>59258</v>
      </c>
      <c r="Y2899" s="92" t="e">
        <v>#N/A</v>
      </c>
      <c r="Z2899" s="94" t="e">
        <v>#N/A</v>
      </c>
    </row>
    <row r="2900" spans="22:26" x14ac:dyDescent="0.2">
      <c r="V2900" s="123" t="str">
        <f t="shared" si="55"/>
        <v>1w</v>
      </c>
      <c r="W2900" s="82">
        <f>_xll.qlCalendarAdvance(Calendar,W2899,V2900,"f",FALSE)</f>
        <v>59265</v>
      </c>
      <c r="X2900" s="91">
        <f>_xll.qlCalendarAdvance(Calendar,W2900,NDays&amp;"D")</f>
        <v>59265</v>
      </c>
      <c r="Y2900" s="92" t="e">
        <v>#N/A</v>
      </c>
      <c r="Z2900" s="94" t="e">
        <v>#N/A</v>
      </c>
    </row>
    <row r="2901" spans="22:26" x14ac:dyDescent="0.2">
      <c r="V2901" s="123" t="str">
        <f t="shared" ref="V2901:V2964" si="56">V2900</f>
        <v>1w</v>
      </c>
      <c r="W2901" s="82">
        <f>_xll.qlCalendarAdvance(Calendar,W2900,V2901,"f",FALSE)</f>
        <v>59272</v>
      </c>
      <c r="X2901" s="91">
        <f>_xll.qlCalendarAdvance(Calendar,W2901,NDays&amp;"D")</f>
        <v>59272</v>
      </c>
      <c r="Y2901" s="92" t="e">
        <v>#N/A</v>
      </c>
      <c r="Z2901" s="94" t="e">
        <v>#N/A</v>
      </c>
    </row>
    <row r="2902" spans="22:26" x14ac:dyDescent="0.2">
      <c r="V2902" s="123" t="str">
        <f t="shared" si="56"/>
        <v>1w</v>
      </c>
      <c r="W2902" s="82">
        <f>_xll.qlCalendarAdvance(Calendar,W2901,V2902,"f",FALSE)</f>
        <v>59279</v>
      </c>
      <c r="X2902" s="91">
        <f>_xll.qlCalendarAdvance(Calendar,W2902,NDays&amp;"D")</f>
        <v>59279</v>
      </c>
      <c r="Y2902" s="92" t="e">
        <v>#N/A</v>
      </c>
      <c r="Z2902" s="94" t="e">
        <v>#N/A</v>
      </c>
    </row>
    <row r="2903" spans="22:26" x14ac:dyDescent="0.2">
      <c r="V2903" s="123" t="str">
        <f t="shared" si="56"/>
        <v>1w</v>
      </c>
      <c r="W2903" s="82">
        <f>_xll.qlCalendarAdvance(Calendar,W2902,V2903,"f",FALSE)</f>
        <v>59286</v>
      </c>
      <c r="X2903" s="91">
        <f>_xll.qlCalendarAdvance(Calendar,W2903,NDays&amp;"D")</f>
        <v>59286</v>
      </c>
      <c r="Y2903" s="92" t="e">
        <v>#N/A</v>
      </c>
      <c r="Z2903" s="94" t="e">
        <v>#N/A</v>
      </c>
    </row>
    <row r="2904" spans="22:26" x14ac:dyDescent="0.2">
      <c r="V2904" s="123" t="str">
        <f t="shared" si="56"/>
        <v>1w</v>
      </c>
      <c r="W2904" s="82">
        <f>_xll.qlCalendarAdvance(Calendar,W2903,V2904,"f",FALSE)</f>
        <v>59293</v>
      </c>
      <c r="X2904" s="91">
        <f>_xll.qlCalendarAdvance(Calendar,W2904,NDays&amp;"D")</f>
        <v>59293</v>
      </c>
      <c r="Y2904" s="92" t="e">
        <v>#N/A</v>
      </c>
      <c r="Z2904" s="94" t="e">
        <v>#N/A</v>
      </c>
    </row>
    <row r="2905" spans="22:26" x14ac:dyDescent="0.2">
      <c r="V2905" s="123" t="str">
        <f t="shared" si="56"/>
        <v>1w</v>
      </c>
      <c r="W2905" s="82">
        <f>_xll.qlCalendarAdvance(Calendar,W2904,V2905,"f",FALSE)</f>
        <v>59300</v>
      </c>
      <c r="X2905" s="91">
        <f>_xll.qlCalendarAdvance(Calendar,W2905,NDays&amp;"D")</f>
        <v>59300</v>
      </c>
      <c r="Y2905" s="92" t="e">
        <v>#N/A</v>
      </c>
      <c r="Z2905" s="94" t="e">
        <v>#N/A</v>
      </c>
    </row>
    <row r="2906" spans="22:26" x14ac:dyDescent="0.2">
      <c r="V2906" s="123" t="str">
        <f t="shared" si="56"/>
        <v>1w</v>
      </c>
      <c r="W2906" s="82">
        <f>_xll.qlCalendarAdvance(Calendar,W2905,V2906,"f",FALSE)</f>
        <v>59307</v>
      </c>
      <c r="X2906" s="91">
        <f>_xll.qlCalendarAdvance(Calendar,W2906,NDays&amp;"D")</f>
        <v>59307</v>
      </c>
      <c r="Y2906" s="92" t="e">
        <v>#N/A</v>
      </c>
      <c r="Z2906" s="94" t="e">
        <v>#N/A</v>
      </c>
    </row>
    <row r="2907" spans="22:26" x14ac:dyDescent="0.2">
      <c r="V2907" s="123" t="str">
        <f t="shared" si="56"/>
        <v>1w</v>
      </c>
      <c r="W2907" s="82">
        <f>_xll.qlCalendarAdvance(Calendar,W2906,V2907,"f",FALSE)</f>
        <v>59314</v>
      </c>
      <c r="X2907" s="91">
        <f>_xll.qlCalendarAdvance(Calendar,W2907,NDays&amp;"D")</f>
        <v>59314</v>
      </c>
      <c r="Y2907" s="92" t="e">
        <v>#N/A</v>
      </c>
      <c r="Z2907" s="94" t="e">
        <v>#N/A</v>
      </c>
    </row>
    <row r="2908" spans="22:26" x14ac:dyDescent="0.2">
      <c r="V2908" s="123" t="str">
        <f t="shared" si="56"/>
        <v>1w</v>
      </c>
      <c r="W2908" s="82">
        <f>_xll.qlCalendarAdvance(Calendar,W2907,V2908,"f",FALSE)</f>
        <v>59321</v>
      </c>
      <c r="X2908" s="91">
        <f>_xll.qlCalendarAdvance(Calendar,W2908,NDays&amp;"D")</f>
        <v>59321</v>
      </c>
      <c r="Y2908" s="92" t="e">
        <v>#N/A</v>
      </c>
      <c r="Z2908" s="94" t="e">
        <v>#N/A</v>
      </c>
    </row>
    <row r="2909" spans="22:26" x14ac:dyDescent="0.2">
      <c r="V2909" s="123" t="str">
        <f t="shared" si="56"/>
        <v>1w</v>
      </c>
      <c r="W2909" s="82">
        <f>_xll.qlCalendarAdvance(Calendar,W2908,V2909,"f",FALSE)</f>
        <v>59328</v>
      </c>
      <c r="X2909" s="91">
        <f>_xll.qlCalendarAdvance(Calendar,W2909,NDays&amp;"D")</f>
        <v>59328</v>
      </c>
      <c r="Y2909" s="92" t="e">
        <v>#N/A</v>
      </c>
      <c r="Z2909" s="94" t="e">
        <v>#N/A</v>
      </c>
    </row>
    <row r="2910" spans="22:26" x14ac:dyDescent="0.2">
      <c r="V2910" s="123" t="str">
        <f t="shared" si="56"/>
        <v>1w</v>
      </c>
      <c r="W2910" s="82">
        <f>_xll.qlCalendarAdvance(Calendar,W2909,V2910,"f",FALSE)</f>
        <v>59335</v>
      </c>
      <c r="X2910" s="91">
        <f>_xll.qlCalendarAdvance(Calendar,W2910,NDays&amp;"D")</f>
        <v>59335</v>
      </c>
      <c r="Y2910" s="92" t="e">
        <v>#N/A</v>
      </c>
      <c r="Z2910" s="94" t="e">
        <v>#N/A</v>
      </c>
    </row>
    <row r="2911" spans="22:26" x14ac:dyDescent="0.2">
      <c r="V2911" s="123" t="str">
        <f t="shared" si="56"/>
        <v>1w</v>
      </c>
      <c r="W2911" s="82">
        <f>_xll.qlCalendarAdvance(Calendar,W2910,V2911,"f",FALSE)</f>
        <v>59342</v>
      </c>
      <c r="X2911" s="91">
        <f>_xll.qlCalendarAdvance(Calendar,W2911,NDays&amp;"D")</f>
        <v>59342</v>
      </c>
      <c r="Y2911" s="92" t="e">
        <v>#N/A</v>
      </c>
      <c r="Z2911" s="94" t="e">
        <v>#N/A</v>
      </c>
    </row>
    <row r="2912" spans="22:26" x14ac:dyDescent="0.2">
      <c r="V2912" s="123" t="str">
        <f t="shared" si="56"/>
        <v>1w</v>
      </c>
      <c r="W2912" s="82">
        <f>_xll.qlCalendarAdvance(Calendar,W2911,V2912,"f",FALSE)</f>
        <v>59349</v>
      </c>
      <c r="X2912" s="91">
        <f>_xll.qlCalendarAdvance(Calendar,W2912,NDays&amp;"D")</f>
        <v>59349</v>
      </c>
      <c r="Y2912" s="92" t="e">
        <v>#N/A</v>
      </c>
      <c r="Z2912" s="94" t="e">
        <v>#N/A</v>
      </c>
    </row>
    <row r="2913" spans="22:26" x14ac:dyDescent="0.2">
      <c r="V2913" s="123" t="str">
        <f t="shared" si="56"/>
        <v>1w</v>
      </c>
      <c r="W2913" s="82">
        <f>_xll.qlCalendarAdvance(Calendar,W2912,V2913,"f",FALSE)</f>
        <v>59356</v>
      </c>
      <c r="X2913" s="91">
        <f>_xll.qlCalendarAdvance(Calendar,W2913,NDays&amp;"D")</f>
        <v>59356</v>
      </c>
      <c r="Y2913" s="92" t="e">
        <v>#N/A</v>
      </c>
      <c r="Z2913" s="94" t="e">
        <v>#N/A</v>
      </c>
    </row>
    <row r="2914" spans="22:26" x14ac:dyDescent="0.2">
      <c r="V2914" s="123" t="str">
        <f t="shared" si="56"/>
        <v>1w</v>
      </c>
      <c r="W2914" s="82">
        <f>_xll.qlCalendarAdvance(Calendar,W2913,V2914,"f",FALSE)</f>
        <v>59363</v>
      </c>
      <c r="X2914" s="91">
        <f>_xll.qlCalendarAdvance(Calendar,W2914,NDays&amp;"D")</f>
        <v>59363</v>
      </c>
      <c r="Y2914" s="92" t="e">
        <v>#N/A</v>
      </c>
      <c r="Z2914" s="94" t="e">
        <v>#N/A</v>
      </c>
    </row>
    <row r="2915" spans="22:26" x14ac:dyDescent="0.2">
      <c r="V2915" s="123" t="str">
        <f t="shared" si="56"/>
        <v>1w</v>
      </c>
      <c r="W2915" s="82">
        <f>_xll.qlCalendarAdvance(Calendar,W2914,V2915,"f",FALSE)</f>
        <v>59370</v>
      </c>
      <c r="X2915" s="91">
        <f>_xll.qlCalendarAdvance(Calendar,W2915,NDays&amp;"D")</f>
        <v>59370</v>
      </c>
      <c r="Y2915" s="92" t="e">
        <v>#N/A</v>
      </c>
      <c r="Z2915" s="94" t="e">
        <v>#N/A</v>
      </c>
    </row>
    <row r="2916" spans="22:26" x14ac:dyDescent="0.2">
      <c r="V2916" s="123" t="str">
        <f t="shared" si="56"/>
        <v>1w</v>
      </c>
      <c r="W2916" s="82">
        <f>_xll.qlCalendarAdvance(Calendar,W2915,V2916,"f",FALSE)</f>
        <v>59377</v>
      </c>
      <c r="X2916" s="91">
        <f>_xll.qlCalendarAdvance(Calendar,W2916,NDays&amp;"D")</f>
        <v>59377</v>
      </c>
      <c r="Y2916" s="92" t="e">
        <v>#N/A</v>
      </c>
      <c r="Z2916" s="94" t="e">
        <v>#N/A</v>
      </c>
    </row>
    <row r="2917" spans="22:26" x14ac:dyDescent="0.2">
      <c r="V2917" s="123" t="str">
        <f t="shared" si="56"/>
        <v>1w</v>
      </c>
      <c r="W2917" s="82">
        <f>_xll.qlCalendarAdvance(Calendar,W2916,V2917,"f",FALSE)</f>
        <v>59384</v>
      </c>
      <c r="X2917" s="91">
        <f>_xll.qlCalendarAdvance(Calendar,W2917,NDays&amp;"D")</f>
        <v>59384</v>
      </c>
      <c r="Y2917" s="92" t="e">
        <v>#N/A</v>
      </c>
      <c r="Z2917" s="94" t="e">
        <v>#N/A</v>
      </c>
    </row>
    <row r="2918" spans="22:26" x14ac:dyDescent="0.2">
      <c r="V2918" s="123" t="str">
        <f t="shared" si="56"/>
        <v>1w</v>
      </c>
      <c r="W2918" s="82">
        <f>_xll.qlCalendarAdvance(Calendar,W2917,V2918,"f",FALSE)</f>
        <v>59391</v>
      </c>
      <c r="X2918" s="91">
        <f>_xll.qlCalendarAdvance(Calendar,W2918,NDays&amp;"D")</f>
        <v>59391</v>
      </c>
      <c r="Y2918" s="92" t="e">
        <v>#N/A</v>
      </c>
      <c r="Z2918" s="94" t="e">
        <v>#N/A</v>
      </c>
    </row>
    <row r="2919" spans="22:26" x14ac:dyDescent="0.2">
      <c r="V2919" s="123" t="str">
        <f t="shared" si="56"/>
        <v>1w</v>
      </c>
      <c r="W2919" s="82">
        <f>_xll.qlCalendarAdvance(Calendar,W2918,V2919,"f",FALSE)</f>
        <v>59398</v>
      </c>
      <c r="X2919" s="91">
        <f>_xll.qlCalendarAdvance(Calendar,W2919,NDays&amp;"D")</f>
        <v>59398</v>
      </c>
      <c r="Y2919" s="92" t="e">
        <v>#N/A</v>
      </c>
      <c r="Z2919" s="94" t="e">
        <v>#N/A</v>
      </c>
    </row>
    <row r="2920" spans="22:26" x14ac:dyDescent="0.2">
      <c r="V2920" s="123" t="str">
        <f t="shared" si="56"/>
        <v>1w</v>
      </c>
      <c r="W2920" s="82">
        <f>_xll.qlCalendarAdvance(Calendar,W2919,V2920,"f",FALSE)</f>
        <v>59405</v>
      </c>
      <c r="X2920" s="91">
        <f>_xll.qlCalendarAdvance(Calendar,W2920,NDays&amp;"D")</f>
        <v>59405</v>
      </c>
      <c r="Y2920" s="92" t="e">
        <v>#N/A</v>
      </c>
      <c r="Z2920" s="94" t="e">
        <v>#N/A</v>
      </c>
    </row>
    <row r="2921" spans="22:26" x14ac:dyDescent="0.2">
      <c r="V2921" s="123" t="str">
        <f t="shared" si="56"/>
        <v>1w</v>
      </c>
      <c r="W2921" s="82">
        <f>_xll.qlCalendarAdvance(Calendar,W2920,V2921,"f",FALSE)</f>
        <v>59412</v>
      </c>
      <c r="X2921" s="91">
        <f>_xll.qlCalendarAdvance(Calendar,W2921,NDays&amp;"D")</f>
        <v>59412</v>
      </c>
      <c r="Y2921" s="92" t="e">
        <v>#N/A</v>
      </c>
      <c r="Z2921" s="94" t="e">
        <v>#N/A</v>
      </c>
    </row>
    <row r="2922" spans="22:26" x14ac:dyDescent="0.2">
      <c r="V2922" s="123" t="str">
        <f t="shared" si="56"/>
        <v>1w</v>
      </c>
      <c r="W2922" s="82">
        <f>_xll.qlCalendarAdvance(Calendar,W2921,V2922,"f",FALSE)</f>
        <v>59419</v>
      </c>
      <c r="X2922" s="91">
        <f>_xll.qlCalendarAdvance(Calendar,W2922,NDays&amp;"D")</f>
        <v>59419</v>
      </c>
      <c r="Y2922" s="92" t="e">
        <v>#N/A</v>
      </c>
      <c r="Z2922" s="94" t="e">
        <v>#N/A</v>
      </c>
    </row>
    <row r="2923" spans="22:26" x14ac:dyDescent="0.2">
      <c r="V2923" s="123" t="str">
        <f t="shared" si="56"/>
        <v>1w</v>
      </c>
      <c r="W2923" s="82">
        <f>_xll.qlCalendarAdvance(Calendar,W2922,V2923,"f",FALSE)</f>
        <v>59426</v>
      </c>
      <c r="X2923" s="91">
        <f>_xll.qlCalendarAdvance(Calendar,W2923,NDays&amp;"D")</f>
        <v>59426</v>
      </c>
      <c r="Y2923" s="92" t="e">
        <v>#N/A</v>
      </c>
      <c r="Z2923" s="94" t="e">
        <v>#N/A</v>
      </c>
    </row>
    <row r="2924" spans="22:26" x14ac:dyDescent="0.2">
      <c r="V2924" s="123" t="str">
        <f t="shared" si="56"/>
        <v>1w</v>
      </c>
      <c r="W2924" s="82">
        <f>_xll.qlCalendarAdvance(Calendar,W2923,V2924,"f",FALSE)</f>
        <v>59433</v>
      </c>
      <c r="X2924" s="91">
        <f>_xll.qlCalendarAdvance(Calendar,W2924,NDays&amp;"D")</f>
        <v>59433</v>
      </c>
      <c r="Y2924" s="92" t="e">
        <v>#N/A</v>
      </c>
      <c r="Z2924" s="94" t="e">
        <v>#N/A</v>
      </c>
    </row>
    <row r="2925" spans="22:26" x14ac:dyDescent="0.2">
      <c r="V2925" s="123" t="str">
        <f t="shared" si="56"/>
        <v>1w</v>
      </c>
      <c r="W2925" s="82">
        <f>_xll.qlCalendarAdvance(Calendar,W2924,V2925,"f",FALSE)</f>
        <v>59440</v>
      </c>
      <c r="X2925" s="91">
        <f>_xll.qlCalendarAdvance(Calendar,W2925,NDays&amp;"D")</f>
        <v>59440</v>
      </c>
      <c r="Y2925" s="92" t="e">
        <v>#N/A</v>
      </c>
      <c r="Z2925" s="94" t="e">
        <v>#N/A</v>
      </c>
    </row>
    <row r="2926" spans="22:26" x14ac:dyDescent="0.2">
      <c r="V2926" s="123" t="str">
        <f t="shared" si="56"/>
        <v>1w</v>
      </c>
      <c r="W2926" s="82">
        <f>_xll.qlCalendarAdvance(Calendar,W2925,V2926,"f",FALSE)</f>
        <v>59447</v>
      </c>
      <c r="X2926" s="91">
        <f>_xll.qlCalendarAdvance(Calendar,W2926,NDays&amp;"D")</f>
        <v>59447</v>
      </c>
      <c r="Y2926" s="92" t="e">
        <v>#N/A</v>
      </c>
      <c r="Z2926" s="94" t="e">
        <v>#N/A</v>
      </c>
    </row>
    <row r="2927" spans="22:26" x14ac:dyDescent="0.2">
      <c r="V2927" s="123" t="str">
        <f t="shared" si="56"/>
        <v>1w</v>
      </c>
      <c r="W2927" s="82">
        <f>_xll.qlCalendarAdvance(Calendar,W2926,V2927,"f",FALSE)</f>
        <v>59454</v>
      </c>
      <c r="X2927" s="91">
        <f>_xll.qlCalendarAdvance(Calendar,W2927,NDays&amp;"D")</f>
        <v>59454</v>
      </c>
      <c r="Y2927" s="92" t="e">
        <v>#N/A</v>
      </c>
      <c r="Z2927" s="94" t="e">
        <v>#N/A</v>
      </c>
    </row>
    <row r="2928" spans="22:26" x14ac:dyDescent="0.2">
      <c r="V2928" s="123" t="str">
        <f t="shared" si="56"/>
        <v>1w</v>
      </c>
      <c r="W2928" s="82">
        <f>_xll.qlCalendarAdvance(Calendar,W2927,V2928,"f",FALSE)</f>
        <v>59461</v>
      </c>
      <c r="X2928" s="91">
        <f>_xll.qlCalendarAdvance(Calendar,W2928,NDays&amp;"D")</f>
        <v>59461</v>
      </c>
      <c r="Y2928" s="92" t="e">
        <v>#N/A</v>
      </c>
      <c r="Z2928" s="94" t="e">
        <v>#N/A</v>
      </c>
    </row>
    <row r="2929" spans="22:26" x14ac:dyDescent="0.2">
      <c r="V2929" s="123" t="str">
        <f t="shared" si="56"/>
        <v>1w</v>
      </c>
      <c r="W2929" s="82">
        <f>_xll.qlCalendarAdvance(Calendar,W2928,V2929,"f",FALSE)</f>
        <v>59468</v>
      </c>
      <c r="X2929" s="91">
        <f>_xll.qlCalendarAdvance(Calendar,W2929,NDays&amp;"D")</f>
        <v>59468</v>
      </c>
      <c r="Y2929" s="92" t="e">
        <v>#N/A</v>
      </c>
      <c r="Z2929" s="94" t="e">
        <v>#N/A</v>
      </c>
    </row>
    <row r="2930" spans="22:26" x14ac:dyDescent="0.2">
      <c r="V2930" s="123" t="str">
        <f t="shared" si="56"/>
        <v>1w</v>
      </c>
      <c r="W2930" s="82">
        <f>_xll.qlCalendarAdvance(Calendar,W2929,V2930,"f",FALSE)</f>
        <v>59475</v>
      </c>
      <c r="X2930" s="91">
        <f>_xll.qlCalendarAdvance(Calendar,W2930,NDays&amp;"D")</f>
        <v>59475</v>
      </c>
      <c r="Y2930" s="92" t="e">
        <v>#N/A</v>
      </c>
      <c r="Z2930" s="94" t="e">
        <v>#N/A</v>
      </c>
    </row>
    <row r="2931" spans="22:26" x14ac:dyDescent="0.2">
      <c r="V2931" s="123" t="str">
        <f t="shared" si="56"/>
        <v>1w</v>
      </c>
      <c r="W2931" s="82">
        <f>_xll.qlCalendarAdvance(Calendar,W2930,V2931,"f",FALSE)</f>
        <v>59482</v>
      </c>
      <c r="X2931" s="91">
        <f>_xll.qlCalendarAdvance(Calendar,W2931,NDays&amp;"D")</f>
        <v>59482</v>
      </c>
      <c r="Y2931" s="92" t="e">
        <v>#N/A</v>
      </c>
      <c r="Z2931" s="94" t="e">
        <v>#N/A</v>
      </c>
    </row>
    <row r="2932" spans="22:26" x14ac:dyDescent="0.2">
      <c r="V2932" s="123" t="str">
        <f t="shared" si="56"/>
        <v>1w</v>
      </c>
      <c r="W2932" s="82">
        <f>_xll.qlCalendarAdvance(Calendar,W2931,V2932,"f",FALSE)</f>
        <v>59489</v>
      </c>
      <c r="X2932" s="91">
        <f>_xll.qlCalendarAdvance(Calendar,W2932,NDays&amp;"D")</f>
        <v>59489</v>
      </c>
      <c r="Y2932" s="92" t="e">
        <v>#N/A</v>
      </c>
      <c r="Z2932" s="94" t="e">
        <v>#N/A</v>
      </c>
    </row>
    <row r="2933" spans="22:26" x14ac:dyDescent="0.2">
      <c r="V2933" s="123" t="str">
        <f t="shared" si="56"/>
        <v>1w</v>
      </c>
      <c r="W2933" s="82">
        <f>_xll.qlCalendarAdvance(Calendar,W2932,V2933,"f",FALSE)</f>
        <v>59496</v>
      </c>
      <c r="X2933" s="91">
        <f>_xll.qlCalendarAdvance(Calendar,W2933,NDays&amp;"D")</f>
        <v>59496</v>
      </c>
      <c r="Y2933" s="92" t="e">
        <v>#N/A</v>
      </c>
      <c r="Z2933" s="94" t="e">
        <v>#N/A</v>
      </c>
    </row>
    <row r="2934" spans="22:26" x14ac:dyDescent="0.2">
      <c r="V2934" s="123" t="str">
        <f t="shared" si="56"/>
        <v>1w</v>
      </c>
      <c r="W2934" s="82">
        <f>_xll.qlCalendarAdvance(Calendar,W2933,V2934,"f",FALSE)</f>
        <v>59503</v>
      </c>
      <c r="X2934" s="91">
        <f>_xll.qlCalendarAdvance(Calendar,W2934,NDays&amp;"D")</f>
        <v>59503</v>
      </c>
      <c r="Y2934" s="92" t="e">
        <v>#N/A</v>
      </c>
      <c r="Z2934" s="94" t="e">
        <v>#N/A</v>
      </c>
    </row>
    <row r="2935" spans="22:26" x14ac:dyDescent="0.2">
      <c r="V2935" s="123" t="str">
        <f t="shared" si="56"/>
        <v>1w</v>
      </c>
      <c r="W2935" s="82">
        <f>_xll.qlCalendarAdvance(Calendar,W2934,V2935,"f",FALSE)</f>
        <v>59510</v>
      </c>
      <c r="X2935" s="91">
        <f>_xll.qlCalendarAdvance(Calendar,W2935,NDays&amp;"D")</f>
        <v>59510</v>
      </c>
      <c r="Y2935" s="92" t="e">
        <v>#N/A</v>
      </c>
      <c r="Z2935" s="94" t="e">
        <v>#N/A</v>
      </c>
    </row>
    <row r="2936" spans="22:26" x14ac:dyDescent="0.2">
      <c r="V2936" s="123" t="str">
        <f t="shared" si="56"/>
        <v>1w</v>
      </c>
      <c r="W2936" s="82">
        <f>_xll.qlCalendarAdvance(Calendar,W2935,V2936,"f",FALSE)</f>
        <v>59517</v>
      </c>
      <c r="X2936" s="91">
        <f>_xll.qlCalendarAdvance(Calendar,W2936,NDays&amp;"D")</f>
        <v>59517</v>
      </c>
      <c r="Y2936" s="92" t="e">
        <v>#N/A</v>
      </c>
      <c r="Z2936" s="94" t="e">
        <v>#N/A</v>
      </c>
    </row>
    <row r="2937" spans="22:26" x14ac:dyDescent="0.2">
      <c r="V2937" s="123" t="str">
        <f t="shared" si="56"/>
        <v>1w</v>
      </c>
      <c r="W2937" s="82">
        <f>_xll.qlCalendarAdvance(Calendar,W2936,V2937,"f",FALSE)</f>
        <v>59524</v>
      </c>
      <c r="X2937" s="91">
        <f>_xll.qlCalendarAdvance(Calendar,W2937,NDays&amp;"D")</f>
        <v>59524</v>
      </c>
      <c r="Y2937" s="92" t="e">
        <v>#N/A</v>
      </c>
      <c r="Z2937" s="94" t="e">
        <v>#N/A</v>
      </c>
    </row>
    <row r="2938" spans="22:26" x14ac:dyDescent="0.2">
      <c r="V2938" s="123" t="str">
        <f t="shared" si="56"/>
        <v>1w</v>
      </c>
      <c r="W2938" s="82">
        <f>_xll.qlCalendarAdvance(Calendar,W2937,V2938,"f",FALSE)</f>
        <v>59532</v>
      </c>
      <c r="X2938" s="91">
        <f>_xll.qlCalendarAdvance(Calendar,W2938,NDays&amp;"D")</f>
        <v>59532</v>
      </c>
      <c r="Y2938" s="92" t="e">
        <v>#N/A</v>
      </c>
      <c r="Z2938" s="94" t="e">
        <v>#N/A</v>
      </c>
    </row>
    <row r="2939" spans="22:26" x14ac:dyDescent="0.2">
      <c r="V2939" s="123" t="str">
        <f t="shared" si="56"/>
        <v>1w</v>
      </c>
      <c r="W2939" s="82">
        <f>_xll.qlCalendarAdvance(Calendar,W2938,V2939,"f",FALSE)</f>
        <v>59539</v>
      </c>
      <c r="X2939" s="91">
        <f>_xll.qlCalendarAdvance(Calendar,W2939,NDays&amp;"D")</f>
        <v>59539</v>
      </c>
      <c r="Y2939" s="92" t="e">
        <v>#N/A</v>
      </c>
      <c r="Z2939" s="94" t="e">
        <v>#N/A</v>
      </c>
    </row>
    <row r="2940" spans="22:26" x14ac:dyDescent="0.2">
      <c r="V2940" s="123" t="str">
        <f t="shared" si="56"/>
        <v>1w</v>
      </c>
      <c r="W2940" s="82">
        <f>_xll.qlCalendarAdvance(Calendar,W2939,V2940,"f",FALSE)</f>
        <v>59546</v>
      </c>
      <c r="X2940" s="91">
        <f>_xll.qlCalendarAdvance(Calendar,W2940,NDays&amp;"D")</f>
        <v>59546</v>
      </c>
      <c r="Y2940" s="92" t="e">
        <v>#N/A</v>
      </c>
      <c r="Z2940" s="94" t="e">
        <v>#N/A</v>
      </c>
    </row>
    <row r="2941" spans="22:26" x14ac:dyDescent="0.2">
      <c r="V2941" s="123" t="str">
        <f t="shared" si="56"/>
        <v>1w</v>
      </c>
      <c r="W2941" s="82">
        <f>_xll.qlCalendarAdvance(Calendar,W2940,V2941,"f",FALSE)</f>
        <v>59553</v>
      </c>
      <c r="X2941" s="91">
        <f>_xll.qlCalendarAdvance(Calendar,W2941,NDays&amp;"D")</f>
        <v>59553</v>
      </c>
      <c r="Y2941" s="92" t="e">
        <v>#N/A</v>
      </c>
      <c r="Z2941" s="94" t="e">
        <v>#N/A</v>
      </c>
    </row>
    <row r="2942" spans="22:26" x14ac:dyDescent="0.2">
      <c r="V2942" s="123" t="str">
        <f t="shared" si="56"/>
        <v>1w</v>
      </c>
      <c r="W2942" s="82">
        <f>_xll.qlCalendarAdvance(Calendar,W2941,V2942,"f",FALSE)</f>
        <v>59560</v>
      </c>
      <c r="X2942" s="91">
        <f>_xll.qlCalendarAdvance(Calendar,W2942,NDays&amp;"D")</f>
        <v>59560</v>
      </c>
      <c r="Y2942" s="92" t="e">
        <v>#N/A</v>
      </c>
      <c r="Z2942" s="94" t="e">
        <v>#N/A</v>
      </c>
    </row>
    <row r="2943" spans="22:26" x14ac:dyDescent="0.2">
      <c r="V2943" s="123" t="str">
        <f t="shared" si="56"/>
        <v>1w</v>
      </c>
      <c r="W2943" s="82">
        <f>_xll.qlCalendarAdvance(Calendar,W2942,V2943,"f",FALSE)</f>
        <v>59567</v>
      </c>
      <c r="X2943" s="91">
        <f>_xll.qlCalendarAdvance(Calendar,W2943,NDays&amp;"D")</f>
        <v>59567</v>
      </c>
      <c r="Y2943" s="92" t="e">
        <v>#N/A</v>
      </c>
      <c r="Z2943" s="94" t="e">
        <v>#N/A</v>
      </c>
    </row>
    <row r="2944" spans="22:26" x14ac:dyDescent="0.2">
      <c r="V2944" s="123" t="str">
        <f t="shared" si="56"/>
        <v>1w</v>
      </c>
      <c r="W2944" s="82">
        <f>_xll.qlCalendarAdvance(Calendar,W2943,V2944,"f",FALSE)</f>
        <v>59574</v>
      </c>
      <c r="X2944" s="91">
        <f>_xll.qlCalendarAdvance(Calendar,W2944,NDays&amp;"D")</f>
        <v>59574</v>
      </c>
      <c r="Y2944" s="92" t="e">
        <v>#N/A</v>
      </c>
      <c r="Z2944" s="94" t="e">
        <v>#N/A</v>
      </c>
    </row>
    <row r="2945" spans="22:26" x14ac:dyDescent="0.2">
      <c r="V2945" s="123" t="str">
        <f t="shared" si="56"/>
        <v>1w</v>
      </c>
      <c r="W2945" s="82">
        <f>_xll.qlCalendarAdvance(Calendar,W2944,V2945,"f",FALSE)</f>
        <v>59581</v>
      </c>
      <c r="X2945" s="91">
        <f>_xll.qlCalendarAdvance(Calendar,W2945,NDays&amp;"D")</f>
        <v>59581</v>
      </c>
      <c r="Y2945" s="92" t="e">
        <v>#N/A</v>
      </c>
      <c r="Z2945" s="94" t="e">
        <v>#N/A</v>
      </c>
    </row>
    <row r="2946" spans="22:26" x14ac:dyDescent="0.2">
      <c r="V2946" s="123" t="str">
        <f t="shared" si="56"/>
        <v>1w</v>
      </c>
      <c r="W2946" s="82">
        <f>_xll.qlCalendarAdvance(Calendar,W2945,V2946,"f",FALSE)</f>
        <v>59588</v>
      </c>
      <c r="X2946" s="91">
        <f>_xll.qlCalendarAdvance(Calendar,W2946,NDays&amp;"D")</f>
        <v>59588</v>
      </c>
      <c r="Y2946" s="92" t="e">
        <v>#N/A</v>
      </c>
      <c r="Z2946" s="94" t="e">
        <v>#N/A</v>
      </c>
    </row>
    <row r="2947" spans="22:26" x14ac:dyDescent="0.2">
      <c r="V2947" s="123" t="str">
        <f t="shared" si="56"/>
        <v>1w</v>
      </c>
      <c r="W2947" s="82">
        <f>_xll.qlCalendarAdvance(Calendar,W2946,V2947,"f",FALSE)</f>
        <v>59595</v>
      </c>
      <c r="X2947" s="91">
        <f>_xll.qlCalendarAdvance(Calendar,W2947,NDays&amp;"D")</f>
        <v>59595</v>
      </c>
      <c r="Y2947" s="92" t="e">
        <v>#N/A</v>
      </c>
      <c r="Z2947" s="94" t="e">
        <v>#N/A</v>
      </c>
    </row>
    <row r="2948" spans="22:26" x14ac:dyDescent="0.2">
      <c r="V2948" s="123" t="str">
        <f t="shared" si="56"/>
        <v>1w</v>
      </c>
      <c r="W2948" s="82">
        <f>_xll.qlCalendarAdvance(Calendar,W2947,V2948,"f",FALSE)</f>
        <v>59602</v>
      </c>
      <c r="X2948" s="91">
        <f>_xll.qlCalendarAdvance(Calendar,W2948,NDays&amp;"D")</f>
        <v>59602</v>
      </c>
      <c r="Y2948" s="92" t="e">
        <v>#N/A</v>
      </c>
      <c r="Z2948" s="94" t="e">
        <v>#N/A</v>
      </c>
    </row>
    <row r="2949" spans="22:26" x14ac:dyDescent="0.2">
      <c r="V2949" s="123" t="str">
        <f t="shared" si="56"/>
        <v>1w</v>
      </c>
      <c r="W2949" s="82">
        <f>_xll.qlCalendarAdvance(Calendar,W2948,V2949,"f",FALSE)</f>
        <v>59609</v>
      </c>
      <c r="X2949" s="91">
        <f>_xll.qlCalendarAdvance(Calendar,W2949,NDays&amp;"D")</f>
        <v>59609</v>
      </c>
      <c r="Y2949" s="92" t="e">
        <v>#N/A</v>
      </c>
      <c r="Z2949" s="94" t="e">
        <v>#N/A</v>
      </c>
    </row>
    <row r="2950" spans="22:26" x14ac:dyDescent="0.2">
      <c r="V2950" s="123" t="str">
        <f t="shared" si="56"/>
        <v>1w</v>
      </c>
      <c r="W2950" s="82">
        <f>_xll.qlCalendarAdvance(Calendar,W2949,V2950,"f",FALSE)</f>
        <v>59616</v>
      </c>
      <c r="X2950" s="91">
        <f>_xll.qlCalendarAdvance(Calendar,W2950,NDays&amp;"D")</f>
        <v>59616</v>
      </c>
      <c r="Y2950" s="92" t="e">
        <v>#N/A</v>
      </c>
      <c r="Z2950" s="94" t="e">
        <v>#N/A</v>
      </c>
    </row>
    <row r="2951" spans="22:26" x14ac:dyDescent="0.2">
      <c r="V2951" s="123" t="str">
        <f t="shared" si="56"/>
        <v>1w</v>
      </c>
      <c r="W2951" s="82">
        <f>_xll.qlCalendarAdvance(Calendar,W2950,V2951,"f",FALSE)</f>
        <v>59623</v>
      </c>
      <c r="X2951" s="91">
        <f>_xll.qlCalendarAdvance(Calendar,W2951,NDays&amp;"D")</f>
        <v>59623</v>
      </c>
      <c r="Y2951" s="92" t="e">
        <v>#N/A</v>
      </c>
      <c r="Z2951" s="94" t="e">
        <v>#N/A</v>
      </c>
    </row>
    <row r="2952" spans="22:26" x14ac:dyDescent="0.2">
      <c r="V2952" s="123" t="str">
        <f t="shared" si="56"/>
        <v>1w</v>
      </c>
      <c r="W2952" s="82">
        <f>_xll.qlCalendarAdvance(Calendar,W2951,V2952,"f",FALSE)</f>
        <v>59630</v>
      </c>
      <c r="X2952" s="91">
        <f>_xll.qlCalendarAdvance(Calendar,W2952,NDays&amp;"D")</f>
        <v>59630</v>
      </c>
      <c r="Y2952" s="92" t="e">
        <v>#N/A</v>
      </c>
      <c r="Z2952" s="94" t="e">
        <v>#N/A</v>
      </c>
    </row>
    <row r="2953" spans="22:26" x14ac:dyDescent="0.2">
      <c r="V2953" s="123" t="str">
        <f t="shared" si="56"/>
        <v>1w</v>
      </c>
      <c r="W2953" s="82">
        <f>_xll.qlCalendarAdvance(Calendar,W2952,V2953,"f",FALSE)</f>
        <v>59637</v>
      </c>
      <c r="X2953" s="91">
        <f>_xll.qlCalendarAdvance(Calendar,W2953,NDays&amp;"D")</f>
        <v>59637</v>
      </c>
      <c r="Y2953" s="92" t="e">
        <v>#N/A</v>
      </c>
      <c r="Z2953" s="94" t="e">
        <v>#N/A</v>
      </c>
    </row>
    <row r="2954" spans="22:26" x14ac:dyDescent="0.2">
      <c r="V2954" s="123" t="str">
        <f t="shared" si="56"/>
        <v>1w</v>
      </c>
      <c r="W2954" s="82">
        <f>_xll.qlCalendarAdvance(Calendar,W2953,V2954,"f",FALSE)</f>
        <v>59644</v>
      </c>
      <c r="X2954" s="91">
        <f>_xll.qlCalendarAdvance(Calendar,W2954,NDays&amp;"D")</f>
        <v>59644</v>
      </c>
      <c r="Y2954" s="92" t="e">
        <v>#N/A</v>
      </c>
      <c r="Z2954" s="94" t="e">
        <v>#N/A</v>
      </c>
    </row>
    <row r="2955" spans="22:26" x14ac:dyDescent="0.2">
      <c r="V2955" s="123" t="str">
        <f t="shared" si="56"/>
        <v>1w</v>
      </c>
      <c r="W2955" s="82">
        <f>_xll.qlCalendarAdvance(Calendar,W2954,V2955,"f",FALSE)</f>
        <v>59651</v>
      </c>
      <c r="X2955" s="91">
        <f>_xll.qlCalendarAdvance(Calendar,W2955,NDays&amp;"D")</f>
        <v>59651</v>
      </c>
      <c r="Y2955" s="92" t="e">
        <v>#N/A</v>
      </c>
      <c r="Z2955" s="94" t="e">
        <v>#N/A</v>
      </c>
    </row>
    <row r="2956" spans="22:26" x14ac:dyDescent="0.2">
      <c r="V2956" s="123" t="str">
        <f t="shared" si="56"/>
        <v>1w</v>
      </c>
      <c r="W2956" s="82">
        <f>_xll.qlCalendarAdvance(Calendar,W2955,V2956,"f",FALSE)</f>
        <v>59658</v>
      </c>
      <c r="X2956" s="91">
        <f>_xll.qlCalendarAdvance(Calendar,W2956,NDays&amp;"D")</f>
        <v>59658</v>
      </c>
      <c r="Y2956" s="92" t="e">
        <v>#N/A</v>
      </c>
      <c r="Z2956" s="94" t="e">
        <v>#N/A</v>
      </c>
    </row>
    <row r="2957" spans="22:26" x14ac:dyDescent="0.2">
      <c r="V2957" s="123" t="str">
        <f t="shared" si="56"/>
        <v>1w</v>
      </c>
      <c r="W2957" s="82">
        <f>_xll.qlCalendarAdvance(Calendar,W2956,V2957,"f",FALSE)</f>
        <v>59665</v>
      </c>
      <c r="X2957" s="91">
        <f>_xll.qlCalendarAdvance(Calendar,W2957,NDays&amp;"D")</f>
        <v>59665</v>
      </c>
      <c r="Y2957" s="92" t="e">
        <v>#N/A</v>
      </c>
      <c r="Z2957" s="94" t="e">
        <v>#N/A</v>
      </c>
    </row>
    <row r="2958" spans="22:26" x14ac:dyDescent="0.2">
      <c r="V2958" s="123" t="str">
        <f t="shared" si="56"/>
        <v>1w</v>
      </c>
      <c r="W2958" s="82">
        <f>_xll.qlCalendarAdvance(Calendar,W2957,V2958,"f",FALSE)</f>
        <v>59672</v>
      </c>
      <c r="X2958" s="91">
        <f>_xll.qlCalendarAdvance(Calendar,W2958,NDays&amp;"D")</f>
        <v>59672</v>
      </c>
      <c r="Y2958" s="92" t="e">
        <v>#N/A</v>
      </c>
      <c r="Z2958" s="94" t="e">
        <v>#N/A</v>
      </c>
    </row>
    <row r="2959" spans="22:26" x14ac:dyDescent="0.2">
      <c r="V2959" s="123" t="str">
        <f t="shared" si="56"/>
        <v>1w</v>
      </c>
      <c r="W2959" s="82">
        <f>_xll.qlCalendarAdvance(Calendar,W2958,V2959,"f",FALSE)</f>
        <v>59679</v>
      </c>
      <c r="X2959" s="91">
        <f>_xll.qlCalendarAdvance(Calendar,W2959,NDays&amp;"D")</f>
        <v>59679</v>
      </c>
      <c r="Y2959" s="92" t="e">
        <v>#N/A</v>
      </c>
      <c r="Z2959" s="94" t="e">
        <v>#N/A</v>
      </c>
    </row>
    <row r="2960" spans="22:26" x14ac:dyDescent="0.2">
      <c r="V2960" s="123" t="str">
        <f t="shared" si="56"/>
        <v>1w</v>
      </c>
      <c r="W2960" s="82">
        <f>_xll.qlCalendarAdvance(Calendar,W2959,V2960,"f",FALSE)</f>
        <v>59686</v>
      </c>
      <c r="X2960" s="91">
        <f>_xll.qlCalendarAdvance(Calendar,W2960,NDays&amp;"D")</f>
        <v>59686</v>
      </c>
      <c r="Y2960" s="92" t="e">
        <v>#N/A</v>
      </c>
      <c r="Z2960" s="94" t="e">
        <v>#N/A</v>
      </c>
    </row>
    <row r="2961" spans="22:26" x14ac:dyDescent="0.2">
      <c r="V2961" s="123" t="str">
        <f t="shared" si="56"/>
        <v>1w</v>
      </c>
      <c r="W2961" s="82">
        <f>_xll.qlCalendarAdvance(Calendar,W2960,V2961,"f",FALSE)</f>
        <v>59693</v>
      </c>
      <c r="X2961" s="91">
        <f>_xll.qlCalendarAdvance(Calendar,W2961,NDays&amp;"D")</f>
        <v>59693</v>
      </c>
      <c r="Y2961" s="92" t="e">
        <v>#N/A</v>
      </c>
      <c r="Z2961" s="94" t="e">
        <v>#N/A</v>
      </c>
    </row>
    <row r="2962" spans="22:26" x14ac:dyDescent="0.2">
      <c r="V2962" s="123" t="str">
        <f t="shared" si="56"/>
        <v>1w</v>
      </c>
      <c r="W2962" s="82">
        <f>_xll.qlCalendarAdvance(Calendar,W2961,V2962,"f",FALSE)</f>
        <v>59700</v>
      </c>
      <c r="X2962" s="91">
        <f>_xll.qlCalendarAdvance(Calendar,W2962,NDays&amp;"D")</f>
        <v>59700</v>
      </c>
      <c r="Y2962" s="92" t="e">
        <v>#N/A</v>
      </c>
      <c r="Z2962" s="94" t="e">
        <v>#N/A</v>
      </c>
    </row>
    <row r="2963" spans="22:26" x14ac:dyDescent="0.2">
      <c r="V2963" s="123" t="str">
        <f t="shared" si="56"/>
        <v>1w</v>
      </c>
      <c r="W2963" s="82">
        <f>_xll.qlCalendarAdvance(Calendar,W2962,V2963,"f",FALSE)</f>
        <v>59707</v>
      </c>
      <c r="X2963" s="91">
        <f>_xll.qlCalendarAdvance(Calendar,W2963,NDays&amp;"D")</f>
        <v>59707</v>
      </c>
      <c r="Y2963" s="92" t="e">
        <v>#N/A</v>
      </c>
      <c r="Z2963" s="94" t="e">
        <v>#N/A</v>
      </c>
    </row>
    <row r="2964" spans="22:26" x14ac:dyDescent="0.2">
      <c r="V2964" s="123" t="str">
        <f t="shared" si="56"/>
        <v>1w</v>
      </c>
      <c r="W2964" s="82">
        <f>_xll.qlCalendarAdvance(Calendar,W2963,V2964,"f",FALSE)</f>
        <v>59714</v>
      </c>
      <c r="X2964" s="91">
        <f>_xll.qlCalendarAdvance(Calendar,W2964,NDays&amp;"D")</f>
        <v>59714</v>
      </c>
      <c r="Y2964" s="92" t="e">
        <v>#N/A</v>
      </c>
      <c r="Z2964" s="94" t="e">
        <v>#N/A</v>
      </c>
    </row>
    <row r="2965" spans="22:26" x14ac:dyDescent="0.2">
      <c r="V2965" s="123" t="str">
        <f t="shared" ref="V2965:V3028" si="57">V2964</f>
        <v>1w</v>
      </c>
      <c r="W2965" s="82">
        <f>_xll.qlCalendarAdvance(Calendar,W2964,V2965,"f",FALSE)</f>
        <v>59721</v>
      </c>
      <c r="X2965" s="91">
        <f>_xll.qlCalendarAdvance(Calendar,W2965,NDays&amp;"D")</f>
        <v>59721</v>
      </c>
      <c r="Y2965" s="92" t="e">
        <v>#N/A</v>
      </c>
      <c r="Z2965" s="94" t="e">
        <v>#N/A</v>
      </c>
    </row>
    <row r="2966" spans="22:26" x14ac:dyDescent="0.2">
      <c r="V2966" s="123" t="str">
        <f t="shared" si="57"/>
        <v>1w</v>
      </c>
      <c r="W2966" s="82">
        <f>_xll.qlCalendarAdvance(Calendar,W2965,V2966,"f",FALSE)</f>
        <v>59728</v>
      </c>
      <c r="X2966" s="91">
        <f>_xll.qlCalendarAdvance(Calendar,W2966,NDays&amp;"D")</f>
        <v>59728</v>
      </c>
      <c r="Y2966" s="92" t="e">
        <v>#N/A</v>
      </c>
      <c r="Z2966" s="94" t="e">
        <v>#N/A</v>
      </c>
    </row>
    <row r="2967" spans="22:26" x14ac:dyDescent="0.2">
      <c r="V2967" s="123" t="str">
        <f t="shared" si="57"/>
        <v>1w</v>
      </c>
      <c r="W2967" s="82">
        <f>_xll.qlCalendarAdvance(Calendar,W2966,V2967,"f",FALSE)</f>
        <v>59735</v>
      </c>
      <c r="X2967" s="91">
        <f>_xll.qlCalendarAdvance(Calendar,W2967,NDays&amp;"D")</f>
        <v>59735</v>
      </c>
      <c r="Y2967" s="92" t="e">
        <v>#N/A</v>
      </c>
      <c r="Z2967" s="94" t="e">
        <v>#N/A</v>
      </c>
    </row>
    <row r="2968" spans="22:26" x14ac:dyDescent="0.2">
      <c r="V2968" s="123" t="str">
        <f t="shared" si="57"/>
        <v>1w</v>
      </c>
      <c r="W2968" s="82">
        <f>_xll.qlCalendarAdvance(Calendar,W2967,V2968,"f",FALSE)</f>
        <v>59742</v>
      </c>
      <c r="X2968" s="91">
        <f>_xll.qlCalendarAdvance(Calendar,W2968,NDays&amp;"D")</f>
        <v>59742</v>
      </c>
      <c r="Y2968" s="92" t="e">
        <v>#N/A</v>
      </c>
      <c r="Z2968" s="94" t="e">
        <v>#N/A</v>
      </c>
    </row>
    <row r="2969" spans="22:26" x14ac:dyDescent="0.2">
      <c r="V2969" s="123" t="str">
        <f t="shared" si="57"/>
        <v>1w</v>
      </c>
      <c r="W2969" s="82">
        <f>_xll.qlCalendarAdvance(Calendar,W2968,V2969,"f",FALSE)</f>
        <v>59749</v>
      </c>
      <c r="X2969" s="91">
        <f>_xll.qlCalendarAdvance(Calendar,W2969,NDays&amp;"D")</f>
        <v>59749</v>
      </c>
      <c r="Y2969" s="92" t="e">
        <v>#N/A</v>
      </c>
      <c r="Z2969" s="94" t="e">
        <v>#N/A</v>
      </c>
    </row>
    <row r="2970" spans="22:26" x14ac:dyDescent="0.2">
      <c r="V2970" s="123" t="str">
        <f t="shared" si="57"/>
        <v>1w</v>
      </c>
      <c r="W2970" s="82">
        <f>_xll.qlCalendarAdvance(Calendar,W2969,V2970,"f",FALSE)</f>
        <v>59756</v>
      </c>
      <c r="X2970" s="91">
        <f>_xll.qlCalendarAdvance(Calendar,W2970,NDays&amp;"D")</f>
        <v>59756</v>
      </c>
      <c r="Y2970" s="92" t="e">
        <v>#N/A</v>
      </c>
      <c r="Z2970" s="94" t="e">
        <v>#N/A</v>
      </c>
    </row>
    <row r="2971" spans="22:26" x14ac:dyDescent="0.2">
      <c r="V2971" s="123" t="str">
        <f t="shared" si="57"/>
        <v>1w</v>
      </c>
      <c r="W2971" s="82">
        <f>_xll.qlCalendarAdvance(Calendar,W2970,V2971,"f",FALSE)</f>
        <v>59763</v>
      </c>
      <c r="X2971" s="91">
        <f>_xll.qlCalendarAdvance(Calendar,W2971,NDays&amp;"D")</f>
        <v>59763</v>
      </c>
      <c r="Y2971" s="92" t="e">
        <v>#N/A</v>
      </c>
      <c r="Z2971" s="94" t="e">
        <v>#N/A</v>
      </c>
    </row>
    <row r="2972" spans="22:26" x14ac:dyDescent="0.2">
      <c r="V2972" s="123" t="str">
        <f t="shared" si="57"/>
        <v>1w</v>
      </c>
      <c r="W2972" s="82">
        <f>_xll.qlCalendarAdvance(Calendar,W2971,V2972,"f",FALSE)</f>
        <v>59770</v>
      </c>
      <c r="X2972" s="91">
        <f>_xll.qlCalendarAdvance(Calendar,W2972,NDays&amp;"D")</f>
        <v>59770</v>
      </c>
      <c r="Y2972" s="92" t="e">
        <v>#N/A</v>
      </c>
      <c r="Z2972" s="94" t="e">
        <v>#N/A</v>
      </c>
    </row>
    <row r="2973" spans="22:26" x14ac:dyDescent="0.2">
      <c r="V2973" s="123" t="str">
        <f t="shared" si="57"/>
        <v>1w</v>
      </c>
      <c r="W2973" s="82">
        <f>_xll.qlCalendarAdvance(Calendar,W2972,V2973,"f",FALSE)</f>
        <v>59777</v>
      </c>
      <c r="X2973" s="91">
        <f>_xll.qlCalendarAdvance(Calendar,W2973,NDays&amp;"D")</f>
        <v>59777</v>
      </c>
      <c r="Y2973" s="92" t="e">
        <v>#N/A</v>
      </c>
      <c r="Z2973" s="94" t="e">
        <v>#N/A</v>
      </c>
    </row>
    <row r="2974" spans="22:26" x14ac:dyDescent="0.2">
      <c r="V2974" s="123" t="str">
        <f t="shared" si="57"/>
        <v>1w</v>
      </c>
      <c r="W2974" s="82">
        <f>_xll.qlCalendarAdvance(Calendar,W2973,V2974,"f",FALSE)</f>
        <v>59784</v>
      </c>
      <c r="X2974" s="91">
        <f>_xll.qlCalendarAdvance(Calendar,W2974,NDays&amp;"D")</f>
        <v>59784</v>
      </c>
      <c r="Y2974" s="92" t="e">
        <v>#N/A</v>
      </c>
      <c r="Z2974" s="94" t="e">
        <v>#N/A</v>
      </c>
    </row>
    <row r="2975" spans="22:26" x14ac:dyDescent="0.2">
      <c r="V2975" s="123" t="str">
        <f t="shared" si="57"/>
        <v>1w</v>
      </c>
      <c r="W2975" s="82">
        <f>_xll.qlCalendarAdvance(Calendar,W2974,V2975,"f",FALSE)</f>
        <v>59791</v>
      </c>
      <c r="X2975" s="91">
        <f>_xll.qlCalendarAdvance(Calendar,W2975,NDays&amp;"D")</f>
        <v>59791</v>
      </c>
      <c r="Y2975" s="92" t="e">
        <v>#N/A</v>
      </c>
      <c r="Z2975" s="94" t="e">
        <v>#N/A</v>
      </c>
    </row>
    <row r="2976" spans="22:26" x14ac:dyDescent="0.2">
      <c r="V2976" s="123" t="str">
        <f t="shared" si="57"/>
        <v>1w</v>
      </c>
      <c r="W2976" s="82">
        <f>_xll.qlCalendarAdvance(Calendar,W2975,V2976,"f",FALSE)</f>
        <v>59798</v>
      </c>
      <c r="X2976" s="91">
        <f>_xll.qlCalendarAdvance(Calendar,W2976,NDays&amp;"D")</f>
        <v>59798</v>
      </c>
      <c r="Y2976" s="92" t="e">
        <v>#N/A</v>
      </c>
      <c r="Z2976" s="94" t="e">
        <v>#N/A</v>
      </c>
    </row>
    <row r="2977" spans="22:26" x14ac:dyDescent="0.2">
      <c r="V2977" s="123" t="str">
        <f t="shared" si="57"/>
        <v>1w</v>
      </c>
      <c r="W2977" s="82">
        <f>_xll.qlCalendarAdvance(Calendar,W2976,V2977,"f",FALSE)</f>
        <v>59805</v>
      </c>
      <c r="X2977" s="91">
        <f>_xll.qlCalendarAdvance(Calendar,W2977,NDays&amp;"D")</f>
        <v>59805</v>
      </c>
      <c r="Y2977" s="92" t="e">
        <v>#N/A</v>
      </c>
      <c r="Z2977" s="94" t="e">
        <v>#N/A</v>
      </c>
    </row>
    <row r="2978" spans="22:26" x14ac:dyDescent="0.2">
      <c r="V2978" s="123" t="str">
        <f t="shared" si="57"/>
        <v>1w</v>
      </c>
      <c r="W2978" s="82">
        <f>_xll.qlCalendarAdvance(Calendar,W2977,V2978,"f",FALSE)</f>
        <v>59812</v>
      </c>
      <c r="X2978" s="91">
        <f>_xll.qlCalendarAdvance(Calendar,W2978,NDays&amp;"D")</f>
        <v>59812</v>
      </c>
      <c r="Y2978" s="92" t="e">
        <v>#N/A</v>
      </c>
      <c r="Z2978" s="94" t="e">
        <v>#N/A</v>
      </c>
    </row>
    <row r="2979" spans="22:26" x14ac:dyDescent="0.2">
      <c r="V2979" s="123" t="str">
        <f t="shared" si="57"/>
        <v>1w</v>
      </c>
      <c r="W2979" s="82">
        <f>_xll.qlCalendarAdvance(Calendar,W2978,V2979,"f",FALSE)</f>
        <v>59819</v>
      </c>
      <c r="X2979" s="91">
        <f>_xll.qlCalendarAdvance(Calendar,W2979,NDays&amp;"D")</f>
        <v>59819</v>
      </c>
      <c r="Y2979" s="92" t="e">
        <v>#N/A</v>
      </c>
      <c r="Z2979" s="94" t="e">
        <v>#N/A</v>
      </c>
    </row>
    <row r="2980" spans="22:26" x14ac:dyDescent="0.2">
      <c r="V2980" s="123" t="str">
        <f t="shared" si="57"/>
        <v>1w</v>
      </c>
      <c r="W2980" s="82">
        <f>_xll.qlCalendarAdvance(Calendar,W2979,V2980,"f",FALSE)</f>
        <v>59826</v>
      </c>
      <c r="X2980" s="91">
        <f>_xll.qlCalendarAdvance(Calendar,W2980,NDays&amp;"D")</f>
        <v>59826</v>
      </c>
      <c r="Y2980" s="92" t="e">
        <v>#N/A</v>
      </c>
      <c r="Z2980" s="94" t="e">
        <v>#N/A</v>
      </c>
    </row>
    <row r="2981" spans="22:26" x14ac:dyDescent="0.2">
      <c r="V2981" s="123" t="str">
        <f t="shared" si="57"/>
        <v>1w</v>
      </c>
      <c r="W2981" s="82">
        <f>_xll.qlCalendarAdvance(Calendar,W2980,V2981,"f",FALSE)</f>
        <v>59833</v>
      </c>
      <c r="X2981" s="91">
        <f>_xll.qlCalendarAdvance(Calendar,W2981,NDays&amp;"D")</f>
        <v>59833</v>
      </c>
      <c r="Y2981" s="92" t="e">
        <v>#N/A</v>
      </c>
      <c r="Z2981" s="94" t="e">
        <v>#N/A</v>
      </c>
    </row>
    <row r="2982" spans="22:26" x14ac:dyDescent="0.2">
      <c r="V2982" s="123" t="str">
        <f t="shared" si="57"/>
        <v>1w</v>
      </c>
      <c r="W2982" s="82">
        <f>_xll.qlCalendarAdvance(Calendar,W2981,V2982,"f",FALSE)</f>
        <v>59840</v>
      </c>
      <c r="X2982" s="91">
        <f>_xll.qlCalendarAdvance(Calendar,W2982,NDays&amp;"D")</f>
        <v>59840</v>
      </c>
      <c r="Y2982" s="92" t="e">
        <v>#N/A</v>
      </c>
      <c r="Z2982" s="94" t="e">
        <v>#N/A</v>
      </c>
    </row>
    <row r="2983" spans="22:26" x14ac:dyDescent="0.2">
      <c r="V2983" s="123" t="str">
        <f t="shared" si="57"/>
        <v>1w</v>
      </c>
      <c r="W2983" s="82">
        <f>_xll.qlCalendarAdvance(Calendar,W2982,V2983,"f",FALSE)</f>
        <v>59847</v>
      </c>
      <c r="X2983" s="91">
        <f>_xll.qlCalendarAdvance(Calendar,W2983,NDays&amp;"D")</f>
        <v>59847</v>
      </c>
      <c r="Y2983" s="92" t="e">
        <v>#N/A</v>
      </c>
      <c r="Z2983" s="94" t="e">
        <v>#N/A</v>
      </c>
    </row>
    <row r="2984" spans="22:26" x14ac:dyDescent="0.2">
      <c r="V2984" s="123" t="str">
        <f t="shared" si="57"/>
        <v>1w</v>
      </c>
      <c r="W2984" s="82">
        <f>_xll.qlCalendarAdvance(Calendar,W2983,V2984,"f",FALSE)</f>
        <v>59854</v>
      </c>
      <c r="X2984" s="91">
        <f>_xll.qlCalendarAdvance(Calendar,W2984,NDays&amp;"D")</f>
        <v>59854</v>
      </c>
      <c r="Y2984" s="92" t="e">
        <v>#N/A</v>
      </c>
      <c r="Z2984" s="94" t="e">
        <v>#N/A</v>
      </c>
    </row>
    <row r="2985" spans="22:26" x14ac:dyDescent="0.2">
      <c r="V2985" s="123" t="str">
        <f t="shared" si="57"/>
        <v>1w</v>
      </c>
      <c r="W2985" s="82">
        <f>_xll.qlCalendarAdvance(Calendar,W2984,V2985,"f",FALSE)</f>
        <v>59861</v>
      </c>
      <c r="X2985" s="91">
        <f>_xll.qlCalendarAdvance(Calendar,W2985,NDays&amp;"D")</f>
        <v>59861</v>
      </c>
      <c r="Y2985" s="92" t="e">
        <v>#N/A</v>
      </c>
      <c r="Z2985" s="94" t="e">
        <v>#N/A</v>
      </c>
    </row>
    <row r="2986" spans="22:26" x14ac:dyDescent="0.2">
      <c r="V2986" s="123" t="str">
        <f t="shared" si="57"/>
        <v>1w</v>
      </c>
      <c r="W2986" s="82">
        <f>_xll.qlCalendarAdvance(Calendar,W2985,V2986,"f",FALSE)</f>
        <v>59868</v>
      </c>
      <c r="X2986" s="91">
        <f>_xll.qlCalendarAdvance(Calendar,W2986,NDays&amp;"D")</f>
        <v>59868</v>
      </c>
      <c r="Y2986" s="92" t="e">
        <v>#N/A</v>
      </c>
      <c r="Z2986" s="94" t="e">
        <v>#N/A</v>
      </c>
    </row>
    <row r="2987" spans="22:26" x14ac:dyDescent="0.2">
      <c r="V2987" s="123" t="str">
        <f t="shared" si="57"/>
        <v>1w</v>
      </c>
      <c r="W2987" s="82">
        <f>_xll.qlCalendarAdvance(Calendar,W2986,V2987,"f",FALSE)</f>
        <v>59875</v>
      </c>
      <c r="X2987" s="91">
        <f>_xll.qlCalendarAdvance(Calendar,W2987,NDays&amp;"D")</f>
        <v>59875</v>
      </c>
      <c r="Y2987" s="92" t="e">
        <v>#N/A</v>
      </c>
      <c r="Z2987" s="94" t="e">
        <v>#N/A</v>
      </c>
    </row>
    <row r="2988" spans="22:26" x14ac:dyDescent="0.2">
      <c r="V2988" s="123" t="str">
        <f t="shared" si="57"/>
        <v>1w</v>
      </c>
      <c r="W2988" s="82">
        <f>_xll.qlCalendarAdvance(Calendar,W2987,V2988,"f",FALSE)</f>
        <v>59882</v>
      </c>
      <c r="X2988" s="91">
        <f>_xll.qlCalendarAdvance(Calendar,W2988,NDays&amp;"D")</f>
        <v>59882</v>
      </c>
      <c r="Y2988" s="92" t="e">
        <v>#N/A</v>
      </c>
      <c r="Z2988" s="94" t="e">
        <v>#N/A</v>
      </c>
    </row>
    <row r="2989" spans="22:26" x14ac:dyDescent="0.2">
      <c r="V2989" s="123" t="str">
        <f t="shared" si="57"/>
        <v>1w</v>
      </c>
      <c r="W2989" s="82">
        <f>_xll.qlCalendarAdvance(Calendar,W2988,V2989,"f",FALSE)</f>
        <v>59889</v>
      </c>
      <c r="X2989" s="91">
        <f>_xll.qlCalendarAdvance(Calendar,W2989,NDays&amp;"D")</f>
        <v>59889</v>
      </c>
      <c r="Y2989" s="92" t="e">
        <v>#N/A</v>
      </c>
      <c r="Z2989" s="94" t="e">
        <v>#N/A</v>
      </c>
    </row>
    <row r="2990" spans="22:26" x14ac:dyDescent="0.2">
      <c r="V2990" s="123" t="str">
        <f t="shared" si="57"/>
        <v>1w</v>
      </c>
      <c r="W2990" s="82">
        <f>_xll.qlCalendarAdvance(Calendar,W2989,V2990,"f",FALSE)</f>
        <v>59897</v>
      </c>
      <c r="X2990" s="91">
        <f>_xll.qlCalendarAdvance(Calendar,W2990,NDays&amp;"D")</f>
        <v>59897</v>
      </c>
      <c r="Y2990" s="92" t="e">
        <v>#N/A</v>
      </c>
      <c r="Z2990" s="94" t="e">
        <v>#N/A</v>
      </c>
    </row>
    <row r="2991" spans="22:26" x14ac:dyDescent="0.2">
      <c r="V2991" s="123" t="str">
        <f t="shared" si="57"/>
        <v>1w</v>
      </c>
      <c r="W2991" s="82">
        <f>_xll.qlCalendarAdvance(Calendar,W2990,V2991,"f",FALSE)</f>
        <v>59904</v>
      </c>
      <c r="X2991" s="91">
        <f>_xll.qlCalendarAdvance(Calendar,W2991,NDays&amp;"D")</f>
        <v>59904</v>
      </c>
      <c r="Y2991" s="92" t="e">
        <v>#N/A</v>
      </c>
      <c r="Z2991" s="94" t="e">
        <v>#N/A</v>
      </c>
    </row>
    <row r="2992" spans="22:26" x14ac:dyDescent="0.2">
      <c r="V2992" s="123" t="str">
        <f t="shared" si="57"/>
        <v>1w</v>
      </c>
      <c r="W2992" s="82">
        <f>_xll.qlCalendarAdvance(Calendar,W2991,V2992,"f",FALSE)</f>
        <v>59911</v>
      </c>
      <c r="X2992" s="91">
        <f>_xll.qlCalendarAdvance(Calendar,W2992,NDays&amp;"D")</f>
        <v>59911</v>
      </c>
      <c r="Y2992" s="92" t="e">
        <v>#N/A</v>
      </c>
      <c r="Z2992" s="94" t="e">
        <v>#N/A</v>
      </c>
    </row>
    <row r="2993" spans="22:26" x14ac:dyDescent="0.2">
      <c r="V2993" s="123" t="str">
        <f t="shared" si="57"/>
        <v>1w</v>
      </c>
      <c r="W2993" s="82">
        <f>_xll.qlCalendarAdvance(Calendar,W2992,V2993,"f",FALSE)</f>
        <v>59918</v>
      </c>
      <c r="X2993" s="91">
        <f>_xll.qlCalendarAdvance(Calendar,W2993,NDays&amp;"D")</f>
        <v>59918</v>
      </c>
      <c r="Y2993" s="92" t="e">
        <v>#N/A</v>
      </c>
      <c r="Z2993" s="94" t="e">
        <v>#N/A</v>
      </c>
    </row>
    <row r="2994" spans="22:26" x14ac:dyDescent="0.2">
      <c r="V2994" s="123" t="str">
        <f t="shared" si="57"/>
        <v>1w</v>
      </c>
      <c r="W2994" s="82">
        <f>_xll.qlCalendarAdvance(Calendar,W2993,V2994,"f",FALSE)</f>
        <v>59925</v>
      </c>
      <c r="X2994" s="91">
        <f>_xll.qlCalendarAdvance(Calendar,W2994,NDays&amp;"D")</f>
        <v>59925</v>
      </c>
      <c r="Y2994" s="92" t="e">
        <v>#N/A</v>
      </c>
      <c r="Z2994" s="94" t="e">
        <v>#N/A</v>
      </c>
    </row>
    <row r="2995" spans="22:26" x14ac:dyDescent="0.2">
      <c r="V2995" s="123" t="str">
        <f t="shared" si="57"/>
        <v>1w</v>
      </c>
      <c r="W2995" s="82">
        <f>_xll.qlCalendarAdvance(Calendar,W2994,V2995,"f",FALSE)</f>
        <v>59932</v>
      </c>
      <c r="X2995" s="91">
        <f>_xll.qlCalendarAdvance(Calendar,W2995,NDays&amp;"D")</f>
        <v>59932</v>
      </c>
      <c r="Y2995" s="92" t="e">
        <v>#N/A</v>
      </c>
      <c r="Z2995" s="94" t="e">
        <v>#N/A</v>
      </c>
    </row>
    <row r="2996" spans="22:26" x14ac:dyDescent="0.2">
      <c r="V2996" s="123" t="str">
        <f t="shared" si="57"/>
        <v>1w</v>
      </c>
      <c r="W2996" s="82">
        <f>_xll.qlCalendarAdvance(Calendar,W2995,V2996,"f",FALSE)</f>
        <v>59939</v>
      </c>
      <c r="X2996" s="91">
        <f>_xll.qlCalendarAdvance(Calendar,W2996,NDays&amp;"D")</f>
        <v>59939</v>
      </c>
      <c r="Y2996" s="92" t="e">
        <v>#N/A</v>
      </c>
      <c r="Z2996" s="94" t="e">
        <v>#N/A</v>
      </c>
    </row>
    <row r="2997" spans="22:26" x14ac:dyDescent="0.2">
      <c r="V2997" s="123" t="str">
        <f t="shared" si="57"/>
        <v>1w</v>
      </c>
      <c r="W2997" s="82">
        <f>_xll.qlCalendarAdvance(Calendar,W2996,V2997,"f",FALSE)</f>
        <v>59946</v>
      </c>
      <c r="X2997" s="91">
        <f>_xll.qlCalendarAdvance(Calendar,W2997,NDays&amp;"D")</f>
        <v>59946</v>
      </c>
      <c r="Y2997" s="92" t="e">
        <v>#N/A</v>
      </c>
      <c r="Z2997" s="94" t="e">
        <v>#N/A</v>
      </c>
    </row>
    <row r="2998" spans="22:26" x14ac:dyDescent="0.2">
      <c r="V2998" s="123" t="str">
        <f t="shared" si="57"/>
        <v>1w</v>
      </c>
      <c r="W2998" s="82">
        <f>_xll.qlCalendarAdvance(Calendar,W2997,V2998,"f",FALSE)</f>
        <v>59953</v>
      </c>
      <c r="X2998" s="91">
        <f>_xll.qlCalendarAdvance(Calendar,W2998,NDays&amp;"D")</f>
        <v>59953</v>
      </c>
      <c r="Y2998" s="92" t="e">
        <v>#N/A</v>
      </c>
      <c r="Z2998" s="94" t="e">
        <v>#N/A</v>
      </c>
    </row>
    <row r="2999" spans="22:26" x14ac:dyDescent="0.2">
      <c r="V2999" s="123" t="str">
        <f t="shared" si="57"/>
        <v>1w</v>
      </c>
      <c r="W2999" s="82">
        <f>_xll.qlCalendarAdvance(Calendar,W2998,V2999,"f",FALSE)</f>
        <v>59960</v>
      </c>
      <c r="X2999" s="91">
        <f>_xll.qlCalendarAdvance(Calendar,W2999,NDays&amp;"D")</f>
        <v>59960</v>
      </c>
      <c r="Y2999" s="92" t="e">
        <v>#N/A</v>
      </c>
      <c r="Z2999" s="94" t="e">
        <v>#N/A</v>
      </c>
    </row>
    <row r="3000" spans="22:26" x14ac:dyDescent="0.2">
      <c r="V3000" s="123" t="str">
        <f t="shared" si="57"/>
        <v>1w</v>
      </c>
      <c r="W3000" s="82">
        <f>_xll.qlCalendarAdvance(Calendar,W2999,V3000,"f",FALSE)</f>
        <v>59967</v>
      </c>
      <c r="X3000" s="91">
        <f>_xll.qlCalendarAdvance(Calendar,W3000,NDays&amp;"D")</f>
        <v>59967</v>
      </c>
      <c r="Y3000" s="92" t="e">
        <v>#N/A</v>
      </c>
      <c r="Z3000" s="94" t="e">
        <v>#N/A</v>
      </c>
    </row>
    <row r="3001" spans="22:26" x14ac:dyDescent="0.2">
      <c r="V3001" s="123" t="str">
        <f t="shared" si="57"/>
        <v>1w</v>
      </c>
      <c r="W3001" s="82">
        <f>_xll.qlCalendarAdvance(Calendar,W3000,V3001,"f",FALSE)</f>
        <v>59974</v>
      </c>
      <c r="X3001" s="91">
        <f>_xll.qlCalendarAdvance(Calendar,W3001,NDays&amp;"D")</f>
        <v>59974</v>
      </c>
      <c r="Y3001" s="92" t="e">
        <v>#N/A</v>
      </c>
      <c r="Z3001" s="94" t="e">
        <v>#N/A</v>
      </c>
    </row>
    <row r="3002" spans="22:26" x14ac:dyDescent="0.2">
      <c r="V3002" s="123" t="str">
        <f t="shared" si="57"/>
        <v>1w</v>
      </c>
      <c r="W3002" s="82">
        <f>_xll.qlCalendarAdvance(Calendar,W3001,V3002,"f",FALSE)</f>
        <v>59981</v>
      </c>
      <c r="X3002" s="91">
        <f>_xll.qlCalendarAdvance(Calendar,W3002,NDays&amp;"D")</f>
        <v>59981</v>
      </c>
      <c r="Y3002" s="92" t="e">
        <v>#N/A</v>
      </c>
      <c r="Z3002" s="94" t="e">
        <v>#N/A</v>
      </c>
    </row>
    <row r="3003" spans="22:26" x14ac:dyDescent="0.2">
      <c r="V3003" s="123" t="str">
        <f t="shared" si="57"/>
        <v>1w</v>
      </c>
      <c r="W3003" s="82">
        <f>_xll.qlCalendarAdvance(Calendar,W3002,V3003,"f",FALSE)</f>
        <v>59988</v>
      </c>
      <c r="X3003" s="91">
        <f>_xll.qlCalendarAdvance(Calendar,W3003,NDays&amp;"D")</f>
        <v>59988</v>
      </c>
      <c r="Y3003" s="92" t="e">
        <v>#N/A</v>
      </c>
      <c r="Z3003" s="94" t="e">
        <v>#N/A</v>
      </c>
    </row>
    <row r="3004" spans="22:26" x14ac:dyDescent="0.2">
      <c r="V3004" s="123" t="str">
        <f t="shared" si="57"/>
        <v>1w</v>
      </c>
      <c r="W3004" s="82">
        <f>_xll.qlCalendarAdvance(Calendar,W3003,V3004,"f",FALSE)</f>
        <v>59995</v>
      </c>
      <c r="X3004" s="91">
        <f>_xll.qlCalendarAdvance(Calendar,W3004,NDays&amp;"D")</f>
        <v>59995</v>
      </c>
      <c r="Y3004" s="92" t="e">
        <v>#N/A</v>
      </c>
      <c r="Z3004" s="94" t="e">
        <v>#N/A</v>
      </c>
    </row>
    <row r="3005" spans="22:26" x14ac:dyDescent="0.2">
      <c r="V3005" s="123" t="str">
        <f t="shared" si="57"/>
        <v>1w</v>
      </c>
      <c r="W3005" s="82">
        <f>_xll.qlCalendarAdvance(Calendar,W3004,V3005,"f",FALSE)</f>
        <v>60002</v>
      </c>
      <c r="X3005" s="91">
        <f>_xll.qlCalendarAdvance(Calendar,W3005,NDays&amp;"D")</f>
        <v>60002</v>
      </c>
      <c r="Y3005" s="92" t="e">
        <v>#N/A</v>
      </c>
      <c r="Z3005" s="94" t="e">
        <v>#N/A</v>
      </c>
    </row>
    <row r="3006" spans="22:26" x14ac:dyDescent="0.2">
      <c r="V3006" s="123" t="str">
        <f t="shared" si="57"/>
        <v>1w</v>
      </c>
      <c r="W3006" s="82">
        <f>_xll.qlCalendarAdvance(Calendar,W3005,V3006,"f",FALSE)</f>
        <v>60009</v>
      </c>
      <c r="X3006" s="91">
        <f>_xll.qlCalendarAdvance(Calendar,W3006,NDays&amp;"D")</f>
        <v>60009</v>
      </c>
      <c r="Y3006" s="92" t="e">
        <v>#N/A</v>
      </c>
      <c r="Z3006" s="94" t="e">
        <v>#N/A</v>
      </c>
    </row>
    <row r="3007" spans="22:26" x14ac:dyDescent="0.2">
      <c r="V3007" s="123" t="str">
        <f t="shared" si="57"/>
        <v>1w</v>
      </c>
      <c r="W3007" s="82">
        <f>_xll.qlCalendarAdvance(Calendar,W3006,V3007,"f",FALSE)</f>
        <v>60016</v>
      </c>
      <c r="X3007" s="91">
        <f>_xll.qlCalendarAdvance(Calendar,W3007,NDays&amp;"D")</f>
        <v>60016</v>
      </c>
      <c r="Y3007" s="92" t="e">
        <v>#N/A</v>
      </c>
      <c r="Z3007" s="94" t="e">
        <v>#N/A</v>
      </c>
    </row>
    <row r="3008" spans="22:26" x14ac:dyDescent="0.2">
      <c r="V3008" s="123" t="str">
        <f t="shared" si="57"/>
        <v>1w</v>
      </c>
      <c r="W3008" s="82">
        <f>_xll.qlCalendarAdvance(Calendar,W3007,V3008,"f",FALSE)</f>
        <v>60024</v>
      </c>
      <c r="X3008" s="91">
        <f>_xll.qlCalendarAdvance(Calendar,W3008,NDays&amp;"D")</f>
        <v>60024</v>
      </c>
      <c r="Y3008" s="92" t="e">
        <v>#N/A</v>
      </c>
      <c r="Z3008" s="94" t="e">
        <v>#N/A</v>
      </c>
    </row>
    <row r="3009" spans="22:26" x14ac:dyDescent="0.2">
      <c r="V3009" s="123" t="str">
        <f t="shared" si="57"/>
        <v>1w</v>
      </c>
      <c r="W3009" s="82">
        <f>_xll.qlCalendarAdvance(Calendar,W3008,V3009,"f",FALSE)</f>
        <v>60031</v>
      </c>
      <c r="X3009" s="91">
        <f>_xll.qlCalendarAdvance(Calendar,W3009,NDays&amp;"D")</f>
        <v>60031</v>
      </c>
      <c r="Y3009" s="92" t="e">
        <v>#N/A</v>
      </c>
      <c r="Z3009" s="94" t="e">
        <v>#N/A</v>
      </c>
    </row>
    <row r="3010" spans="22:26" x14ac:dyDescent="0.2">
      <c r="V3010" s="123" t="str">
        <f t="shared" si="57"/>
        <v>1w</v>
      </c>
      <c r="W3010" s="82">
        <f>_xll.qlCalendarAdvance(Calendar,W3009,V3010,"f",FALSE)</f>
        <v>60038</v>
      </c>
      <c r="X3010" s="91">
        <f>_xll.qlCalendarAdvance(Calendar,W3010,NDays&amp;"D")</f>
        <v>60038</v>
      </c>
      <c r="Y3010" s="92" t="e">
        <v>#N/A</v>
      </c>
      <c r="Z3010" s="94" t="e">
        <v>#N/A</v>
      </c>
    </row>
    <row r="3011" spans="22:26" x14ac:dyDescent="0.2">
      <c r="V3011" s="123" t="str">
        <f t="shared" si="57"/>
        <v>1w</v>
      </c>
      <c r="W3011" s="82">
        <f>_xll.qlCalendarAdvance(Calendar,W3010,V3011,"f",FALSE)</f>
        <v>60045</v>
      </c>
      <c r="X3011" s="91">
        <f>_xll.qlCalendarAdvance(Calendar,W3011,NDays&amp;"D")</f>
        <v>60045</v>
      </c>
      <c r="Y3011" s="92" t="e">
        <v>#N/A</v>
      </c>
      <c r="Z3011" s="94" t="e">
        <v>#N/A</v>
      </c>
    </row>
    <row r="3012" spans="22:26" x14ac:dyDescent="0.2">
      <c r="V3012" s="123" t="str">
        <f t="shared" si="57"/>
        <v>1w</v>
      </c>
      <c r="W3012" s="82">
        <f>_xll.qlCalendarAdvance(Calendar,W3011,V3012,"f",FALSE)</f>
        <v>60052</v>
      </c>
      <c r="X3012" s="91">
        <f>_xll.qlCalendarAdvance(Calendar,W3012,NDays&amp;"D")</f>
        <v>60052</v>
      </c>
      <c r="Y3012" s="92" t="e">
        <v>#N/A</v>
      </c>
      <c r="Z3012" s="94" t="e">
        <v>#N/A</v>
      </c>
    </row>
    <row r="3013" spans="22:26" x14ac:dyDescent="0.2">
      <c r="V3013" s="123" t="str">
        <f t="shared" si="57"/>
        <v>1w</v>
      </c>
      <c r="W3013" s="82">
        <f>_xll.qlCalendarAdvance(Calendar,W3012,V3013,"f",FALSE)</f>
        <v>60059</v>
      </c>
      <c r="X3013" s="91">
        <f>_xll.qlCalendarAdvance(Calendar,W3013,NDays&amp;"D")</f>
        <v>60059</v>
      </c>
      <c r="Y3013" s="92" t="e">
        <v>#N/A</v>
      </c>
      <c r="Z3013" s="94" t="e">
        <v>#N/A</v>
      </c>
    </row>
    <row r="3014" spans="22:26" x14ac:dyDescent="0.2">
      <c r="V3014" s="123" t="str">
        <f t="shared" si="57"/>
        <v>1w</v>
      </c>
      <c r="W3014" s="82">
        <f>_xll.qlCalendarAdvance(Calendar,W3013,V3014,"f",FALSE)</f>
        <v>60066</v>
      </c>
      <c r="X3014" s="91">
        <f>_xll.qlCalendarAdvance(Calendar,W3014,NDays&amp;"D")</f>
        <v>60066</v>
      </c>
      <c r="Y3014" s="92" t="e">
        <v>#N/A</v>
      </c>
      <c r="Z3014" s="94" t="e">
        <v>#N/A</v>
      </c>
    </row>
    <row r="3015" spans="22:26" x14ac:dyDescent="0.2">
      <c r="V3015" s="123" t="str">
        <f t="shared" si="57"/>
        <v>1w</v>
      </c>
      <c r="W3015" s="82">
        <f>_xll.qlCalendarAdvance(Calendar,W3014,V3015,"f",FALSE)</f>
        <v>60073</v>
      </c>
      <c r="X3015" s="91">
        <f>_xll.qlCalendarAdvance(Calendar,W3015,NDays&amp;"D")</f>
        <v>60073</v>
      </c>
      <c r="Y3015" s="92" t="e">
        <v>#N/A</v>
      </c>
      <c r="Z3015" s="94" t="e">
        <v>#N/A</v>
      </c>
    </row>
    <row r="3016" spans="22:26" x14ac:dyDescent="0.2">
      <c r="V3016" s="123" t="str">
        <f t="shared" si="57"/>
        <v>1w</v>
      </c>
      <c r="W3016" s="82">
        <f>_xll.qlCalendarAdvance(Calendar,W3015,V3016,"f",FALSE)</f>
        <v>60080</v>
      </c>
      <c r="X3016" s="91">
        <f>_xll.qlCalendarAdvance(Calendar,W3016,NDays&amp;"D")</f>
        <v>60080</v>
      </c>
      <c r="Y3016" s="92" t="e">
        <v>#N/A</v>
      </c>
      <c r="Z3016" s="94" t="e">
        <v>#N/A</v>
      </c>
    </row>
    <row r="3017" spans="22:26" x14ac:dyDescent="0.2">
      <c r="V3017" s="123" t="str">
        <f t="shared" si="57"/>
        <v>1w</v>
      </c>
      <c r="W3017" s="82">
        <f>_xll.qlCalendarAdvance(Calendar,W3016,V3017,"f",FALSE)</f>
        <v>60087</v>
      </c>
      <c r="X3017" s="91">
        <f>_xll.qlCalendarAdvance(Calendar,W3017,NDays&amp;"D")</f>
        <v>60087</v>
      </c>
      <c r="Y3017" s="92" t="e">
        <v>#N/A</v>
      </c>
      <c r="Z3017" s="94" t="e">
        <v>#N/A</v>
      </c>
    </row>
    <row r="3018" spans="22:26" x14ac:dyDescent="0.2">
      <c r="V3018" s="123" t="str">
        <f t="shared" si="57"/>
        <v>1w</v>
      </c>
      <c r="W3018" s="82">
        <f>_xll.qlCalendarAdvance(Calendar,W3017,V3018,"f",FALSE)</f>
        <v>60094</v>
      </c>
      <c r="X3018" s="91">
        <f>_xll.qlCalendarAdvance(Calendar,W3018,NDays&amp;"D")</f>
        <v>60094</v>
      </c>
      <c r="Y3018" s="92" t="e">
        <v>#N/A</v>
      </c>
      <c r="Z3018" s="94" t="e">
        <v>#N/A</v>
      </c>
    </row>
    <row r="3019" spans="22:26" x14ac:dyDescent="0.2">
      <c r="V3019" s="123" t="str">
        <f t="shared" si="57"/>
        <v>1w</v>
      </c>
      <c r="W3019" s="82">
        <f>_xll.qlCalendarAdvance(Calendar,W3018,V3019,"f",FALSE)</f>
        <v>60101</v>
      </c>
      <c r="X3019" s="91">
        <f>_xll.qlCalendarAdvance(Calendar,W3019,NDays&amp;"D")</f>
        <v>60101</v>
      </c>
      <c r="Y3019" s="92" t="e">
        <v>#N/A</v>
      </c>
      <c r="Z3019" s="94" t="e">
        <v>#N/A</v>
      </c>
    </row>
    <row r="3020" spans="22:26" x14ac:dyDescent="0.2">
      <c r="V3020" s="123" t="str">
        <f t="shared" si="57"/>
        <v>1w</v>
      </c>
      <c r="W3020" s="82">
        <f>_xll.qlCalendarAdvance(Calendar,W3019,V3020,"f",FALSE)</f>
        <v>60108</v>
      </c>
      <c r="X3020" s="91">
        <f>_xll.qlCalendarAdvance(Calendar,W3020,NDays&amp;"D")</f>
        <v>60108</v>
      </c>
      <c r="Y3020" s="92" t="e">
        <v>#N/A</v>
      </c>
      <c r="Z3020" s="94" t="e">
        <v>#N/A</v>
      </c>
    </row>
    <row r="3021" spans="22:26" x14ac:dyDescent="0.2">
      <c r="V3021" s="123" t="str">
        <f t="shared" si="57"/>
        <v>1w</v>
      </c>
      <c r="W3021" s="82">
        <f>_xll.qlCalendarAdvance(Calendar,W3020,V3021,"f",FALSE)</f>
        <v>60115</v>
      </c>
      <c r="X3021" s="91">
        <f>_xll.qlCalendarAdvance(Calendar,W3021,NDays&amp;"D")</f>
        <v>60115</v>
      </c>
      <c r="Y3021" s="92" t="e">
        <v>#N/A</v>
      </c>
      <c r="Z3021" s="94" t="e">
        <v>#N/A</v>
      </c>
    </row>
    <row r="3022" spans="22:26" x14ac:dyDescent="0.2">
      <c r="V3022" s="123" t="str">
        <f t="shared" si="57"/>
        <v>1w</v>
      </c>
      <c r="W3022" s="82">
        <f>_xll.qlCalendarAdvance(Calendar,W3021,V3022,"f",FALSE)</f>
        <v>60122</v>
      </c>
      <c r="X3022" s="91">
        <f>_xll.qlCalendarAdvance(Calendar,W3022,NDays&amp;"D")</f>
        <v>60122</v>
      </c>
      <c r="Y3022" s="92" t="e">
        <v>#N/A</v>
      </c>
      <c r="Z3022" s="94" t="e">
        <v>#N/A</v>
      </c>
    </row>
    <row r="3023" spans="22:26" x14ac:dyDescent="0.2">
      <c r="V3023" s="123" t="str">
        <f t="shared" si="57"/>
        <v>1w</v>
      </c>
      <c r="W3023" s="82">
        <f>_xll.qlCalendarAdvance(Calendar,W3022,V3023,"f",FALSE)</f>
        <v>60129</v>
      </c>
      <c r="X3023" s="91">
        <f>_xll.qlCalendarAdvance(Calendar,W3023,NDays&amp;"D")</f>
        <v>60129</v>
      </c>
      <c r="Y3023" s="92" t="e">
        <v>#N/A</v>
      </c>
      <c r="Z3023" s="94" t="e">
        <v>#N/A</v>
      </c>
    </row>
    <row r="3024" spans="22:26" x14ac:dyDescent="0.2">
      <c r="V3024" s="123" t="str">
        <f t="shared" si="57"/>
        <v>1w</v>
      </c>
      <c r="W3024" s="82">
        <f>_xll.qlCalendarAdvance(Calendar,W3023,V3024,"f",FALSE)</f>
        <v>60136</v>
      </c>
      <c r="X3024" s="91">
        <f>_xll.qlCalendarAdvance(Calendar,W3024,NDays&amp;"D")</f>
        <v>60136</v>
      </c>
      <c r="Y3024" s="92" t="e">
        <v>#N/A</v>
      </c>
      <c r="Z3024" s="94" t="e">
        <v>#N/A</v>
      </c>
    </row>
    <row r="3025" spans="22:26" x14ac:dyDescent="0.2">
      <c r="V3025" s="123" t="str">
        <f t="shared" si="57"/>
        <v>1w</v>
      </c>
      <c r="W3025" s="82">
        <f>_xll.qlCalendarAdvance(Calendar,W3024,V3025,"f",FALSE)</f>
        <v>60143</v>
      </c>
      <c r="X3025" s="91">
        <f>_xll.qlCalendarAdvance(Calendar,W3025,NDays&amp;"D")</f>
        <v>60143</v>
      </c>
      <c r="Y3025" s="92" t="e">
        <v>#N/A</v>
      </c>
      <c r="Z3025" s="94" t="e">
        <v>#N/A</v>
      </c>
    </row>
    <row r="3026" spans="22:26" x14ac:dyDescent="0.2">
      <c r="V3026" s="123" t="str">
        <f t="shared" si="57"/>
        <v>1w</v>
      </c>
      <c r="W3026" s="82">
        <f>_xll.qlCalendarAdvance(Calendar,W3025,V3026,"f",FALSE)</f>
        <v>60150</v>
      </c>
      <c r="X3026" s="91">
        <f>_xll.qlCalendarAdvance(Calendar,W3026,NDays&amp;"D")</f>
        <v>60150</v>
      </c>
      <c r="Y3026" s="92" t="e">
        <v>#N/A</v>
      </c>
      <c r="Z3026" s="94" t="e">
        <v>#N/A</v>
      </c>
    </row>
    <row r="3027" spans="22:26" x14ac:dyDescent="0.2">
      <c r="V3027" s="123" t="str">
        <f t="shared" si="57"/>
        <v>1w</v>
      </c>
      <c r="W3027" s="82">
        <f>_xll.qlCalendarAdvance(Calendar,W3026,V3027,"f",FALSE)</f>
        <v>60157</v>
      </c>
      <c r="X3027" s="91">
        <f>_xll.qlCalendarAdvance(Calendar,W3027,NDays&amp;"D")</f>
        <v>60157</v>
      </c>
      <c r="Y3027" s="92" t="e">
        <v>#N/A</v>
      </c>
      <c r="Z3027" s="94" t="e">
        <v>#N/A</v>
      </c>
    </row>
    <row r="3028" spans="22:26" x14ac:dyDescent="0.2">
      <c r="V3028" s="123" t="str">
        <f t="shared" si="57"/>
        <v>1w</v>
      </c>
      <c r="W3028" s="82">
        <f>_xll.qlCalendarAdvance(Calendar,W3027,V3028,"f",FALSE)</f>
        <v>60164</v>
      </c>
      <c r="X3028" s="91">
        <f>_xll.qlCalendarAdvance(Calendar,W3028,NDays&amp;"D")</f>
        <v>60164</v>
      </c>
      <c r="Y3028" s="92" t="e">
        <v>#N/A</v>
      </c>
      <c r="Z3028" s="94" t="e">
        <v>#N/A</v>
      </c>
    </row>
    <row r="3029" spans="22:26" x14ac:dyDescent="0.2">
      <c r="V3029" s="123" t="str">
        <f t="shared" ref="V3029:V3092" si="58">V3028</f>
        <v>1w</v>
      </c>
      <c r="W3029" s="82">
        <f>_xll.qlCalendarAdvance(Calendar,W3028,V3029,"f",FALSE)</f>
        <v>60171</v>
      </c>
      <c r="X3029" s="91">
        <f>_xll.qlCalendarAdvance(Calendar,W3029,NDays&amp;"D")</f>
        <v>60171</v>
      </c>
      <c r="Y3029" s="92" t="e">
        <v>#N/A</v>
      </c>
      <c r="Z3029" s="94" t="e">
        <v>#N/A</v>
      </c>
    </row>
    <row r="3030" spans="22:26" x14ac:dyDescent="0.2">
      <c r="V3030" s="123" t="str">
        <f t="shared" si="58"/>
        <v>1w</v>
      </c>
      <c r="W3030" s="82">
        <f>_xll.qlCalendarAdvance(Calendar,W3029,V3030,"f",FALSE)</f>
        <v>60178</v>
      </c>
      <c r="X3030" s="91">
        <f>_xll.qlCalendarAdvance(Calendar,W3030,NDays&amp;"D")</f>
        <v>60178</v>
      </c>
      <c r="Y3030" s="92" t="e">
        <v>#N/A</v>
      </c>
      <c r="Z3030" s="94" t="e">
        <v>#N/A</v>
      </c>
    </row>
    <row r="3031" spans="22:26" x14ac:dyDescent="0.2">
      <c r="V3031" s="123" t="str">
        <f t="shared" si="58"/>
        <v>1w</v>
      </c>
      <c r="W3031" s="82">
        <f>_xll.qlCalendarAdvance(Calendar,W3030,V3031,"f",FALSE)</f>
        <v>60185</v>
      </c>
      <c r="X3031" s="91">
        <f>_xll.qlCalendarAdvance(Calendar,W3031,NDays&amp;"D")</f>
        <v>60185</v>
      </c>
      <c r="Y3031" s="92" t="e">
        <v>#N/A</v>
      </c>
      <c r="Z3031" s="94" t="e">
        <v>#N/A</v>
      </c>
    </row>
    <row r="3032" spans="22:26" x14ac:dyDescent="0.2">
      <c r="V3032" s="123" t="str">
        <f t="shared" si="58"/>
        <v>1w</v>
      </c>
      <c r="W3032" s="82">
        <f>_xll.qlCalendarAdvance(Calendar,W3031,V3032,"f",FALSE)</f>
        <v>60192</v>
      </c>
      <c r="X3032" s="91">
        <f>_xll.qlCalendarAdvance(Calendar,W3032,NDays&amp;"D")</f>
        <v>60192</v>
      </c>
      <c r="Y3032" s="92" t="e">
        <v>#N/A</v>
      </c>
      <c r="Z3032" s="94" t="e">
        <v>#N/A</v>
      </c>
    </row>
    <row r="3033" spans="22:26" x14ac:dyDescent="0.2">
      <c r="V3033" s="123" t="str">
        <f t="shared" si="58"/>
        <v>1w</v>
      </c>
      <c r="W3033" s="82">
        <f>_xll.qlCalendarAdvance(Calendar,W3032,V3033,"f",FALSE)</f>
        <v>60199</v>
      </c>
      <c r="X3033" s="91">
        <f>_xll.qlCalendarAdvance(Calendar,W3033,NDays&amp;"D")</f>
        <v>60199</v>
      </c>
      <c r="Y3033" s="92" t="e">
        <v>#N/A</v>
      </c>
      <c r="Z3033" s="94" t="e">
        <v>#N/A</v>
      </c>
    </row>
    <row r="3034" spans="22:26" x14ac:dyDescent="0.2">
      <c r="V3034" s="123" t="str">
        <f t="shared" si="58"/>
        <v>1w</v>
      </c>
      <c r="W3034" s="82">
        <f>_xll.qlCalendarAdvance(Calendar,W3033,V3034,"f",FALSE)</f>
        <v>60206</v>
      </c>
      <c r="X3034" s="91">
        <f>_xll.qlCalendarAdvance(Calendar,W3034,NDays&amp;"D")</f>
        <v>60206</v>
      </c>
      <c r="Y3034" s="92" t="e">
        <v>#N/A</v>
      </c>
      <c r="Z3034" s="94" t="e">
        <v>#N/A</v>
      </c>
    </row>
    <row r="3035" spans="22:26" x14ac:dyDescent="0.2">
      <c r="V3035" s="123" t="str">
        <f t="shared" si="58"/>
        <v>1w</v>
      </c>
      <c r="W3035" s="82">
        <f>_xll.qlCalendarAdvance(Calendar,W3034,V3035,"f",FALSE)</f>
        <v>60213</v>
      </c>
      <c r="X3035" s="91">
        <f>_xll.qlCalendarAdvance(Calendar,W3035,NDays&amp;"D")</f>
        <v>60213</v>
      </c>
      <c r="Y3035" s="92" t="e">
        <v>#N/A</v>
      </c>
      <c r="Z3035" s="94" t="e">
        <v>#N/A</v>
      </c>
    </row>
    <row r="3036" spans="22:26" x14ac:dyDescent="0.2">
      <c r="V3036" s="123" t="str">
        <f t="shared" si="58"/>
        <v>1w</v>
      </c>
      <c r="W3036" s="82">
        <f>_xll.qlCalendarAdvance(Calendar,W3035,V3036,"f",FALSE)</f>
        <v>60220</v>
      </c>
      <c r="X3036" s="91">
        <f>_xll.qlCalendarAdvance(Calendar,W3036,NDays&amp;"D")</f>
        <v>60220</v>
      </c>
      <c r="Y3036" s="92" t="e">
        <v>#N/A</v>
      </c>
      <c r="Z3036" s="94" t="e">
        <v>#N/A</v>
      </c>
    </row>
    <row r="3037" spans="22:26" x14ac:dyDescent="0.2">
      <c r="V3037" s="123" t="str">
        <f t="shared" si="58"/>
        <v>1w</v>
      </c>
      <c r="W3037" s="82">
        <f>_xll.qlCalendarAdvance(Calendar,W3036,V3037,"f",FALSE)</f>
        <v>60227</v>
      </c>
      <c r="X3037" s="91">
        <f>_xll.qlCalendarAdvance(Calendar,W3037,NDays&amp;"D")</f>
        <v>60227</v>
      </c>
      <c r="Y3037" s="92" t="e">
        <v>#N/A</v>
      </c>
      <c r="Z3037" s="94" t="e">
        <v>#N/A</v>
      </c>
    </row>
    <row r="3038" spans="22:26" x14ac:dyDescent="0.2">
      <c r="V3038" s="123" t="str">
        <f t="shared" si="58"/>
        <v>1w</v>
      </c>
      <c r="W3038" s="82">
        <f>_xll.qlCalendarAdvance(Calendar,W3037,V3038,"f",FALSE)</f>
        <v>60234</v>
      </c>
      <c r="X3038" s="91">
        <f>_xll.qlCalendarAdvance(Calendar,W3038,NDays&amp;"D")</f>
        <v>60234</v>
      </c>
      <c r="Y3038" s="92" t="e">
        <v>#N/A</v>
      </c>
      <c r="Z3038" s="94" t="e">
        <v>#N/A</v>
      </c>
    </row>
    <row r="3039" spans="22:26" x14ac:dyDescent="0.2">
      <c r="V3039" s="123" t="str">
        <f t="shared" si="58"/>
        <v>1w</v>
      </c>
      <c r="W3039" s="82">
        <f>_xll.qlCalendarAdvance(Calendar,W3038,V3039,"f",FALSE)</f>
        <v>60241</v>
      </c>
      <c r="X3039" s="91">
        <f>_xll.qlCalendarAdvance(Calendar,W3039,NDays&amp;"D")</f>
        <v>60241</v>
      </c>
      <c r="Y3039" s="92" t="e">
        <v>#N/A</v>
      </c>
      <c r="Z3039" s="94" t="e">
        <v>#N/A</v>
      </c>
    </row>
    <row r="3040" spans="22:26" x14ac:dyDescent="0.2">
      <c r="V3040" s="123" t="str">
        <f t="shared" si="58"/>
        <v>1w</v>
      </c>
      <c r="W3040" s="82">
        <f>_xll.qlCalendarAdvance(Calendar,W3039,V3040,"f",FALSE)</f>
        <v>60248</v>
      </c>
      <c r="X3040" s="91">
        <f>_xll.qlCalendarAdvance(Calendar,W3040,NDays&amp;"D")</f>
        <v>60248</v>
      </c>
      <c r="Y3040" s="92" t="e">
        <v>#N/A</v>
      </c>
      <c r="Z3040" s="94" t="e">
        <v>#N/A</v>
      </c>
    </row>
    <row r="3041" spans="22:26" x14ac:dyDescent="0.2">
      <c r="V3041" s="123" t="str">
        <f t="shared" si="58"/>
        <v>1w</v>
      </c>
      <c r="W3041" s="82">
        <f>_xll.qlCalendarAdvance(Calendar,W3040,V3041,"f",FALSE)</f>
        <v>60255</v>
      </c>
      <c r="X3041" s="91">
        <f>_xll.qlCalendarAdvance(Calendar,W3041,NDays&amp;"D")</f>
        <v>60255</v>
      </c>
      <c r="Y3041" s="92" t="e">
        <v>#N/A</v>
      </c>
      <c r="Z3041" s="94" t="e">
        <v>#N/A</v>
      </c>
    </row>
    <row r="3042" spans="22:26" x14ac:dyDescent="0.2">
      <c r="V3042" s="123" t="str">
        <f t="shared" si="58"/>
        <v>1w</v>
      </c>
      <c r="W3042" s="82">
        <f>_xll.qlCalendarAdvance(Calendar,W3041,V3042,"f",FALSE)</f>
        <v>60265</v>
      </c>
      <c r="X3042" s="91">
        <f>_xll.qlCalendarAdvance(Calendar,W3042,NDays&amp;"D")</f>
        <v>60265</v>
      </c>
      <c r="Y3042" s="92" t="e">
        <v>#N/A</v>
      </c>
      <c r="Z3042" s="94" t="e">
        <v>#N/A</v>
      </c>
    </row>
    <row r="3043" spans="22:26" x14ac:dyDescent="0.2">
      <c r="V3043" s="123" t="str">
        <f t="shared" si="58"/>
        <v>1w</v>
      </c>
      <c r="W3043" s="82">
        <f>_xll.qlCalendarAdvance(Calendar,W3042,V3043,"f",FALSE)</f>
        <v>60272</v>
      </c>
      <c r="X3043" s="91">
        <f>_xll.qlCalendarAdvance(Calendar,W3043,NDays&amp;"D")</f>
        <v>60272</v>
      </c>
      <c r="Y3043" s="92" t="e">
        <v>#N/A</v>
      </c>
      <c r="Z3043" s="94" t="e">
        <v>#N/A</v>
      </c>
    </row>
    <row r="3044" spans="22:26" x14ac:dyDescent="0.2">
      <c r="V3044" s="123" t="str">
        <f t="shared" si="58"/>
        <v>1w</v>
      </c>
      <c r="W3044" s="82">
        <f>_xll.qlCalendarAdvance(Calendar,W3043,V3044,"f",FALSE)</f>
        <v>60279</v>
      </c>
      <c r="X3044" s="91">
        <f>_xll.qlCalendarAdvance(Calendar,W3044,NDays&amp;"D")</f>
        <v>60279</v>
      </c>
      <c r="Y3044" s="92" t="e">
        <v>#N/A</v>
      </c>
      <c r="Z3044" s="94" t="e">
        <v>#N/A</v>
      </c>
    </row>
    <row r="3045" spans="22:26" x14ac:dyDescent="0.2">
      <c r="V3045" s="123" t="str">
        <f t="shared" si="58"/>
        <v>1w</v>
      </c>
      <c r="W3045" s="82">
        <f>_xll.qlCalendarAdvance(Calendar,W3044,V3045,"f",FALSE)</f>
        <v>60286</v>
      </c>
      <c r="X3045" s="91">
        <f>_xll.qlCalendarAdvance(Calendar,W3045,NDays&amp;"D")</f>
        <v>60286</v>
      </c>
      <c r="Y3045" s="92" t="e">
        <v>#N/A</v>
      </c>
      <c r="Z3045" s="94" t="e">
        <v>#N/A</v>
      </c>
    </row>
    <row r="3046" spans="22:26" x14ac:dyDescent="0.2">
      <c r="V3046" s="123" t="str">
        <f t="shared" si="58"/>
        <v>1w</v>
      </c>
      <c r="W3046" s="82">
        <f>_xll.qlCalendarAdvance(Calendar,W3045,V3046,"f",FALSE)</f>
        <v>60293</v>
      </c>
      <c r="X3046" s="91">
        <f>_xll.qlCalendarAdvance(Calendar,W3046,NDays&amp;"D")</f>
        <v>60293</v>
      </c>
      <c r="Y3046" s="92" t="e">
        <v>#N/A</v>
      </c>
      <c r="Z3046" s="94" t="e">
        <v>#N/A</v>
      </c>
    </row>
    <row r="3047" spans="22:26" x14ac:dyDescent="0.2">
      <c r="V3047" s="123" t="str">
        <f t="shared" si="58"/>
        <v>1w</v>
      </c>
      <c r="W3047" s="82">
        <f>_xll.qlCalendarAdvance(Calendar,W3046,V3047,"f",FALSE)</f>
        <v>60300</v>
      </c>
      <c r="X3047" s="91">
        <f>_xll.qlCalendarAdvance(Calendar,W3047,NDays&amp;"D")</f>
        <v>60300</v>
      </c>
      <c r="Y3047" s="92" t="e">
        <v>#N/A</v>
      </c>
      <c r="Z3047" s="94" t="e">
        <v>#N/A</v>
      </c>
    </row>
    <row r="3048" spans="22:26" x14ac:dyDescent="0.2">
      <c r="V3048" s="123" t="str">
        <f t="shared" si="58"/>
        <v>1w</v>
      </c>
      <c r="W3048" s="82">
        <f>_xll.qlCalendarAdvance(Calendar,W3047,V3048,"f",FALSE)</f>
        <v>60307</v>
      </c>
      <c r="X3048" s="91">
        <f>_xll.qlCalendarAdvance(Calendar,W3048,NDays&amp;"D")</f>
        <v>60307</v>
      </c>
      <c r="Y3048" s="92" t="e">
        <v>#N/A</v>
      </c>
      <c r="Z3048" s="94" t="e">
        <v>#N/A</v>
      </c>
    </row>
    <row r="3049" spans="22:26" x14ac:dyDescent="0.2">
      <c r="V3049" s="123" t="str">
        <f t="shared" si="58"/>
        <v>1w</v>
      </c>
      <c r="W3049" s="82">
        <f>_xll.qlCalendarAdvance(Calendar,W3048,V3049,"f",FALSE)</f>
        <v>60314</v>
      </c>
      <c r="X3049" s="91">
        <f>_xll.qlCalendarAdvance(Calendar,W3049,NDays&amp;"D")</f>
        <v>60314</v>
      </c>
      <c r="Y3049" s="92" t="e">
        <v>#N/A</v>
      </c>
      <c r="Z3049" s="94" t="e">
        <v>#N/A</v>
      </c>
    </row>
    <row r="3050" spans="22:26" x14ac:dyDescent="0.2">
      <c r="V3050" s="123" t="str">
        <f t="shared" si="58"/>
        <v>1w</v>
      </c>
      <c r="W3050" s="82">
        <f>_xll.qlCalendarAdvance(Calendar,W3049,V3050,"f",FALSE)</f>
        <v>60321</v>
      </c>
      <c r="X3050" s="91">
        <f>_xll.qlCalendarAdvance(Calendar,W3050,NDays&amp;"D")</f>
        <v>60321</v>
      </c>
      <c r="Y3050" s="92" t="e">
        <v>#N/A</v>
      </c>
      <c r="Z3050" s="94" t="e">
        <v>#N/A</v>
      </c>
    </row>
    <row r="3051" spans="22:26" x14ac:dyDescent="0.2">
      <c r="V3051" s="123" t="str">
        <f t="shared" si="58"/>
        <v>1w</v>
      </c>
      <c r="W3051" s="82">
        <f>_xll.qlCalendarAdvance(Calendar,W3050,V3051,"f",FALSE)</f>
        <v>60328</v>
      </c>
      <c r="X3051" s="91">
        <f>_xll.qlCalendarAdvance(Calendar,W3051,NDays&amp;"D")</f>
        <v>60328</v>
      </c>
      <c r="Y3051" s="92" t="e">
        <v>#N/A</v>
      </c>
      <c r="Z3051" s="94" t="e">
        <v>#N/A</v>
      </c>
    </row>
    <row r="3052" spans="22:26" x14ac:dyDescent="0.2">
      <c r="V3052" s="123" t="str">
        <f t="shared" si="58"/>
        <v>1w</v>
      </c>
      <c r="W3052" s="82">
        <f>_xll.qlCalendarAdvance(Calendar,W3051,V3052,"f",FALSE)</f>
        <v>60335</v>
      </c>
      <c r="X3052" s="91">
        <f>_xll.qlCalendarAdvance(Calendar,W3052,NDays&amp;"D")</f>
        <v>60335</v>
      </c>
      <c r="Y3052" s="92" t="e">
        <v>#N/A</v>
      </c>
      <c r="Z3052" s="94" t="e">
        <v>#N/A</v>
      </c>
    </row>
    <row r="3053" spans="22:26" x14ac:dyDescent="0.2">
      <c r="V3053" s="123" t="str">
        <f t="shared" si="58"/>
        <v>1w</v>
      </c>
      <c r="W3053" s="82">
        <f>_xll.qlCalendarAdvance(Calendar,W3052,V3053,"f",FALSE)</f>
        <v>60342</v>
      </c>
      <c r="X3053" s="91">
        <f>_xll.qlCalendarAdvance(Calendar,W3053,NDays&amp;"D")</f>
        <v>60342</v>
      </c>
      <c r="Y3053" s="92" t="e">
        <v>#N/A</v>
      </c>
      <c r="Z3053" s="94" t="e">
        <v>#N/A</v>
      </c>
    </row>
    <row r="3054" spans="22:26" x14ac:dyDescent="0.2">
      <c r="V3054" s="123" t="str">
        <f t="shared" si="58"/>
        <v>1w</v>
      </c>
      <c r="W3054" s="82">
        <f>_xll.qlCalendarAdvance(Calendar,W3053,V3054,"f",FALSE)</f>
        <v>60349</v>
      </c>
      <c r="X3054" s="91">
        <f>_xll.qlCalendarAdvance(Calendar,W3054,NDays&amp;"D")</f>
        <v>60349</v>
      </c>
      <c r="Y3054" s="92" t="e">
        <v>#N/A</v>
      </c>
      <c r="Z3054" s="94" t="e">
        <v>#N/A</v>
      </c>
    </row>
    <row r="3055" spans="22:26" x14ac:dyDescent="0.2">
      <c r="V3055" s="123" t="str">
        <f t="shared" si="58"/>
        <v>1w</v>
      </c>
      <c r="W3055" s="82">
        <f>_xll.qlCalendarAdvance(Calendar,W3054,V3055,"f",FALSE)</f>
        <v>60357</v>
      </c>
      <c r="X3055" s="91">
        <f>_xll.qlCalendarAdvance(Calendar,W3055,NDays&amp;"D")</f>
        <v>60357</v>
      </c>
      <c r="Y3055" s="92" t="e">
        <v>#N/A</v>
      </c>
      <c r="Z3055" s="94" t="e">
        <v>#N/A</v>
      </c>
    </row>
    <row r="3056" spans="22:26" x14ac:dyDescent="0.2">
      <c r="V3056" s="123" t="str">
        <f t="shared" si="58"/>
        <v>1w</v>
      </c>
      <c r="W3056" s="82">
        <f>_xll.qlCalendarAdvance(Calendar,W3055,V3056,"f",FALSE)</f>
        <v>60364</v>
      </c>
      <c r="X3056" s="91">
        <f>_xll.qlCalendarAdvance(Calendar,W3056,NDays&amp;"D")</f>
        <v>60364</v>
      </c>
      <c r="Y3056" s="92" t="e">
        <v>#N/A</v>
      </c>
      <c r="Z3056" s="94" t="e">
        <v>#N/A</v>
      </c>
    </row>
    <row r="3057" spans="22:26" x14ac:dyDescent="0.2">
      <c r="V3057" s="123" t="str">
        <f t="shared" si="58"/>
        <v>1w</v>
      </c>
      <c r="W3057" s="82">
        <f>_xll.qlCalendarAdvance(Calendar,W3056,V3057,"f",FALSE)</f>
        <v>60371</v>
      </c>
      <c r="X3057" s="91">
        <f>_xll.qlCalendarAdvance(Calendar,W3057,NDays&amp;"D")</f>
        <v>60371</v>
      </c>
      <c r="Y3057" s="92" t="e">
        <v>#N/A</v>
      </c>
      <c r="Z3057" s="94" t="e">
        <v>#N/A</v>
      </c>
    </row>
    <row r="3058" spans="22:26" x14ac:dyDescent="0.2">
      <c r="V3058" s="123" t="str">
        <f t="shared" si="58"/>
        <v>1w</v>
      </c>
      <c r="W3058" s="82">
        <f>_xll.qlCalendarAdvance(Calendar,W3057,V3058,"f",FALSE)</f>
        <v>60378</v>
      </c>
      <c r="X3058" s="91">
        <f>_xll.qlCalendarAdvance(Calendar,W3058,NDays&amp;"D")</f>
        <v>60378</v>
      </c>
      <c r="Y3058" s="92" t="e">
        <v>#N/A</v>
      </c>
      <c r="Z3058" s="94" t="e">
        <v>#N/A</v>
      </c>
    </row>
    <row r="3059" spans="22:26" x14ac:dyDescent="0.2">
      <c r="V3059" s="123" t="str">
        <f t="shared" si="58"/>
        <v>1w</v>
      </c>
      <c r="W3059" s="82">
        <f>_xll.qlCalendarAdvance(Calendar,W3058,V3059,"f",FALSE)</f>
        <v>60385</v>
      </c>
      <c r="X3059" s="91">
        <f>_xll.qlCalendarAdvance(Calendar,W3059,NDays&amp;"D")</f>
        <v>60385</v>
      </c>
      <c r="Y3059" s="92" t="e">
        <v>#N/A</v>
      </c>
      <c r="Z3059" s="94" t="e">
        <v>#N/A</v>
      </c>
    </row>
    <row r="3060" spans="22:26" x14ac:dyDescent="0.2">
      <c r="V3060" s="123" t="str">
        <f t="shared" si="58"/>
        <v>1w</v>
      </c>
      <c r="W3060" s="82">
        <f>_xll.qlCalendarAdvance(Calendar,W3059,V3060,"f",FALSE)</f>
        <v>60392</v>
      </c>
      <c r="X3060" s="91">
        <f>_xll.qlCalendarAdvance(Calendar,W3060,NDays&amp;"D")</f>
        <v>60392</v>
      </c>
      <c r="Y3060" s="92" t="e">
        <v>#N/A</v>
      </c>
      <c r="Z3060" s="94" t="e">
        <v>#N/A</v>
      </c>
    </row>
    <row r="3061" spans="22:26" x14ac:dyDescent="0.2">
      <c r="V3061" s="123" t="str">
        <f t="shared" si="58"/>
        <v>1w</v>
      </c>
      <c r="W3061" s="82">
        <f>_xll.qlCalendarAdvance(Calendar,W3060,V3061,"f",FALSE)</f>
        <v>60399</v>
      </c>
      <c r="X3061" s="91">
        <f>_xll.qlCalendarAdvance(Calendar,W3061,NDays&amp;"D")</f>
        <v>60399</v>
      </c>
      <c r="Y3061" s="92" t="e">
        <v>#N/A</v>
      </c>
      <c r="Z3061" s="94" t="e">
        <v>#N/A</v>
      </c>
    </row>
    <row r="3062" spans="22:26" x14ac:dyDescent="0.2">
      <c r="V3062" s="123" t="str">
        <f t="shared" si="58"/>
        <v>1w</v>
      </c>
      <c r="W3062" s="82">
        <f>_xll.qlCalendarAdvance(Calendar,W3061,V3062,"f",FALSE)</f>
        <v>60406</v>
      </c>
      <c r="X3062" s="91">
        <f>_xll.qlCalendarAdvance(Calendar,W3062,NDays&amp;"D")</f>
        <v>60406</v>
      </c>
      <c r="Y3062" s="92" t="e">
        <v>#N/A</v>
      </c>
      <c r="Z3062" s="94" t="e">
        <v>#N/A</v>
      </c>
    </row>
    <row r="3063" spans="22:26" x14ac:dyDescent="0.2">
      <c r="V3063" s="123" t="str">
        <f t="shared" si="58"/>
        <v>1w</v>
      </c>
      <c r="W3063" s="82">
        <f>_xll.qlCalendarAdvance(Calendar,W3062,V3063,"f",FALSE)</f>
        <v>60413</v>
      </c>
      <c r="X3063" s="91">
        <f>_xll.qlCalendarAdvance(Calendar,W3063,NDays&amp;"D")</f>
        <v>60413</v>
      </c>
      <c r="Y3063" s="92" t="e">
        <v>#N/A</v>
      </c>
      <c r="Z3063" s="94" t="e">
        <v>#N/A</v>
      </c>
    </row>
    <row r="3064" spans="22:26" x14ac:dyDescent="0.2">
      <c r="V3064" s="123" t="str">
        <f t="shared" si="58"/>
        <v>1w</v>
      </c>
      <c r="W3064" s="82">
        <f>_xll.qlCalendarAdvance(Calendar,W3063,V3064,"f",FALSE)</f>
        <v>60420</v>
      </c>
      <c r="X3064" s="91">
        <f>_xll.qlCalendarAdvance(Calendar,W3064,NDays&amp;"D")</f>
        <v>60420</v>
      </c>
      <c r="Y3064" s="92" t="e">
        <v>#N/A</v>
      </c>
      <c r="Z3064" s="94" t="e">
        <v>#N/A</v>
      </c>
    </row>
    <row r="3065" spans="22:26" x14ac:dyDescent="0.2">
      <c r="V3065" s="123" t="str">
        <f t="shared" si="58"/>
        <v>1w</v>
      </c>
      <c r="W3065" s="82">
        <f>_xll.qlCalendarAdvance(Calendar,W3064,V3065,"f",FALSE)</f>
        <v>60427</v>
      </c>
      <c r="X3065" s="91">
        <f>_xll.qlCalendarAdvance(Calendar,W3065,NDays&amp;"D")</f>
        <v>60427</v>
      </c>
      <c r="Y3065" s="92" t="e">
        <v>#N/A</v>
      </c>
      <c r="Z3065" s="94" t="e">
        <v>#N/A</v>
      </c>
    </row>
    <row r="3066" spans="22:26" x14ac:dyDescent="0.2">
      <c r="V3066" s="123" t="str">
        <f t="shared" si="58"/>
        <v>1w</v>
      </c>
      <c r="W3066" s="82">
        <f>_xll.qlCalendarAdvance(Calendar,W3065,V3066,"f",FALSE)</f>
        <v>60434</v>
      </c>
      <c r="X3066" s="91">
        <f>_xll.qlCalendarAdvance(Calendar,W3066,NDays&amp;"D")</f>
        <v>60434</v>
      </c>
      <c r="Y3066" s="92" t="e">
        <v>#N/A</v>
      </c>
      <c r="Z3066" s="94" t="e">
        <v>#N/A</v>
      </c>
    </row>
    <row r="3067" spans="22:26" x14ac:dyDescent="0.2">
      <c r="V3067" s="123" t="str">
        <f t="shared" si="58"/>
        <v>1w</v>
      </c>
      <c r="W3067" s="82">
        <f>_xll.qlCalendarAdvance(Calendar,W3066,V3067,"f",FALSE)</f>
        <v>60441</v>
      </c>
      <c r="X3067" s="91">
        <f>_xll.qlCalendarAdvance(Calendar,W3067,NDays&amp;"D")</f>
        <v>60441</v>
      </c>
      <c r="Y3067" s="92" t="e">
        <v>#N/A</v>
      </c>
      <c r="Z3067" s="94" t="e">
        <v>#N/A</v>
      </c>
    </row>
    <row r="3068" spans="22:26" x14ac:dyDescent="0.2">
      <c r="V3068" s="123" t="str">
        <f t="shared" si="58"/>
        <v>1w</v>
      </c>
      <c r="W3068" s="82">
        <f>_xll.qlCalendarAdvance(Calendar,W3067,V3068,"f",FALSE)</f>
        <v>60448</v>
      </c>
      <c r="X3068" s="91">
        <f>_xll.qlCalendarAdvance(Calendar,W3068,NDays&amp;"D")</f>
        <v>60448</v>
      </c>
      <c r="Y3068" s="92" t="e">
        <v>#N/A</v>
      </c>
      <c r="Z3068" s="94" t="e">
        <v>#N/A</v>
      </c>
    </row>
    <row r="3069" spans="22:26" x14ac:dyDescent="0.2">
      <c r="V3069" s="123" t="str">
        <f t="shared" si="58"/>
        <v>1w</v>
      </c>
      <c r="W3069" s="82">
        <f>_xll.qlCalendarAdvance(Calendar,W3068,V3069,"f",FALSE)</f>
        <v>60455</v>
      </c>
      <c r="X3069" s="91">
        <f>_xll.qlCalendarAdvance(Calendar,W3069,NDays&amp;"D")</f>
        <v>60455</v>
      </c>
      <c r="Y3069" s="92" t="e">
        <v>#N/A</v>
      </c>
      <c r="Z3069" s="94" t="e">
        <v>#N/A</v>
      </c>
    </row>
    <row r="3070" spans="22:26" x14ac:dyDescent="0.2">
      <c r="V3070" s="123" t="str">
        <f t="shared" si="58"/>
        <v>1w</v>
      </c>
      <c r="W3070" s="82">
        <f>_xll.qlCalendarAdvance(Calendar,W3069,V3070,"f",FALSE)</f>
        <v>60462</v>
      </c>
      <c r="X3070" s="91">
        <f>_xll.qlCalendarAdvance(Calendar,W3070,NDays&amp;"D")</f>
        <v>60462</v>
      </c>
      <c r="Y3070" s="92" t="e">
        <v>#N/A</v>
      </c>
      <c r="Z3070" s="94" t="e">
        <v>#N/A</v>
      </c>
    </row>
    <row r="3071" spans="22:26" x14ac:dyDescent="0.2">
      <c r="V3071" s="123" t="str">
        <f t="shared" si="58"/>
        <v>1w</v>
      </c>
      <c r="W3071" s="82">
        <f>_xll.qlCalendarAdvance(Calendar,W3070,V3071,"f",FALSE)</f>
        <v>60469</v>
      </c>
      <c r="X3071" s="91">
        <f>_xll.qlCalendarAdvance(Calendar,W3071,NDays&amp;"D")</f>
        <v>60469</v>
      </c>
      <c r="Y3071" s="92" t="e">
        <v>#N/A</v>
      </c>
      <c r="Z3071" s="94" t="e">
        <v>#N/A</v>
      </c>
    </row>
    <row r="3072" spans="22:26" x14ac:dyDescent="0.2">
      <c r="V3072" s="123" t="str">
        <f t="shared" si="58"/>
        <v>1w</v>
      </c>
      <c r="W3072" s="82">
        <f>_xll.qlCalendarAdvance(Calendar,W3071,V3072,"f",FALSE)</f>
        <v>60476</v>
      </c>
      <c r="X3072" s="91">
        <f>_xll.qlCalendarAdvance(Calendar,W3072,NDays&amp;"D")</f>
        <v>60476</v>
      </c>
      <c r="Y3072" s="92" t="e">
        <v>#N/A</v>
      </c>
      <c r="Z3072" s="94" t="e">
        <v>#N/A</v>
      </c>
    </row>
    <row r="3073" spans="22:26" x14ac:dyDescent="0.2">
      <c r="V3073" s="123" t="str">
        <f t="shared" si="58"/>
        <v>1w</v>
      </c>
      <c r="W3073" s="82">
        <f>_xll.qlCalendarAdvance(Calendar,W3072,V3073,"f",FALSE)</f>
        <v>60483</v>
      </c>
      <c r="X3073" s="91">
        <f>_xll.qlCalendarAdvance(Calendar,W3073,NDays&amp;"D")</f>
        <v>60483</v>
      </c>
      <c r="Y3073" s="92" t="e">
        <v>#N/A</v>
      </c>
      <c r="Z3073" s="94" t="e">
        <v>#N/A</v>
      </c>
    </row>
    <row r="3074" spans="22:26" x14ac:dyDescent="0.2">
      <c r="V3074" s="123" t="str">
        <f t="shared" si="58"/>
        <v>1w</v>
      </c>
      <c r="W3074" s="82">
        <f>_xll.qlCalendarAdvance(Calendar,W3073,V3074,"f",FALSE)</f>
        <v>60490</v>
      </c>
      <c r="X3074" s="91">
        <f>_xll.qlCalendarAdvance(Calendar,W3074,NDays&amp;"D")</f>
        <v>60490</v>
      </c>
      <c r="Y3074" s="92" t="e">
        <v>#N/A</v>
      </c>
      <c r="Z3074" s="94" t="e">
        <v>#N/A</v>
      </c>
    </row>
    <row r="3075" spans="22:26" x14ac:dyDescent="0.2">
      <c r="V3075" s="123" t="str">
        <f t="shared" si="58"/>
        <v>1w</v>
      </c>
      <c r="W3075" s="82">
        <f>_xll.qlCalendarAdvance(Calendar,W3074,V3075,"f",FALSE)</f>
        <v>60497</v>
      </c>
      <c r="X3075" s="91">
        <f>_xll.qlCalendarAdvance(Calendar,W3075,NDays&amp;"D")</f>
        <v>60497</v>
      </c>
      <c r="Y3075" s="92" t="e">
        <v>#N/A</v>
      </c>
      <c r="Z3075" s="94" t="e">
        <v>#N/A</v>
      </c>
    </row>
    <row r="3076" spans="22:26" x14ac:dyDescent="0.2">
      <c r="V3076" s="123" t="str">
        <f t="shared" si="58"/>
        <v>1w</v>
      </c>
      <c r="W3076" s="82">
        <f>_xll.qlCalendarAdvance(Calendar,W3075,V3076,"f",FALSE)</f>
        <v>60504</v>
      </c>
      <c r="X3076" s="91">
        <f>_xll.qlCalendarAdvance(Calendar,W3076,NDays&amp;"D")</f>
        <v>60504</v>
      </c>
      <c r="Y3076" s="92" t="e">
        <v>#N/A</v>
      </c>
      <c r="Z3076" s="94" t="e">
        <v>#N/A</v>
      </c>
    </row>
    <row r="3077" spans="22:26" x14ac:dyDescent="0.2">
      <c r="V3077" s="123" t="str">
        <f t="shared" si="58"/>
        <v>1w</v>
      </c>
      <c r="W3077" s="82">
        <f>_xll.qlCalendarAdvance(Calendar,W3076,V3077,"f",FALSE)</f>
        <v>60511</v>
      </c>
      <c r="X3077" s="91">
        <f>_xll.qlCalendarAdvance(Calendar,W3077,NDays&amp;"D")</f>
        <v>60511</v>
      </c>
      <c r="Y3077" s="92" t="e">
        <v>#N/A</v>
      </c>
      <c r="Z3077" s="94" t="e">
        <v>#N/A</v>
      </c>
    </row>
    <row r="3078" spans="22:26" x14ac:dyDescent="0.2">
      <c r="V3078" s="123" t="str">
        <f t="shared" si="58"/>
        <v>1w</v>
      </c>
      <c r="W3078" s="82">
        <f>_xll.qlCalendarAdvance(Calendar,W3077,V3078,"f",FALSE)</f>
        <v>60518</v>
      </c>
      <c r="X3078" s="91">
        <f>_xll.qlCalendarAdvance(Calendar,W3078,NDays&amp;"D")</f>
        <v>60518</v>
      </c>
      <c r="Y3078" s="92" t="e">
        <v>#N/A</v>
      </c>
      <c r="Z3078" s="94" t="e">
        <v>#N/A</v>
      </c>
    </row>
    <row r="3079" spans="22:26" x14ac:dyDescent="0.2">
      <c r="V3079" s="123" t="str">
        <f t="shared" si="58"/>
        <v>1w</v>
      </c>
      <c r="W3079" s="82">
        <f>_xll.qlCalendarAdvance(Calendar,W3078,V3079,"f",FALSE)</f>
        <v>60525</v>
      </c>
      <c r="X3079" s="91">
        <f>_xll.qlCalendarAdvance(Calendar,W3079,NDays&amp;"D")</f>
        <v>60525</v>
      </c>
      <c r="Y3079" s="92" t="e">
        <v>#N/A</v>
      </c>
      <c r="Z3079" s="94" t="e">
        <v>#N/A</v>
      </c>
    </row>
    <row r="3080" spans="22:26" x14ac:dyDescent="0.2">
      <c r="V3080" s="123" t="str">
        <f t="shared" si="58"/>
        <v>1w</v>
      </c>
      <c r="W3080" s="82">
        <f>_xll.qlCalendarAdvance(Calendar,W3079,V3080,"f",FALSE)</f>
        <v>60532</v>
      </c>
      <c r="X3080" s="91">
        <f>_xll.qlCalendarAdvance(Calendar,W3080,NDays&amp;"D")</f>
        <v>60532</v>
      </c>
      <c r="Y3080" s="92" t="e">
        <v>#N/A</v>
      </c>
      <c r="Z3080" s="94" t="e">
        <v>#N/A</v>
      </c>
    </row>
    <row r="3081" spans="22:26" x14ac:dyDescent="0.2">
      <c r="V3081" s="123" t="str">
        <f t="shared" si="58"/>
        <v>1w</v>
      </c>
      <c r="W3081" s="82">
        <f>_xll.qlCalendarAdvance(Calendar,W3080,V3081,"f",FALSE)</f>
        <v>60539</v>
      </c>
      <c r="X3081" s="91">
        <f>_xll.qlCalendarAdvance(Calendar,W3081,NDays&amp;"D")</f>
        <v>60539</v>
      </c>
      <c r="Y3081" s="92" t="e">
        <v>#N/A</v>
      </c>
      <c r="Z3081" s="94" t="e">
        <v>#N/A</v>
      </c>
    </row>
    <row r="3082" spans="22:26" x14ac:dyDescent="0.2">
      <c r="V3082" s="123" t="str">
        <f t="shared" si="58"/>
        <v>1w</v>
      </c>
      <c r="W3082" s="82">
        <f>_xll.qlCalendarAdvance(Calendar,W3081,V3082,"f",FALSE)</f>
        <v>60546</v>
      </c>
      <c r="X3082" s="91">
        <f>_xll.qlCalendarAdvance(Calendar,W3082,NDays&amp;"D")</f>
        <v>60546</v>
      </c>
      <c r="Y3082" s="92" t="e">
        <v>#N/A</v>
      </c>
      <c r="Z3082" s="94" t="e">
        <v>#N/A</v>
      </c>
    </row>
    <row r="3083" spans="22:26" x14ac:dyDescent="0.2">
      <c r="V3083" s="123" t="str">
        <f t="shared" si="58"/>
        <v>1w</v>
      </c>
      <c r="W3083" s="82">
        <f>_xll.qlCalendarAdvance(Calendar,W3082,V3083,"f",FALSE)</f>
        <v>60553</v>
      </c>
      <c r="X3083" s="91">
        <f>_xll.qlCalendarAdvance(Calendar,W3083,NDays&amp;"D")</f>
        <v>60553</v>
      </c>
      <c r="Y3083" s="92" t="e">
        <v>#N/A</v>
      </c>
      <c r="Z3083" s="94" t="e">
        <v>#N/A</v>
      </c>
    </row>
    <row r="3084" spans="22:26" x14ac:dyDescent="0.2">
      <c r="V3084" s="123" t="str">
        <f t="shared" si="58"/>
        <v>1w</v>
      </c>
      <c r="W3084" s="82">
        <f>_xll.qlCalendarAdvance(Calendar,W3083,V3084,"f",FALSE)</f>
        <v>60560</v>
      </c>
      <c r="X3084" s="91">
        <f>_xll.qlCalendarAdvance(Calendar,W3084,NDays&amp;"D")</f>
        <v>60560</v>
      </c>
      <c r="Y3084" s="92" t="e">
        <v>#N/A</v>
      </c>
      <c r="Z3084" s="94" t="e">
        <v>#N/A</v>
      </c>
    </row>
    <row r="3085" spans="22:26" x14ac:dyDescent="0.2">
      <c r="V3085" s="123" t="str">
        <f t="shared" si="58"/>
        <v>1w</v>
      </c>
      <c r="W3085" s="82">
        <f>_xll.qlCalendarAdvance(Calendar,W3084,V3085,"f",FALSE)</f>
        <v>60567</v>
      </c>
      <c r="X3085" s="91">
        <f>_xll.qlCalendarAdvance(Calendar,W3085,NDays&amp;"D")</f>
        <v>60567</v>
      </c>
      <c r="Y3085" s="92" t="e">
        <v>#N/A</v>
      </c>
      <c r="Z3085" s="94" t="e">
        <v>#N/A</v>
      </c>
    </row>
    <row r="3086" spans="22:26" x14ac:dyDescent="0.2">
      <c r="V3086" s="123" t="str">
        <f t="shared" si="58"/>
        <v>1w</v>
      </c>
      <c r="W3086" s="82">
        <f>_xll.qlCalendarAdvance(Calendar,W3085,V3086,"f",FALSE)</f>
        <v>60574</v>
      </c>
      <c r="X3086" s="91">
        <f>_xll.qlCalendarAdvance(Calendar,W3086,NDays&amp;"D")</f>
        <v>60574</v>
      </c>
      <c r="Y3086" s="92" t="e">
        <v>#N/A</v>
      </c>
      <c r="Z3086" s="94" t="e">
        <v>#N/A</v>
      </c>
    </row>
    <row r="3087" spans="22:26" x14ac:dyDescent="0.2">
      <c r="V3087" s="123" t="str">
        <f t="shared" si="58"/>
        <v>1w</v>
      </c>
      <c r="W3087" s="82">
        <f>_xll.qlCalendarAdvance(Calendar,W3086,V3087,"f",FALSE)</f>
        <v>60581</v>
      </c>
      <c r="X3087" s="91">
        <f>_xll.qlCalendarAdvance(Calendar,W3087,NDays&amp;"D")</f>
        <v>60581</v>
      </c>
      <c r="Y3087" s="92" t="e">
        <v>#N/A</v>
      </c>
      <c r="Z3087" s="94" t="e">
        <v>#N/A</v>
      </c>
    </row>
    <row r="3088" spans="22:26" x14ac:dyDescent="0.2">
      <c r="V3088" s="123" t="str">
        <f t="shared" si="58"/>
        <v>1w</v>
      </c>
      <c r="W3088" s="82">
        <f>_xll.qlCalendarAdvance(Calendar,W3087,V3088,"f",FALSE)</f>
        <v>60588</v>
      </c>
      <c r="X3088" s="91">
        <f>_xll.qlCalendarAdvance(Calendar,W3088,NDays&amp;"D")</f>
        <v>60588</v>
      </c>
      <c r="Y3088" s="92" t="e">
        <v>#N/A</v>
      </c>
      <c r="Z3088" s="94" t="e">
        <v>#N/A</v>
      </c>
    </row>
    <row r="3089" spans="22:26" x14ac:dyDescent="0.2">
      <c r="V3089" s="123" t="str">
        <f t="shared" si="58"/>
        <v>1w</v>
      </c>
      <c r="W3089" s="82">
        <f>_xll.qlCalendarAdvance(Calendar,W3088,V3089,"f",FALSE)</f>
        <v>60595</v>
      </c>
      <c r="X3089" s="91">
        <f>_xll.qlCalendarAdvance(Calendar,W3089,NDays&amp;"D")</f>
        <v>60595</v>
      </c>
      <c r="Y3089" s="92" t="e">
        <v>#N/A</v>
      </c>
      <c r="Z3089" s="94" t="e">
        <v>#N/A</v>
      </c>
    </row>
    <row r="3090" spans="22:26" x14ac:dyDescent="0.2">
      <c r="V3090" s="123" t="str">
        <f t="shared" si="58"/>
        <v>1w</v>
      </c>
      <c r="W3090" s="82">
        <f>_xll.qlCalendarAdvance(Calendar,W3089,V3090,"f",FALSE)</f>
        <v>60602</v>
      </c>
      <c r="X3090" s="91">
        <f>_xll.qlCalendarAdvance(Calendar,W3090,NDays&amp;"D")</f>
        <v>60602</v>
      </c>
      <c r="Y3090" s="92" t="e">
        <v>#N/A</v>
      </c>
      <c r="Z3090" s="94" t="e">
        <v>#N/A</v>
      </c>
    </row>
    <row r="3091" spans="22:26" x14ac:dyDescent="0.2">
      <c r="V3091" s="123" t="str">
        <f t="shared" si="58"/>
        <v>1w</v>
      </c>
      <c r="W3091" s="82">
        <f>_xll.qlCalendarAdvance(Calendar,W3090,V3091,"f",FALSE)</f>
        <v>60609</v>
      </c>
      <c r="X3091" s="91">
        <f>_xll.qlCalendarAdvance(Calendar,W3091,NDays&amp;"D")</f>
        <v>60609</v>
      </c>
      <c r="Y3091" s="92" t="e">
        <v>#N/A</v>
      </c>
      <c r="Z3091" s="94" t="e">
        <v>#N/A</v>
      </c>
    </row>
    <row r="3092" spans="22:26" x14ac:dyDescent="0.2">
      <c r="V3092" s="123" t="str">
        <f t="shared" si="58"/>
        <v>1w</v>
      </c>
      <c r="W3092" s="82">
        <f>_xll.qlCalendarAdvance(Calendar,W3091,V3092,"f",FALSE)</f>
        <v>60616</v>
      </c>
      <c r="X3092" s="91">
        <f>_xll.qlCalendarAdvance(Calendar,W3092,NDays&amp;"D")</f>
        <v>60616</v>
      </c>
      <c r="Y3092" s="92" t="e">
        <v>#N/A</v>
      </c>
      <c r="Z3092" s="94" t="e">
        <v>#N/A</v>
      </c>
    </row>
    <row r="3093" spans="22:26" x14ac:dyDescent="0.2">
      <c r="V3093" s="123" t="str">
        <f t="shared" ref="V3093:V3156" si="59">V3092</f>
        <v>1w</v>
      </c>
      <c r="W3093" s="82">
        <f>_xll.qlCalendarAdvance(Calendar,W3092,V3093,"f",FALSE)</f>
        <v>60623</v>
      </c>
      <c r="X3093" s="91">
        <f>_xll.qlCalendarAdvance(Calendar,W3093,NDays&amp;"D")</f>
        <v>60623</v>
      </c>
      <c r="Y3093" s="92" t="e">
        <v>#N/A</v>
      </c>
      <c r="Z3093" s="94" t="e">
        <v>#N/A</v>
      </c>
    </row>
    <row r="3094" spans="22:26" x14ac:dyDescent="0.2">
      <c r="V3094" s="123" t="str">
        <f t="shared" si="59"/>
        <v>1w</v>
      </c>
      <c r="W3094" s="82">
        <f>_xll.qlCalendarAdvance(Calendar,W3093,V3094,"f",FALSE)</f>
        <v>60630</v>
      </c>
      <c r="X3094" s="91">
        <f>_xll.qlCalendarAdvance(Calendar,W3094,NDays&amp;"D")</f>
        <v>60630</v>
      </c>
      <c r="Y3094" s="92" t="e">
        <v>#N/A</v>
      </c>
      <c r="Z3094" s="94" t="e">
        <v>#N/A</v>
      </c>
    </row>
    <row r="3095" spans="22:26" x14ac:dyDescent="0.2">
      <c r="V3095" s="123" t="str">
        <f t="shared" si="59"/>
        <v>1w</v>
      </c>
      <c r="W3095" s="82">
        <f>_xll.qlCalendarAdvance(Calendar,W3094,V3095,"f",FALSE)</f>
        <v>60637</v>
      </c>
      <c r="X3095" s="91">
        <f>_xll.qlCalendarAdvance(Calendar,W3095,NDays&amp;"D")</f>
        <v>60637</v>
      </c>
      <c r="Y3095" s="92" t="e">
        <v>#N/A</v>
      </c>
      <c r="Z3095" s="94" t="e">
        <v>#N/A</v>
      </c>
    </row>
    <row r="3096" spans="22:26" x14ac:dyDescent="0.2">
      <c r="V3096" s="123" t="str">
        <f t="shared" si="59"/>
        <v>1w</v>
      </c>
      <c r="W3096" s="82">
        <f>_xll.qlCalendarAdvance(Calendar,W3095,V3096,"f",FALSE)</f>
        <v>60644</v>
      </c>
      <c r="X3096" s="91">
        <f>_xll.qlCalendarAdvance(Calendar,W3096,NDays&amp;"D")</f>
        <v>60644</v>
      </c>
      <c r="Y3096" s="92" t="e">
        <v>#N/A</v>
      </c>
      <c r="Z3096" s="94" t="e">
        <v>#N/A</v>
      </c>
    </row>
    <row r="3097" spans="22:26" x14ac:dyDescent="0.2">
      <c r="V3097" s="123" t="str">
        <f t="shared" si="59"/>
        <v>1w</v>
      </c>
      <c r="W3097" s="82">
        <f>_xll.qlCalendarAdvance(Calendar,W3096,V3097,"f",FALSE)</f>
        <v>60651</v>
      </c>
      <c r="X3097" s="91">
        <f>_xll.qlCalendarAdvance(Calendar,W3097,NDays&amp;"D")</f>
        <v>60651</v>
      </c>
      <c r="Y3097" s="92" t="e">
        <v>#N/A</v>
      </c>
      <c r="Z3097" s="94" t="e">
        <v>#N/A</v>
      </c>
    </row>
    <row r="3098" spans="22:26" x14ac:dyDescent="0.2">
      <c r="V3098" s="123" t="str">
        <f t="shared" si="59"/>
        <v>1w</v>
      </c>
      <c r="W3098" s="82">
        <f>_xll.qlCalendarAdvance(Calendar,W3097,V3098,"f",FALSE)</f>
        <v>60658</v>
      </c>
      <c r="X3098" s="91">
        <f>_xll.qlCalendarAdvance(Calendar,W3098,NDays&amp;"D")</f>
        <v>60658</v>
      </c>
      <c r="Y3098" s="92" t="e">
        <v>#N/A</v>
      </c>
      <c r="Z3098" s="94" t="e">
        <v>#N/A</v>
      </c>
    </row>
    <row r="3099" spans="22:26" x14ac:dyDescent="0.2">
      <c r="V3099" s="123" t="str">
        <f t="shared" si="59"/>
        <v>1w</v>
      </c>
      <c r="W3099" s="82">
        <f>_xll.qlCalendarAdvance(Calendar,W3098,V3099,"f",FALSE)</f>
        <v>60665</v>
      </c>
      <c r="X3099" s="91">
        <f>_xll.qlCalendarAdvance(Calendar,W3099,NDays&amp;"D")</f>
        <v>60665</v>
      </c>
      <c r="Y3099" s="92" t="e">
        <v>#N/A</v>
      </c>
      <c r="Z3099" s="94" t="e">
        <v>#N/A</v>
      </c>
    </row>
    <row r="3100" spans="22:26" x14ac:dyDescent="0.2">
      <c r="V3100" s="123" t="str">
        <f t="shared" si="59"/>
        <v>1w</v>
      </c>
      <c r="W3100" s="82">
        <f>_xll.qlCalendarAdvance(Calendar,W3099,V3100,"f",FALSE)</f>
        <v>60672</v>
      </c>
      <c r="X3100" s="91">
        <f>_xll.qlCalendarAdvance(Calendar,W3100,NDays&amp;"D")</f>
        <v>60672</v>
      </c>
      <c r="Y3100" s="92" t="e">
        <v>#N/A</v>
      </c>
      <c r="Z3100" s="94" t="e">
        <v>#N/A</v>
      </c>
    </row>
    <row r="3101" spans="22:26" x14ac:dyDescent="0.2">
      <c r="V3101" s="123" t="str">
        <f t="shared" si="59"/>
        <v>1w</v>
      </c>
      <c r="W3101" s="82">
        <f>_xll.qlCalendarAdvance(Calendar,W3100,V3101,"f",FALSE)</f>
        <v>60679</v>
      </c>
      <c r="X3101" s="91">
        <f>_xll.qlCalendarAdvance(Calendar,W3101,NDays&amp;"D")</f>
        <v>60679</v>
      </c>
      <c r="Y3101" s="92" t="e">
        <v>#N/A</v>
      </c>
      <c r="Z3101" s="94" t="e">
        <v>#N/A</v>
      </c>
    </row>
    <row r="3102" spans="22:26" x14ac:dyDescent="0.2">
      <c r="V3102" s="123" t="str">
        <f t="shared" si="59"/>
        <v>1w</v>
      </c>
      <c r="W3102" s="82">
        <f>_xll.qlCalendarAdvance(Calendar,W3101,V3102,"f",FALSE)</f>
        <v>60686</v>
      </c>
      <c r="X3102" s="91">
        <f>_xll.qlCalendarAdvance(Calendar,W3102,NDays&amp;"D")</f>
        <v>60686</v>
      </c>
      <c r="Y3102" s="92" t="e">
        <v>#N/A</v>
      </c>
      <c r="Z3102" s="94" t="e">
        <v>#N/A</v>
      </c>
    </row>
    <row r="3103" spans="22:26" x14ac:dyDescent="0.2">
      <c r="V3103" s="123" t="str">
        <f t="shared" si="59"/>
        <v>1w</v>
      </c>
      <c r="W3103" s="82">
        <f>_xll.qlCalendarAdvance(Calendar,W3102,V3103,"f",FALSE)</f>
        <v>60693</v>
      </c>
      <c r="X3103" s="91">
        <f>_xll.qlCalendarAdvance(Calendar,W3103,NDays&amp;"D")</f>
        <v>60693</v>
      </c>
      <c r="Y3103" s="92" t="e">
        <v>#N/A</v>
      </c>
      <c r="Z3103" s="94" t="e">
        <v>#N/A</v>
      </c>
    </row>
    <row r="3104" spans="22:26" x14ac:dyDescent="0.2">
      <c r="V3104" s="123" t="str">
        <f t="shared" si="59"/>
        <v>1w</v>
      </c>
      <c r="W3104" s="82">
        <f>_xll.qlCalendarAdvance(Calendar,W3103,V3104,"f",FALSE)</f>
        <v>60700</v>
      </c>
      <c r="X3104" s="91">
        <f>_xll.qlCalendarAdvance(Calendar,W3104,NDays&amp;"D")</f>
        <v>60700</v>
      </c>
      <c r="Y3104" s="92" t="e">
        <v>#N/A</v>
      </c>
      <c r="Z3104" s="94" t="e">
        <v>#N/A</v>
      </c>
    </row>
    <row r="3105" spans="22:26" x14ac:dyDescent="0.2">
      <c r="V3105" s="123" t="str">
        <f t="shared" si="59"/>
        <v>1w</v>
      </c>
      <c r="W3105" s="82">
        <f>_xll.qlCalendarAdvance(Calendar,W3104,V3105,"f",FALSE)</f>
        <v>60707</v>
      </c>
      <c r="X3105" s="91">
        <f>_xll.qlCalendarAdvance(Calendar,W3105,NDays&amp;"D")</f>
        <v>60707</v>
      </c>
      <c r="Y3105" s="92" t="e">
        <v>#N/A</v>
      </c>
      <c r="Z3105" s="94" t="e">
        <v>#N/A</v>
      </c>
    </row>
    <row r="3106" spans="22:26" x14ac:dyDescent="0.2">
      <c r="V3106" s="123" t="str">
        <f t="shared" si="59"/>
        <v>1w</v>
      </c>
      <c r="W3106" s="82">
        <f>_xll.qlCalendarAdvance(Calendar,W3105,V3106,"f",FALSE)</f>
        <v>60714</v>
      </c>
      <c r="X3106" s="91">
        <f>_xll.qlCalendarAdvance(Calendar,W3106,NDays&amp;"D")</f>
        <v>60714</v>
      </c>
      <c r="Y3106" s="92" t="e">
        <v>#N/A</v>
      </c>
      <c r="Z3106" s="94" t="e">
        <v>#N/A</v>
      </c>
    </row>
    <row r="3107" spans="22:26" x14ac:dyDescent="0.2">
      <c r="V3107" s="123" t="str">
        <f t="shared" si="59"/>
        <v>1w</v>
      </c>
      <c r="W3107" s="82">
        <f>_xll.qlCalendarAdvance(Calendar,W3106,V3107,"f",FALSE)</f>
        <v>60721</v>
      </c>
      <c r="X3107" s="91">
        <f>_xll.qlCalendarAdvance(Calendar,W3107,NDays&amp;"D")</f>
        <v>60721</v>
      </c>
      <c r="Y3107" s="92" t="e">
        <v>#N/A</v>
      </c>
      <c r="Z3107" s="94" t="e">
        <v>#N/A</v>
      </c>
    </row>
    <row r="3108" spans="22:26" x14ac:dyDescent="0.2">
      <c r="V3108" s="123" t="str">
        <f t="shared" si="59"/>
        <v>1w</v>
      </c>
      <c r="W3108" s="82">
        <f>_xll.qlCalendarAdvance(Calendar,W3107,V3108,"f",FALSE)</f>
        <v>60728</v>
      </c>
      <c r="X3108" s="91">
        <f>_xll.qlCalendarAdvance(Calendar,W3108,NDays&amp;"D")</f>
        <v>60728</v>
      </c>
      <c r="Y3108" s="92" t="e">
        <v>#N/A</v>
      </c>
      <c r="Z3108" s="94" t="e">
        <v>#N/A</v>
      </c>
    </row>
    <row r="3109" spans="22:26" x14ac:dyDescent="0.2">
      <c r="V3109" s="123" t="str">
        <f t="shared" si="59"/>
        <v>1w</v>
      </c>
      <c r="W3109" s="82">
        <f>_xll.qlCalendarAdvance(Calendar,W3108,V3109,"f",FALSE)</f>
        <v>60735</v>
      </c>
      <c r="X3109" s="91">
        <f>_xll.qlCalendarAdvance(Calendar,W3109,NDays&amp;"D")</f>
        <v>60735</v>
      </c>
      <c r="Y3109" s="92" t="e">
        <v>#N/A</v>
      </c>
      <c r="Z3109" s="94" t="e">
        <v>#N/A</v>
      </c>
    </row>
    <row r="3110" spans="22:26" x14ac:dyDescent="0.2">
      <c r="V3110" s="123" t="str">
        <f t="shared" si="59"/>
        <v>1w</v>
      </c>
      <c r="W3110" s="82">
        <f>_xll.qlCalendarAdvance(Calendar,W3109,V3110,"f",FALSE)</f>
        <v>60742</v>
      </c>
      <c r="X3110" s="91">
        <f>_xll.qlCalendarAdvance(Calendar,W3110,NDays&amp;"D")</f>
        <v>60742</v>
      </c>
      <c r="Y3110" s="92" t="e">
        <v>#N/A</v>
      </c>
      <c r="Z3110" s="94" t="e">
        <v>#N/A</v>
      </c>
    </row>
    <row r="3111" spans="22:26" x14ac:dyDescent="0.2">
      <c r="V3111" s="123" t="str">
        <f t="shared" si="59"/>
        <v>1w</v>
      </c>
      <c r="W3111" s="82">
        <f>_xll.qlCalendarAdvance(Calendar,W3110,V3111,"f",FALSE)</f>
        <v>60749</v>
      </c>
      <c r="X3111" s="91">
        <f>_xll.qlCalendarAdvance(Calendar,W3111,NDays&amp;"D")</f>
        <v>60749</v>
      </c>
      <c r="Y3111" s="92" t="e">
        <v>#N/A</v>
      </c>
      <c r="Z3111" s="94" t="e">
        <v>#N/A</v>
      </c>
    </row>
    <row r="3112" spans="22:26" x14ac:dyDescent="0.2">
      <c r="V3112" s="123" t="str">
        <f t="shared" si="59"/>
        <v>1w</v>
      </c>
      <c r="W3112" s="82">
        <f>_xll.qlCalendarAdvance(Calendar,W3111,V3112,"f",FALSE)</f>
        <v>60756</v>
      </c>
      <c r="X3112" s="91">
        <f>_xll.qlCalendarAdvance(Calendar,W3112,NDays&amp;"D")</f>
        <v>60756</v>
      </c>
      <c r="Y3112" s="92" t="e">
        <v>#N/A</v>
      </c>
      <c r="Z3112" s="94" t="e">
        <v>#N/A</v>
      </c>
    </row>
    <row r="3113" spans="22:26" x14ac:dyDescent="0.2">
      <c r="V3113" s="123" t="str">
        <f t="shared" si="59"/>
        <v>1w</v>
      </c>
      <c r="W3113" s="82">
        <f>_xll.qlCalendarAdvance(Calendar,W3112,V3113,"f",FALSE)</f>
        <v>60763</v>
      </c>
      <c r="X3113" s="91">
        <f>_xll.qlCalendarAdvance(Calendar,W3113,NDays&amp;"D")</f>
        <v>60763</v>
      </c>
      <c r="Y3113" s="92" t="e">
        <v>#N/A</v>
      </c>
      <c r="Z3113" s="94" t="e">
        <v>#N/A</v>
      </c>
    </row>
    <row r="3114" spans="22:26" x14ac:dyDescent="0.2">
      <c r="V3114" s="123" t="str">
        <f t="shared" si="59"/>
        <v>1w</v>
      </c>
      <c r="W3114" s="82">
        <f>_xll.qlCalendarAdvance(Calendar,W3113,V3114,"f",FALSE)</f>
        <v>60770</v>
      </c>
      <c r="X3114" s="91">
        <f>_xll.qlCalendarAdvance(Calendar,W3114,NDays&amp;"D")</f>
        <v>60770</v>
      </c>
      <c r="Y3114" s="92" t="e">
        <v>#N/A</v>
      </c>
      <c r="Z3114" s="94" t="e">
        <v>#N/A</v>
      </c>
    </row>
    <row r="3115" spans="22:26" x14ac:dyDescent="0.2">
      <c r="V3115" s="123" t="str">
        <f t="shared" si="59"/>
        <v>1w</v>
      </c>
      <c r="W3115" s="82">
        <f>_xll.qlCalendarAdvance(Calendar,W3114,V3115,"f",FALSE)</f>
        <v>60777</v>
      </c>
      <c r="X3115" s="91">
        <f>_xll.qlCalendarAdvance(Calendar,W3115,NDays&amp;"D")</f>
        <v>60777</v>
      </c>
      <c r="Y3115" s="92" t="e">
        <v>#N/A</v>
      </c>
      <c r="Z3115" s="94" t="e">
        <v>#N/A</v>
      </c>
    </row>
    <row r="3116" spans="22:26" x14ac:dyDescent="0.2">
      <c r="V3116" s="123" t="str">
        <f t="shared" si="59"/>
        <v>1w</v>
      </c>
      <c r="W3116" s="82">
        <f>_xll.qlCalendarAdvance(Calendar,W3115,V3116,"f",FALSE)</f>
        <v>60784</v>
      </c>
      <c r="X3116" s="91">
        <f>_xll.qlCalendarAdvance(Calendar,W3116,NDays&amp;"D")</f>
        <v>60784</v>
      </c>
      <c r="Y3116" s="92" t="e">
        <v>#N/A</v>
      </c>
      <c r="Z3116" s="94" t="e">
        <v>#N/A</v>
      </c>
    </row>
    <row r="3117" spans="22:26" x14ac:dyDescent="0.2">
      <c r="V3117" s="123" t="str">
        <f t="shared" si="59"/>
        <v>1w</v>
      </c>
      <c r="W3117" s="82">
        <f>_xll.qlCalendarAdvance(Calendar,W3116,V3117,"f",FALSE)</f>
        <v>60791</v>
      </c>
      <c r="X3117" s="91">
        <f>_xll.qlCalendarAdvance(Calendar,W3117,NDays&amp;"D")</f>
        <v>60791</v>
      </c>
      <c r="Y3117" s="92" t="e">
        <v>#N/A</v>
      </c>
      <c r="Z3117" s="94" t="e">
        <v>#N/A</v>
      </c>
    </row>
    <row r="3118" spans="22:26" x14ac:dyDescent="0.2">
      <c r="V3118" s="123" t="str">
        <f t="shared" si="59"/>
        <v>1w</v>
      </c>
      <c r="W3118" s="82">
        <f>_xll.qlCalendarAdvance(Calendar,W3117,V3118,"f",FALSE)</f>
        <v>60798</v>
      </c>
      <c r="X3118" s="91">
        <f>_xll.qlCalendarAdvance(Calendar,W3118,NDays&amp;"D")</f>
        <v>60798</v>
      </c>
      <c r="Y3118" s="92" t="e">
        <v>#N/A</v>
      </c>
      <c r="Z3118" s="94" t="e">
        <v>#N/A</v>
      </c>
    </row>
    <row r="3119" spans="22:26" x14ac:dyDescent="0.2">
      <c r="V3119" s="123" t="str">
        <f t="shared" si="59"/>
        <v>1w</v>
      </c>
      <c r="W3119" s="82">
        <f>_xll.qlCalendarAdvance(Calendar,W3118,V3119,"f",FALSE)</f>
        <v>60805</v>
      </c>
      <c r="X3119" s="91">
        <f>_xll.qlCalendarAdvance(Calendar,W3119,NDays&amp;"D")</f>
        <v>60805</v>
      </c>
      <c r="Y3119" s="92" t="e">
        <v>#N/A</v>
      </c>
      <c r="Z3119" s="94" t="e">
        <v>#N/A</v>
      </c>
    </row>
    <row r="3120" spans="22:26" x14ac:dyDescent="0.2">
      <c r="V3120" s="123" t="str">
        <f t="shared" si="59"/>
        <v>1w</v>
      </c>
      <c r="W3120" s="82">
        <f>_xll.qlCalendarAdvance(Calendar,W3119,V3120,"f",FALSE)</f>
        <v>60812</v>
      </c>
      <c r="X3120" s="91">
        <f>_xll.qlCalendarAdvance(Calendar,W3120,NDays&amp;"D")</f>
        <v>60812</v>
      </c>
      <c r="Y3120" s="92" t="e">
        <v>#N/A</v>
      </c>
      <c r="Z3120" s="94" t="e">
        <v>#N/A</v>
      </c>
    </row>
    <row r="3121" spans="22:26" x14ac:dyDescent="0.2">
      <c r="V3121" s="123" t="str">
        <f t="shared" si="59"/>
        <v>1w</v>
      </c>
      <c r="W3121" s="82">
        <f>_xll.qlCalendarAdvance(Calendar,W3120,V3121,"f",FALSE)</f>
        <v>60819</v>
      </c>
      <c r="X3121" s="91">
        <f>_xll.qlCalendarAdvance(Calendar,W3121,NDays&amp;"D")</f>
        <v>60819</v>
      </c>
      <c r="Y3121" s="92" t="e">
        <v>#N/A</v>
      </c>
      <c r="Z3121" s="94" t="e">
        <v>#N/A</v>
      </c>
    </row>
    <row r="3122" spans="22:26" x14ac:dyDescent="0.2">
      <c r="V3122" s="123" t="str">
        <f t="shared" si="59"/>
        <v>1w</v>
      </c>
      <c r="W3122" s="82">
        <f>_xll.qlCalendarAdvance(Calendar,W3121,V3122,"f",FALSE)</f>
        <v>60826</v>
      </c>
      <c r="X3122" s="91">
        <f>_xll.qlCalendarAdvance(Calendar,W3122,NDays&amp;"D")</f>
        <v>60826</v>
      </c>
      <c r="Y3122" s="92" t="e">
        <v>#N/A</v>
      </c>
      <c r="Z3122" s="94" t="e">
        <v>#N/A</v>
      </c>
    </row>
    <row r="3123" spans="22:26" x14ac:dyDescent="0.2">
      <c r="V3123" s="123" t="str">
        <f t="shared" si="59"/>
        <v>1w</v>
      </c>
      <c r="W3123" s="82">
        <f>_xll.qlCalendarAdvance(Calendar,W3122,V3123,"f",FALSE)</f>
        <v>60833</v>
      </c>
      <c r="X3123" s="91">
        <f>_xll.qlCalendarAdvance(Calendar,W3123,NDays&amp;"D")</f>
        <v>60833</v>
      </c>
      <c r="Y3123" s="92" t="e">
        <v>#N/A</v>
      </c>
      <c r="Z3123" s="94" t="e">
        <v>#N/A</v>
      </c>
    </row>
    <row r="3124" spans="22:26" x14ac:dyDescent="0.2">
      <c r="V3124" s="123" t="str">
        <f t="shared" si="59"/>
        <v>1w</v>
      </c>
      <c r="W3124" s="82">
        <f>_xll.qlCalendarAdvance(Calendar,W3123,V3124,"f",FALSE)</f>
        <v>60840</v>
      </c>
      <c r="X3124" s="91">
        <f>_xll.qlCalendarAdvance(Calendar,W3124,NDays&amp;"D")</f>
        <v>60840</v>
      </c>
      <c r="Y3124" s="92" t="e">
        <v>#N/A</v>
      </c>
      <c r="Z3124" s="94" t="e">
        <v>#N/A</v>
      </c>
    </row>
    <row r="3125" spans="22:26" x14ac:dyDescent="0.2">
      <c r="V3125" s="123" t="str">
        <f t="shared" si="59"/>
        <v>1w</v>
      </c>
      <c r="W3125" s="82">
        <f>_xll.qlCalendarAdvance(Calendar,W3124,V3125,"f",FALSE)</f>
        <v>60847</v>
      </c>
      <c r="X3125" s="91">
        <f>_xll.qlCalendarAdvance(Calendar,W3125,NDays&amp;"D")</f>
        <v>60847</v>
      </c>
      <c r="Y3125" s="92" t="e">
        <v>#N/A</v>
      </c>
      <c r="Z3125" s="94" t="e">
        <v>#N/A</v>
      </c>
    </row>
    <row r="3126" spans="22:26" x14ac:dyDescent="0.2">
      <c r="V3126" s="123" t="str">
        <f t="shared" si="59"/>
        <v>1w</v>
      </c>
      <c r="W3126" s="82">
        <f>_xll.qlCalendarAdvance(Calendar,W3125,V3126,"f",FALSE)</f>
        <v>60854</v>
      </c>
      <c r="X3126" s="91">
        <f>_xll.qlCalendarAdvance(Calendar,W3126,NDays&amp;"D")</f>
        <v>60854</v>
      </c>
      <c r="Y3126" s="92" t="e">
        <v>#N/A</v>
      </c>
      <c r="Z3126" s="94" t="e">
        <v>#N/A</v>
      </c>
    </row>
    <row r="3127" spans="22:26" x14ac:dyDescent="0.2">
      <c r="V3127" s="123" t="str">
        <f t="shared" si="59"/>
        <v>1w</v>
      </c>
      <c r="W3127" s="82">
        <f>_xll.qlCalendarAdvance(Calendar,W3126,V3127,"f",FALSE)</f>
        <v>60861</v>
      </c>
      <c r="X3127" s="91">
        <f>_xll.qlCalendarAdvance(Calendar,W3127,NDays&amp;"D")</f>
        <v>60861</v>
      </c>
      <c r="Y3127" s="92" t="e">
        <v>#N/A</v>
      </c>
      <c r="Z3127" s="94" t="e">
        <v>#N/A</v>
      </c>
    </row>
    <row r="3128" spans="22:26" x14ac:dyDescent="0.2">
      <c r="V3128" s="123" t="str">
        <f t="shared" si="59"/>
        <v>1w</v>
      </c>
      <c r="W3128" s="82">
        <f>_xll.qlCalendarAdvance(Calendar,W3127,V3128,"f",FALSE)</f>
        <v>60868</v>
      </c>
      <c r="X3128" s="91">
        <f>_xll.qlCalendarAdvance(Calendar,W3128,NDays&amp;"D")</f>
        <v>60868</v>
      </c>
      <c r="Y3128" s="92" t="e">
        <v>#N/A</v>
      </c>
      <c r="Z3128" s="94" t="e">
        <v>#N/A</v>
      </c>
    </row>
    <row r="3129" spans="22:26" x14ac:dyDescent="0.2">
      <c r="V3129" s="123" t="str">
        <f t="shared" si="59"/>
        <v>1w</v>
      </c>
      <c r="W3129" s="82">
        <f>_xll.qlCalendarAdvance(Calendar,W3128,V3129,"f",FALSE)</f>
        <v>60875</v>
      </c>
      <c r="X3129" s="91">
        <f>_xll.qlCalendarAdvance(Calendar,W3129,NDays&amp;"D")</f>
        <v>60875</v>
      </c>
      <c r="Y3129" s="92" t="e">
        <v>#N/A</v>
      </c>
      <c r="Z3129" s="94" t="e">
        <v>#N/A</v>
      </c>
    </row>
    <row r="3130" spans="22:26" x14ac:dyDescent="0.2">
      <c r="V3130" s="123" t="str">
        <f t="shared" si="59"/>
        <v>1w</v>
      </c>
      <c r="W3130" s="82">
        <f>_xll.qlCalendarAdvance(Calendar,W3129,V3130,"f",FALSE)</f>
        <v>60882</v>
      </c>
      <c r="X3130" s="91">
        <f>_xll.qlCalendarAdvance(Calendar,W3130,NDays&amp;"D")</f>
        <v>60882</v>
      </c>
      <c r="Y3130" s="92" t="e">
        <v>#N/A</v>
      </c>
      <c r="Z3130" s="94" t="e">
        <v>#N/A</v>
      </c>
    </row>
    <row r="3131" spans="22:26" x14ac:dyDescent="0.2">
      <c r="V3131" s="123" t="str">
        <f t="shared" si="59"/>
        <v>1w</v>
      </c>
      <c r="W3131" s="82">
        <f>_xll.qlCalendarAdvance(Calendar,W3130,V3131,"f",FALSE)</f>
        <v>60889</v>
      </c>
      <c r="X3131" s="91">
        <f>_xll.qlCalendarAdvance(Calendar,W3131,NDays&amp;"D")</f>
        <v>60889</v>
      </c>
      <c r="Y3131" s="92" t="e">
        <v>#N/A</v>
      </c>
      <c r="Z3131" s="94" t="e">
        <v>#N/A</v>
      </c>
    </row>
    <row r="3132" spans="22:26" x14ac:dyDescent="0.2">
      <c r="V3132" s="123" t="str">
        <f t="shared" si="59"/>
        <v>1w</v>
      </c>
      <c r="W3132" s="82">
        <f>_xll.qlCalendarAdvance(Calendar,W3131,V3132,"f",FALSE)</f>
        <v>60896</v>
      </c>
      <c r="X3132" s="91">
        <f>_xll.qlCalendarAdvance(Calendar,W3132,NDays&amp;"D")</f>
        <v>60896</v>
      </c>
      <c r="Y3132" s="92" t="e">
        <v>#N/A</v>
      </c>
      <c r="Z3132" s="94" t="e">
        <v>#N/A</v>
      </c>
    </row>
    <row r="3133" spans="22:26" x14ac:dyDescent="0.2">
      <c r="V3133" s="123" t="str">
        <f t="shared" si="59"/>
        <v>1w</v>
      </c>
      <c r="W3133" s="82">
        <f>_xll.qlCalendarAdvance(Calendar,W3132,V3133,"f",FALSE)</f>
        <v>60903</v>
      </c>
      <c r="X3133" s="91">
        <f>_xll.qlCalendarAdvance(Calendar,W3133,NDays&amp;"D")</f>
        <v>60903</v>
      </c>
      <c r="Y3133" s="92" t="e">
        <v>#N/A</v>
      </c>
      <c r="Z3133" s="94" t="e">
        <v>#N/A</v>
      </c>
    </row>
    <row r="3134" spans="22:26" x14ac:dyDescent="0.2">
      <c r="V3134" s="123" t="str">
        <f t="shared" si="59"/>
        <v>1w</v>
      </c>
      <c r="W3134" s="82">
        <f>_xll.qlCalendarAdvance(Calendar,W3133,V3134,"f",FALSE)</f>
        <v>60910</v>
      </c>
      <c r="X3134" s="91">
        <f>_xll.qlCalendarAdvance(Calendar,W3134,NDays&amp;"D")</f>
        <v>60910</v>
      </c>
      <c r="Y3134" s="92" t="e">
        <v>#N/A</v>
      </c>
      <c r="Z3134" s="94" t="e">
        <v>#N/A</v>
      </c>
    </row>
    <row r="3135" spans="22:26" x14ac:dyDescent="0.2">
      <c r="V3135" s="123" t="str">
        <f t="shared" si="59"/>
        <v>1w</v>
      </c>
      <c r="W3135" s="82">
        <f>_xll.qlCalendarAdvance(Calendar,W3134,V3135,"f",FALSE)</f>
        <v>60917</v>
      </c>
      <c r="X3135" s="91">
        <f>_xll.qlCalendarAdvance(Calendar,W3135,NDays&amp;"D")</f>
        <v>60917</v>
      </c>
      <c r="Y3135" s="92" t="e">
        <v>#N/A</v>
      </c>
      <c r="Z3135" s="94" t="e">
        <v>#N/A</v>
      </c>
    </row>
    <row r="3136" spans="22:26" x14ac:dyDescent="0.2">
      <c r="V3136" s="123" t="str">
        <f t="shared" si="59"/>
        <v>1w</v>
      </c>
      <c r="W3136" s="82">
        <f>_xll.qlCalendarAdvance(Calendar,W3135,V3136,"f",FALSE)</f>
        <v>60924</v>
      </c>
      <c r="X3136" s="91">
        <f>_xll.qlCalendarAdvance(Calendar,W3136,NDays&amp;"D")</f>
        <v>60924</v>
      </c>
      <c r="Y3136" s="92" t="e">
        <v>#N/A</v>
      </c>
      <c r="Z3136" s="94" t="e">
        <v>#N/A</v>
      </c>
    </row>
    <row r="3137" spans="22:26" x14ac:dyDescent="0.2">
      <c r="V3137" s="123" t="str">
        <f t="shared" si="59"/>
        <v>1w</v>
      </c>
      <c r="W3137" s="82">
        <f>_xll.qlCalendarAdvance(Calendar,W3136,V3137,"f",FALSE)</f>
        <v>60931</v>
      </c>
      <c r="X3137" s="91">
        <f>_xll.qlCalendarAdvance(Calendar,W3137,NDays&amp;"D")</f>
        <v>60931</v>
      </c>
      <c r="Y3137" s="92" t="e">
        <v>#N/A</v>
      </c>
      <c r="Z3137" s="94" t="e">
        <v>#N/A</v>
      </c>
    </row>
    <row r="3138" spans="22:26" x14ac:dyDescent="0.2">
      <c r="V3138" s="123" t="str">
        <f t="shared" si="59"/>
        <v>1w</v>
      </c>
      <c r="W3138" s="82">
        <f>_xll.qlCalendarAdvance(Calendar,W3137,V3138,"f",FALSE)</f>
        <v>60938</v>
      </c>
      <c r="X3138" s="91">
        <f>_xll.qlCalendarAdvance(Calendar,W3138,NDays&amp;"D")</f>
        <v>60938</v>
      </c>
      <c r="Y3138" s="92" t="e">
        <v>#N/A</v>
      </c>
      <c r="Z3138" s="94" t="e">
        <v>#N/A</v>
      </c>
    </row>
    <row r="3139" spans="22:26" x14ac:dyDescent="0.2">
      <c r="V3139" s="123" t="str">
        <f t="shared" si="59"/>
        <v>1w</v>
      </c>
      <c r="W3139" s="82">
        <f>_xll.qlCalendarAdvance(Calendar,W3138,V3139,"f",FALSE)</f>
        <v>60945</v>
      </c>
      <c r="X3139" s="91">
        <f>_xll.qlCalendarAdvance(Calendar,W3139,NDays&amp;"D")</f>
        <v>60945</v>
      </c>
      <c r="Y3139" s="92" t="e">
        <v>#N/A</v>
      </c>
      <c r="Z3139" s="94" t="e">
        <v>#N/A</v>
      </c>
    </row>
    <row r="3140" spans="22:26" x14ac:dyDescent="0.2">
      <c r="V3140" s="123" t="str">
        <f t="shared" si="59"/>
        <v>1w</v>
      </c>
      <c r="W3140" s="82">
        <f>_xll.qlCalendarAdvance(Calendar,W3139,V3140,"f",FALSE)</f>
        <v>60952</v>
      </c>
      <c r="X3140" s="91">
        <f>_xll.qlCalendarAdvance(Calendar,W3140,NDays&amp;"D")</f>
        <v>60952</v>
      </c>
      <c r="Y3140" s="92" t="e">
        <v>#N/A</v>
      </c>
      <c r="Z3140" s="94" t="e">
        <v>#N/A</v>
      </c>
    </row>
    <row r="3141" spans="22:26" x14ac:dyDescent="0.2">
      <c r="V3141" s="123" t="str">
        <f t="shared" si="59"/>
        <v>1w</v>
      </c>
      <c r="W3141" s="82">
        <f>_xll.qlCalendarAdvance(Calendar,W3140,V3141,"f",FALSE)</f>
        <v>60959</v>
      </c>
      <c r="X3141" s="91">
        <f>_xll.qlCalendarAdvance(Calendar,W3141,NDays&amp;"D")</f>
        <v>60959</v>
      </c>
      <c r="Y3141" s="92" t="e">
        <v>#N/A</v>
      </c>
      <c r="Z3141" s="94" t="e">
        <v>#N/A</v>
      </c>
    </row>
    <row r="3142" spans="22:26" x14ac:dyDescent="0.2">
      <c r="V3142" s="123" t="str">
        <f t="shared" si="59"/>
        <v>1w</v>
      </c>
      <c r="W3142" s="82">
        <f>_xll.qlCalendarAdvance(Calendar,W3141,V3142,"f",FALSE)</f>
        <v>60966</v>
      </c>
      <c r="X3142" s="91">
        <f>_xll.qlCalendarAdvance(Calendar,W3142,NDays&amp;"D")</f>
        <v>60966</v>
      </c>
      <c r="Y3142" s="92" t="e">
        <v>#N/A</v>
      </c>
      <c r="Z3142" s="94" t="e">
        <v>#N/A</v>
      </c>
    </row>
    <row r="3143" spans="22:26" x14ac:dyDescent="0.2">
      <c r="V3143" s="123" t="str">
        <f t="shared" si="59"/>
        <v>1w</v>
      </c>
      <c r="W3143" s="82">
        <f>_xll.qlCalendarAdvance(Calendar,W3142,V3143,"f",FALSE)</f>
        <v>60973</v>
      </c>
      <c r="X3143" s="91">
        <f>_xll.qlCalendarAdvance(Calendar,W3143,NDays&amp;"D")</f>
        <v>60973</v>
      </c>
      <c r="Y3143" s="92" t="e">
        <v>#N/A</v>
      </c>
      <c r="Z3143" s="94" t="e">
        <v>#N/A</v>
      </c>
    </row>
    <row r="3144" spans="22:26" x14ac:dyDescent="0.2">
      <c r="V3144" s="123" t="str">
        <f t="shared" si="59"/>
        <v>1w</v>
      </c>
      <c r="W3144" s="82">
        <f>_xll.qlCalendarAdvance(Calendar,W3143,V3144,"f",FALSE)</f>
        <v>60980</v>
      </c>
      <c r="X3144" s="91">
        <f>_xll.qlCalendarAdvance(Calendar,W3144,NDays&amp;"D")</f>
        <v>60980</v>
      </c>
      <c r="Y3144" s="92" t="e">
        <v>#N/A</v>
      </c>
      <c r="Z3144" s="94" t="e">
        <v>#N/A</v>
      </c>
    </row>
    <row r="3145" spans="22:26" x14ac:dyDescent="0.2">
      <c r="V3145" s="123" t="str">
        <f t="shared" si="59"/>
        <v>1w</v>
      </c>
      <c r="W3145" s="82">
        <f>_xll.qlCalendarAdvance(Calendar,W3144,V3145,"f",FALSE)</f>
        <v>60987</v>
      </c>
      <c r="X3145" s="91">
        <f>_xll.qlCalendarAdvance(Calendar,W3145,NDays&amp;"D")</f>
        <v>60987</v>
      </c>
      <c r="Y3145" s="92" t="e">
        <v>#N/A</v>
      </c>
      <c r="Z3145" s="94" t="e">
        <v>#N/A</v>
      </c>
    </row>
    <row r="3146" spans="22:26" x14ac:dyDescent="0.2">
      <c r="V3146" s="123" t="str">
        <f t="shared" si="59"/>
        <v>1w</v>
      </c>
      <c r="W3146" s="82">
        <f>_xll.qlCalendarAdvance(Calendar,W3145,V3146,"f",FALSE)</f>
        <v>60994</v>
      </c>
      <c r="X3146" s="91">
        <f>_xll.qlCalendarAdvance(Calendar,W3146,NDays&amp;"D")</f>
        <v>60994</v>
      </c>
      <c r="Y3146" s="92" t="e">
        <v>#N/A</v>
      </c>
      <c r="Z3146" s="94" t="e">
        <v>#N/A</v>
      </c>
    </row>
    <row r="3147" spans="22:26" x14ac:dyDescent="0.2">
      <c r="V3147" s="123" t="str">
        <f t="shared" si="59"/>
        <v>1w</v>
      </c>
      <c r="W3147" s="82">
        <f>_xll.qlCalendarAdvance(Calendar,W3146,V3147,"f",FALSE)</f>
        <v>61001</v>
      </c>
      <c r="X3147" s="91">
        <f>_xll.qlCalendarAdvance(Calendar,W3147,NDays&amp;"D")</f>
        <v>61001</v>
      </c>
      <c r="Y3147" s="92" t="e">
        <v>#N/A</v>
      </c>
      <c r="Z3147" s="94" t="e">
        <v>#N/A</v>
      </c>
    </row>
    <row r="3148" spans="22:26" x14ac:dyDescent="0.2">
      <c r="V3148" s="123" t="str">
        <f t="shared" si="59"/>
        <v>1w</v>
      </c>
      <c r="W3148" s="82">
        <f>_xll.qlCalendarAdvance(Calendar,W3147,V3148,"f",FALSE)</f>
        <v>61008</v>
      </c>
      <c r="X3148" s="91">
        <f>_xll.qlCalendarAdvance(Calendar,W3148,NDays&amp;"D")</f>
        <v>61008</v>
      </c>
      <c r="Y3148" s="92" t="e">
        <v>#N/A</v>
      </c>
      <c r="Z3148" s="94" t="e">
        <v>#N/A</v>
      </c>
    </row>
    <row r="3149" spans="22:26" x14ac:dyDescent="0.2">
      <c r="V3149" s="123" t="str">
        <f t="shared" si="59"/>
        <v>1w</v>
      </c>
      <c r="W3149" s="82">
        <f>_xll.qlCalendarAdvance(Calendar,W3148,V3149,"f",FALSE)</f>
        <v>61015</v>
      </c>
      <c r="X3149" s="91">
        <f>_xll.qlCalendarAdvance(Calendar,W3149,NDays&amp;"D")</f>
        <v>61015</v>
      </c>
      <c r="Y3149" s="92" t="e">
        <v>#N/A</v>
      </c>
      <c r="Z3149" s="94" t="e">
        <v>#N/A</v>
      </c>
    </row>
    <row r="3150" spans="22:26" x14ac:dyDescent="0.2">
      <c r="V3150" s="123" t="str">
        <f t="shared" si="59"/>
        <v>1w</v>
      </c>
      <c r="W3150" s="82">
        <f>_xll.qlCalendarAdvance(Calendar,W3149,V3150,"f",FALSE)</f>
        <v>61022</v>
      </c>
      <c r="X3150" s="91">
        <f>_xll.qlCalendarAdvance(Calendar,W3150,NDays&amp;"D")</f>
        <v>61022</v>
      </c>
      <c r="Y3150" s="92" t="e">
        <v>#N/A</v>
      </c>
      <c r="Z3150" s="94" t="e">
        <v>#N/A</v>
      </c>
    </row>
    <row r="3151" spans="22:26" x14ac:dyDescent="0.2">
      <c r="V3151" s="123" t="str">
        <f t="shared" si="59"/>
        <v>1w</v>
      </c>
      <c r="W3151" s="82">
        <f>_xll.qlCalendarAdvance(Calendar,W3150,V3151,"f",FALSE)</f>
        <v>61029</v>
      </c>
      <c r="X3151" s="91">
        <f>_xll.qlCalendarAdvance(Calendar,W3151,NDays&amp;"D")</f>
        <v>61029</v>
      </c>
      <c r="Y3151" s="92" t="e">
        <v>#N/A</v>
      </c>
      <c r="Z3151" s="94" t="e">
        <v>#N/A</v>
      </c>
    </row>
    <row r="3152" spans="22:26" x14ac:dyDescent="0.2">
      <c r="V3152" s="123" t="str">
        <f t="shared" si="59"/>
        <v>1w</v>
      </c>
      <c r="W3152" s="82">
        <f>_xll.qlCalendarAdvance(Calendar,W3151,V3152,"f",FALSE)</f>
        <v>61036</v>
      </c>
      <c r="X3152" s="91">
        <f>_xll.qlCalendarAdvance(Calendar,W3152,NDays&amp;"D")</f>
        <v>61036</v>
      </c>
      <c r="Y3152" s="92" t="e">
        <v>#N/A</v>
      </c>
      <c r="Z3152" s="94" t="e">
        <v>#N/A</v>
      </c>
    </row>
    <row r="3153" spans="22:26" x14ac:dyDescent="0.2">
      <c r="V3153" s="123" t="str">
        <f t="shared" si="59"/>
        <v>1w</v>
      </c>
      <c r="W3153" s="82">
        <f>_xll.qlCalendarAdvance(Calendar,W3152,V3153,"f",FALSE)</f>
        <v>61043</v>
      </c>
      <c r="X3153" s="91">
        <f>_xll.qlCalendarAdvance(Calendar,W3153,NDays&amp;"D")</f>
        <v>61043</v>
      </c>
      <c r="Y3153" s="92" t="e">
        <v>#N/A</v>
      </c>
      <c r="Z3153" s="94" t="e">
        <v>#N/A</v>
      </c>
    </row>
    <row r="3154" spans="22:26" x14ac:dyDescent="0.2">
      <c r="V3154" s="123" t="str">
        <f t="shared" si="59"/>
        <v>1w</v>
      </c>
      <c r="W3154" s="82">
        <f>_xll.qlCalendarAdvance(Calendar,W3153,V3154,"f",FALSE)</f>
        <v>61050</v>
      </c>
      <c r="X3154" s="91">
        <f>_xll.qlCalendarAdvance(Calendar,W3154,NDays&amp;"D")</f>
        <v>61050</v>
      </c>
      <c r="Y3154" s="92" t="e">
        <v>#N/A</v>
      </c>
      <c r="Z3154" s="94" t="e">
        <v>#N/A</v>
      </c>
    </row>
    <row r="3155" spans="22:26" x14ac:dyDescent="0.2">
      <c r="V3155" s="123" t="str">
        <f t="shared" si="59"/>
        <v>1w</v>
      </c>
      <c r="W3155" s="82">
        <f>_xll.qlCalendarAdvance(Calendar,W3154,V3155,"f",FALSE)</f>
        <v>61057</v>
      </c>
      <c r="X3155" s="91">
        <f>_xll.qlCalendarAdvance(Calendar,W3155,NDays&amp;"D")</f>
        <v>61057</v>
      </c>
      <c r="Y3155" s="92" t="e">
        <v>#N/A</v>
      </c>
      <c r="Z3155" s="94" t="e">
        <v>#N/A</v>
      </c>
    </row>
    <row r="3156" spans="22:26" x14ac:dyDescent="0.2">
      <c r="V3156" s="123" t="str">
        <f t="shared" si="59"/>
        <v>1w</v>
      </c>
      <c r="W3156" s="82">
        <f>_xll.qlCalendarAdvance(Calendar,W3155,V3156,"f",FALSE)</f>
        <v>61064</v>
      </c>
      <c r="X3156" s="91">
        <f>_xll.qlCalendarAdvance(Calendar,W3156,NDays&amp;"D")</f>
        <v>61064</v>
      </c>
      <c r="Y3156" s="92" t="e">
        <v>#N/A</v>
      </c>
      <c r="Z3156" s="94" t="e">
        <v>#N/A</v>
      </c>
    </row>
    <row r="3157" spans="22:26" x14ac:dyDescent="0.2">
      <c r="V3157" s="123" t="str">
        <f t="shared" ref="V3157:V3220" si="60">V3156</f>
        <v>1w</v>
      </c>
      <c r="W3157" s="82">
        <f>_xll.qlCalendarAdvance(Calendar,W3156,V3157,"f",FALSE)</f>
        <v>61071</v>
      </c>
      <c r="X3157" s="91">
        <f>_xll.qlCalendarAdvance(Calendar,W3157,NDays&amp;"D")</f>
        <v>61071</v>
      </c>
      <c r="Y3157" s="92" t="e">
        <v>#N/A</v>
      </c>
      <c r="Z3157" s="94" t="e">
        <v>#N/A</v>
      </c>
    </row>
    <row r="3158" spans="22:26" x14ac:dyDescent="0.2">
      <c r="V3158" s="123" t="str">
        <f t="shared" si="60"/>
        <v>1w</v>
      </c>
      <c r="W3158" s="82">
        <f>_xll.qlCalendarAdvance(Calendar,W3157,V3158,"f",FALSE)</f>
        <v>61078</v>
      </c>
      <c r="X3158" s="91">
        <f>_xll.qlCalendarAdvance(Calendar,W3158,NDays&amp;"D")</f>
        <v>61078</v>
      </c>
      <c r="Y3158" s="92" t="e">
        <v>#N/A</v>
      </c>
      <c r="Z3158" s="94" t="e">
        <v>#N/A</v>
      </c>
    </row>
    <row r="3159" spans="22:26" x14ac:dyDescent="0.2">
      <c r="V3159" s="123" t="str">
        <f t="shared" si="60"/>
        <v>1w</v>
      </c>
      <c r="W3159" s="82">
        <f>_xll.qlCalendarAdvance(Calendar,W3158,V3159,"f",FALSE)</f>
        <v>61085</v>
      </c>
      <c r="X3159" s="91">
        <f>_xll.qlCalendarAdvance(Calendar,W3159,NDays&amp;"D")</f>
        <v>61085</v>
      </c>
      <c r="Y3159" s="92" t="e">
        <v>#N/A</v>
      </c>
      <c r="Z3159" s="94" t="e">
        <v>#N/A</v>
      </c>
    </row>
    <row r="3160" spans="22:26" x14ac:dyDescent="0.2">
      <c r="V3160" s="123" t="str">
        <f t="shared" si="60"/>
        <v>1w</v>
      </c>
      <c r="W3160" s="82">
        <f>_xll.qlCalendarAdvance(Calendar,W3159,V3160,"f",FALSE)</f>
        <v>61092</v>
      </c>
      <c r="X3160" s="91">
        <f>_xll.qlCalendarAdvance(Calendar,W3160,NDays&amp;"D")</f>
        <v>61092</v>
      </c>
      <c r="Y3160" s="92" t="e">
        <v>#N/A</v>
      </c>
      <c r="Z3160" s="94" t="e">
        <v>#N/A</v>
      </c>
    </row>
    <row r="3161" spans="22:26" x14ac:dyDescent="0.2">
      <c r="V3161" s="123" t="str">
        <f t="shared" si="60"/>
        <v>1w</v>
      </c>
      <c r="W3161" s="82">
        <f>_xll.qlCalendarAdvance(Calendar,W3160,V3161,"f",FALSE)</f>
        <v>61099</v>
      </c>
      <c r="X3161" s="91">
        <f>_xll.qlCalendarAdvance(Calendar,W3161,NDays&amp;"D")</f>
        <v>61099</v>
      </c>
      <c r="Y3161" s="92" t="e">
        <v>#N/A</v>
      </c>
      <c r="Z3161" s="94" t="e">
        <v>#N/A</v>
      </c>
    </row>
    <row r="3162" spans="22:26" x14ac:dyDescent="0.2">
      <c r="V3162" s="123" t="str">
        <f t="shared" si="60"/>
        <v>1w</v>
      </c>
      <c r="W3162" s="82">
        <f>_xll.qlCalendarAdvance(Calendar,W3161,V3162,"f",FALSE)</f>
        <v>61106</v>
      </c>
      <c r="X3162" s="91">
        <f>_xll.qlCalendarAdvance(Calendar,W3162,NDays&amp;"D")</f>
        <v>61106</v>
      </c>
      <c r="Y3162" s="92" t="e">
        <v>#N/A</v>
      </c>
      <c r="Z3162" s="94" t="e">
        <v>#N/A</v>
      </c>
    </row>
    <row r="3163" spans="22:26" x14ac:dyDescent="0.2">
      <c r="V3163" s="123" t="str">
        <f t="shared" si="60"/>
        <v>1w</v>
      </c>
      <c r="W3163" s="82">
        <f>_xll.qlCalendarAdvance(Calendar,W3162,V3163,"f",FALSE)</f>
        <v>61113</v>
      </c>
      <c r="X3163" s="91">
        <f>_xll.qlCalendarAdvance(Calendar,W3163,NDays&amp;"D")</f>
        <v>61113</v>
      </c>
      <c r="Y3163" s="92" t="e">
        <v>#N/A</v>
      </c>
      <c r="Z3163" s="94" t="e">
        <v>#N/A</v>
      </c>
    </row>
    <row r="3164" spans="22:26" x14ac:dyDescent="0.2">
      <c r="V3164" s="123" t="str">
        <f t="shared" si="60"/>
        <v>1w</v>
      </c>
      <c r="W3164" s="82">
        <f>_xll.qlCalendarAdvance(Calendar,W3163,V3164,"f",FALSE)</f>
        <v>61120</v>
      </c>
      <c r="X3164" s="91">
        <f>_xll.qlCalendarAdvance(Calendar,W3164,NDays&amp;"D")</f>
        <v>61120</v>
      </c>
      <c r="Y3164" s="92" t="e">
        <v>#N/A</v>
      </c>
      <c r="Z3164" s="94" t="e">
        <v>#N/A</v>
      </c>
    </row>
    <row r="3165" spans="22:26" x14ac:dyDescent="0.2">
      <c r="V3165" s="123" t="str">
        <f t="shared" si="60"/>
        <v>1w</v>
      </c>
      <c r="W3165" s="82">
        <f>_xll.qlCalendarAdvance(Calendar,W3164,V3165,"f",FALSE)</f>
        <v>61127</v>
      </c>
      <c r="X3165" s="91">
        <f>_xll.qlCalendarAdvance(Calendar,W3165,NDays&amp;"D")</f>
        <v>61127</v>
      </c>
      <c r="Y3165" s="92" t="e">
        <v>#N/A</v>
      </c>
      <c r="Z3165" s="94" t="e">
        <v>#N/A</v>
      </c>
    </row>
    <row r="3166" spans="22:26" x14ac:dyDescent="0.2">
      <c r="V3166" s="123" t="str">
        <f t="shared" si="60"/>
        <v>1w</v>
      </c>
      <c r="W3166" s="82">
        <f>_xll.qlCalendarAdvance(Calendar,W3165,V3166,"f",FALSE)</f>
        <v>61134</v>
      </c>
      <c r="X3166" s="91">
        <f>_xll.qlCalendarAdvance(Calendar,W3166,NDays&amp;"D")</f>
        <v>61134</v>
      </c>
      <c r="Y3166" s="92" t="e">
        <v>#N/A</v>
      </c>
      <c r="Z3166" s="94" t="e">
        <v>#N/A</v>
      </c>
    </row>
    <row r="3167" spans="22:26" x14ac:dyDescent="0.2">
      <c r="V3167" s="123" t="str">
        <f t="shared" si="60"/>
        <v>1w</v>
      </c>
      <c r="W3167" s="82">
        <f>_xll.qlCalendarAdvance(Calendar,W3166,V3167,"f",FALSE)</f>
        <v>61141</v>
      </c>
      <c r="X3167" s="91">
        <f>_xll.qlCalendarAdvance(Calendar,W3167,NDays&amp;"D")</f>
        <v>61141</v>
      </c>
      <c r="Y3167" s="92" t="e">
        <v>#N/A</v>
      </c>
      <c r="Z3167" s="94" t="e">
        <v>#N/A</v>
      </c>
    </row>
    <row r="3168" spans="22:26" x14ac:dyDescent="0.2">
      <c r="V3168" s="123" t="str">
        <f t="shared" si="60"/>
        <v>1w</v>
      </c>
      <c r="W3168" s="82">
        <f>_xll.qlCalendarAdvance(Calendar,W3167,V3168,"f",FALSE)</f>
        <v>61148</v>
      </c>
      <c r="X3168" s="91">
        <f>_xll.qlCalendarAdvance(Calendar,W3168,NDays&amp;"D")</f>
        <v>61148</v>
      </c>
      <c r="Y3168" s="92" t="e">
        <v>#N/A</v>
      </c>
      <c r="Z3168" s="94" t="e">
        <v>#N/A</v>
      </c>
    </row>
    <row r="3169" spans="22:26" x14ac:dyDescent="0.2">
      <c r="V3169" s="123" t="str">
        <f t="shared" si="60"/>
        <v>1w</v>
      </c>
      <c r="W3169" s="82">
        <f>_xll.qlCalendarAdvance(Calendar,W3168,V3169,"f",FALSE)</f>
        <v>61155</v>
      </c>
      <c r="X3169" s="91">
        <f>_xll.qlCalendarAdvance(Calendar,W3169,NDays&amp;"D")</f>
        <v>61155</v>
      </c>
      <c r="Y3169" s="92" t="e">
        <v>#N/A</v>
      </c>
      <c r="Z3169" s="94" t="e">
        <v>#N/A</v>
      </c>
    </row>
    <row r="3170" spans="22:26" x14ac:dyDescent="0.2">
      <c r="V3170" s="123" t="str">
        <f t="shared" si="60"/>
        <v>1w</v>
      </c>
      <c r="W3170" s="82">
        <f>_xll.qlCalendarAdvance(Calendar,W3169,V3170,"f",FALSE)</f>
        <v>61162</v>
      </c>
      <c r="X3170" s="91">
        <f>_xll.qlCalendarAdvance(Calendar,W3170,NDays&amp;"D")</f>
        <v>61162</v>
      </c>
      <c r="Y3170" s="92" t="e">
        <v>#N/A</v>
      </c>
      <c r="Z3170" s="94" t="e">
        <v>#N/A</v>
      </c>
    </row>
    <row r="3171" spans="22:26" x14ac:dyDescent="0.2">
      <c r="V3171" s="123" t="str">
        <f t="shared" si="60"/>
        <v>1w</v>
      </c>
      <c r="W3171" s="82">
        <f>_xll.qlCalendarAdvance(Calendar,W3170,V3171,"f",FALSE)</f>
        <v>61169</v>
      </c>
      <c r="X3171" s="91">
        <f>_xll.qlCalendarAdvance(Calendar,W3171,NDays&amp;"D")</f>
        <v>61169</v>
      </c>
      <c r="Y3171" s="92" t="e">
        <v>#N/A</v>
      </c>
      <c r="Z3171" s="94" t="e">
        <v>#N/A</v>
      </c>
    </row>
    <row r="3172" spans="22:26" x14ac:dyDescent="0.2">
      <c r="V3172" s="123" t="str">
        <f t="shared" si="60"/>
        <v>1w</v>
      </c>
      <c r="W3172" s="82">
        <f>_xll.qlCalendarAdvance(Calendar,W3171,V3172,"f",FALSE)</f>
        <v>61176</v>
      </c>
      <c r="X3172" s="91">
        <f>_xll.qlCalendarAdvance(Calendar,W3172,NDays&amp;"D")</f>
        <v>61176</v>
      </c>
      <c r="Y3172" s="92" t="e">
        <v>#N/A</v>
      </c>
      <c r="Z3172" s="94" t="e">
        <v>#N/A</v>
      </c>
    </row>
    <row r="3173" spans="22:26" x14ac:dyDescent="0.2">
      <c r="V3173" s="123" t="str">
        <f t="shared" si="60"/>
        <v>1w</v>
      </c>
      <c r="W3173" s="82">
        <f>_xll.qlCalendarAdvance(Calendar,W3172,V3173,"f",FALSE)</f>
        <v>61183</v>
      </c>
      <c r="X3173" s="91">
        <f>_xll.qlCalendarAdvance(Calendar,W3173,NDays&amp;"D")</f>
        <v>61183</v>
      </c>
      <c r="Y3173" s="92" t="e">
        <v>#N/A</v>
      </c>
      <c r="Z3173" s="94" t="e">
        <v>#N/A</v>
      </c>
    </row>
    <row r="3174" spans="22:26" x14ac:dyDescent="0.2">
      <c r="V3174" s="123" t="str">
        <f t="shared" si="60"/>
        <v>1w</v>
      </c>
      <c r="W3174" s="82">
        <f>_xll.qlCalendarAdvance(Calendar,W3173,V3174,"f",FALSE)</f>
        <v>61190</v>
      </c>
      <c r="X3174" s="91">
        <f>_xll.qlCalendarAdvance(Calendar,W3174,NDays&amp;"D")</f>
        <v>61190</v>
      </c>
      <c r="Y3174" s="92" t="e">
        <v>#N/A</v>
      </c>
      <c r="Z3174" s="94" t="e">
        <v>#N/A</v>
      </c>
    </row>
    <row r="3175" spans="22:26" x14ac:dyDescent="0.2">
      <c r="V3175" s="123" t="str">
        <f t="shared" si="60"/>
        <v>1w</v>
      </c>
      <c r="W3175" s="82">
        <f>_xll.qlCalendarAdvance(Calendar,W3174,V3175,"f",FALSE)</f>
        <v>61197</v>
      </c>
      <c r="X3175" s="91">
        <f>_xll.qlCalendarAdvance(Calendar,W3175,NDays&amp;"D")</f>
        <v>61197</v>
      </c>
      <c r="Y3175" s="92" t="e">
        <v>#N/A</v>
      </c>
      <c r="Z3175" s="94" t="e">
        <v>#N/A</v>
      </c>
    </row>
    <row r="3176" spans="22:26" x14ac:dyDescent="0.2">
      <c r="V3176" s="123" t="str">
        <f t="shared" si="60"/>
        <v>1w</v>
      </c>
      <c r="W3176" s="82">
        <f>_xll.qlCalendarAdvance(Calendar,W3175,V3176,"f",FALSE)</f>
        <v>61204</v>
      </c>
      <c r="X3176" s="91">
        <f>_xll.qlCalendarAdvance(Calendar,W3176,NDays&amp;"D")</f>
        <v>61204</v>
      </c>
      <c r="Y3176" s="92" t="e">
        <v>#N/A</v>
      </c>
      <c r="Z3176" s="94" t="e">
        <v>#N/A</v>
      </c>
    </row>
    <row r="3177" spans="22:26" x14ac:dyDescent="0.2">
      <c r="V3177" s="123" t="str">
        <f t="shared" si="60"/>
        <v>1w</v>
      </c>
      <c r="W3177" s="82">
        <f>_xll.qlCalendarAdvance(Calendar,W3176,V3177,"f",FALSE)</f>
        <v>61211</v>
      </c>
      <c r="X3177" s="91">
        <f>_xll.qlCalendarAdvance(Calendar,W3177,NDays&amp;"D")</f>
        <v>61211</v>
      </c>
      <c r="Y3177" s="92" t="e">
        <v>#N/A</v>
      </c>
      <c r="Z3177" s="94" t="e">
        <v>#N/A</v>
      </c>
    </row>
    <row r="3178" spans="22:26" x14ac:dyDescent="0.2">
      <c r="V3178" s="123" t="str">
        <f t="shared" si="60"/>
        <v>1w</v>
      </c>
      <c r="W3178" s="82">
        <f>_xll.qlCalendarAdvance(Calendar,W3177,V3178,"f",FALSE)</f>
        <v>61218</v>
      </c>
      <c r="X3178" s="91">
        <f>_xll.qlCalendarAdvance(Calendar,W3178,NDays&amp;"D")</f>
        <v>61218</v>
      </c>
      <c r="Y3178" s="92" t="e">
        <v>#N/A</v>
      </c>
      <c r="Z3178" s="94" t="e">
        <v>#N/A</v>
      </c>
    </row>
    <row r="3179" spans="22:26" x14ac:dyDescent="0.2">
      <c r="V3179" s="123" t="str">
        <f t="shared" si="60"/>
        <v>1w</v>
      </c>
      <c r="W3179" s="82">
        <f>_xll.qlCalendarAdvance(Calendar,W3178,V3179,"f",FALSE)</f>
        <v>61225</v>
      </c>
      <c r="X3179" s="91">
        <f>_xll.qlCalendarAdvance(Calendar,W3179,NDays&amp;"D")</f>
        <v>61225</v>
      </c>
      <c r="Y3179" s="92" t="e">
        <v>#N/A</v>
      </c>
      <c r="Z3179" s="94" t="e">
        <v>#N/A</v>
      </c>
    </row>
    <row r="3180" spans="22:26" x14ac:dyDescent="0.2">
      <c r="V3180" s="123" t="str">
        <f t="shared" si="60"/>
        <v>1w</v>
      </c>
      <c r="W3180" s="82">
        <f>_xll.qlCalendarAdvance(Calendar,W3179,V3180,"f",FALSE)</f>
        <v>61232</v>
      </c>
      <c r="X3180" s="91">
        <f>_xll.qlCalendarAdvance(Calendar,W3180,NDays&amp;"D")</f>
        <v>61232</v>
      </c>
      <c r="Y3180" s="92" t="e">
        <v>#N/A</v>
      </c>
      <c r="Z3180" s="94" t="e">
        <v>#N/A</v>
      </c>
    </row>
    <row r="3181" spans="22:26" x14ac:dyDescent="0.2">
      <c r="V3181" s="123" t="str">
        <f t="shared" si="60"/>
        <v>1w</v>
      </c>
      <c r="W3181" s="82">
        <f>_xll.qlCalendarAdvance(Calendar,W3180,V3181,"f",FALSE)</f>
        <v>61239</v>
      </c>
      <c r="X3181" s="91">
        <f>_xll.qlCalendarAdvance(Calendar,W3181,NDays&amp;"D")</f>
        <v>61239</v>
      </c>
      <c r="Y3181" s="92" t="e">
        <v>#N/A</v>
      </c>
      <c r="Z3181" s="94" t="e">
        <v>#N/A</v>
      </c>
    </row>
    <row r="3182" spans="22:26" x14ac:dyDescent="0.2">
      <c r="V3182" s="123" t="str">
        <f t="shared" si="60"/>
        <v>1w</v>
      </c>
      <c r="W3182" s="82">
        <f>_xll.qlCalendarAdvance(Calendar,W3181,V3182,"f",FALSE)</f>
        <v>61246</v>
      </c>
      <c r="X3182" s="91">
        <f>_xll.qlCalendarAdvance(Calendar,W3182,NDays&amp;"D")</f>
        <v>61246</v>
      </c>
      <c r="Y3182" s="92" t="e">
        <v>#N/A</v>
      </c>
      <c r="Z3182" s="94" t="e">
        <v>#N/A</v>
      </c>
    </row>
    <row r="3183" spans="22:26" x14ac:dyDescent="0.2">
      <c r="V3183" s="123" t="str">
        <f t="shared" si="60"/>
        <v>1w</v>
      </c>
      <c r="W3183" s="82">
        <f>_xll.qlCalendarAdvance(Calendar,W3182,V3183,"f",FALSE)</f>
        <v>61253</v>
      </c>
      <c r="X3183" s="91">
        <f>_xll.qlCalendarAdvance(Calendar,W3183,NDays&amp;"D")</f>
        <v>61253</v>
      </c>
      <c r="Y3183" s="92" t="e">
        <v>#N/A</v>
      </c>
      <c r="Z3183" s="94" t="e">
        <v>#N/A</v>
      </c>
    </row>
    <row r="3184" spans="22:26" x14ac:dyDescent="0.2">
      <c r="V3184" s="123" t="str">
        <f t="shared" si="60"/>
        <v>1w</v>
      </c>
      <c r="W3184" s="82">
        <f>_xll.qlCalendarAdvance(Calendar,W3183,V3184,"f",FALSE)</f>
        <v>61260</v>
      </c>
      <c r="X3184" s="91">
        <f>_xll.qlCalendarAdvance(Calendar,W3184,NDays&amp;"D")</f>
        <v>61260</v>
      </c>
      <c r="Y3184" s="92" t="e">
        <v>#N/A</v>
      </c>
      <c r="Z3184" s="94" t="e">
        <v>#N/A</v>
      </c>
    </row>
    <row r="3185" spans="22:26" x14ac:dyDescent="0.2">
      <c r="V3185" s="123" t="str">
        <f t="shared" si="60"/>
        <v>1w</v>
      </c>
      <c r="W3185" s="82">
        <f>_xll.qlCalendarAdvance(Calendar,W3184,V3185,"f",FALSE)</f>
        <v>61267</v>
      </c>
      <c r="X3185" s="91">
        <f>_xll.qlCalendarAdvance(Calendar,W3185,NDays&amp;"D")</f>
        <v>61267</v>
      </c>
      <c r="Y3185" s="92" t="e">
        <v>#N/A</v>
      </c>
      <c r="Z3185" s="94" t="e">
        <v>#N/A</v>
      </c>
    </row>
    <row r="3186" spans="22:26" x14ac:dyDescent="0.2">
      <c r="V3186" s="123" t="str">
        <f t="shared" si="60"/>
        <v>1w</v>
      </c>
      <c r="W3186" s="82">
        <f>_xll.qlCalendarAdvance(Calendar,W3185,V3186,"f",FALSE)</f>
        <v>61274</v>
      </c>
      <c r="X3186" s="91">
        <f>_xll.qlCalendarAdvance(Calendar,W3186,NDays&amp;"D")</f>
        <v>61274</v>
      </c>
      <c r="Y3186" s="92" t="e">
        <v>#N/A</v>
      </c>
      <c r="Z3186" s="94" t="e">
        <v>#N/A</v>
      </c>
    </row>
    <row r="3187" spans="22:26" x14ac:dyDescent="0.2">
      <c r="V3187" s="123" t="str">
        <f t="shared" si="60"/>
        <v>1w</v>
      </c>
      <c r="W3187" s="82">
        <f>_xll.qlCalendarAdvance(Calendar,W3186,V3187,"f",FALSE)</f>
        <v>61281</v>
      </c>
      <c r="X3187" s="91">
        <f>_xll.qlCalendarAdvance(Calendar,W3187,NDays&amp;"D")</f>
        <v>61281</v>
      </c>
      <c r="Y3187" s="92" t="e">
        <v>#N/A</v>
      </c>
      <c r="Z3187" s="94" t="e">
        <v>#N/A</v>
      </c>
    </row>
    <row r="3188" spans="22:26" x14ac:dyDescent="0.2">
      <c r="V3188" s="123" t="str">
        <f t="shared" si="60"/>
        <v>1w</v>
      </c>
      <c r="W3188" s="82">
        <f>_xll.qlCalendarAdvance(Calendar,W3187,V3188,"f",FALSE)</f>
        <v>61288</v>
      </c>
      <c r="X3188" s="91">
        <f>_xll.qlCalendarAdvance(Calendar,W3188,NDays&amp;"D")</f>
        <v>61288</v>
      </c>
      <c r="Y3188" s="92" t="e">
        <v>#N/A</v>
      </c>
      <c r="Z3188" s="94" t="e">
        <v>#N/A</v>
      </c>
    </row>
    <row r="3189" spans="22:26" x14ac:dyDescent="0.2">
      <c r="V3189" s="123" t="str">
        <f t="shared" si="60"/>
        <v>1w</v>
      </c>
      <c r="W3189" s="82">
        <f>_xll.qlCalendarAdvance(Calendar,W3188,V3189,"f",FALSE)</f>
        <v>61295</v>
      </c>
      <c r="X3189" s="91">
        <f>_xll.qlCalendarAdvance(Calendar,W3189,NDays&amp;"D")</f>
        <v>61295</v>
      </c>
      <c r="Y3189" s="92" t="e">
        <v>#N/A</v>
      </c>
      <c r="Z3189" s="94" t="e">
        <v>#N/A</v>
      </c>
    </row>
    <row r="3190" spans="22:26" x14ac:dyDescent="0.2">
      <c r="V3190" s="123" t="str">
        <f t="shared" si="60"/>
        <v>1w</v>
      </c>
      <c r="W3190" s="82">
        <f>_xll.qlCalendarAdvance(Calendar,W3189,V3190,"f",FALSE)</f>
        <v>61302</v>
      </c>
      <c r="X3190" s="91">
        <f>_xll.qlCalendarAdvance(Calendar,W3190,NDays&amp;"D")</f>
        <v>61302</v>
      </c>
      <c r="Y3190" s="92" t="e">
        <v>#N/A</v>
      </c>
      <c r="Z3190" s="94" t="e">
        <v>#N/A</v>
      </c>
    </row>
    <row r="3191" spans="22:26" x14ac:dyDescent="0.2">
      <c r="V3191" s="123" t="str">
        <f t="shared" si="60"/>
        <v>1w</v>
      </c>
      <c r="W3191" s="82">
        <f>_xll.qlCalendarAdvance(Calendar,W3190,V3191,"f",FALSE)</f>
        <v>61309</v>
      </c>
      <c r="X3191" s="91">
        <f>_xll.qlCalendarAdvance(Calendar,W3191,NDays&amp;"D")</f>
        <v>61309</v>
      </c>
      <c r="Y3191" s="92" t="e">
        <v>#N/A</v>
      </c>
      <c r="Z3191" s="94" t="e">
        <v>#N/A</v>
      </c>
    </row>
    <row r="3192" spans="22:26" x14ac:dyDescent="0.2">
      <c r="V3192" s="123" t="str">
        <f t="shared" si="60"/>
        <v>1w</v>
      </c>
      <c r="W3192" s="82">
        <f>_xll.qlCalendarAdvance(Calendar,W3191,V3192,"f",FALSE)</f>
        <v>61316</v>
      </c>
      <c r="X3192" s="91">
        <f>_xll.qlCalendarAdvance(Calendar,W3192,NDays&amp;"D")</f>
        <v>61316</v>
      </c>
      <c r="Y3192" s="92" t="e">
        <v>#N/A</v>
      </c>
      <c r="Z3192" s="94" t="e">
        <v>#N/A</v>
      </c>
    </row>
    <row r="3193" spans="22:26" x14ac:dyDescent="0.2">
      <c r="V3193" s="123" t="str">
        <f t="shared" si="60"/>
        <v>1w</v>
      </c>
      <c r="W3193" s="82">
        <f>_xll.qlCalendarAdvance(Calendar,W3192,V3193,"f",FALSE)</f>
        <v>61323</v>
      </c>
      <c r="X3193" s="91">
        <f>_xll.qlCalendarAdvance(Calendar,W3193,NDays&amp;"D")</f>
        <v>61323</v>
      </c>
      <c r="Y3193" s="92" t="e">
        <v>#N/A</v>
      </c>
      <c r="Z3193" s="94" t="e">
        <v>#N/A</v>
      </c>
    </row>
    <row r="3194" spans="22:26" x14ac:dyDescent="0.2">
      <c r="V3194" s="123" t="str">
        <f t="shared" si="60"/>
        <v>1w</v>
      </c>
      <c r="W3194" s="82">
        <f>_xll.qlCalendarAdvance(Calendar,W3193,V3194,"f",FALSE)</f>
        <v>61330</v>
      </c>
      <c r="X3194" s="91">
        <f>_xll.qlCalendarAdvance(Calendar,W3194,NDays&amp;"D")</f>
        <v>61330</v>
      </c>
      <c r="Y3194" s="92" t="e">
        <v>#N/A</v>
      </c>
      <c r="Z3194" s="94" t="e">
        <v>#N/A</v>
      </c>
    </row>
    <row r="3195" spans="22:26" x14ac:dyDescent="0.2">
      <c r="V3195" s="123" t="str">
        <f t="shared" si="60"/>
        <v>1w</v>
      </c>
      <c r="W3195" s="82">
        <f>_xll.qlCalendarAdvance(Calendar,W3194,V3195,"f",FALSE)</f>
        <v>61337</v>
      </c>
      <c r="X3195" s="91">
        <f>_xll.qlCalendarAdvance(Calendar,W3195,NDays&amp;"D")</f>
        <v>61337</v>
      </c>
      <c r="Y3195" s="92" t="e">
        <v>#N/A</v>
      </c>
      <c r="Z3195" s="94" t="e">
        <v>#N/A</v>
      </c>
    </row>
    <row r="3196" spans="22:26" x14ac:dyDescent="0.2">
      <c r="V3196" s="123" t="str">
        <f t="shared" si="60"/>
        <v>1w</v>
      </c>
      <c r="W3196" s="82">
        <f>_xll.qlCalendarAdvance(Calendar,W3195,V3196,"f",FALSE)</f>
        <v>61344</v>
      </c>
      <c r="X3196" s="91">
        <f>_xll.qlCalendarAdvance(Calendar,W3196,NDays&amp;"D")</f>
        <v>61344</v>
      </c>
      <c r="Y3196" s="92" t="e">
        <v>#N/A</v>
      </c>
      <c r="Z3196" s="94" t="e">
        <v>#N/A</v>
      </c>
    </row>
    <row r="3197" spans="22:26" x14ac:dyDescent="0.2">
      <c r="V3197" s="123" t="str">
        <f t="shared" si="60"/>
        <v>1w</v>
      </c>
      <c r="W3197" s="82">
        <f>_xll.qlCalendarAdvance(Calendar,W3196,V3197,"f",FALSE)</f>
        <v>61351</v>
      </c>
      <c r="X3197" s="91">
        <f>_xll.qlCalendarAdvance(Calendar,W3197,NDays&amp;"D")</f>
        <v>61351</v>
      </c>
      <c r="Y3197" s="92" t="e">
        <v>#N/A</v>
      </c>
      <c r="Z3197" s="94" t="e">
        <v>#N/A</v>
      </c>
    </row>
    <row r="3198" spans="22:26" x14ac:dyDescent="0.2">
      <c r="V3198" s="123" t="str">
        <f t="shared" si="60"/>
        <v>1w</v>
      </c>
      <c r="W3198" s="82">
        <f>_xll.qlCalendarAdvance(Calendar,W3197,V3198,"f",FALSE)</f>
        <v>61358</v>
      </c>
      <c r="X3198" s="91">
        <f>_xll.qlCalendarAdvance(Calendar,W3198,NDays&amp;"D")</f>
        <v>61358</v>
      </c>
      <c r="Y3198" s="92" t="e">
        <v>#N/A</v>
      </c>
      <c r="Z3198" s="94" t="e">
        <v>#N/A</v>
      </c>
    </row>
    <row r="3199" spans="22:26" x14ac:dyDescent="0.2">
      <c r="V3199" s="123" t="str">
        <f t="shared" si="60"/>
        <v>1w</v>
      </c>
      <c r="W3199" s="82">
        <f>_xll.qlCalendarAdvance(Calendar,W3198,V3199,"f",FALSE)</f>
        <v>61365</v>
      </c>
      <c r="X3199" s="91">
        <f>_xll.qlCalendarAdvance(Calendar,W3199,NDays&amp;"D")</f>
        <v>61365</v>
      </c>
      <c r="Y3199" s="92" t="e">
        <v>#N/A</v>
      </c>
      <c r="Z3199" s="94" t="e">
        <v>#N/A</v>
      </c>
    </row>
    <row r="3200" spans="22:26" x14ac:dyDescent="0.2">
      <c r="V3200" s="123" t="str">
        <f t="shared" si="60"/>
        <v>1w</v>
      </c>
      <c r="W3200" s="82">
        <f>_xll.qlCalendarAdvance(Calendar,W3199,V3200,"f",FALSE)</f>
        <v>61372</v>
      </c>
      <c r="X3200" s="91">
        <f>_xll.qlCalendarAdvance(Calendar,W3200,NDays&amp;"D")</f>
        <v>61372</v>
      </c>
      <c r="Y3200" s="92" t="e">
        <v>#N/A</v>
      </c>
      <c r="Z3200" s="94" t="e">
        <v>#N/A</v>
      </c>
    </row>
    <row r="3201" spans="22:26" x14ac:dyDescent="0.2">
      <c r="V3201" s="123" t="str">
        <f t="shared" si="60"/>
        <v>1w</v>
      </c>
      <c r="W3201" s="82">
        <f>_xll.qlCalendarAdvance(Calendar,W3200,V3201,"f",FALSE)</f>
        <v>61379</v>
      </c>
      <c r="X3201" s="91">
        <f>_xll.qlCalendarAdvance(Calendar,W3201,NDays&amp;"D")</f>
        <v>61379</v>
      </c>
      <c r="Y3201" s="92" t="e">
        <v>#N/A</v>
      </c>
      <c r="Z3201" s="94" t="e">
        <v>#N/A</v>
      </c>
    </row>
    <row r="3202" spans="22:26" x14ac:dyDescent="0.2">
      <c r="V3202" s="123" t="str">
        <f t="shared" si="60"/>
        <v>1w</v>
      </c>
      <c r="W3202" s="82">
        <f>_xll.qlCalendarAdvance(Calendar,W3201,V3202,"f",FALSE)</f>
        <v>61386</v>
      </c>
      <c r="X3202" s="91">
        <f>_xll.qlCalendarAdvance(Calendar,W3202,NDays&amp;"D")</f>
        <v>61386</v>
      </c>
      <c r="Y3202" s="92" t="e">
        <v>#N/A</v>
      </c>
      <c r="Z3202" s="94" t="e">
        <v>#N/A</v>
      </c>
    </row>
    <row r="3203" spans="22:26" x14ac:dyDescent="0.2">
      <c r="V3203" s="123" t="str">
        <f t="shared" si="60"/>
        <v>1w</v>
      </c>
      <c r="W3203" s="82">
        <f>_xll.qlCalendarAdvance(Calendar,W3202,V3203,"f",FALSE)</f>
        <v>61393</v>
      </c>
      <c r="X3203" s="91">
        <f>_xll.qlCalendarAdvance(Calendar,W3203,NDays&amp;"D")</f>
        <v>61393</v>
      </c>
      <c r="Y3203" s="92" t="e">
        <v>#N/A</v>
      </c>
      <c r="Z3203" s="94" t="e">
        <v>#N/A</v>
      </c>
    </row>
    <row r="3204" spans="22:26" x14ac:dyDescent="0.2">
      <c r="V3204" s="123" t="str">
        <f t="shared" si="60"/>
        <v>1w</v>
      </c>
      <c r="W3204" s="82">
        <f>_xll.qlCalendarAdvance(Calendar,W3203,V3204,"f",FALSE)</f>
        <v>61400</v>
      </c>
      <c r="X3204" s="91">
        <f>_xll.qlCalendarAdvance(Calendar,W3204,NDays&amp;"D")</f>
        <v>61400</v>
      </c>
      <c r="Y3204" s="92" t="e">
        <v>#N/A</v>
      </c>
      <c r="Z3204" s="94" t="e">
        <v>#N/A</v>
      </c>
    </row>
    <row r="3205" spans="22:26" x14ac:dyDescent="0.2">
      <c r="V3205" s="123" t="str">
        <f t="shared" si="60"/>
        <v>1w</v>
      </c>
      <c r="W3205" s="82">
        <f>_xll.qlCalendarAdvance(Calendar,W3204,V3205,"f",FALSE)</f>
        <v>61407</v>
      </c>
      <c r="X3205" s="91">
        <f>_xll.qlCalendarAdvance(Calendar,W3205,NDays&amp;"D")</f>
        <v>61407</v>
      </c>
      <c r="Y3205" s="92" t="e">
        <v>#N/A</v>
      </c>
      <c r="Z3205" s="94" t="e">
        <v>#N/A</v>
      </c>
    </row>
    <row r="3206" spans="22:26" x14ac:dyDescent="0.2">
      <c r="V3206" s="123" t="str">
        <f t="shared" si="60"/>
        <v>1w</v>
      </c>
      <c r="W3206" s="82">
        <f>_xll.qlCalendarAdvance(Calendar,W3205,V3206,"f",FALSE)</f>
        <v>61414</v>
      </c>
      <c r="X3206" s="91">
        <f>_xll.qlCalendarAdvance(Calendar,W3206,NDays&amp;"D")</f>
        <v>61414</v>
      </c>
      <c r="Y3206" s="92" t="e">
        <v>#N/A</v>
      </c>
      <c r="Z3206" s="94" t="e">
        <v>#N/A</v>
      </c>
    </row>
    <row r="3207" spans="22:26" x14ac:dyDescent="0.2">
      <c r="V3207" s="123" t="str">
        <f t="shared" si="60"/>
        <v>1w</v>
      </c>
      <c r="W3207" s="82">
        <f>_xll.qlCalendarAdvance(Calendar,W3206,V3207,"f",FALSE)</f>
        <v>61421</v>
      </c>
      <c r="X3207" s="91">
        <f>_xll.qlCalendarAdvance(Calendar,W3207,NDays&amp;"D")</f>
        <v>61421</v>
      </c>
      <c r="Y3207" s="92" t="e">
        <v>#N/A</v>
      </c>
      <c r="Z3207" s="94" t="e">
        <v>#N/A</v>
      </c>
    </row>
    <row r="3208" spans="22:26" x14ac:dyDescent="0.2">
      <c r="V3208" s="123" t="str">
        <f t="shared" si="60"/>
        <v>1w</v>
      </c>
      <c r="W3208" s="82">
        <f>_xll.qlCalendarAdvance(Calendar,W3207,V3208,"f",FALSE)</f>
        <v>61428</v>
      </c>
      <c r="X3208" s="91">
        <f>_xll.qlCalendarAdvance(Calendar,W3208,NDays&amp;"D")</f>
        <v>61428</v>
      </c>
      <c r="Y3208" s="92" t="e">
        <v>#N/A</v>
      </c>
      <c r="Z3208" s="94" t="e">
        <v>#N/A</v>
      </c>
    </row>
    <row r="3209" spans="22:26" x14ac:dyDescent="0.2">
      <c r="V3209" s="123" t="str">
        <f t="shared" si="60"/>
        <v>1w</v>
      </c>
      <c r="W3209" s="82">
        <f>_xll.qlCalendarAdvance(Calendar,W3208,V3209,"f",FALSE)</f>
        <v>61435</v>
      </c>
      <c r="X3209" s="91">
        <f>_xll.qlCalendarAdvance(Calendar,W3209,NDays&amp;"D")</f>
        <v>61435</v>
      </c>
      <c r="Y3209" s="92" t="e">
        <v>#N/A</v>
      </c>
      <c r="Z3209" s="94" t="e">
        <v>#N/A</v>
      </c>
    </row>
    <row r="3210" spans="22:26" x14ac:dyDescent="0.2">
      <c r="V3210" s="123" t="str">
        <f t="shared" si="60"/>
        <v>1w</v>
      </c>
      <c r="W3210" s="82">
        <f>_xll.qlCalendarAdvance(Calendar,W3209,V3210,"f",FALSE)</f>
        <v>61442</v>
      </c>
      <c r="X3210" s="91">
        <f>_xll.qlCalendarAdvance(Calendar,W3210,NDays&amp;"D")</f>
        <v>61442</v>
      </c>
      <c r="Y3210" s="92" t="e">
        <v>#N/A</v>
      </c>
      <c r="Z3210" s="94" t="e">
        <v>#N/A</v>
      </c>
    </row>
    <row r="3211" spans="22:26" x14ac:dyDescent="0.2">
      <c r="V3211" s="123" t="str">
        <f t="shared" si="60"/>
        <v>1w</v>
      </c>
      <c r="W3211" s="82">
        <f>_xll.qlCalendarAdvance(Calendar,W3210,V3211,"f",FALSE)</f>
        <v>61449</v>
      </c>
      <c r="X3211" s="91">
        <f>_xll.qlCalendarAdvance(Calendar,W3211,NDays&amp;"D")</f>
        <v>61449</v>
      </c>
      <c r="Y3211" s="92" t="e">
        <v>#N/A</v>
      </c>
      <c r="Z3211" s="94" t="e">
        <v>#N/A</v>
      </c>
    </row>
    <row r="3212" spans="22:26" x14ac:dyDescent="0.2">
      <c r="V3212" s="123" t="str">
        <f t="shared" si="60"/>
        <v>1w</v>
      </c>
      <c r="W3212" s="82">
        <f>_xll.qlCalendarAdvance(Calendar,W3211,V3212,"f",FALSE)</f>
        <v>61456</v>
      </c>
      <c r="X3212" s="91">
        <f>_xll.qlCalendarAdvance(Calendar,W3212,NDays&amp;"D")</f>
        <v>61456</v>
      </c>
      <c r="Y3212" s="92" t="e">
        <v>#N/A</v>
      </c>
      <c r="Z3212" s="94" t="e">
        <v>#N/A</v>
      </c>
    </row>
    <row r="3213" spans="22:26" x14ac:dyDescent="0.2">
      <c r="V3213" s="123" t="str">
        <f t="shared" si="60"/>
        <v>1w</v>
      </c>
      <c r="W3213" s="82">
        <f>_xll.qlCalendarAdvance(Calendar,W3212,V3213,"f",FALSE)</f>
        <v>61463</v>
      </c>
      <c r="X3213" s="91">
        <f>_xll.qlCalendarAdvance(Calendar,W3213,NDays&amp;"D")</f>
        <v>61463</v>
      </c>
      <c r="Y3213" s="92" t="e">
        <v>#N/A</v>
      </c>
      <c r="Z3213" s="94" t="e">
        <v>#N/A</v>
      </c>
    </row>
    <row r="3214" spans="22:26" x14ac:dyDescent="0.2">
      <c r="V3214" s="123" t="str">
        <f t="shared" si="60"/>
        <v>1w</v>
      </c>
      <c r="W3214" s="82">
        <f>_xll.qlCalendarAdvance(Calendar,W3213,V3214,"f",FALSE)</f>
        <v>61470</v>
      </c>
      <c r="X3214" s="91">
        <f>_xll.qlCalendarAdvance(Calendar,W3214,NDays&amp;"D")</f>
        <v>61470</v>
      </c>
      <c r="Y3214" s="92" t="e">
        <v>#N/A</v>
      </c>
      <c r="Z3214" s="94" t="e">
        <v>#N/A</v>
      </c>
    </row>
    <row r="3215" spans="22:26" x14ac:dyDescent="0.2">
      <c r="V3215" s="123" t="str">
        <f t="shared" si="60"/>
        <v>1w</v>
      </c>
      <c r="W3215" s="82">
        <f>_xll.qlCalendarAdvance(Calendar,W3214,V3215,"f",FALSE)</f>
        <v>61477</v>
      </c>
      <c r="X3215" s="91">
        <f>_xll.qlCalendarAdvance(Calendar,W3215,NDays&amp;"D")</f>
        <v>61477</v>
      </c>
      <c r="Y3215" s="92" t="e">
        <v>#N/A</v>
      </c>
      <c r="Z3215" s="94" t="e">
        <v>#N/A</v>
      </c>
    </row>
    <row r="3216" spans="22:26" x14ac:dyDescent="0.2">
      <c r="V3216" s="123" t="str">
        <f t="shared" si="60"/>
        <v>1w</v>
      </c>
      <c r="W3216" s="82">
        <f>_xll.qlCalendarAdvance(Calendar,W3215,V3216,"f",FALSE)</f>
        <v>61485</v>
      </c>
      <c r="X3216" s="91">
        <f>_xll.qlCalendarAdvance(Calendar,W3216,NDays&amp;"D")</f>
        <v>61485</v>
      </c>
      <c r="Y3216" s="92" t="e">
        <v>#N/A</v>
      </c>
      <c r="Z3216" s="94" t="e">
        <v>#N/A</v>
      </c>
    </row>
    <row r="3217" spans="22:26" x14ac:dyDescent="0.2">
      <c r="V3217" s="123" t="str">
        <f t="shared" si="60"/>
        <v>1w</v>
      </c>
      <c r="W3217" s="82">
        <f>_xll.qlCalendarAdvance(Calendar,W3216,V3217,"f",FALSE)</f>
        <v>61492</v>
      </c>
      <c r="X3217" s="91">
        <f>_xll.qlCalendarAdvance(Calendar,W3217,NDays&amp;"D")</f>
        <v>61492</v>
      </c>
      <c r="Y3217" s="92" t="e">
        <v>#N/A</v>
      </c>
      <c r="Z3217" s="94" t="e">
        <v>#N/A</v>
      </c>
    </row>
    <row r="3218" spans="22:26" x14ac:dyDescent="0.2">
      <c r="V3218" s="123" t="str">
        <f t="shared" si="60"/>
        <v>1w</v>
      </c>
      <c r="W3218" s="82">
        <f>_xll.qlCalendarAdvance(Calendar,W3217,V3218,"f",FALSE)</f>
        <v>61499</v>
      </c>
      <c r="X3218" s="91">
        <f>_xll.qlCalendarAdvance(Calendar,W3218,NDays&amp;"D")</f>
        <v>61499</v>
      </c>
      <c r="Y3218" s="92" t="e">
        <v>#N/A</v>
      </c>
      <c r="Z3218" s="94" t="e">
        <v>#N/A</v>
      </c>
    </row>
    <row r="3219" spans="22:26" x14ac:dyDescent="0.2">
      <c r="V3219" s="123" t="str">
        <f t="shared" si="60"/>
        <v>1w</v>
      </c>
      <c r="W3219" s="82">
        <f>_xll.qlCalendarAdvance(Calendar,W3218,V3219,"f",FALSE)</f>
        <v>61506</v>
      </c>
      <c r="X3219" s="91">
        <f>_xll.qlCalendarAdvance(Calendar,W3219,NDays&amp;"D")</f>
        <v>61506</v>
      </c>
      <c r="Y3219" s="92" t="e">
        <v>#N/A</v>
      </c>
      <c r="Z3219" s="94" t="e">
        <v>#N/A</v>
      </c>
    </row>
    <row r="3220" spans="22:26" x14ac:dyDescent="0.2">
      <c r="V3220" s="123" t="str">
        <f t="shared" si="60"/>
        <v>1w</v>
      </c>
      <c r="W3220" s="82">
        <f>_xll.qlCalendarAdvance(Calendar,W3219,V3220,"f",FALSE)</f>
        <v>61513</v>
      </c>
      <c r="X3220" s="91">
        <f>_xll.qlCalendarAdvance(Calendar,W3220,NDays&amp;"D")</f>
        <v>61513</v>
      </c>
      <c r="Y3220" s="92" t="e">
        <v>#N/A</v>
      </c>
      <c r="Z3220" s="94" t="e">
        <v>#N/A</v>
      </c>
    </row>
    <row r="3221" spans="22:26" x14ac:dyDescent="0.2">
      <c r="V3221" s="123" t="str">
        <f t="shared" ref="V3221:V3284" si="61">V3220</f>
        <v>1w</v>
      </c>
      <c r="W3221" s="82">
        <f>_xll.qlCalendarAdvance(Calendar,W3220,V3221,"f",FALSE)</f>
        <v>61520</v>
      </c>
      <c r="X3221" s="91">
        <f>_xll.qlCalendarAdvance(Calendar,W3221,NDays&amp;"D")</f>
        <v>61520</v>
      </c>
      <c r="Y3221" s="92" t="e">
        <v>#N/A</v>
      </c>
      <c r="Z3221" s="94" t="e">
        <v>#N/A</v>
      </c>
    </row>
    <row r="3222" spans="22:26" x14ac:dyDescent="0.2">
      <c r="V3222" s="123" t="str">
        <f t="shared" si="61"/>
        <v>1w</v>
      </c>
      <c r="W3222" s="82">
        <f>_xll.qlCalendarAdvance(Calendar,W3221,V3222,"f",FALSE)</f>
        <v>61527</v>
      </c>
      <c r="X3222" s="91">
        <f>_xll.qlCalendarAdvance(Calendar,W3222,NDays&amp;"D")</f>
        <v>61527</v>
      </c>
      <c r="Y3222" s="92" t="e">
        <v>#N/A</v>
      </c>
      <c r="Z3222" s="94" t="e">
        <v>#N/A</v>
      </c>
    </row>
    <row r="3223" spans="22:26" x14ac:dyDescent="0.2">
      <c r="V3223" s="123" t="str">
        <f t="shared" si="61"/>
        <v>1w</v>
      </c>
      <c r="W3223" s="82">
        <f>_xll.qlCalendarAdvance(Calendar,W3222,V3223,"f",FALSE)</f>
        <v>61534</v>
      </c>
      <c r="X3223" s="91">
        <f>_xll.qlCalendarAdvance(Calendar,W3223,NDays&amp;"D")</f>
        <v>61534</v>
      </c>
      <c r="Y3223" s="92" t="e">
        <v>#N/A</v>
      </c>
      <c r="Z3223" s="94" t="e">
        <v>#N/A</v>
      </c>
    </row>
    <row r="3224" spans="22:26" x14ac:dyDescent="0.2">
      <c r="V3224" s="123" t="str">
        <f t="shared" si="61"/>
        <v>1w</v>
      </c>
      <c r="W3224" s="82">
        <f>_xll.qlCalendarAdvance(Calendar,W3223,V3224,"f",FALSE)</f>
        <v>61541</v>
      </c>
      <c r="X3224" s="91">
        <f>_xll.qlCalendarAdvance(Calendar,W3224,NDays&amp;"D")</f>
        <v>61541</v>
      </c>
      <c r="Y3224" s="92" t="e">
        <v>#N/A</v>
      </c>
      <c r="Z3224" s="94" t="e">
        <v>#N/A</v>
      </c>
    </row>
    <row r="3225" spans="22:26" x14ac:dyDescent="0.2">
      <c r="V3225" s="123" t="str">
        <f t="shared" si="61"/>
        <v>1w</v>
      </c>
      <c r="W3225" s="82">
        <f>_xll.qlCalendarAdvance(Calendar,W3224,V3225,"f",FALSE)</f>
        <v>61548</v>
      </c>
      <c r="X3225" s="91">
        <f>_xll.qlCalendarAdvance(Calendar,W3225,NDays&amp;"D")</f>
        <v>61548</v>
      </c>
      <c r="Y3225" s="92" t="e">
        <v>#N/A</v>
      </c>
      <c r="Z3225" s="94" t="e">
        <v>#N/A</v>
      </c>
    </row>
    <row r="3226" spans="22:26" x14ac:dyDescent="0.2">
      <c r="V3226" s="123" t="str">
        <f t="shared" si="61"/>
        <v>1w</v>
      </c>
      <c r="W3226" s="82">
        <f>_xll.qlCalendarAdvance(Calendar,W3225,V3226,"f",FALSE)</f>
        <v>61555</v>
      </c>
      <c r="X3226" s="91">
        <f>_xll.qlCalendarAdvance(Calendar,W3226,NDays&amp;"D")</f>
        <v>61555</v>
      </c>
      <c r="Y3226" s="92" t="e">
        <v>#N/A</v>
      </c>
      <c r="Z3226" s="94" t="e">
        <v>#N/A</v>
      </c>
    </row>
    <row r="3227" spans="22:26" x14ac:dyDescent="0.2">
      <c r="V3227" s="123" t="str">
        <f t="shared" si="61"/>
        <v>1w</v>
      </c>
      <c r="W3227" s="82">
        <f>_xll.qlCalendarAdvance(Calendar,W3226,V3227,"f",FALSE)</f>
        <v>61562</v>
      </c>
      <c r="X3227" s="91">
        <f>_xll.qlCalendarAdvance(Calendar,W3227,NDays&amp;"D")</f>
        <v>61562</v>
      </c>
      <c r="Y3227" s="92" t="e">
        <v>#N/A</v>
      </c>
      <c r="Z3227" s="94" t="e">
        <v>#N/A</v>
      </c>
    </row>
    <row r="3228" spans="22:26" x14ac:dyDescent="0.2">
      <c r="V3228" s="123" t="str">
        <f t="shared" si="61"/>
        <v>1w</v>
      </c>
      <c r="W3228" s="82">
        <f>_xll.qlCalendarAdvance(Calendar,W3227,V3228,"f",FALSE)</f>
        <v>61569</v>
      </c>
      <c r="X3228" s="91">
        <f>_xll.qlCalendarAdvance(Calendar,W3228,NDays&amp;"D")</f>
        <v>61569</v>
      </c>
      <c r="Y3228" s="92" t="e">
        <v>#N/A</v>
      </c>
      <c r="Z3228" s="94" t="e">
        <v>#N/A</v>
      </c>
    </row>
    <row r="3229" spans="22:26" x14ac:dyDescent="0.2">
      <c r="V3229" s="123" t="str">
        <f t="shared" si="61"/>
        <v>1w</v>
      </c>
      <c r="W3229" s="82">
        <f>_xll.qlCalendarAdvance(Calendar,W3228,V3229,"f",FALSE)</f>
        <v>61576</v>
      </c>
      <c r="X3229" s="91">
        <f>_xll.qlCalendarAdvance(Calendar,W3229,NDays&amp;"D")</f>
        <v>61576</v>
      </c>
      <c r="Y3229" s="92" t="e">
        <v>#N/A</v>
      </c>
      <c r="Z3229" s="94" t="e">
        <v>#N/A</v>
      </c>
    </row>
    <row r="3230" spans="22:26" x14ac:dyDescent="0.2">
      <c r="V3230" s="123" t="str">
        <f t="shared" si="61"/>
        <v>1w</v>
      </c>
      <c r="W3230" s="82">
        <f>_xll.qlCalendarAdvance(Calendar,W3229,V3230,"f",FALSE)</f>
        <v>61583</v>
      </c>
      <c r="X3230" s="91">
        <f>_xll.qlCalendarAdvance(Calendar,W3230,NDays&amp;"D")</f>
        <v>61583</v>
      </c>
      <c r="Y3230" s="92" t="e">
        <v>#N/A</v>
      </c>
      <c r="Z3230" s="94" t="e">
        <v>#N/A</v>
      </c>
    </row>
    <row r="3231" spans="22:26" x14ac:dyDescent="0.2">
      <c r="V3231" s="123" t="str">
        <f t="shared" si="61"/>
        <v>1w</v>
      </c>
      <c r="W3231" s="82">
        <f>_xll.qlCalendarAdvance(Calendar,W3230,V3231,"f",FALSE)</f>
        <v>61590</v>
      </c>
      <c r="X3231" s="91">
        <f>_xll.qlCalendarAdvance(Calendar,W3231,NDays&amp;"D")</f>
        <v>61590</v>
      </c>
      <c r="Y3231" s="92" t="e">
        <v>#N/A</v>
      </c>
      <c r="Z3231" s="94" t="e">
        <v>#N/A</v>
      </c>
    </row>
    <row r="3232" spans="22:26" x14ac:dyDescent="0.2">
      <c r="V3232" s="123" t="str">
        <f t="shared" si="61"/>
        <v>1w</v>
      </c>
      <c r="W3232" s="82">
        <f>_xll.qlCalendarAdvance(Calendar,W3231,V3232,"f",FALSE)</f>
        <v>61597</v>
      </c>
      <c r="X3232" s="91">
        <f>_xll.qlCalendarAdvance(Calendar,W3232,NDays&amp;"D")</f>
        <v>61597</v>
      </c>
      <c r="Y3232" s="92" t="e">
        <v>#N/A</v>
      </c>
      <c r="Z3232" s="94" t="e">
        <v>#N/A</v>
      </c>
    </row>
    <row r="3233" spans="22:26" x14ac:dyDescent="0.2">
      <c r="V3233" s="123" t="str">
        <f t="shared" si="61"/>
        <v>1w</v>
      </c>
      <c r="W3233" s="82">
        <f>_xll.qlCalendarAdvance(Calendar,W3232,V3233,"f",FALSE)</f>
        <v>61604</v>
      </c>
      <c r="X3233" s="91">
        <f>_xll.qlCalendarAdvance(Calendar,W3233,NDays&amp;"D")</f>
        <v>61604</v>
      </c>
      <c r="Y3233" s="92" t="e">
        <v>#N/A</v>
      </c>
      <c r="Z3233" s="94" t="e">
        <v>#N/A</v>
      </c>
    </row>
    <row r="3234" spans="22:26" x14ac:dyDescent="0.2">
      <c r="V3234" s="123" t="str">
        <f t="shared" si="61"/>
        <v>1w</v>
      </c>
      <c r="W3234" s="82">
        <f>_xll.qlCalendarAdvance(Calendar,W3233,V3234,"f",FALSE)</f>
        <v>61611</v>
      </c>
      <c r="X3234" s="91">
        <f>_xll.qlCalendarAdvance(Calendar,W3234,NDays&amp;"D")</f>
        <v>61611</v>
      </c>
      <c r="Y3234" s="92" t="e">
        <v>#N/A</v>
      </c>
      <c r="Z3234" s="94" t="e">
        <v>#N/A</v>
      </c>
    </row>
    <row r="3235" spans="22:26" x14ac:dyDescent="0.2">
      <c r="V3235" s="123" t="str">
        <f t="shared" si="61"/>
        <v>1w</v>
      </c>
      <c r="W3235" s="82">
        <f>_xll.qlCalendarAdvance(Calendar,W3234,V3235,"f",FALSE)</f>
        <v>61618</v>
      </c>
      <c r="X3235" s="91">
        <f>_xll.qlCalendarAdvance(Calendar,W3235,NDays&amp;"D")</f>
        <v>61618</v>
      </c>
      <c r="Y3235" s="92" t="e">
        <v>#N/A</v>
      </c>
      <c r="Z3235" s="94" t="e">
        <v>#N/A</v>
      </c>
    </row>
    <row r="3236" spans="22:26" x14ac:dyDescent="0.2">
      <c r="V3236" s="123" t="str">
        <f t="shared" si="61"/>
        <v>1w</v>
      </c>
      <c r="W3236" s="82">
        <f>_xll.qlCalendarAdvance(Calendar,W3235,V3236,"f",FALSE)</f>
        <v>61625</v>
      </c>
      <c r="X3236" s="91">
        <f>_xll.qlCalendarAdvance(Calendar,W3236,NDays&amp;"D")</f>
        <v>61625</v>
      </c>
      <c r="Y3236" s="92" t="e">
        <v>#N/A</v>
      </c>
      <c r="Z3236" s="94" t="e">
        <v>#N/A</v>
      </c>
    </row>
    <row r="3237" spans="22:26" x14ac:dyDescent="0.2">
      <c r="V3237" s="123" t="str">
        <f t="shared" si="61"/>
        <v>1w</v>
      </c>
      <c r="W3237" s="82">
        <f>_xll.qlCalendarAdvance(Calendar,W3236,V3237,"f",FALSE)</f>
        <v>61632</v>
      </c>
      <c r="X3237" s="91">
        <f>_xll.qlCalendarAdvance(Calendar,W3237,NDays&amp;"D")</f>
        <v>61632</v>
      </c>
      <c r="Y3237" s="92" t="e">
        <v>#N/A</v>
      </c>
      <c r="Z3237" s="94" t="e">
        <v>#N/A</v>
      </c>
    </row>
    <row r="3238" spans="22:26" x14ac:dyDescent="0.2">
      <c r="V3238" s="123" t="str">
        <f t="shared" si="61"/>
        <v>1w</v>
      </c>
      <c r="W3238" s="82">
        <f>_xll.qlCalendarAdvance(Calendar,W3237,V3238,"f",FALSE)</f>
        <v>61639</v>
      </c>
      <c r="X3238" s="91">
        <f>_xll.qlCalendarAdvance(Calendar,W3238,NDays&amp;"D")</f>
        <v>61639</v>
      </c>
      <c r="Y3238" s="92" t="e">
        <v>#N/A</v>
      </c>
      <c r="Z3238" s="94" t="e">
        <v>#N/A</v>
      </c>
    </row>
    <row r="3239" spans="22:26" x14ac:dyDescent="0.2">
      <c r="V3239" s="123" t="str">
        <f t="shared" si="61"/>
        <v>1w</v>
      </c>
      <c r="W3239" s="82">
        <f>_xll.qlCalendarAdvance(Calendar,W3238,V3239,"f",FALSE)</f>
        <v>61646</v>
      </c>
      <c r="X3239" s="91">
        <f>_xll.qlCalendarAdvance(Calendar,W3239,NDays&amp;"D")</f>
        <v>61646</v>
      </c>
      <c r="Y3239" s="92" t="e">
        <v>#N/A</v>
      </c>
      <c r="Z3239" s="94" t="e">
        <v>#N/A</v>
      </c>
    </row>
    <row r="3240" spans="22:26" x14ac:dyDescent="0.2">
      <c r="V3240" s="123" t="str">
        <f t="shared" si="61"/>
        <v>1w</v>
      </c>
      <c r="W3240" s="82">
        <f>_xll.qlCalendarAdvance(Calendar,W3239,V3240,"f",FALSE)</f>
        <v>61653</v>
      </c>
      <c r="X3240" s="91">
        <f>_xll.qlCalendarAdvance(Calendar,W3240,NDays&amp;"D")</f>
        <v>61653</v>
      </c>
      <c r="Y3240" s="92" t="e">
        <v>#N/A</v>
      </c>
      <c r="Z3240" s="94" t="e">
        <v>#N/A</v>
      </c>
    </row>
    <row r="3241" spans="22:26" x14ac:dyDescent="0.2">
      <c r="V3241" s="123" t="str">
        <f t="shared" si="61"/>
        <v>1w</v>
      </c>
      <c r="W3241" s="82">
        <f>_xll.qlCalendarAdvance(Calendar,W3240,V3241,"f",FALSE)</f>
        <v>61660</v>
      </c>
      <c r="X3241" s="91">
        <f>_xll.qlCalendarAdvance(Calendar,W3241,NDays&amp;"D")</f>
        <v>61660</v>
      </c>
      <c r="Y3241" s="92" t="e">
        <v>#N/A</v>
      </c>
      <c r="Z3241" s="94" t="e">
        <v>#N/A</v>
      </c>
    </row>
    <row r="3242" spans="22:26" x14ac:dyDescent="0.2">
      <c r="V3242" s="123" t="str">
        <f t="shared" si="61"/>
        <v>1w</v>
      </c>
      <c r="W3242" s="82">
        <f>_xll.qlCalendarAdvance(Calendar,W3241,V3242,"f",FALSE)</f>
        <v>61667</v>
      </c>
      <c r="X3242" s="91">
        <f>_xll.qlCalendarAdvance(Calendar,W3242,NDays&amp;"D")</f>
        <v>61667</v>
      </c>
      <c r="Y3242" s="92" t="e">
        <v>#N/A</v>
      </c>
      <c r="Z3242" s="94" t="e">
        <v>#N/A</v>
      </c>
    </row>
    <row r="3243" spans="22:26" x14ac:dyDescent="0.2">
      <c r="V3243" s="123" t="str">
        <f t="shared" si="61"/>
        <v>1w</v>
      </c>
      <c r="W3243" s="82">
        <f>_xll.qlCalendarAdvance(Calendar,W3242,V3243,"f",FALSE)</f>
        <v>61674</v>
      </c>
      <c r="X3243" s="91">
        <f>_xll.qlCalendarAdvance(Calendar,W3243,NDays&amp;"D")</f>
        <v>61674</v>
      </c>
      <c r="Y3243" s="92" t="e">
        <v>#N/A</v>
      </c>
      <c r="Z3243" s="94" t="e">
        <v>#N/A</v>
      </c>
    </row>
    <row r="3244" spans="22:26" x14ac:dyDescent="0.2">
      <c r="V3244" s="123" t="str">
        <f t="shared" si="61"/>
        <v>1w</v>
      </c>
      <c r="W3244" s="82">
        <f>_xll.qlCalendarAdvance(Calendar,W3243,V3244,"f",FALSE)</f>
        <v>61681</v>
      </c>
      <c r="X3244" s="91">
        <f>_xll.qlCalendarAdvance(Calendar,W3244,NDays&amp;"D")</f>
        <v>61681</v>
      </c>
      <c r="Y3244" s="92" t="e">
        <v>#N/A</v>
      </c>
      <c r="Z3244" s="94" t="e">
        <v>#N/A</v>
      </c>
    </row>
    <row r="3245" spans="22:26" x14ac:dyDescent="0.2">
      <c r="V3245" s="123" t="str">
        <f t="shared" si="61"/>
        <v>1w</v>
      </c>
      <c r="W3245" s="82">
        <f>_xll.qlCalendarAdvance(Calendar,W3244,V3245,"f",FALSE)</f>
        <v>61688</v>
      </c>
      <c r="X3245" s="91">
        <f>_xll.qlCalendarAdvance(Calendar,W3245,NDays&amp;"D")</f>
        <v>61688</v>
      </c>
      <c r="Y3245" s="92" t="e">
        <v>#N/A</v>
      </c>
      <c r="Z3245" s="94" t="e">
        <v>#N/A</v>
      </c>
    </row>
    <row r="3246" spans="22:26" x14ac:dyDescent="0.2">
      <c r="V3246" s="123" t="str">
        <f t="shared" si="61"/>
        <v>1w</v>
      </c>
      <c r="W3246" s="82">
        <f>_xll.qlCalendarAdvance(Calendar,W3245,V3246,"f",FALSE)</f>
        <v>61695</v>
      </c>
      <c r="X3246" s="91">
        <f>_xll.qlCalendarAdvance(Calendar,W3246,NDays&amp;"D")</f>
        <v>61695</v>
      </c>
      <c r="Y3246" s="92" t="e">
        <v>#N/A</v>
      </c>
      <c r="Z3246" s="94" t="e">
        <v>#N/A</v>
      </c>
    </row>
    <row r="3247" spans="22:26" x14ac:dyDescent="0.2">
      <c r="V3247" s="123" t="str">
        <f t="shared" si="61"/>
        <v>1w</v>
      </c>
      <c r="W3247" s="82">
        <f>_xll.qlCalendarAdvance(Calendar,W3246,V3247,"f",FALSE)</f>
        <v>61702</v>
      </c>
      <c r="X3247" s="91">
        <f>_xll.qlCalendarAdvance(Calendar,W3247,NDays&amp;"D")</f>
        <v>61702</v>
      </c>
      <c r="Y3247" s="92" t="e">
        <v>#N/A</v>
      </c>
      <c r="Z3247" s="94" t="e">
        <v>#N/A</v>
      </c>
    </row>
    <row r="3248" spans="22:26" x14ac:dyDescent="0.2">
      <c r="V3248" s="123" t="str">
        <f t="shared" si="61"/>
        <v>1w</v>
      </c>
      <c r="W3248" s="82">
        <f>_xll.qlCalendarAdvance(Calendar,W3247,V3248,"f",FALSE)</f>
        <v>61709</v>
      </c>
      <c r="X3248" s="91">
        <f>_xll.qlCalendarAdvance(Calendar,W3248,NDays&amp;"D")</f>
        <v>61709</v>
      </c>
      <c r="Y3248" s="92" t="e">
        <v>#N/A</v>
      </c>
      <c r="Z3248" s="94" t="e">
        <v>#N/A</v>
      </c>
    </row>
    <row r="3249" spans="22:26" x14ac:dyDescent="0.2">
      <c r="V3249" s="123" t="str">
        <f t="shared" si="61"/>
        <v>1w</v>
      </c>
      <c r="W3249" s="82">
        <f>_xll.qlCalendarAdvance(Calendar,W3248,V3249,"f",FALSE)</f>
        <v>61716</v>
      </c>
      <c r="X3249" s="91">
        <f>_xll.qlCalendarAdvance(Calendar,W3249,NDays&amp;"D")</f>
        <v>61716</v>
      </c>
      <c r="Y3249" s="92" t="e">
        <v>#N/A</v>
      </c>
      <c r="Z3249" s="94" t="e">
        <v>#N/A</v>
      </c>
    </row>
    <row r="3250" spans="22:26" x14ac:dyDescent="0.2">
      <c r="V3250" s="123" t="str">
        <f t="shared" si="61"/>
        <v>1w</v>
      </c>
      <c r="W3250" s="82">
        <f>_xll.qlCalendarAdvance(Calendar,W3249,V3250,"f",FALSE)</f>
        <v>61724</v>
      </c>
      <c r="X3250" s="91">
        <f>_xll.qlCalendarAdvance(Calendar,W3250,NDays&amp;"D")</f>
        <v>61724</v>
      </c>
      <c r="Y3250" s="92" t="e">
        <v>#N/A</v>
      </c>
      <c r="Z3250" s="94" t="e">
        <v>#N/A</v>
      </c>
    </row>
    <row r="3251" spans="22:26" x14ac:dyDescent="0.2">
      <c r="V3251" s="123" t="str">
        <f t="shared" si="61"/>
        <v>1w</v>
      </c>
      <c r="W3251" s="82">
        <f>_xll.qlCalendarAdvance(Calendar,W3250,V3251,"f",FALSE)</f>
        <v>61731</v>
      </c>
      <c r="X3251" s="91">
        <f>_xll.qlCalendarAdvance(Calendar,W3251,NDays&amp;"D")</f>
        <v>61731</v>
      </c>
      <c r="Y3251" s="92" t="e">
        <v>#N/A</v>
      </c>
      <c r="Z3251" s="94" t="e">
        <v>#N/A</v>
      </c>
    </row>
    <row r="3252" spans="22:26" x14ac:dyDescent="0.2">
      <c r="V3252" s="123" t="str">
        <f t="shared" si="61"/>
        <v>1w</v>
      </c>
      <c r="W3252" s="82">
        <f>_xll.qlCalendarAdvance(Calendar,W3251,V3252,"f",FALSE)</f>
        <v>61738</v>
      </c>
      <c r="X3252" s="91">
        <f>_xll.qlCalendarAdvance(Calendar,W3252,NDays&amp;"D")</f>
        <v>61738</v>
      </c>
      <c r="Y3252" s="92" t="e">
        <v>#N/A</v>
      </c>
      <c r="Z3252" s="94" t="e">
        <v>#N/A</v>
      </c>
    </row>
    <row r="3253" spans="22:26" x14ac:dyDescent="0.2">
      <c r="V3253" s="123" t="str">
        <f t="shared" si="61"/>
        <v>1w</v>
      </c>
      <c r="W3253" s="82">
        <f>_xll.qlCalendarAdvance(Calendar,W3252,V3253,"f",FALSE)</f>
        <v>61745</v>
      </c>
      <c r="X3253" s="91">
        <f>_xll.qlCalendarAdvance(Calendar,W3253,NDays&amp;"D")</f>
        <v>61745</v>
      </c>
      <c r="Y3253" s="92" t="e">
        <v>#N/A</v>
      </c>
      <c r="Z3253" s="94" t="e">
        <v>#N/A</v>
      </c>
    </row>
    <row r="3254" spans="22:26" x14ac:dyDescent="0.2">
      <c r="V3254" s="123" t="str">
        <f t="shared" si="61"/>
        <v>1w</v>
      </c>
      <c r="W3254" s="82">
        <f>_xll.qlCalendarAdvance(Calendar,W3253,V3254,"f",FALSE)</f>
        <v>61752</v>
      </c>
      <c r="X3254" s="91">
        <f>_xll.qlCalendarAdvance(Calendar,W3254,NDays&amp;"D")</f>
        <v>61752</v>
      </c>
      <c r="Y3254" s="92" t="e">
        <v>#N/A</v>
      </c>
      <c r="Z3254" s="94" t="e">
        <v>#N/A</v>
      </c>
    </row>
    <row r="3255" spans="22:26" x14ac:dyDescent="0.2">
      <c r="V3255" s="123" t="str">
        <f t="shared" si="61"/>
        <v>1w</v>
      </c>
      <c r="W3255" s="82">
        <f>_xll.qlCalendarAdvance(Calendar,W3254,V3255,"f",FALSE)</f>
        <v>61759</v>
      </c>
      <c r="X3255" s="91">
        <f>_xll.qlCalendarAdvance(Calendar,W3255,NDays&amp;"D")</f>
        <v>61759</v>
      </c>
      <c r="Y3255" s="92" t="e">
        <v>#N/A</v>
      </c>
      <c r="Z3255" s="94" t="e">
        <v>#N/A</v>
      </c>
    </row>
    <row r="3256" spans="22:26" x14ac:dyDescent="0.2">
      <c r="V3256" s="123" t="str">
        <f t="shared" si="61"/>
        <v>1w</v>
      </c>
      <c r="W3256" s="82">
        <f>_xll.qlCalendarAdvance(Calendar,W3255,V3256,"f",FALSE)</f>
        <v>61766</v>
      </c>
      <c r="X3256" s="91">
        <f>_xll.qlCalendarAdvance(Calendar,W3256,NDays&amp;"D")</f>
        <v>61766</v>
      </c>
      <c r="Y3256" s="92" t="e">
        <v>#N/A</v>
      </c>
      <c r="Z3256" s="94" t="e">
        <v>#N/A</v>
      </c>
    </row>
    <row r="3257" spans="22:26" x14ac:dyDescent="0.2">
      <c r="V3257" s="123" t="str">
        <f t="shared" si="61"/>
        <v>1w</v>
      </c>
      <c r="W3257" s="82">
        <f>_xll.qlCalendarAdvance(Calendar,W3256,V3257,"f",FALSE)</f>
        <v>61773</v>
      </c>
      <c r="X3257" s="91">
        <f>_xll.qlCalendarAdvance(Calendar,W3257,NDays&amp;"D")</f>
        <v>61773</v>
      </c>
      <c r="Y3257" s="92" t="e">
        <v>#N/A</v>
      </c>
      <c r="Z3257" s="94" t="e">
        <v>#N/A</v>
      </c>
    </row>
    <row r="3258" spans="22:26" x14ac:dyDescent="0.2">
      <c r="V3258" s="123" t="str">
        <f t="shared" si="61"/>
        <v>1w</v>
      </c>
      <c r="W3258" s="82">
        <f>_xll.qlCalendarAdvance(Calendar,W3257,V3258,"f",FALSE)</f>
        <v>61780</v>
      </c>
      <c r="X3258" s="91">
        <f>_xll.qlCalendarAdvance(Calendar,W3258,NDays&amp;"D")</f>
        <v>61780</v>
      </c>
      <c r="Y3258" s="92" t="e">
        <v>#N/A</v>
      </c>
      <c r="Z3258" s="94" t="e">
        <v>#N/A</v>
      </c>
    </row>
    <row r="3259" spans="22:26" x14ac:dyDescent="0.2">
      <c r="V3259" s="123" t="str">
        <f t="shared" si="61"/>
        <v>1w</v>
      </c>
      <c r="W3259" s="82">
        <f>_xll.qlCalendarAdvance(Calendar,W3258,V3259,"f",FALSE)</f>
        <v>61787</v>
      </c>
      <c r="X3259" s="91">
        <f>_xll.qlCalendarAdvance(Calendar,W3259,NDays&amp;"D")</f>
        <v>61787</v>
      </c>
      <c r="Y3259" s="92" t="e">
        <v>#N/A</v>
      </c>
      <c r="Z3259" s="94" t="e">
        <v>#N/A</v>
      </c>
    </row>
    <row r="3260" spans="22:26" x14ac:dyDescent="0.2">
      <c r="V3260" s="123" t="str">
        <f t="shared" si="61"/>
        <v>1w</v>
      </c>
      <c r="W3260" s="82">
        <f>_xll.qlCalendarAdvance(Calendar,W3259,V3260,"f",FALSE)</f>
        <v>61794</v>
      </c>
      <c r="X3260" s="91">
        <f>_xll.qlCalendarAdvance(Calendar,W3260,NDays&amp;"D")</f>
        <v>61794</v>
      </c>
      <c r="Y3260" s="92" t="e">
        <v>#N/A</v>
      </c>
      <c r="Z3260" s="94" t="e">
        <v>#N/A</v>
      </c>
    </row>
    <row r="3261" spans="22:26" x14ac:dyDescent="0.2">
      <c r="V3261" s="123" t="str">
        <f t="shared" si="61"/>
        <v>1w</v>
      </c>
      <c r="W3261" s="82">
        <f>_xll.qlCalendarAdvance(Calendar,W3260,V3261,"f",FALSE)</f>
        <v>61801</v>
      </c>
      <c r="X3261" s="91">
        <f>_xll.qlCalendarAdvance(Calendar,W3261,NDays&amp;"D")</f>
        <v>61801</v>
      </c>
      <c r="Y3261" s="92" t="e">
        <v>#N/A</v>
      </c>
      <c r="Z3261" s="94" t="e">
        <v>#N/A</v>
      </c>
    </row>
    <row r="3262" spans="22:26" x14ac:dyDescent="0.2">
      <c r="V3262" s="123" t="str">
        <f t="shared" si="61"/>
        <v>1w</v>
      </c>
      <c r="W3262" s="82">
        <f>_xll.qlCalendarAdvance(Calendar,W3261,V3262,"f",FALSE)</f>
        <v>61808</v>
      </c>
      <c r="X3262" s="91">
        <f>_xll.qlCalendarAdvance(Calendar,W3262,NDays&amp;"D")</f>
        <v>61808</v>
      </c>
      <c r="Y3262" s="92" t="e">
        <v>#N/A</v>
      </c>
      <c r="Z3262" s="94" t="e">
        <v>#N/A</v>
      </c>
    </row>
    <row r="3263" spans="22:26" x14ac:dyDescent="0.2">
      <c r="V3263" s="123" t="str">
        <f t="shared" si="61"/>
        <v>1w</v>
      </c>
      <c r="W3263" s="82">
        <f>_xll.qlCalendarAdvance(Calendar,W3262,V3263,"f",FALSE)</f>
        <v>61815</v>
      </c>
      <c r="X3263" s="91">
        <f>_xll.qlCalendarAdvance(Calendar,W3263,NDays&amp;"D")</f>
        <v>61815</v>
      </c>
      <c r="Y3263" s="92" t="e">
        <v>#N/A</v>
      </c>
      <c r="Z3263" s="94" t="e">
        <v>#N/A</v>
      </c>
    </row>
    <row r="3264" spans="22:26" x14ac:dyDescent="0.2">
      <c r="V3264" s="123" t="str">
        <f t="shared" si="61"/>
        <v>1w</v>
      </c>
      <c r="W3264" s="82">
        <f>_xll.qlCalendarAdvance(Calendar,W3263,V3264,"f",FALSE)</f>
        <v>61822</v>
      </c>
      <c r="X3264" s="91">
        <f>_xll.qlCalendarAdvance(Calendar,W3264,NDays&amp;"D")</f>
        <v>61822</v>
      </c>
      <c r="Y3264" s="92" t="e">
        <v>#N/A</v>
      </c>
      <c r="Z3264" s="94" t="e">
        <v>#N/A</v>
      </c>
    </row>
    <row r="3265" spans="22:26" x14ac:dyDescent="0.2">
      <c r="V3265" s="123" t="str">
        <f t="shared" si="61"/>
        <v>1w</v>
      </c>
      <c r="W3265" s="82">
        <f>_xll.qlCalendarAdvance(Calendar,W3264,V3265,"f",FALSE)</f>
        <v>61829</v>
      </c>
      <c r="X3265" s="91">
        <f>_xll.qlCalendarAdvance(Calendar,W3265,NDays&amp;"D")</f>
        <v>61829</v>
      </c>
      <c r="Y3265" s="92" t="e">
        <v>#N/A</v>
      </c>
      <c r="Z3265" s="94" t="e">
        <v>#N/A</v>
      </c>
    </row>
    <row r="3266" spans="22:26" x14ac:dyDescent="0.2">
      <c r="V3266" s="123" t="str">
        <f t="shared" si="61"/>
        <v>1w</v>
      </c>
      <c r="W3266" s="82">
        <f>_xll.qlCalendarAdvance(Calendar,W3265,V3266,"f",FALSE)</f>
        <v>61836</v>
      </c>
      <c r="X3266" s="91">
        <f>_xll.qlCalendarAdvance(Calendar,W3266,NDays&amp;"D")</f>
        <v>61836</v>
      </c>
      <c r="Y3266" s="92" t="e">
        <v>#N/A</v>
      </c>
      <c r="Z3266" s="94" t="e">
        <v>#N/A</v>
      </c>
    </row>
    <row r="3267" spans="22:26" x14ac:dyDescent="0.2">
      <c r="V3267" s="123" t="str">
        <f t="shared" si="61"/>
        <v>1w</v>
      </c>
      <c r="W3267" s="82">
        <f>_xll.qlCalendarAdvance(Calendar,W3266,V3267,"f",FALSE)</f>
        <v>61843</v>
      </c>
      <c r="X3267" s="91">
        <f>_xll.qlCalendarAdvance(Calendar,W3267,NDays&amp;"D")</f>
        <v>61843</v>
      </c>
      <c r="Y3267" s="92" t="e">
        <v>#N/A</v>
      </c>
      <c r="Z3267" s="94" t="e">
        <v>#N/A</v>
      </c>
    </row>
    <row r="3268" spans="22:26" x14ac:dyDescent="0.2">
      <c r="V3268" s="123" t="str">
        <f t="shared" si="61"/>
        <v>1w</v>
      </c>
      <c r="W3268" s="82">
        <f>_xll.qlCalendarAdvance(Calendar,W3267,V3268,"f",FALSE)</f>
        <v>61850</v>
      </c>
      <c r="X3268" s="91">
        <f>_xll.qlCalendarAdvance(Calendar,W3268,NDays&amp;"D")</f>
        <v>61850</v>
      </c>
      <c r="Y3268" s="92" t="e">
        <v>#N/A</v>
      </c>
      <c r="Z3268" s="94" t="e">
        <v>#N/A</v>
      </c>
    </row>
    <row r="3269" spans="22:26" x14ac:dyDescent="0.2">
      <c r="V3269" s="123" t="str">
        <f t="shared" si="61"/>
        <v>1w</v>
      </c>
      <c r="W3269" s="82">
        <f>_xll.qlCalendarAdvance(Calendar,W3268,V3269,"f",FALSE)</f>
        <v>61857</v>
      </c>
      <c r="X3269" s="91">
        <f>_xll.qlCalendarAdvance(Calendar,W3269,NDays&amp;"D")</f>
        <v>61857</v>
      </c>
      <c r="Y3269" s="92" t="e">
        <v>#N/A</v>
      </c>
      <c r="Z3269" s="94" t="e">
        <v>#N/A</v>
      </c>
    </row>
    <row r="3270" spans="22:26" x14ac:dyDescent="0.2">
      <c r="V3270" s="123" t="str">
        <f t="shared" si="61"/>
        <v>1w</v>
      </c>
      <c r="W3270" s="82">
        <f>_xll.qlCalendarAdvance(Calendar,W3269,V3270,"f",FALSE)</f>
        <v>61864</v>
      </c>
      <c r="X3270" s="91">
        <f>_xll.qlCalendarAdvance(Calendar,W3270,NDays&amp;"D")</f>
        <v>61864</v>
      </c>
      <c r="Y3270" s="92" t="e">
        <v>#N/A</v>
      </c>
      <c r="Z3270" s="94" t="e">
        <v>#N/A</v>
      </c>
    </row>
    <row r="3271" spans="22:26" x14ac:dyDescent="0.2">
      <c r="V3271" s="123" t="str">
        <f t="shared" si="61"/>
        <v>1w</v>
      </c>
      <c r="W3271" s="82">
        <f>_xll.qlCalendarAdvance(Calendar,W3270,V3271,"f",FALSE)</f>
        <v>61871</v>
      </c>
      <c r="X3271" s="91">
        <f>_xll.qlCalendarAdvance(Calendar,W3271,NDays&amp;"D")</f>
        <v>61871</v>
      </c>
      <c r="Y3271" s="92" t="e">
        <v>#N/A</v>
      </c>
      <c r="Z3271" s="94" t="e">
        <v>#N/A</v>
      </c>
    </row>
    <row r="3272" spans="22:26" x14ac:dyDescent="0.2">
      <c r="V3272" s="123" t="str">
        <f t="shared" si="61"/>
        <v>1w</v>
      </c>
      <c r="W3272" s="82">
        <f>_xll.qlCalendarAdvance(Calendar,W3271,V3272,"f",FALSE)</f>
        <v>61878</v>
      </c>
      <c r="X3272" s="91">
        <f>_xll.qlCalendarAdvance(Calendar,W3272,NDays&amp;"D")</f>
        <v>61878</v>
      </c>
      <c r="Y3272" s="92" t="e">
        <v>#N/A</v>
      </c>
      <c r="Z3272" s="94" t="e">
        <v>#N/A</v>
      </c>
    </row>
    <row r="3273" spans="22:26" x14ac:dyDescent="0.2">
      <c r="V3273" s="123" t="str">
        <f t="shared" si="61"/>
        <v>1w</v>
      </c>
      <c r="W3273" s="82">
        <f>_xll.qlCalendarAdvance(Calendar,W3272,V3273,"f",FALSE)</f>
        <v>61885</v>
      </c>
      <c r="X3273" s="91">
        <f>_xll.qlCalendarAdvance(Calendar,W3273,NDays&amp;"D")</f>
        <v>61885</v>
      </c>
      <c r="Y3273" s="92" t="e">
        <v>#N/A</v>
      </c>
      <c r="Z3273" s="94" t="e">
        <v>#N/A</v>
      </c>
    </row>
    <row r="3274" spans="22:26" x14ac:dyDescent="0.2">
      <c r="V3274" s="123" t="str">
        <f t="shared" si="61"/>
        <v>1w</v>
      </c>
      <c r="W3274" s="82">
        <f>_xll.qlCalendarAdvance(Calendar,W3273,V3274,"f",FALSE)</f>
        <v>61892</v>
      </c>
      <c r="X3274" s="91">
        <f>_xll.qlCalendarAdvance(Calendar,W3274,NDays&amp;"D")</f>
        <v>61892</v>
      </c>
      <c r="Y3274" s="92" t="e">
        <v>#N/A</v>
      </c>
      <c r="Z3274" s="94" t="e">
        <v>#N/A</v>
      </c>
    </row>
    <row r="3275" spans="22:26" x14ac:dyDescent="0.2">
      <c r="V3275" s="123" t="str">
        <f t="shared" si="61"/>
        <v>1w</v>
      </c>
      <c r="W3275" s="82">
        <f>_xll.qlCalendarAdvance(Calendar,W3274,V3275,"f",FALSE)</f>
        <v>61899</v>
      </c>
      <c r="X3275" s="91">
        <f>_xll.qlCalendarAdvance(Calendar,W3275,NDays&amp;"D")</f>
        <v>61899</v>
      </c>
      <c r="Y3275" s="92" t="e">
        <v>#N/A</v>
      </c>
      <c r="Z3275" s="94" t="e">
        <v>#N/A</v>
      </c>
    </row>
    <row r="3276" spans="22:26" x14ac:dyDescent="0.2">
      <c r="V3276" s="123" t="str">
        <f t="shared" si="61"/>
        <v>1w</v>
      </c>
      <c r="W3276" s="82">
        <f>_xll.qlCalendarAdvance(Calendar,W3275,V3276,"f",FALSE)</f>
        <v>61906</v>
      </c>
      <c r="X3276" s="91">
        <f>_xll.qlCalendarAdvance(Calendar,W3276,NDays&amp;"D")</f>
        <v>61906</v>
      </c>
      <c r="Y3276" s="92" t="e">
        <v>#N/A</v>
      </c>
      <c r="Z3276" s="94" t="e">
        <v>#N/A</v>
      </c>
    </row>
    <row r="3277" spans="22:26" x14ac:dyDescent="0.2">
      <c r="V3277" s="123" t="str">
        <f t="shared" si="61"/>
        <v>1w</v>
      </c>
      <c r="W3277" s="82">
        <f>_xll.qlCalendarAdvance(Calendar,W3276,V3277,"f",FALSE)</f>
        <v>61913</v>
      </c>
      <c r="X3277" s="91">
        <f>_xll.qlCalendarAdvance(Calendar,W3277,NDays&amp;"D")</f>
        <v>61913</v>
      </c>
      <c r="Y3277" s="92" t="e">
        <v>#N/A</v>
      </c>
      <c r="Z3277" s="94" t="e">
        <v>#N/A</v>
      </c>
    </row>
    <row r="3278" spans="22:26" x14ac:dyDescent="0.2">
      <c r="V3278" s="123" t="str">
        <f t="shared" si="61"/>
        <v>1w</v>
      </c>
      <c r="W3278" s="82">
        <f>_xll.qlCalendarAdvance(Calendar,W3277,V3278,"f",FALSE)</f>
        <v>61920</v>
      </c>
      <c r="X3278" s="91">
        <f>_xll.qlCalendarAdvance(Calendar,W3278,NDays&amp;"D")</f>
        <v>61920</v>
      </c>
      <c r="Y3278" s="92" t="e">
        <v>#N/A</v>
      </c>
      <c r="Z3278" s="94" t="e">
        <v>#N/A</v>
      </c>
    </row>
    <row r="3279" spans="22:26" x14ac:dyDescent="0.2">
      <c r="V3279" s="123" t="str">
        <f t="shared" si="61"/>
        <v>1w</v>
      </c>
      <c r="W3279" s="82">
        <f>_xll.qlCalendarAdvance(Calendar,W3278,V3279,"f",FALSE)</f>
        <v>61927</v>
      </c>
      <c r="X3279" s="91">
        <f>_xll.qlCalendarAdvance(Calendar,W3279,NDays&amp;"D")</f>
        <v>61927</v>
      </c>
      <c r="Y3279" s="92" t="e">
        <v>#N/A</v>
      </c>
      <c r="Z3279" s="94" t="e">
        <v>#N/A</v>
      </c>
    </row>
    <row r="3280" spans="22:26" x14ac:dyDescent="0.2">
      <c r="V3280" s="123" t="str">
        <f t="shared" si="61"/>
        <v>1w</v>
      </c>
      <c r="W3280" s="82">
        <f>_xll.qlCalendarAdvance(Calendar,W3279,V3280,"f",FALSE)</f>
        <v>61934</v>
      </c>
      <c r="X3280" s="91">
        <f>_xll.qlCalendarAdvance(Calendar,W3280,NDays&amp;"D")</f>
        <v>61934</v>
      </c>
      <c r="Y3280" s="92" t="e">
        <v>#N/A</v>
      </c>
      <c r="Z3280" s="94" t="e">
        <v>#N/A</v>
      </c>
    </row>
    <row r="3281" spans="22:26" x14ac:dyDescent="0.2">
      <c r="V3281" s="123" t="str">
        <f t="shared" si="61"/>
        <v>1w</v>
      </c>
      <c r="W3281" s="82">
        <f>_xll.qlCalendarAdvance(Calendar,W3280,V3281,"f",FALSE)</f>
        <v>61941</v>
      </c>
      <c r="X3281" s="91">
        <f>_xll.qlCalendarAdvance(Calendar,W3281,NDays&amp;"D")</f>
        <v>61941</v>
      </c>
      <c r="Y3281" s="92" t="e">
        <v>#N/A</v>
      </c>
      <c r="Z3281" s="94" t="e">
        <v>#N/A</v>
      </c>
    </row>
    <row r="3282" spans="22:26" x14ac:dyDescent="0.2">
      <c r="V3282" s="123" t="str">
        <f t="shared" si="61"/>
        <v>1w</v>
      </c>
      <c r="W3282" s="82">
        <f>_xll.qlCalendarAdvance(Calendar,W3281,V3282,"f",FALSE)</f>
        <v>61948</v>
      </c>
      <c r="X3282" s="91">
        <f>_xll.qlCalendarAdvance(Calendar,W3282,NDays&amp;"D")</f>
        <v>61948</v>
      </c>
      <c r="Y3282" s="92" t="e">
        <v>#N/A</v>
      </c>
      <c r="Z3282" s="94" t="e">
        <v>#N/A</v>
      </c>
    </row>
    <row r="3283" spans="22:26" x14ac:dyDescent="0.2">
      <c r="V3283" s="123" t="str">
        <f t="shared" si="61"/>
        <v>1w</v>
      </c>
      <c r="W3283" s="82">
        <f>_xll.qlCalendarAdvance(Calendar,W3282,V3283,"f",FALSE)</f>
        <v>61955</v>
      </c>
      <c r="X3283" s="91">
        <f>_xll.qlCalendarAdvance(Calendar,W3283,NDays&amp;"D")</f>
        <v>61955</v>
      </c>
      <c r="Y3283" s="92" t="e">
        <v>#N/A</v>
      </c>
      <c r="Z3283" s="94" t="e">
        <v>#N/A</v>
      </c>
    </row>
    <row r="3284" spans="22:26" x14ac:dyDescent="0.2">
      <c r="V3284" s="123" t="str">
        <f t="shared" si="61"/>
        <v>1w</v>
      </c>
      <c r="W3284" s="82">
        <f>_xll.qlCalendarAdvance(Calendar,W3283,V3284,"f",FALSE)</f>
        <v>61962</v>
      </c>
      <c r="X3284" s="91">
        <f>_xll.qlCalendarAdvance(Calendar,W3284,NDays&amp;"D")</f>
        <v>61962</v>
      </c>
      <c r="Y3284" s="92" t="e">
        <v>#N/A</v>
      </c>
      <c r="Z3284" s="94" t="e">
        <v>#N/A</v>
      </c>
    </row>
    <row r="3285" spans="22:26" x14ac:dyDescent="0.2">
      <c r="V3285" s="123" t="str">
        <f t="shared" ref="V3285:V3348" si="62">V3284</f>
        <v>1w</v>
      </c>
      <c r="W3285" s="82">
        <f>_xll.qlCalendarAdvance(Calendar,W3284,V3285,"f",FALSE)</f>
        <v>61969</v>
      </c>
      <c r="X3285" s="91">
        <f>_xll.qlCalendarAdvance(Calendar,W3285,NDays&amp;"D")</f>
        <v>61969</v>
      </c>
      <c r="Y3285" s="92" t="e">
        <v>#N/A</v>
      </c>
      <c r="Z3285" s="94" t="e">
        <v>#N/A</v>
      </c>
    </row>
    <row r="3286" spans="22:26" x14ac:dyDescent="0.2">
      <c r="V3286" s="123" t="str">
        <f t="shared" si="62"/>
        <v>1w</v>
      </c>
      <c r="W3286" s="82">
        <f>_xll.qlCalendarAdvance(Calendar,W3285,V3286,"f",FALSE)</f>
        <v>61976</v>
      </c>
      <c r="X3286" s="91">
        <f>_xll.qlCalendarAdvance(Calendar,W3286,NDays&amp;"D")</f>
        <v>61976</v>
      </c>
      <c r="Y3286" s="92" t="e">
        <v>#N/A</v>
      </c>
      <c r="Z3286" s="94" t="e">
        <v>#N/A</v>
      </c>
    </row>
    <row r="3287" spans="22:26" x14ac:dyDescent="0.2">
      <c r="V3287" s="123" t="str">
        <f t="shared" si="62"/>
        <v>1w</v>
      </c>
      <c r="W3287" s="82">
        <f>_xll.qlCalendarAdvance(Calendar,W3286,V3287,"f",FALSE)</f>
        <v>61983</v>
      </c>
      <c r="X3287" s="91">
        <f>_xll.qlCalendarAdvance(Calendar,W3287,NDays&amp;"D")</f>
        <v>61983</v>
      </c>
      <c r="Y3287" s="92" t="e">
        <v>#N/A</v>
      </c>
      <c r="Z3287" s="94" t="e">
        <v>#N/A</v>
      </c>
    </row>
    <row r="3288" spans="22:26" x14ac:dyDescent="0.2">
      <c r="V3288" s="123" t="str">
        <f t="shared" si="62"/>
        <v>1w</v>
      </c>
      <c r="W3288" s="82">
        <f>_xll.qlCalendarAdvance(Calendar,W3287,V3288,"f",FALSE)</f>
        <v>61990</v>
      </c>
      <c r="X3288" s="91">
        <f>_xll.qlCalendarAdvance(Calendar,W3288,NDays&amp;"D")</f>
        <v>61990</v>
      </c>
      <c r="Y3288" s="92" t="e">
        <v>#N/A</v>
      </c>
      <c r="Z3288" s="94" t="e">
        <v>#N/A</v>
      </c>
    </row>
    <row r="3289" spans="22:26" x14ac:dyDescent="0.2">
      <c r="V3289" s="123" t="str">
        <f t="shared" si="62"/>
        <v>1w</v>
      </c>
      <c r="W3289" s="82">
        <f>_xll.qlCalendarAdvance(Calendar,W3288,V3289,"f",FALSE)</f>
        <v>61997</v>
      </c>
      <c r="X3289" s="91">
        <f>_xll.qlCalendarAdvance(Calendar,W3289,NDays&amp;"D")</f>
        <v>61997</v>
      </c>
      <c r="Y3289" s="92" t="e">
        <v>#N/A</v>
      </c>
      <c r="Z3289" s="94" t="e">
        <v>#N/A</v>
      </c>
    </row>
    <row r="3290" spans="22:26" x14ac:dyDescent="0.2">
      <c r="V3290" s="123" t="str">
        <f t="shared" si="62"/>
        <v>1w</v>
      </c>
      <c r="W3290" s="82">
        <f>_xll.qlCalendarAdvance(Calendar,W3289,V3290,"f",FALSE)</f>
        <v>62004</v>
      </c>
      <c r="X3290" s="91">
        <f>_xll.qlCalendarAdvance(Calendar,W3290,NDays&amp;"D")</f>
        <v>62004</v>
      </c>
      <c r="Y3290" s="92" t="e">
        <v>#N/A</v>
      </c>
      <c r="Z3290" s="94" t="e">
        <v>#N/A</v>
      </c>
    </row>
    <row r="3291" spans="22:26" x14ac:dyDescent="0.2">
      <c r="V3291" s="123" t="str">
        <f t="shared" si="62"/>
        <v>1w</v>
      </c>
      <c r="W3291" s="82">
        <f>_xll.qlCalendarAdvance(Calendar,W3290,V3291,"f",FALSE)</f>
        <v>62011</v>
      </c>
      <c r="X3291" s="91">
        <f>_xll.qlCalendarAdvance(Calendar,W3291,NDays&amp;"D")</f>
        <v>62011</v>
      </c>
      <c r="Y3291" s="92" t="e">
        <v>#N/A</v>
      </c>
      <c r="Z3291" s="94" t="e">
        <v>#N/A</v>
      </c>
    </row>
    <row r="3292" spans="22:26" x14ac:dyDescent="0.2">
      <c r="V3292" s="123" t="str">
        <f t="shared" si="62"/>
        <v>1w</v>
      </c>
      <c r="W3292" s="82">
        <f>_xll.qlCalendarAdvance(Calendar,W3291,V3292,"f",FALSE)</f>
        <v>62018</v>
      </c>
      <c r="X3292" s="91">
        <f>_xll.qlCalendarAdvance(Calendar,W3292,NDays&amp;"D")</f>
        <v>62018</v>
      </c>
      <c r="Y3292" s="92" t="e">
        <v>#N/A</v>
      </c>
      <c r="Z3292" s="94" t="e">
        <v>#N/A</v>
      </c>
    </row>
    <row r="3293" spans="22:26" x14ac:dyDescent="0.2">
      <c r="V3293" s="123" t="str">
        <f t="shared" si="62"/>
        <v>1w</v>
      </c>
      <c r="W3293" s="82">
        <f>_xll.qlCalendarAdvance(Calendar,W3292,V3293,"f",FALSE)</f>
        <v>62025</v>
      </c>
      <c r="X3293" s="91">
        <f>_xll.qlCalendarAdvance(Calendar,W3293,NDays&amp;"D")</f>
        <v>62025</v>
      </c>
      <c r="Y3293" s="92" t="e">
        <v>#N/A</v>
      </c>
      <c r="Z3293" s="94" t="e">
        <v>#N/A</v>
      </c>
    </row>
    <row r="3294" spans="22:26" x14ac:dyDescent="0.2">
      <c r="V3294" s="123" t="str">
        <f t="shared" si="62"/>
        <v>1w</v>
      </c>
      <c r="W3294" s="82">
        <f>_xll.qlCalendarAdvance(Calendar,W3293,V3294,"f",FALSE)</f>
        <v>62032</v>
      </c>
      <c r="X3294" s="91">
        <f>_xll.qlCalendarAdvance(Calendar,W3294,NDays&amp;"D")</f>
        <v>62032</v>
      </c>
      <c r="Y3294" s="92" t="e">
        <v>#N/A</v>
      </c>
      <c r="Z3294" s="94" t="e">
        <v>#N/A</v>
      </c>
    </row>
    <row r="3295" spans="22:26" x14ac:dyDescent="0.2">
      <c r="V3295" s="123" t="str">
        <f t="shared" si="62"/>
        <v>1w</v>
      </c>
      <c r="W3295" s="82">
        <f>_xll.qlCalendarAdvance(Calendar,W3294,V3295,"f",FALSE)</f>
        <v>62039</v>
      </c>
      <c r="X3295" s="91">
        <f>_xll.qlCalendarAdvance(Calendar,W3295,NDays&amp;"D")</f>
        <v>62039</v>
      </c>
      <c r="Y3295" s="92" t="e">
        <v>#N/A</v>
      </c>
      <c r="Z3295" s="94" t="e">
        <v>#N/A</v>
      </c>
    </row>
    <row r="3296" spans="22:26" x14ac:dyDescent="0.2">
      <c r="V3296" s="123" t="str">
        <f t="shared" si="62"/>
        <v>1w</v>
      </c>
      <c r="W3296" s="82">
        <f>_xll.qlCalendarAdvance(Calendar,W3295,V3296,"f",FALSE)</f>
        <v>62046</v>
      </c>
      <c r="X3296" s="91">
        <f>_xll.qlCalendarAdvance(Calendar,W3296,NDays&amp;"D")</f>
        <v>62046</v>
      </c>
      <c r="Y3296" s="92" t="e">
        <v>#N/A</v>
      </c>
      <c r="Z3296" s="94" t="e">
        <v>#N/A</v>
      </c>
    </row>
    <row r="3297" spans="22:26" x14ac:dyDescent="0.2">
      <c r="V3297" s="123" t="str">
        <f t="shared" si="62"/>
        <v>1w</v>
      </c>
      <c r="W3297" s="82">
        <f>_xll.qlCalendarAdvance(Calendar,W3296,V3297,"f",FALSE)</f>
        <v>62053</v>
      </c>
      <c r="X3297" s="91">
        <f>_xll.qlCalendarAdvance(Calendar,W3297,NDays&amp;"D")</f>
        <v>62053</v>
      </c>
      <c r="Y3297" s="92" t="e">
        <v>#N/A</v>
      </c>
      <c r="Z3297" s="94" t="e">
        <v>#N/A</v>
      </c>
    </row>
    <row r="3298" spans="22:26" x14ac:dyDescent="0.2">
      <c r="V3298" s="123" t="str">
        <f t="shared" si="62"/>
        <v>1w</v>
      </c>
      <c r="W3298" s="82">
        <f>_xll.qlCalendarAdvance(Calendar,W3297,V3298,"f",FALSE)</f>
        <v>62060</v>
      </c>
      <c r="X3298" s="91">
        <f>_xll.qlCalendarAdvance(Calendar,W3298,NDays&amp;"D")</f>
        <v>62060</v>
      </c>
      <c r="Y3298" s="92" t="e">
        <v>#N/A</v>
      </c>
      <c r="Z3298" s="94" t="e">
        <v>#N/A</v>
      </c>
    </row>
    <row r="3299" spans="22:26" x14ac:dyDescent="0.2">
      <c r="V3299" s="123" t="str">
        <f t="shared" si="62"/>
        <v>1w</v>
      </c>
      <c r="W3299" s="82">
        <f>_xll.qlCalendarAdvance(Calendar,W3298,V3299,"f",FALSE)</f>
        <v>62067</v>
      </c>
      <c r="X3299" s="91">
        <f>_xll.qlCalendarAdvance(Calendar,W3299,NDays&amp;"D")</f>
        <v>62067</v>
      </c>
      <c r="Y3299" s="92" t="e">
        <v>#N/A</v>
      </c>
      <c r="Z3299" s="94" t="e">
        <v>#N/A</v>
      </c>
    </row>
    <row r="3300" spans="22:26" x14ac:dyDescent="0.2">
      <c r="V3300" s="123" t="str">
        <f t="shared" si="62"/>
        <v>1w</v>
      </c>
      <c r="W3300" s="82">
        <f>_xll.qlCalendarAdvance(Calendar,W3299,V3300,"f",FALSE)</f>
        <v>62074</v>
      </c>
      <c r="X3300" s="91">
        <f>_xll.qlCalendarAdvance(Calendar,W3300,NDays&amp;"D")</f>
        <v>62074</v>
      </c>
      <c r="Y3300" s="92" t="e">
        <v>#N/A</v>
      </c>
      <c r="Z3300" s="94" t="e">
        <v>#N/A</v>
      </c>
    </row>
    <row r="3301" spans="22:26" x14ac:dyDescent="0.2">
      <c r="V3301" s="123" t="str">
        <f t="shared" si="62"/>
        <v>1w</v>
      </c>
      <c r="W3301" s="82">
        <f>_xll.qlCalendarAdvance(Calendar,W3300,V3301,"f",FALSE)</f>
        <v>62081</v>
      </c>
      <c r="X3301" s="91">
        <f>_xll.qlCalendarAdvance(Calendar,W3301,NDays&amp;"D")</f>
        <v>62081</v>
      </c>
      <c r="Y3301" s="92" t="e">
        <v>#N/A</v>
      </c>
      <c r="Z3301" s="94" t="e">
        <v>#N/A</v>
      </c>
    </row>
    <row r="3302" spans="22:26" x14ac:dyDescent="0.2">
      <c r="V3302" s="123" t="str">
        <f t="shared" si="62"/>
        <v>1w</v>
      </c>
      <c r="W3302" s="82">
        <f>_xll.qlCalendarAdvance(Calendar,W3301,V3302,"f",FALSE)</f>
        <v>62089</v>
      </c>
      <c r="X3302" s="91">
        <f>_xll.qlCalendarAdvance(Calendar,W3302,NDays&amp;"D")</f>
        <v>62089</v>
      </c>
      <c r="Y3302" s="92" t="e">
        <v>#N/A</v>
      </c>
      <c r="Z3302" s="94" t="e">
        <v>#N/A</v>
      </c>
    </row>
    <row r="3303" spans="22:26" x14ac:dyDescent="0.2">
      <c r="V3303" s="123" t="str">
        <f t="shared" si="62"/>
        <v>1w</v>
      </c>
      <c r="W3303" s="82">
        <f>_xll.qlCalendarAdvance(Calendar,W3302,V3303,"f",FALSE)</f>
        <v>62096</v>
      </c>
      <c r="X3303" s="91">
        <f>_xll.qlCalendarAdvance(Calendar,W3303,NDays&amp;"D")</f>
        <v>62096</v>
      </c>
      <c r="Y3303" s="92" t="e">
        <v>#N/A</v>
      </c>
      <c r="Z3303" s="94" t="e">
        <v>#N/A</v>
      </c>
    </row>
    <row r="3304" spans="22:26" x14ac:dyDescent="0.2">
      <c r="V3304" s="123" t="str">
        <f t="shared" si="62"/>
        <v>1w</v>
      </c>
      <c r="W3304" s="82">
        <f>_xll.qlCalendarAdvance(Calendar,W3303,V3304,"f",FALSE)</f>
        <v>62103</v>
      </c>
      <c r="X3304" s="91">
        <f>_xll.qlCalendarAdvance(Calendar,W3304,NDays&amp;"D")</f>
        <v>62103</v>
      </c>
      <c r="Y3304" s="92" t="e">
        <v>#N/A</v>
      </c>
      <c r="Z3304" s="94" t="e">
        <v>#N/A</v>
      </c>
    </row>
    <row r="3305" spans="22:26" x14ac:dyDescent="0.2">
      <c r="V3305" s="123" t="str">
        <f t="shared" si="62"/>
        <v>1w</v>
      </c>
      <c r="W3305" s="82">
        <f>_xll.qlCalendarAdvance(Calendar,W3304,V3305,"f",FALSE)</f>
        <v>62110</v>
      </c>
      <c r="X3305" s="91">
        <f>_xll.qlCalendarAdvance(Calendar,W3305,NDays&amp;"D")</f>
        <v>62110</v>
      </c>
      <c r="Y3305" s="92" t="e">
        <v>#N/A</v>
      </c>
      <c r="Z3305" s="94" t="e">
        <v>#N/A</v>
      </c>
    </row>
    <row r="3306" spans="22:26" x14ac:dyDescent="0.2">
      <c r="V3306" s="123" t="str">
        <f t="shared" si="62"/>
        <v>1w</v>
      </c>
      <c r="W3306" s="82">
        <f>_xll.qlCalendarAdvance(Calendar,W3305,V3306,"f",FALSE)</f>
        <v>62117</v>
      </c>
      <c r="X3306" s="91">
        <f>_xll.qlCalendarAdvance(Calendar,W3306,NDays&amp;"D")</f>
        <v>62117</v>
      </c>
      <c r="Y3306" s="92" t="e">
        <v>#N/A</v>
      </c>
      <c r="Z3306" s="94" t="e">
        <v>#N/A</v>
      </c>
    </row>
    <row r="3307" spans="22:26" x14ac:dyDescent="0.2">
      <c r="V3307" s="123" t="str">
        <f t="shared" si="62"/>
        <v>1w</v>
      </c>
      <c r="W3307" s="82">
        <f>_xll.qlCalendarAdvance(Calendar,W3306,V3307,"f",FALSE)</f>
        <v>62124</v>
      </c>
      <c r="X3307" s="91">
        <f>_xll.qlCalendarAdvance(Calendar,W3307,NDays&amp;"D")</f>
        <v>62124</v>
      </c>
      <c r="Y3307" s="92" t="e">
        <v>#N/A</v>
      </c>
      <c r="Z3307" s="94" t="e">
        <v>#N/A</v>
      </c>
    </row>
    <row r="3308" spans="22:26" x14ac:dyDescent="0.2">
      <c r="V3308" s="123" t="str">
        <f t="shared" si="62"/>
        <v>1w</v>
      </c>
      <c r="W3308" s="82">
        <f>_xll.qlCalendarAdvance(Calendar,W3307,V3308,"f",FALSE)</f>
        <v>62131</v>
      </c>
      <c r="X3308" s="91">
        <f>_xll.qlCalendarAdvance(Calendar,W3308,NDays&amp;"D")</f>
        <v>62131</v>
      </c>
      <c r="Y3308" s="92" t="e">
        <v>#N/A</v>
      </c>
      <c r="Z3308" s="94" t="e">
        <v>#N/A</v>
      </c>
    </row>
    <row r="3309" spans="22:26" x14ac:dyDescent="0.2">
      <c r="V3309" s="123" t="str">
        <f t="shared" si="62"/>
        <v>1w</v>
      </c>
      <c r="W3309" s="82">
        <f>_xll.qlCalendarAdvance(Calendar,W3308,V3309,"f",FALSE)</f>
        <v>62138</v>
      </c>
      <c r="X3309" s="91">
        <f>_xll.qlCalendarAdvance(Calendar,W3309,NDays&amp;"D")</f>
        <v>62138</v>
      </c>
      <c r="Y3309" s="92" t="e">
        <v>#N/A</v>
      </c>
      <c r="Z3309" s="94" t="e">
        <v>#N/A</v>
      </c>
    </row>
    <row r="3310" spans="22:26" x14ac:dyDescent="0.2">
      <c r="V3310" s="123" t="str">
        <f t="shared" si="62"/>
        <v>1w</v>
      </c>
      <c r="W3310" s="82">
        <f>_xll.qlCalendarAdvance(Calendar,W3309,V3310,"f",FALSE)</f>
        <v>62145</v>
      </c>
      <c r="X3310" s="91">
        <f>_xll.qlCalendarAdvance(Calendar,W3310,NDays&amp;"D")</f>
        <v>62145</v>
      </c>
      <c r="Y3310" s="92" t="e">
        <v>#N/A</v>
      </c>
      <c r="Z3310" s="94" t="e">
        <v>#N/A</v>
      </c>
    </row>
    <row r="3311" spans="22:26" x14ac:dyDescent="0.2">
      <c r="V3311" s="123" t="str">
        <f t="shared" si="62"/>
        <v>1w</v>
      </c>
      <c r="W3311" s="82">
        <f>_xll.qlCalendarAdvance(Calendar,W3310,V3311,"f",FALSE)</f>
        <v>62152</v>
      </c>
      <c r="X3311" s="91">
        <f>_xll.qlCalendarAdvance(Calendar,W3311,NDays&amp;"D")</f>
        <v>62152</v>
      </c>
      <c r="Y3311" s="92" t="e">
        <v>#N/A</v>
      </c>
      <c r="Z3311" s="94" t="e">
        <v>#N/A</v>
      </c>
    </row>
    <row r="3312" spans="22:26" x14ac:dyDescent="0.2">
      <c r="V3312" s="123" t="str">
        <f t="shared" si="62"/>
        <v>1w</v>
      </c>
      <c r="W3312" s="82">
        <f>_xll.qlCalendarAdvance(Calendar,W3311,V3312,"f",FALSE)</f>
        <v>62159</v>
      </c>
      <c r="X3312" s="91">
        <f>_xll.qlCalendarAdvance(Calendar,W3312,NDays&amp;"D")</f>
        <v>62159</v>
      </c>
      <c r="Y3312" s="92" t="e">
        <v>#N/A</v>
      </c>
      <c r="Z3312" s="94" t="e">
        <v>#N/A</v>
      </c>
    </row>
    <row r="3313" spans="22:26" x14ac:dyDescent="0.2">
      <c r="V3313" s="123" t="str">
        <f t="shared" si="62"/>
        <v>1w</v>
      </c>
      <c r="W3313" s="82">
        <f>_xll.qlCalendarAdvance(Calendar,W3312,V3313,"f",FALSE)</f>
        <v>62166</v>
      </c>
      <c r="X3313" s="91">
        <f>_xll.qlCalendarAdvance(Calendar,W3313,NDays&amp;"D")</f>
        <v>62166</v>
      </c>
      <c r="Y3313" s="92" t="e">
        <v>#N/A</v>
      </c>
      <c r="Z3313" s="94" t="e">
        <v>#N/A</v>
      </c>
    </row>
    <row r="3314" spans="22:26" x14ac:dyDescent="0.2">
      <c r="V3314" s="123" t="str">
        <f t="shared" si="62"/>
        <v>1w</v>
      </c>
      <c r="W3314" s="82">
        <f>_xll.qlCalendarAdvance(Calendar,W3313,V3314,"f",FALSE)</f>
        <v>62173</v>
      </c>
      <c r="X3314" s="91">
        <f>_xll.qlCalendarAdvance(Calendar,W3314,NDays&amp;"D")</f>
        <v>62173</v>
      </c>
      <c r="Y3314" s="92" t="e">
        <v>#N/A</v>
      </c>
      <c r="Z3314" s="94" t="e">
        <v>#N/A</v>
      </c>
    </row>
    <row r="3315" spans="22:26" x14ac:dyDescent="0.2">
      <c r="V3315" s="123" t="str">
        <f t="shared" si="62"/>
        <v>1w</v>
      </c>
      <c r="W3315" s="82">
        <f>_xll.qlCalendarAdvance(Calendar,W3314,V3315,"f",FALSE)</f>
        <v>62184</v>
      </c>
      <c r="X3315" s="91">
        <f>_xll.qlCalendarAdvance(Calendar,W3315,NDays&amp;"D")</f>
        <v>62184</v>
      </c>
      <c r="Y3315" s="92" t="e">
        <v>#N/A</v>
      </c>
      <c r="Z3315" s="94" t="e">
        <v>#N/A</v>
      </c>
    </row>
    <row r="3316" spans="22:26" x14ac:dyDescent="0.2">
      <c r="V3316" s="123" t="str">
        <f t="shared" si="62"/>
        <v>1w</v>
      </c>
      <c r="W3316" s="82">
        <f>_xll.qlCalendarAdvance(Calendar,W3315,V3316,"f",FALSE)</f>
        <v>62191</v>
      </c>
      <c r="X3316" s="91">
        <f>_xll.qlCalendarAdvance(Calendar,W3316,NDays&amp;"D")</f>
        <v>62191</v>
      </c>
      <c r="Y3316" s="92" t="e">
        <v>#N/A</v>
      </c>
      <c r="Z3316" s="94" t="e">
        <v>#N/A</v>
      </c>
    </row>
    <row r="3317" spans="22:26" x14ac:dyDescent="0.2">
      <c r="V3317" s="123" t="str">
        <f t="shared" si="62"/>
        <v>1w</v>
      </c>
      <c r="W3317" s="82">
        <f>_xll.qlCalendarAdvance(Calendar,W3316,V3317,"f",FALSE)</f>
        <v>62198</v>
      </c>
      <c r="X3317" s="91">
        <f>_xll.qlCalendarAdvance(Calendar,W3317,NDays&amp;"D")</f>
        <v>62198</v>
      </c>
      <c r="Y3317" s="92" t="e">
        <v>#N/A</v>
      </c>
      <c r="Z3317" s="94" t="e">
        <v>#N/A</v>
      </c>
    </row>
    <row r="3318" spans="22:26" x14ac:dyDescent="0.2">
      <c r="V3318" s="123" t="str">
        <f t="shared" si="62"/>
        <v>1w</v>
      </c>
      <c r="W3318" s="82">
        <f>_xll.qlCalendarAdvance(Calendar,W3317,V3318,"f",FALSE)</f>
        <v>62205</v>
      </c>
      <c r="X3318" s="91">
        <f>_xll.qlCalendarAdvance(Calendar,W3318,NDays&amp;"D")</f>
        <v>62205</v>
      </c>
      <c r="Y3318" s="92" t="e">
        <v>#N/A</v>
      </c>
      <c r="Z3318" s="94" t="e">
        <v>#N/A</v>
      </c>
    </row>
    <row r="3319" spans="22:26" x14ac:dyDescent="0.2">
      <c r="V3319" s="123" t="str">
        <f t="shared" si="62"/>
        <v>1w</v>
      </c>
      <c r="W3319" s="82">
        <f>_xll.qlCalendarAdvance(Calendar,W3318,V3319,"f",FALSE)</f>
        <v>62212</v>
      </c>
      <c r="X3319" s="91">
        <f>_xll.qlCalendarAdvance(Calendar,W3319,NDays&amp;"D")</f>
        <v>62212</v>
      </c>
      <c r="Y3319" s="92" t="e">
        <v>#N/A</v>
      </c>
      <c r="Z3319" s="94" t="e">
        <v>#N/A</v>
      </c>
    </row>
    <row r="3320" spans="22:26" x14ac:dyDescent="0.2">
      <c r="V3320" s="123" t="str">
        <f t="shared" si="62"/>
        <v>1w</v>
      </c>
      <c r="W3320" s="82">
        <f>_xll.qlCalendarAdvance(Calendar,W3319,V3320,"f",FALSE)</f>
        <v>62219</v>
      </c>
      <c r="X3320" s="91">
        <f>_xll.qlCalendarAdvance(Calendar,W3320,NDays&amp;"D")</f>
        <v>62219</v>
      </c>
      <c r="Y3320" s="92" t="e">
        <v>#N/A</v>
      </c>
      <c r="Z3320" s="94" t="e">
        <v>#N/A</v>
      </c>
    </row>
    <row r="3321" spans="22:26" x14ac:dyDescent="0.2">
      <c r="V3321" s="123" t="str">
        <f t="shared" si="62"/>
        <v>1w</v>
      </c>
      <c r="W3321" s="82">
        <f>_xll.qlCalendarAdvance(Calendar,W3320,V3321,"f",FALSE)</f>
        <v>62226</v>
      </c>
      <c r="X3321" s="91">
        <f>_xll.qlCalendarAdvance(Calendar,W3321,NDays&amp;"D")</f>
        <v>62226</v>
      </c>
      <c r="Y3321" s="92" t="e">
        <v>#N/A</v>
      </c>
      <c r="Z3321" s="94" t="e">
        <v>#N/A</v>
      </c>
    </row>
    <row r="3322" spans="22:26" x14ac:dyDescent="0.2">
      <c r="V3322" s="123" t="str">
        <f t="shared" si="62"/>
        <v>1w</v>
      </c>
      <c r="W3322" s="82">
        <f>_xll.qlCalendarAdvance(Calendar,W3321,V3322,"f",FALSE)</f>
        <v>62233</v>
      </c>
      <c r="X3322" s="91">
        <f>_xll.qlCalendarAdvance(Calendar,W3322,NDays&amp;"D")</f>
        <v>62233</v>
      </c>
      <c r="Y3322" s="92" t="e">
        <v>#N/A</v>
      </c>
      <c r="Z3322" s="94" t="e">
        <v>#N/A</v>
      </c>
    </row>
    <row r="3323" spans="22:26" x14ac:dyDescent="0.2">
      <c r="V3323" s="123" t="str">
        <f t="shared" si="62"/>
        <v>1w</v>
      </c>
      <c r="W3323" s="82">
        <f>_xll.qlCalendarAdvance(Calendar,W3322,V3323,"f",FALSE)</f>
        <v>62240</v>
      </c>
      <c r="X3323" s="91">
        <f>_xll.qlCalendarAdvance(Calendar,W3323,NDays&amp;"D")</f>
        <v>62240</v>
      </c>
      <c r="Y3323" s="92" t="e">
        <v>#N/A</v>
      </c>
      <c r="Z3323" s="94" t="e">
        <v>#N/A</v>
      </c>
    </row>
    <row r="3324" spans="22:26" x14ac:dyDescent="0.2">
      <c r="V3324" s="123" t="str">
        <f t="shared" si="62"/>
        <v>1w</v>
      </c>
      <c r="W3324" s="82">
        <f>_xll.qlCalendarAdvance(Calendar,W3323,V3324,"f",FALSE)</f>
        <v>62247</v>
      </c>
      <c r="X3324" s="91">
        <f>_xll.qlCalendarAdvance(Calendar,W3324,NDays&amp;"D")</f>
        <v>62247</v>
      </c>
      <c r="Y3324" s="92" t="e">
        <v>#N/A</v>
      </c>
      <c r="Z3324" s="94" t="e">
        <v>#N/A</v>
      </c>
    </row>
    <row r="3325" spans="22:26" x14ac:dyDescent="0.2">
      <c r="V3325" s="123" t="str">
        <f t="shared" si="62"/>
        <v>1w</v>
      </c>
      <c r="W3325" s="82">
        <f>_xll.qlCalendarAdvance(Calendar,W3324,V3325,"f",FALSE)</f>
        <v>62254</v>
      </c>
      <c r="X3325" s="91">
        <f>_xll.qlCalendarAdvance(Calendar,W3325,NDays&amp;"D")</f>
        <v>62254</v>
      </c>
      <c r="Y3325" s="92" t="e">
        <v>#N/A</v>
      </c>
      <c r="Z3325" s="94" t="e">
        <v>#N/A</v>
      </c>
    </row>
    <row r="3326" spans="22:26" x14ac:dyDescent="0.2">
      <c r="V3326" s="123" t="str">
        <f t="shared" si="62"/>
        <v>1w</v>
      </c>
      <c r="W3326" s="82">
        <f>_xll.qlCalendarAdvance(Calendar,W3325,V3326,"f",FALSE)</f>
        <v>62261</v>
      </c>
      <c r="X3326" s="91">
        <f>_xll.qlCalendarAdvance(Calendar,W3326,NDays&amp;"D")</f>
        <v>62261</v>
      </c>
      <c r="Y3326" s="92" t="e">
        <v>#N/A</v>
      </c>
      <c r="Z3326" s="94" t="e">
        <v>#N/A</v>
      </c>
    </row>
    <row r="3327" spans="22:26" x14ac:dyDescent="0.2">
      <c r="V3327" s="123" t="str">
        <f t="shared" si="62"/>
        <v>1w</v>
      </c>
      <c r="W3327" s="82">
        <f>_xll.qlCalendarAdvance(Calendar,W3326,V3327,"f",FALSE)</f>
        <v>62268</v>
      </c>
      <c r="X3327" s="91">
        <f>_xll.qlCalendarAdvance(Calendar,W3327,NDays&amp;"D")</f>
        <v>62268</v>
      </c>
      <c r="Y3327" s="92" t="e">
        <v>#N/A</v>
      </c>
      <c r="Z3327" s="94" t="e">
        <v>#N/A</v>
      </c>
    </row>
    <row r="3328" spans="22:26" x14ac:dyDescent="0.2">
      <c r="V3328" s="123" t="str">
        <f t="shared" si="62"/>
        <v>1w</v>
      </c>
      <c r="W3328" s="82">
        <f>_xll.qlCalendarAdvance(Calendar,W3327,V3328,"f",FALSE)</f>
        <v>62276</v>
      </c>
      <c r="X3328" s="91">
        <f>_xll.qlCalendarAdvance(Calendar,W3328,NDays&amp;"D")</f>
        <v>62276</v>
      </c>
      <c r="Y3328" s="92" t="e">
        <v>#N/A</v>
      </c>
      <c r="Z3328" s="94" t="e">
        <v>#N/A</v>
      </c>
    </row>
    <row r="3329" spans="22:26" x14ac:dyDescent="0.2">
      <c r="V3329" s="123" t="str">
        <f t="shared" si="62"/>
        <v>1w</v>
      </c>
      <c r="W3329" s="82">
        <f>_xll.qlCalendarAdvance(Calendar,W3328,V3329,"f",FALSE)</f>
        <v>62283</v>
      </c>
      <c r="X3329" s="91">
        <f>_xll.qlCalendarAdvance(Calendar,W3329,NDays&amp;"D")</f>
        <v>62283</v>
      </c>
      <c r="Y3329" s="92" t="e">
        <v>#N/A</v>
      </c>
      <c r="Z3329" s="94" t="e">
        <v>#N/A</v>
      </c>
    </row>
    <row r="3330" spans="22:26" x14ac:dyDescent="0.2">
      <c r="V3330" s="123" t="str">
        <f t="shared" si="62"/>
        <v>1w</v>
      </c>
      <c r="W3330" s="82">
        <f>_xll.qlCalendarAdvance(Calendar,W3329,V3330,"f",FALSE)</f>
        <v>62290</v>
      </c>
      <c r="X3330" s="91">
        <f>_xll.qlCalendarAdvance(Calendar,W3330,NDays&amp;"D")</f>
        <v>62290</v>
      </c>
      <c r="Y3330" s="92" t="e">
        <v>#N/A</v>
      </c>
      <c r="Z3330" s="94" t="e">
        <v>#N/A</v>
      </c>
    </row>
    <row r="3331" spans="22:26" x14ac:dyDescent="0.2">
      <c r="V3331" s="123" t="str">
        <f t="shared" si="62"/>
        <v>1w</v>
      </c>
      <c r="W3331" s="82">
        <f>_xll.qlCalendarAdvance(Calendar,W3330,V3331,"f",FALSE)</f>
        <v>62297</v>
      </c>
      <c r="X3331" s="91">
        <f>_xll.qlCalendarAdvance(Calendar,W3331,NDays&amp;"D")</f>
        <v>62297</v>
      </c>
      <c r="Y3331" s="92" t="e">
        <v>#N/A</v>
      </c>
      <c r="Z3331" s="94" t="e">
        <v>#N/A</v>
      </c>
    </row>
    <row r="3332" spans="22:26" x14ac:dyDescent="0.2">
      <c r="V3332" s="123" t="str">
        <f t="shared" si="62"/>
        <v>1w</v>
      </c>
      <c r="W3332" s="82">
        <f>_xll.qlCalendarAdvance(Calendar,W3331,V3332,"f",FALSE)</f>
        <v>62304</v>
      </c>
      <c r="X3332" s="91">
        <f>_xll.qlCalendarAdvance(Calendar,W3332,NDays&amp;"D")</f>
        <v>62304</v>
      </c>
      <c r="Y3332" s="92" t="e">
        <v>#N/A</v>
      </c>
      <c r="Z3332" s="94" t="e">
        <v>#N/A</v>
      </c>
    </row>
    <row r="3333" spans="22:26" x14ac:dyDescent="0.2">
      <c r="V3333" s="123" t="str">
        <f t="shared" si="62"/>
        <v>1w</v>
      </c>
      <c r="W3333" s="82">
        <f>_xll.qlCalendarAdvance(Calendar,W3332,V3333,"f",FALSE)</f>
        <v>62311</v>
      </c>
      <c r="X3333" s="91">
        <f>_xll.qlCalendarAdvance(Calendar,W3333,NDays&amp;"D")</f>
        <v>62311</v>
      </c>
      <c r="Y3333" s="92" t="e">
        <v>#N/A</v>
      </c>
      <c r="Z3333" s="94" t="e">
        <v>#N/A</v>
      </c>
    </row>
    <row r="3334" spans="22:26" x14ac:dyDescent="0.2">
      <c r="V3334" s="123" t="str">
        <f t="shared" si="62"/>
        <v>1w</v>
      </c>
      <c r="W3334" s="82">
        <f>_xll.qlCalendarAdvance(Calendar,W3333,V3334,"f",FALSE)</f>
        <v>62318</v>
      </c>
      <c r="X3334" s="91">
        <f>_xll.qlCalendarAdvance(Calendar,W3334,NDays&amp;"D")</f>
        <v>62318</v>
      </c>
      <c r="Y3334" s="92" t="e">
        <v>#N/A</v>
      </c>
      <c r="Z3334" s="94" t="e">
        <v>#N/A</v>
      </c>
    </row>
    <row r="3335" spans="22:26" x14ac:dyDescent="0.2">
      <c r="V3335" s="123" t="str">
        <f t="shared" si="62"/>
        <v>1w</v>
      </c>
      <c r="W3335" s="82">
        <f>_xll.qlCalendarAdvance(Calendar,W3334,V3335,"f",FALSE)</f>
        <v>62325</v>
      </c>
      <c r="X3335" s="91">
        <f>_xll.qlCalendarAdvance(Calendar,W3335,NDays&amp;"D")</f>
        <v>62325</v>
      </c>
      <c r="Y3335" s="92" t="e">
        <v>#N/A</v>
      </c>
      <c r="Z3335" s="94" t="e">
        <v>#N/A</v>
      </c>
    </row>
    <row r="3336" spans="22:26" x14ac:dyDescent="0.2">
      <c r="V3336" s="123" t="str">
        <f t="shared" si="62"/>
        <v>1w</v>
      </c>
      <c r="W3336" s="82">
        <f>_xll.qlCalendarAdvance(Calendar,W3335,V3336,"f",FALSE)</f>
        <v>62332</v>
      </c>
      <c r="X3336" s="91">
        <f>_xll.qlCalendarAdvance(Calendar,W3336,NDays&amp;"D")</f>
        <v>62332</v>
      </c>
      <c r="Y3336" s="92" t="e">
        <v>#N/A</v>
      </c>
      <c r="Z3336" s="94" t="e">
        <v>#N/A</v>
      </c>
    </row>
    <row r="3337" spans="22:26" x14ac:dyDescent="0.2">
      <c r="V3337" s="123" t="str">
        <f t="shared" si="62"/>
        <v>1w</v>
      </c>
      <c r="W3337" s="82">
        <f>_xll.qlCalendarAdvance(Calendar,W3336,V3337,"f",FALSE)</f>
        <v>62339</v>
      </c>
      <c r="X3337" s="91">
        <f>_xll.qlCalendarAdvance(Calendar,W3337,NDays&amp;"D")</f>
        <v>62339</v>
      </c>
      <c r="Y3337" s="92" t="e">
        <v>#N/A</v>
      </c>
      <c r="Z3337" s="94" t="e">
        <v>#N/A</v>
      </c>
    </row>
    <row r="3338" spans="22:26" x14ac:dyDescent="0.2">
      <c r="V3338" s="123" t="str">
        <f t="shared" si="62"/>
        <v>1w</v>
      </c>
      <c r="W3338" s="82">
        <f>_xll.qlCalendarAdvance(Calendar,W3337,V3338,"f",FALSE)</f>
        <v>62346</v>
      </c>
      <c r="X3338" s="91">
        <f>_xll.qlCalendarAdvance(Calendar,W3338,NDays&amp;"D")</f>
        <v>62346</v>
      </c>
      <c r="Y3338" s="92" t="e">
        <v>#N/A</v>
      </c>
      <c r="Z3338" s="94" t="e">
        <v>#N/A</v>
      </c>
    </row>
    <row r="3339" spans="22:26" x14ac:dyDescent="0.2">
      <c r="V3339" s="123" t="str">
        <f t="shared" si="62"/>
        <v>1w</v>
      </c>
      <c r="W3339" s="82">
        <f>_xll.qlCalendarAdvance(Calendar,W3338,V3339,"f",FALSE)</f>
        <v>62353</v>
      </c>
      <c r="X3339" s="91">
        <f>_xll.qlCalendarAdvance(Calendar,W3339,NDays&amp;"D")</f>
        <v>62353</v>
      </c>
      <c r="Y3339" s="92" t="e">
        <v>#N/A</v>
      </c>
      <c r="Z3339" s="94" t="e">
        <v>#N/A</v>
      </c>
    </row>
    <row r="3340" spans="22:26" x14ac:dyDescent="0.2">
      <c r="V3340" s="123" t="str">
        <f t="shared" si="62"/>
        <v>1w</v>
      </c>
      <c r="W3340" s="82">
        <f>_xll.qlCalendarAdvance(Calendar,W3339,V3340,"f",FALSE)</f>
        <v>62360</v>
      </c>
      <c r="X3340" s="91">
        <f>_xll.qlCalendarAdvance(Calendar,W3340,NDays&amp;"D")</f>
        <v>62360</v>
      </c>
      <c r="Y3340" s="92" t="e">
        <v>#N/A</v>
      </c>
      <c r="Z3340" s="94" t="e">
        <v>#N/A</v>
      </c>
    </row>
    <row r="3341" spans="22:26" x14ac:dyDescent="0.2">
      <c r="V3341" s="123" t="str">
        <f t="shared" si="62"/>
        <v>1w</v>
      </c>
      <c r="W3341" s="82">
        <f>_xll.qlCalendarAdvance(Calendar,W3340,V3341,"f",FALSE)</f>
        <v>62368</v>
      </c>
      <c r="X3341" s="91">
        <f>_xll.qlCalendarAdvance(Calendar,W3341,NDays&amp;"D")</f>
        <v>62368</v>
      </c>
      <c r="Y3341" s="92" t="e">
        <v>#N/A</v>
      </c>
      <c r="Z3341" s="94" t="e">
        <v>#N/A</v>
      </c>
    </row>
    <row r="3342" spans="22:26" x14ac:dyDescent="0.2">
      <c r="V3342" s="123" t="str">
        <f t="shared" si="62"/>
        <v>1w</v>
      </c>
      <c r="W3342" s="82">
        <f>_xll.qlCalendarAdvance(Calendar,W3341,V3342,"f",FALSE)</f>
        <v>62375</v>
      </c>
      <c r="X3342" s="91">
        <f>_xll.qlCalendarAdvance(Calendar,W3342,NDays&amp;"D")</f>
        <v>62375</v>
      </c>
      <c r="Y3342" s="92" t="e">
        <v>#N/A</v>
      </c>
      <c r="Z3342" s="94" t="e">
        <v>#N/A</v>
      </c>
    </row>
    <row r="3343" spans="22:26" x14ac:dyDescent="0.2">
      <c r="V3343" s="123" t="str">
        <f t="shared" si="62"/>
        <v>1w</v>
      </c>
      <c r="W3343" s="82">
        <f>_xll.qlCalendarAdvance(Calendar,W3342,V3343,"f",FALSE)</f>
        <v>62382</v>
      </c>
      <c r="X3343" s="91">
        <f>_xll.qlCalendarAdvance(Calendar,W3343,NDays&amp;"D")</f>
        <v>62382</v>
      </c>
      <c r="Y3343" s="92" t="e">
        <v>#N/A</v>
      </c>
      <c r="Z3343" s="94" t="e">
        <v>#N/A</v>
      </c>
    </row>
    <row r="3344" spans="22:26" x14ac:dyDescent="0.2">
      <c r="V3344" s="123" t="str">
        <f t="shared" si="62"/>
        <v>1w</v>
      </c>
      <c r="W3344" s="82">
        <f>_xll.qlCalendarAdvance(Calendar,W3343,V3344,"f",FALSE)</f>
        <v>62389</v>
      </c>
      <c r="X3344" s="91">
        <f>_xll.qlCalendarAdvance(Calendar,W3344,NDays&amp;"D")</f>
        <v>62389</v>
      </c>
      <c r="Y3344" s="92" t="e">
        <v>#N/A</v>
      </c>
      <c r="Z3344" s="94" t="e">
        <v>#N/A</v>
      </c>
    </row>
    <row r="3345" spans="22:26" x14ac:dyDescent="0.2">
      <c r="V3345" s="123" t="str">
        <f t="shared" si="62"/>
        <v>1w</v>
      </c>
      <c r="W3345" s="82">
        <f>_xll.qlCalendarAdvance(Calendar,W3344,V3345,"f",FALSE)</f>
        <v>62396</v>
      </c>
      <c r="X3345" s="91">
        <f>_xll.qlCalendarAdvance(Calendar,W3345,NDays&amp;"D")</f>
        <v>62396</v>
      </c>
      <c r="Y3345" s="92" t="e">
        <v>#N/A</v>
      </c>
      <c r="Z3345" s="94" t="e">
        <v>#N/A</v>
      </c>
    </row>
    <row r="3346" spans="22:26" x14ac:dyDescent="0.2">
      <c r="V3346" s="123" t="str">
        <f t="shared" si="62"/>
        <v>1w</v>
      </c>
      <c r="W3346" s="82">
        <f>_xll.qlCalendarAdvance(Calendar,W3345,V3346,"f",FALSE)</f>
        <v>62403</v>
      </c>
      <c r="X3346" s="91">
        <f>_xll.qlCalendarAdvance(Calendar,W3346,NDays&amp;"D")</f>
        <v>62403</v>
      </c>
      <c r="Y3346" s="92" t="e">
        <v>#N/A</v>
      </c>
      <c r="Z3346" s="94" t="e">
        <v>#N/A</v>
      </c>
    </row>
    <row r="3347" spans="22:26" x14ac:dyDescent="0.2">
      <c r="V3347" s="123" t="str">
        <f t="shared" si="62"/>
        <v>1w</v>
      </c>
      <c r="W3347" s="82">
        <f>_xll.qlCalendarAdvance(Calendar,W3346,V3347,"f",FALSE)</f>
        <v>62410</v>
      </c>
      <c r="X3347" s="91">
        <f>_xll.qlCalendarAdvance(Calendar,W3347,NDays&amp;"D")</f>
        <v>62410</v>
      </c>
      <c r="Y3347" s="92" t="e">
        <v>#N/A</v>
      </c>
      <c r="Z3347" s="94" t="e">
        <v>#N/A</v>
      </c>
    </row>
    <row r="3348" spans="22:26" x14ac:dyDescent="0.2">
      <c r="V3348" s="123" t="str">
        <f t="shared" si="62"/>
        <v>1w</v>
      </c>
      <c r="W3348" s="82">
        <f>_xll.qlCalendarAdvance(Calendar,W3347,V3348,"f",FALSE)</f>
        <v>62417</v>
      </c>
      <c r="X3348" s="91">
        <f>_xll.qlCalendarAdvance(Calendar,W3348,NDays&amp;"D")</f>
        <v>62417</v>
      </c>
      <c r="Y3348" s="92" t="e">
        <v>#N/A</v>
      </c>
      <c r="Z3348" s="94" t="e">
        <v>#N/A</v>
      </c>
    </row>
    <row r="3349" spans="22:26" x14ac:dyDescent="0.2">
      <c r="V3349" s="123" t="str">
        <f t="shared" ref="V3349:V3412" si="63">V3348</f>
        <v>1w</v>
      </c>
      <c r="W3349" s="82">
        <f>_xll.qlCalendarAdvance(Calendar,W3348,V3349,"f",FALSE)</f>
        <v>62424</v>
      </c>
      <c r="X3349" s="91">
        <f>_xll.qlCalendarAdvance(Calendar,W3349,NDays&amp;"D")</f>
        <v>62424</v>
      </c>
      <c r="Y3349" s="92" t="e">
        <v>#N/A</v>
      </c>
      <c r="Z3349" s="94" t="e">
        <v>#N/A</v>
      </c>
    </row>
    <row r="3350" spans="22:26" x14ac:dyDescent="0.2">
      <c r="V3350" s="123" t="str">
        <f t="shared" si="63"/>
        <v>1w</v>
      </c>
      <c r="W3350" s="82">
        <f>_xll.qlCalendarAdvance(Calendar,W3349,V3350,"f",FALSE)</f>
        <v>62431</v>
      </c>
      <c r="X3350" s="91">
        <f>_xll.qlCalendarAdvance(Calendar,W3350,NDays&amp;"D")</f>
        <v>62431</v>
      </c>
      <c r="Y3350" s="92" t="e">
        <v>#N/A</v>
      </c>
      <c r="Z3350" s="94" t="e">
        <v>#N/A</v>
      </c>
    </row>
    <row r="3351" spans="22:26" x14ac:dyDescent="0.2">
      <c r="V3351" s="123" t="str">
        <f t="shared" si="63"/>
        <v>1w</v>
      </c>
      <c r="W3351" s="82">
        <f>_xll.qlCalendarAdvance(Calendar,W3350,V3351,"f",FALSE)</f>
        <v>62438</v>
      </c>
      <c r="X3351" s="91">
        <f>_xll.qlCalendarAdvance(Calendar,W3351,NDays&amp;"D")</f>
        <v>62438</v>
      </c>
      <c r="Y3351" s="92" t="e">
        <v>#N/A</v>
      </c>
      <c r="Z3351" s="94" t="e">
        <v>#N/A</v>
      </c>
    </row>
    <row r="3352" spans="22:26" x14ac:dyDescent="0.2">
      <c r="V3352" s="123" t="str">
        <f t="shared" si="63"/>
        <v>1w</v>
      </c>
      <c r="W3352" s="82">
        <f>_xll.qlCalendarAdvance(Calendar,W3351,V3352,"f",FALSE)</f>
        <v>62445</v>
      </c>
      <c r="X3352" s="91">
        <f>_xll.qlCalendarAdvance(Calendar,W3352,NDays&amp;"D")</f>
        <v>62445</v>
      </c>
      <c r="Y3352" s="92" t="e">
        <v>#N/A</v>
      </c>
      <c r="Z3352" s="94" t="e">
        <v>#N/A</v>
      </c>
    </row>
    <row r="3353" spans="22:26" x14ac:dyDescent="0.2">
      <c r="V3353" s="123" t="str">
        <f t="shared" si="63"/>
        <v>1w</v>
      </c>
      <c r="W3353" s="82">
        <f>_xll.qlCalendarAdvance(Calendar,W3352,V3353,"f",FALSE)</f>
        <v>62456</v>
      </c>
      <c r="X3353" s="91">
        <f>_xll.qlCalendarAdvance(Calendar,W3353,NDays&amp;"D")</f>
        <v>62456</v>
      </c>
      <c r="Y3353" s="92" t="e">
        <v>#N/A</v>
      </c>
      <c r="Z3353" s="94" t="e">
        <v>#N/A</v>
      </c>
    </row>
    <row r="3354" spans="22:26" x14ac:dyDescent="0.2">
      <c r="V3354" s="123" t="str">
        <f t="shared" si="63"/>
        <v>1w</v>
      </c>
      <c r="W3354" s="82">
        <f>_xll.qlCalendarAdvance(Calendar,W3353,V3354,"f",FALSE)</f>
        <v>62463</v>
      </c>
      <c r="X3354" s="91">
        <f>_xll.qlCalendarAdvance(Calendar,W3354,NDays&amp;"D")</f>
        <v>62463</v>
      </c>
      <c r="Y3354" s="92" t="e">
        <v>#N/A</v>
      </c>
      <c r="Z3354" s="94" t="e">
        <v>#N/A</v>
      </c>
    </row>
    <row r="3355" spans="22:26" x14ac:dyDescent="0.2">
      <c r="V3355" s="123" t="str">
        <f t="shared" si="63"/>
        <v>1w</v>
      </c>
      <c r="W3355" s="82">
        <f>_xll.qlCalendarAdvance(Calendar,W3354,V3355,"f",FALSE)</f>
        <v>62470</v>
      </c>
      <c r="X3355" s="91">
        <f>_xll.qlCalendarAdvance(Calendar,W3355,NDays&amp;"D")</f>
        <v>62470</v>
      </c>
      <c r="Y3355" s="92" t="e">
        <v>#N/A</v>
      </c>
      <c r="Z3355" s="94" t="e">
        <v>#N/A</v>
      </c>
    </row>
    <row r="3356" spans="22:26" x14ac:dyDescent="0.2">
      <c r="V3356" s="123" t="str">
        <f t="shared" si="63"/>
        <v>1w</v>
      </c>
      <c r="W3356" s="82">
        <f>_xll.qlCalendarAdvance(Calendar,W3355,V3356,"f",FALSE)</f>
        <v>62477</v>
      </c>
      <c r="X3356" s="91">
        <f>_xll.qlCalendarAdvance(Calendar,W3356,NDays&amp;"D")</f>
        <v>62477</v>
      </c>
      <c r="Y3356" s="92" t="e">
        <v>#N/A</v>
      </c>
      <c r="Z3356" s="94" t="e">
        <v>#N/A</v>
      </c>
    </row>
    <row r="3357" spans="22:26" x14ac:dyDescent="0.2">
      <c r="V3357" s="123" t="str">
        <f t="shared" si="63"/>
        <v>1w</v>
      </c>
      <c r="W3357" s="82">
        <f>_xll.qlCalendarAdvance(Calendar,W3356,V3357,"f",FALSE)</f>
        <v>62484</v>
      </c>
      <c r="X3357" s="91">
        <f>_xll.qlCalendarAdvance(Calendar,W3357,NDays&amp;"D")</f>
        <v>62484</v>
      </c>
      <c r="Y3357" s="92" t="e">
        <v>#N/A</v>
      </c>
      <c r="Z3357" s="94" t="e">
        <v>#N/A</v>
      </c>
    </row>
    <row r="3358" spans="22:26" x14ac:dyDescent="0.2">
      <c r="V3358" s="123" t="str">
        <f t="shared" si="63"/>
        <v>1w</v>
      </c>
      <c r="W3358" s="82">
        <f>_xll.qlCalendarAdvance(Calendar,W3357,V3358,"f",FALSE)</f>
        <v>62491</v>
      </c>
      <c r="X3358" s="91">
        <f>_xll.qlCalendarAdvance(Calendar,W3358,NDays&amp;"D")</f>
        <v>62491</v>
      </c>
      <c r="Y3358" s="92" t="e">
        <v>#N/A</v>
      </c>
      <c r="Z3358" s="94" t="e">
        <v>#N/A</v>
      </c>
    </row>
    <row r="3359" spans="22:26" x14ac:dyDescent="0.2">
      <c r="V3359" s="123" t="str">
        <f t="shared" si="63"/>
        <v>1w</v>
      </c>
      <c r="W3359" s="82">
        <f>_xll.qlCalendarAdvance(Calendar,W3358,V3359,"f",FALSE)</f>
        <v>62498</v>
      </c>
      <c r="X3359" s="91">
        <f>_xll.qlCalendarAdvance(Calendar,W3359,NDays&amp;"D")</f>
        <v>62498</v>
      </c>
      <c r="Y3359" s="92" t="e">
        <v>#N/A</v>
      </c>
      <c r="Z3359" s="94" t="e">
        <v>#N/A</v>
      </c>
    </row>
    <row r="3360" spans="22:26" x14ac:dyDescent="0.2">
      <c r="V3360" s="123" t="str">
        <f t="shared" si="63"/>
        <v>1w</v>
      </c>
      <c r="W3360" s="82">
        <f>_xll.qlCalendarAdvance(Calendar,W3359,V3360,"f",FALSE)</f>
        <v>62505</v>
      </c>
      <c r="X3360" s="91">
        <f>_xll.qlCalendarAdvance(Calendar,W3360,NDays&amp;"D")</f>
        <v>62505</v>
      </c>
      <c r="Y3360" s="92" t="e">
        <v>#N/A</v>
      </c>
      <c r="Z3360" s="94" t="e">
        <v>#N/A</v>
      </c>
    </row>
    <row r="3361" spans="22:26" x14ac:dyDescent="0.2">
      <c r="V3361" s="123" t="str">
        <f t="shared" si="63"/>
        <v>1w</v>
      </c>
      <c r="W3361" s="82">
        <f>_xll.qlCalendarAdvance(Calendar,W3360,V3361,"f",FALSE)</f>
        <v>62512</v>
      </c>
      <c r="X3361" s="91">
        <f>_xll.qlCalendarAdvance(Calendar,W3361,NDays&amp;"D")</f>
        <v>62512</v>
      </c>
      <c r="Y3361" s="92" t="e">
        <v>#N/A</v>
      </c>
      <c r="Z3361" s="94" t="e">
        <v>#N/A</v>
      </c>
    </row>
    <row r="3362" spans="22:26" x14ac:dyDescent="0.2">
      <c r="V3362" s="123" t="str">
        <f t="shared" si="63"/>
        <v>1w</v>
      </c>
      <c r="W3362" s="82">
        <f>_xll.qlCalendarAdvance(Calendar,W3361,V3362,"f",FALSE)</f>
        <v>62519</v>
      </c>
      <c r="X3362" s="91">
        <f>_xll.qlCalendarAdvance(Calendar,W3362,NDays&amp;"D")</f>
        <v>62519</v>
      </c>
      <c r="Y3362" s="92" t="e">
        <v>#N/A</v>
      </c>
      <c r="Z3362" s="94" t="e">
        <v>#N/A</v>
      </c>
    </row>
    <row r="3363" spans="22:26" x14ac:dyDescent="0.2">
      <c r="V3363" s="123" t="str">
        <f t="shared" si="63"/>
        <v>1w</v>
      </c>
      <c r="W3363" s="82">
        <f>_xll.qlCalendarAdvance(Calendar,W3362,V3363,"f",FALSE)</f>
        <v>62526</v>
      </c>
      <c r="X3363" s="91">
        <f>_xll.qlCalendarAdvance(Calendar,W3363,NDays&amp;"D")</f>
        <v>62526</v>
      </c>
      <c r="Y3363" s="92" t="e">
        <v>#N/A</v>
      </c>
      <c r="Z3363" s="94" t="e">
        <v>#N/A</v>
      </c>
    </row>
    <row r="3364" spans="22:26" x14ac:dyDescent="0.2">
      <c r="V3364" s="123" t="str">
        <f t="shared" si="63"/>
        <v>1w</v>
      </c>
      <c r="W3364" s="82">
        <f>_xll.qlCalendarAdvance(Calendar,W3363,V3364,"f",FALSE)</f>
        <v>62533</v>
      </c>
      <c r="X3364" s="91">
        <f>_xll.qlCalendarAdvance(Calendar,W3364,NDays&amp;"D")</f>
        <v>62533</v>
      </c>
      <c r="Y3364" s="92" t="e">
        <v>#N/A</v>
      </c>
      <c r="Z3364" s="94" t="e">
        <v>#N/A</v>
      </c>
    </row>
    <row r="3365" spans="22:26" x14ac:dyDescent="0.2">
      <c r="V3365" s="123" t="str">
        <f t="shared" si="63"/>
        <v>1w</v>
      </c>
      <c r="W3365" s="82">
        <f>_xll.qlCalendarAdvance(Calendar,W3364,V3365,"f",FALSE)</f>
        <v>62540</v>
      </c>
      <c r="X3365" s="91">
        <f>_xll.qlCalendarAdvance(Calendar,W3365,NDays&amp;"D")</f>
        <v>62540</v>
      </c>
      <c r="Y3365" s="92" t="e">
        <v>#N/A</v>
      </c>
      <c r="Z3365" s="94" t="e">
        <v>#N/A</v>
      </c>
    </row>
    <row r="3366" spans="22:26" x14ac:dyDescent="0.2">
      <c r="V3366" s="123" t="str">
        <f t="shared" si="63"/>
        <v>1w</v>
      </c>
      <c r="W3366" s="82">
        <f>_xll.qlCalendarAdvance(Calendar,W3365,V3366,"f",FALSE)</f>
        <v>62547</v>
      </c>
      <c r="X3366" s="91">
        <f>_xll.qlCalendarAdvance(Calendar,W3366,NDays&amp;"D")</f>
        <v>62547</v>
      </c>
      <c r="Y3366" s="92" t="e">
        <v>#N/A</v>
      </c>
      <c r="Z3366" s="94" t="e">
        <v>#N/A</v>
      </c>
    </row>
    <row r="3367" spans="22:26" x14ac:dyDescent="0.2">
      <c r="V3367" s="123" t="str">
        <f t="shared" si="63"/>
        <v>1w</v>
      </c>
      <c r="W3367" s="82">
        <f>_xll.qlCalendarAdvance(Calendar,W3366,V3367,"f",FALSE)</f>
        <v>62554</v>
      </c>
      <c r="X3367" s="91">
        <f>_xll.qlCalendarAdvance(Calendar,W3367,NDays&amp;"D")</f>
        <v>62554</v>
      </c>
      <c r="Y3367" s="92" t="e">
        <v>#N/A</v>
      </c>
      <c r="Z3367" s="94" t="e">
        <v>#N/A</v>
      </c>
    </row>
    <row r="3368" spans="22:26" x14ac:dyDescent="0.2">
      <c r="V3368" s="123" t="str">
        <f t="shared" si="63"/>
        <v>1w</v>
      </c>
      <c r="W3368" s="82">
        <f>_xll.qlCalendarAdvance(Calendar,W3367,V3368,"f",FALSE)</f>
        <v>62561</v>
      </c>
      <c r="X3368" s="91">
        <f>_xll.qlCalendarAdvance(Calendar,W3368,NDays&amp;"D")</f>
        <v>62561</v>
      </c>
      <c r="Y3368" s="92" t="e">
        <v>#N/A</v>
      </c>
      <c r="Z3368" s="94" t="e">
        <v>#N/A</v>
      </c>
    </row>
    <row r="3369" spans="22:26" x14ac:dyDescent="0.2">
      <c r="V3369" s="123" t="str">
        <f t="shared" si="63"/>
        <v>1w</v>
      </c>
      <c r="W3369" s="82">
        <f>_xll.qlCalendarAdvance(Calendar,W3368,V3369,"f",FALSE)</f>
        <v>62569</v>
      </c>
      <c r="X3369" s="91">
        <f>_xll.qlCalendarAdvance(Calendar,W3369,NDays&amp;"D")</f>
        <v>62569</v>
      </c>
      <c r="Y3369" s="92" t="e">
        <v>#N/A</v>
      </c>
      <c r="Z3369" s="94" t="e">
        <v>#N/A</v>
      </c>
    </row>
    <row r="3370" spans="22:26" x14ac:dyDescent="0.2">
      <c r="V3370" s="123" t="str">
        <f t="shared" si="63"/>
        <v>1w</v>
      </c>
      <c r="W3370" s="82">
        <f>_xll.qlCalendarAdvance(Calendar,W3369,V3370,"f",FALSE)</f>
        <v>62576</v>
      </c>
      <c r="X3370" s="91">
        <f>_xll.qlCalendarAdvance(Calendar,W3370,NDays&amp;"D")</f>
        <v>62576</v>
      </c>
      <c r="Y3370" s="92" t="e">
        <v>#N/A</v>
      </c>
      <c r="Z3370" s="94" t="e">
        <v>#N/A</v>
      </c>
    </row>
    <row r="3371" spans="22:26" x14ac:dyDescent="0.2">
      <c r="V3371" s="123" t="str">
        <f t="shared" si="63"/>
        <v>1w</v>
      </c>
      <c r="W3371" s="82">
        <f>_xll.qlCalendarAdvance(Calendar,W3370,V3371,"f",FALSE)</f>
        <v>62583</v>
      </c>
      <c r="X3371" s="91">
        <f>_xll.qlCalendarAdvance(Calendar,W3371,NDays&amp;"D")</f>
        <v>62583</v>
      </c>
      <c r="Y3371" s="92" t="e">
        <v>#N/A</v>
      </c>
      <c r="Z3371" s="94" t="e">
        <v>#N/A</v>
      </c>
    </row>
    <row r="3372" spans="22:26" x14ac:dyDescent="0.2">
      <c r="V3372" s="123" t="str">
        <f t="shared" si="63"/>
        <v>1w</v>
      </c>
      <c r="W3372" s="82">
        <f>_xll.qlCalendarAdvance(Calendar,W3371,V3372,"f",FALSE)</f>
        <v>62590</v>
      </c>
      <c r="X3372" s="91">
        <f>_xll.qlCalendarAdvance(Calendar,W3372,NDays&amp;"D")</f>
        <v>62590</v>
      </c>
      <c r="Y3372" s="92" t="e">
        <v>#N/A</v>
      </c>
      <c r="Z3372" s="94" t="e">
        <v>#N/A</v>
      </c>
    </row>
    <row r="3373" spans="22:26" x14ac:dyDescent="0.2">
      <c r="V3373" s="123" t="str">
        <f t="shared" si="63"/>
        <v>1w</v>
      </c>
      <c r="W3373" s="82">
        <f>_xll.qlCalendarAdvance(Calendar,W3372,V3373,"f",FALSE)</f>
        <v>62597</v>
      </c>
      <c r="X3373" s="91">
        <f>_xll.qlCalendarAdvance(Calendar,W3373,NDays&amp;"D")</f>
        <v>62597</v>
      </c>
      <c r="Y3373" s="92" t="e">
        <v>#N/A</v>
      </c>
      <c r="Z3373" s="94" t="e">
        <v>#N/A</v>
      </c>
    </row>
    <row r="3374" spans="22:26" x14ac:dyDescent="0.2">
      <c r="V3374" s="123" t="str">
        <f t="shared" si="63"/>
        <v>1w</v>
      </c>
      <c r="W3374" s="82">
        <f>_xll.qlCalendarAdvance(Calendar,W3373,V3374,"f",FALSE)</f>
        <v>62604</v>
      </c>
      <c r="X3374" s="91">
        <f>_xll.qlCalendarAdvance(Calendar,W3374,NDays&amp;"D")</f>
        <v>62604</v>
      </c>
      <c r="Y3374" s="92" t="e">
        <v>#N/A</v>
      </c>
      <c r="Z3374" s="94" t="e">
        <v>#N/A</v>
      </c>
    </row>
    <row r="3375" spans="22:26" x14ac:dyDescent="0.2">
      <c r="V3375" s="123" t="str">
        <f t="shared" si="63"/>
        <v>1w</v>
      </c>
      <c r="W3375" s="82">
        <f>_xll.qlCalendarAdvance(Calendar,W3374,V3375,"f",FALSE)</f>
        <v>62611</v>
      </c>
      <c r="X3375" s="91">
        <f>_xll.qlCalendarAdvance(Calendar,W3375,NDays&amp;"D")</f>
        <v>62611</v>
      </c>
      <c r="Y3375" s="92" t="e">
        <v>#N/A</v>
      </c>
      <c r="Z3375" s="94" t="e">
        <v>#N/A</v>
      </c>
    </row>
    <row r="3376" spans="22:26" x14ac:dyDescent="0.2">
      <c r="V3376" s="123" t="str">
        <f t="shared" si="63"/>
        <v>1w</v>
      </c>
      <c r="W3376" s="82">
        <f>_xll.qlCalendarAdvance(Calendar,W3375,V3376,"f",FALSE)</f>
        <v>62618</v>
      </c>
      <c r="X3376" s="91">
        <f>_xll.qlCalendarAdvance(Calendar,W3376,NDays&amp;"D")</f>
        <v>62618</v>
      </c>
      <c r="Y3376" s="92" t="e">
        <v>#N/A</v>
      </c>
      <c r="Z3376" s="94" t="e">
        <v>#N/A</v>
      </c>
    </row>
    <row r="3377" spans="22:26" x14ac:dyDescent="0.2">
      <c r="V3377" s="123" t="str">
        <f t="shared" si="63"/>
        <v>1w</v>
      </c>
      <c r="W3377" s="82">
        <f>_xll.qlCalendarAdvance(Calendar,W3376,V3377,"f",FALSE)</f>
        <v>62625</v>
      </c>
      <c r="X3377" s="91">
        <f>_xll.qlCalendarAdvance(Calendar,W3377,NDays&amp;"D")</f>
        <v>62625</v>
      </c>
      <c r="Y3377" s="92" t="e">
        <v>#N/A</v>
      </c>
      <c r="Z3377" s="94" t="e">
        <v>#N/A</v>
      </c>
    </row>
    <row r="3378" spans="22:26" x14ac:dyDescent="0.2">
      <c r="V3378" s="123" t="str">
        <f t="shared" si="63"/>
        <v>1w</v>
      </c>
      <c r="W3378" s="82">
        <f>_xll.qlCalendarAdvance(Calendar,W3377,V3378,"f",FALSE)</f>
        <v>62632</v>
      </c>
      <c r="X3378" s="91">
        <f>_xll.qlCalendarAdvance(Calendar,W3378,NDays&amp;"D")</f>
        <v>62632</v>
      </c>
      <c r="Y3378" s="92" t="e">
        <v>#N/A</v>
      </c>
      <c r="Z3378" s="94" t="e">
        <v>#N/A</v>
      </c>
    </row>
    <row r="3379" spans="22:26" x14ac:dyDescent="0.2">
      <c r="V3379" s="123" t="str">
        <f t="shared" si="63"/>
        <v>1w</v>
      </c>
      <c r="W3379" s="82">
        <f>_xll.qlCalendarAdvance(Calendar,W3378,V3379,"f",FALSE)</f>
        <v>62639</v>
      </c>
      <c r="X3379" s="91">
        <f>_xll.qlCalendarAdvance(Calendar,W3379,NDays&amp;"D")</f>
        <v>62639</v>
      </c>
      <c r="Y3379" s="92" t="e">
        <v>#N/A</v>
      </c>
      <c r="Z3379" s="94" t="e">
        <v>#N/A</v>
      </c>
    </row>
    <row r="3380" spans="22:26" x14ac:dyDescent="0.2">
      <c r="V3380" s="123" t="str">
        <f t="shared" si="63"/>
        <v>1w</v>
      </c>
      <c r="W3380" s="82">
        <f>_xll.qlCalendarAdvance(Calendar,W3379,V3380,"f",FALSE)</f>
        <v>62646</v>
      </c>
      <c r="X3380" s="91">
        <f>_xll.qlCalendarAdvance(Calendar,W3380,NDays&amp;"D")</f>
        <v>62646</v>
      </c>
      <c r="Y3380" s="92" t="e">
        <v>#N/A</v>
      </c>
      <c r="Z3380" s="94" t="e">
        <v>#N/A</v>
      </c>
    </row>
    <row r="3381" spans="22:26" x14ac:dyDescent="0.2">
      <c r="V3381" s="123" t="str">
        <f t="shared" si="63"/>
        <v>1w</v>
      </c>
      <c r="W3381" s="82">
        <f>_xll.qlCalendarAdvance(Calendar,W3380,V3381,"f",FALSE)</f>
        <v>62653</v>
      </c>
      <c r="X3381" s="91">
        <f>_xll.qlCalendarAdvance(Calendar,W3381,NDays&amp;"D")</f>
        <v>62653</v>
      </c>
      <c r="Y3381" s="92" t="e">
        <v>#N/A</v>
      </c>
      <c r="Z3381" s="94" t="e">
        <v>#N/A</v>
      </c>
    </row>
    <row r="3382" spans="22:26" x14ac:dyDescent="0.2">
      <c r="V3382" s="123" t="str">
        <f t="shared" si="63"/>
        <v>1w</v>
      </c>
      <c r="W3382" s="82">
        <f>_xll.qlCalendarAdvance(Calendar,W3381,V3382,"f",FALSE)</f>
        <v>62660</v>
      </c>
      <c r="X3382" s="91">
        <f>_xll.qlCalendarAdvance(Calendar,W3382,NDays&amp;"D")</f>
        <v>62660</v>
      </c>
      <c r="Y3382" s="92" t="e">
        <v>#N/A</v>
      </c>
      <c r="Z3382" s="94" t="e">
        <v>#N/A</v>
      </c>
    </row>
    <row r="3383" spans="22:26" x14ac:dyDescent="0.2">
      <c r="V3383" s="123" t="str">
        <f t="shared" si="63"/>
        <v>1w</v>
      </c>
      <c r="W3383" s="82">
        <f>_xll.qlCalendarAdvance(Calendar,W3382,V3383,"f",FALSE)</f>
        <v>62667</v>
      </c>
      <c r="X3383" s="91">
        <f>_xll.qlCalendarAdvance(Calendar,W3383,NDays&amp;"D")</f>
        <v>62667</v>
      </c>
      <c r="Y3383" s="92" t="e">
        <v>#N/A</v>
      </c>
      <c r="Z3383" s="94" t="e">
        <v>#N/A</v>
      </c>
    </row>
    <row r="3384" spans="22:26" x14ac:dyDescent="0.2">
      <c r="V3384" s="123" t="str">
        <f t="shared" si="63"/>
        <v>1w</v>
      </c>
      <c r="W3384" s="82">
        <f>_xll.qlCalendarAdvance(Calendar,W3383,V3384,"f",FALSE)</f>
        <v>62674</v>
      </c>
      <c r="X3384" s="91">
        <f>_xll.qlCalendarAdvance(Calendar,W3384,NDays&amp;"D")</f>
        <v>62674</v>
      </c>
      <c r="Y3384" s="92" t="e">
        <v>#N/A</v>
      </c>
      <c r="Z3384" s="94" t="e">
        <v>#N/A</v>
      </c>
    </row>
    <row r="3385" spans="22:26" x14ac:dyDescent="0.2">
      <c r="V3385" s="123" t="str">
        <f t="shared" si="63"/>
        <v>1w</v>
      </c>
      <c r="W3385" s="82">
        <f>_xll.qlCalendarAdvance(Calendar,W3384,V3385,"f",FALSE)</f>
        <v>62681</v>
      </c>
      <c r="X3385" s="91">
        <f>_xll.qlCalendarAdvance(Calendar,W3385,NDays&amp;"D")</f>
        <v>62681</v>
      </c>
      <c r="Y3385" s="92" t="e">
        <v>#N/A</v>
      </c>
      <c r="Z3385" s="94" t="e">
        <v>#N/A</v>
      </c>
    </row>
    <row r="3386" spans="22:26" x14ac:dyDescent="0.2">
      <c r="V3386" s="123" t="str">
        <f t="shared" si="63"/>
        <v>1w</v>
      </c>
      <c r="W3386" s="82">
        <f>_xll.qlCalendarAdvance(Calendar,W3385,V3386,"f",FALSE)</f>
        <v>62688</v>
      </c>
      <c r="X3386" s="91">
        <f>_xll.qlCalendarAdvance(Calendar,W3386,NDays&amp;"D")</f>
        <v>62688</v>
      </c>
      <c r="Y3386" s="92" t="e">
        <v>#N/A</v>
      </c>
      <c r="Z3386" s="94" t="e">
        <v>#N/A</v>
      </c>
    </row>
    <row r="3387" spans="22:26" x14ac:dyDescent="0.2">
      <c r="V3387" s="123" t="str">
        <f t="shared" si="63"/>
        <v>1w</v>
      </c>
      <c r="W3387" s="82">
        <f>_xll.qlCalendarAdvance(Calendar,W3386,V3387,"f",FALSE)</f>
        <v>62695</v>
      </c>
      <c r="X3387" s="91">
        <f>_xll.qlCalendarAdvance(Calendar,W3387,NDays&amp;"D")</f>
        <v>62695</v>
      </c>
      <c r="Y3387" s="92" t="e">
        <v>#N/A</v>
      </c>
      <c r="Z3387" s="94" t="e">
        <v>#N/A</v>
      </c>
    </row>
    <row r="3388" spans="22:26" x14ac:dyDescent="0.2">
      <c r="V3388" s="123" t="str">
        <f t="shared" si="63"/>
        <v>1w</v>
      </c>
      <c r="W3388" s="82">
        <f>_xll.qlCalendarAdvance(Calendar,W3387,V3388,"f",FALSE)</f>
        <v>62702</v>
      </c>
      <c r="X3388" s="91">
        <f>_xll.qlCalendarAdvance(Calendar,W3388,NDays&amp;"D")</f>
        <v>62702</v>
      </c>
      <c r="Y3388" s="92" t="e">
        <v>#N/A</v>
      </c>
      <c r="Z3388" s="94" t="e">
        <v>#N/A</v>
      </c>
    </row>
    <row r="3389" spans="22:26" x14ac:dyDescent="0.2">
      <c r="V3389" s="123" t="str">
        <f t="shared" si="63"/>
        <v>1w</v>
      </c>
      <c r="W3389" s="82">
        <f>_xll.qlCalendarAdvance(Calendar,W3388,V3389,"f",FALSE)</f>
        <v>62709</v>
      </c>
      <c r="X3389" s="91">
        <f>_xll.qlCalendarAdvance(Calendar,W3389,NDays&amp;"D")</f>
        <v>62709</v>
      </c>
      <c r="Y3389" s="92" t="e">
        <v>#N/A</v>
      </c>
      <c r="Z3389" s="94" t="e">
        <v>#N/A</v>
      </c>
    </row>
    <row r="3390" spans="22:26" x14ac:dyDescent="0.2">
      <c r="V3390" s="123" t="str">
        <f t="shared" si="63"/>
        <v>1w</v>
      </c>
      <c r="W3390" s="82">
        <f>_xll.qlCalendarAdvance(Calendar,W3389,V3390,"f",FALSE)</f>
        <v>62716</v>
      </c>
      <c r="X3390" s="91">
        <f>_xll.qlCalendarAdvance(Calendar,W3390,NDays&amp;"D")</f>
        <v>62716</v>
      </c>
      <c r="Y3390" s="92" t="e">
        <v>#N/A</v>
      </c>
      <c r="Z3390" s="94" t="e">
        <v>#N/A</v>
      </c>
    </row>
    <row r="3391" spans="22:26" x14ac:dyDescent="0.2">
      <c r="V3391" s="123" t="str">
        <f t="shared" si="63"/>
        <v>1w</v>
      </c>
      <c r="W3391" s="82">
        <f>_xll.qlCalendarAdvance(Calendar,W3390,V3391,"f",FALSE)</f>
        <v>62723</v>
      </c>
      <c r="X3391" s="91">
        <f>_xll.qlCalendarAdvance(Calendar,W3391,NDays&amp;"D")</f>
        <v>62723</v>
      </c>
      <c r="Y3391" s="92" t="e">
        <v>#N/A</v>
      </c>
      <c r="Z3391" s="94" t="e">
        <v>#N/A</v>
      </c>
    </row>
    <row r="3392" spans="22:26" x14ac:dyDescent="0.2">
      <c r="V3392" s="123" t="str">
        <f t="shared" si="63"/>
        <v>1w</v>
      </c>
      <c r="W3392" s="82">
        <f>_xll.qlCalendarAdvance(Calendar,W3391,V3392,"f",FALSE)</f>
        <v>62730</v>
      </c>
      <c r="X3392" s="91">
        <f>_xll.qlCalendarAdvance(Calendar,W3392,NDays&amp;"D")</f>
        <v>62730</v>
      </c>
      <c r="Y3392" s="92" t="e">
        <v>#N/A</v>
      </c>
      <c r="Z3392" s="94" t="e">
        <v>#N/A</v>
      </c>
    </row>
    <row r="3393" spans="22:26" x14ac:dyDescent="0.2">
      <c r="V3393" s="123" t="str">
        <f t="shared" si="63"/>
        <v>1w</v>
      </c>
      <c r="W3393" s="82">
        <f>_xll.qlCalendarAdvance(Calendar,W3392,V3393,"f",FALSE)</f>
        <v>62737</v>
      </c>
      <c r="X3393" s="91">
        <f>_xll.qlCalendarAdvance(Calendar,W3393,NDays&amp;"D")</f>
        <v>62737</v>
      </c>
      <c r="Y3393" s="92" t="e">
        <v>#N/A</v>
      </c>
      <c r="Z3393" s="94" t="e">
        <v>#N/A</v>
      </c>
    </row>
    <row r="3394" spans="22:26" x14ac:dyDescent="0.2">
      <c r="V3394" s="123" t="str">
        <f t="shared" si="63"/>
        <v>1w</v>
      </c>
      <c r="W3394" s="82">
        <f>_xll.qlCalendarAdvance(Calendar,W3393,V3394,"f",FALSE)</f>
        <v>62744</v>
      </c>
      <c r="X3394" s="91">
        <f>_xll.qlCalendarAdvance(Calendar,W3394,NDays&amp;"D")</f>
        <v>62744</v>
      </c>
      <c r="Y3394" s="92" t="e">
        <v>#N/A</v>
      </c>
      <c r="Z3394" s="94" t="e">
        <v>#N/A</v>
      </c>
    </row>
    <row r="3395" spans="22:26" x14ac:dyDescent="0.2">
      <c r="V3395" s="123" t="str">
        <f t="shared" si="63"/>
        <v>1w</v>
      </c>
      <c r="W3395" s="82">
        <f>_xll.qlCalendarAdvance(Calendar,W3394,V3395,"f",FALSE)</f>
        <v>62751</v>
      </c>
      <c r="X3395" s="91">
        <f>_xll.qlCalendarAdvance(Calendar,W3395,NDays&amp;"D")</f>
        <v>62751</v>
      </c>
      <c r="Y3395" s="92" t="e">
        <v>#N/A</v>
      </c>
      <c r="Z3395" s="94" t="e">
        <v>#N/A</v>
      </c>
    </row>
    <row r="3396" spans="22:26" x14ac:dyDescent="0.2">
      <c r="V3396" s="123" t="str">
        <f t="shared" si="63"/>
        <v>1w</v>
      </c>
      <c r="W3396" s="82">
        <f>_xll.qlCalendarAdvance(Calendar,W3395,V3396,"f",FALSE)</f>
        <v>62758</v>
      </c>
      <c r="X3396" s="91">
        <f>_xll.qlCalendarAdvance(Calendar,W3396,NDays&amp;"D")</f>
        <v>62758</v>
      </c>
      <c r="Y3396" s="92" t="e">
        <v>#N/A</v>
      </c>
      <c r="Z3396" s="94" t="e">
        <v>#N/A</v>
      </c>
    </row>
    <row r="3397" spans="22:26" x14ac:dyDescent="0.2">
      <c r="V3397" s="123" t="str">
        <f t="shared" si="63"/>
        <v>1w</v>
      </c>
      <c r="W3397" s="82">
        <f>_xll.qlCalendarAdvance(Calendar,W3396,V3397,"f",FALSE)</f>
        <v>62765</v>
      </c>
      <c r="X3397" s="91">
        <f>_xll.qlCalendarAdvance(Calendar,W3397,NDays&amp;"D")</f>
        <v>62765</v>
      </c>
      <c r="Y3397" s="92" t="e">
        <v>#N/A</v>
      </c>
      <c r="Z3397" s="94" t="e">
        <v>#N/A</v>
      </c>
    </row>
    <row r="3398" spans="22:26" x14ac:dyDescent="0.2">
      <c r="V3398" s="123" t="str">
        <f t="shared" si="63"/>
        <v>1w</v>
      </c>
      <c r="W3398" s="82">
        <f>_xll.qlCalendarAdvance(Calendar,W3397,V3398,"f",FALSE)</f>
        <v>62772</v>
      </c>
      <c r="X3398" s="91">
        <f>_xll.qlCalendarAdvance(Calendar,W3398,NDays&amp;"D")</f>
        <v>62772</v>
      </c>
      <c r="Y3398" s="92" t="e">
        <v>#N/A</v>
      </c>
      <c r="Z3398" s="94" t="e">
        <v>#N/A</v>
      </c>
    </row>
    <row r="3399" spans="22:26" x14ac:dyDescent="0.2">
      <c r="V3399" s="123" t="str">
        <f t="shared" si="63"/>
        <v>1w</v>
      </c>
      <c r="W3399" s="82">
        <f>_xll.qlCalendarAdvance(Calendar,W3398,V3399,"f",FALSE)</f>
        <v>62779</v>
      </c>
      <c r="X3399" s="91">
        <f>_xll.qlCalendarAdvance(Calendar,W3399,NDays&amp;"D")</f>
        <v>62779</v>
      </c>
      <c r="Y3399" s="92" t="e">
        <v>#N/A</v>
      </c>
      <c r="Z3399" s="94" t="e">
        <v>#N/A</v>
      </c>
    </row>
    <row r="3400" spans="22:26" x14ac:dyDescent="0.2">
      <c r="V3400" s="123" t="str">
        <f t="shared" si="63"/>
        <v>1w</v>
      </c>
      <c r="W3400" s="82">
        <f>_xll.qlCalendarAdvance(Calendar,W3399,V3400,"f",FALSE)</f>
        <v>62786</v>
      </c>
      <c r="X3400" s="91">
        <f>_xll.qlCalendarAdvance(Calendar,W3400,NDays&amp;"D")</f>
        <v>62786</v>
      </c>
      <c r="Y3400" s="92" t="e">
        <v>#N/A</v>
      </c>
      <c r="Z3400" s="94" t="e">
        <v>#N/A</v>
      </c>
    </row>
    <row r="3401" spans="22:26" x14ac:dyDescent="0.2">
      <c r="V3401" s="123" t="str">
        <f t="shared" si="63"/>
        <v>1w</v>
      </c>
      <c r="W3401" s="82">
        <f>_xll.qlCalendarAdvance(Calendar,W3400,V3401,"f",FALSE)</f>
        <v>62793</v>
      </c>
      <c r="X3401" s="91">
        <f>_xll.qlCalendarAdvance(Calendar,W3401,NDays&amp;"D")</f>
        <v>62793</v>
      </c>
      <c r="Y3401" s="92" t="e">
        <v>#N/A</v>
      </c>
      <c r="Z3401" s="94" t="e">
        <v>#N/A</v>
      </c>
    </row>
    <row r="3402" spans="22:26" x14ac:dyDescent="0.2">
      <c r="V3402" s="123" t="str">
        <f t="shared" si="63"/>
        <v>1w</v>
      </c>
      <c r="W3402" s="82">
        <f>_xll.qlCalendarAdvance(Calendar,W3401,V3402,"f",FALSE)</f>
        <v>62800</v>
      </c>
      <c r="X3402" s="91">
        <f>_xll.qlCalendarAdvance(Calendar,W3402,NDays&amp;"D")</f>
        <v>62800</v>
      </c>
      <c r="Y3402" s="92" t="e">
        <v>#N/A</v>
      </c>
      <c r="Z3402" s="94" t="e">
        <v>#N/A</v>
      </c>
    </row>
    <row r="3403" spans="22:26" x14ac:dyDescent="0.2">
      <c r="V3403" s="123" t="str">
        <f t="shared" si="63"/>
        <v>1w</v>
      </c>
      <c r="W3403" s="82">
        <f>_xll.qlCalendarAdvance(Calendar,W3402,V3403,"f",FALSE)</f>
        <v>62807</v>
      </c>
      <c r="X3403" s="91">
        <f>_xll.qlCalendarAdvance(Calendar,W3403,NDays&amp;"D")</f>
        <v>62807</v>
      </c>
      <c r="Y3403" s="92" t="e">
        <v>#N/A</v>
      </c>
      <c r="Z3403" s="94" t="e">
        <v>#N/A</v>
      </c>
    </row>
    <row r="3404" spans="22:26" x14ac:dyDescent="0.2">
      <c r="V3404" s="123" t="str">
        <f t="shared" si="63"/>
        <v>1w</v>
      </c>
      <c r="W3404" s="82">
        <f>_xll.qlCalendarAdvance(Calendar,W3403,V3404,"f",FALSE)</f>
        <v>62814</v>
      </c>
      <c r="X3404" s="91">
        <f>_xll.qlCalendarAdvance(Calendar,W3404,NDays&amp;"D")</f>
        <v>62814</v>
      </c>
      <c r="Y3404" s="92" t="e">
        <v>#N/A</v>
      </c>
      <c r="Z3404" s="94" t="e">
        <v>#N/A</v>
      </c>
    </row>
    <row r="3405" spans="22:26" x14ac:dyDescent="0.2">
      <c r="V3405" s="123" t="str">
        <f t="shared" si="63"/>
        <v>1w</v>
      </c>
      <c r="W3405" s="82">
        <f>_xll.qlCalendarAdvance(Calendar,W3404,V3405,"f",FALSE)</f>
        <v>62821</v>
      </c>
      <c r="X3405" s="91">
        <f>_xll.qlCalendarAdvance(Calendar,W3405,NDays&amp;"D")</f>
        <v>62821</v>
      </c>
      <c r="Y3405" s="92" t="e">
        <v>#N/A</v>
      </c>
      <c r="Z3405" s="94" t="e">
        <v>#N/A</v>
      </c>
    </row>
    <row r="3406" spans="22:26" x14ac:dyDescent="0.2">
      <c r="V3406" s="123" t="str">
        <f t="shared" si="63"/>
        <v>1w</v>
      </c>
      <c r="W3406" s="82">
        <f>_xll.qlCalendarAdvance(Calendar,W3405,V3406,"f",FALSE)</f>
        <v>62828</v>
      </c>
      <c r="X3406" s="91">
        <f>_xll.qlCalendarAdvance(Calendar,W3406,NDays&amp;"D")</f>
        <v>62828</v>
      </c>
      <c r="Y3406" s="92" t="e">
        <v>#N/A</v>
      </c>
      <c r="Z3406" s="94" t="e">
        <v>#N/A</v>
      </c>
    </row>
    <row r="3407" spans="22:26" x14ac:dyDescent="0.2">
      <c r="V3407" s="123" t="str">
        <f t="shared" si="63"/>
        <v>1w</v>
      </c>
      <c r="W3407" s="82">
        <f>_xll.qlCalendarAdvance(Calendar,W3406,V3407,"f",FALSE)</f>
        <v>62835</v>
      </c>
      <c r="X3407" s="91">
        <f>_xll.qlCalendarAdvance(Calendar,W3407,NDays&amp;"D")</f>
        <v>62835</v>
      </c>
      <c r="Y3407" s="92" t="e">
        <v>#N/A</v>
      </c>
      <c r="Z3407" s="94" t="e">
        <v>#N/A</v>
      </c>
    </row>
    <row r="3408" spans="22:26" x14ac:dyDescent="0.2">
      <c r="V3408" s="123" t="str">
        <f t="shared" si="63"/>
        <v>1w</v>
      </c>
      <c r="W3408" s="82">
        <f>_xll.qlCalendarAdvance(Calendar,W3407,V3408,"f",FALSE)</f>
        <v>62842</v>
      </c>
      <c r="X3408" s="91">
        <f>_xll.qlCalendarAdvance(Calendar,W3408,NDays&amp;"D")</f>
        <v>62842</v>
      </c>
      <c r="Y3408" s="92" t="e">
        <v>#N/A</v>
      </c>
      <c r="Z3408" s="94" t="e">
        <v>#N/A</v>
      </c>
    </row>
    <row r="3409" spans="22:26" x14ac:dyDescent="0.2">
      <c r="V3409" s="123" t="str">
        <f t="shared" si="63"/>
        <v>1w</v>
      </c>
      <c r="W3409" s="82">
        <f>_xll.qlCalendarAdvance(Calendar,W3408,V3409,"f",FALSE)</f>
        <v>62849</v>
      </c>
      <c r="X3409" s="91">
        <f>_xll.qlCalendarAdvance(Calendar,W3409,NDays&amp;"D")</f>
        <v>62849</v>
      </c>
      <c r="Y3409" s="92" t="e">
        <v>#N/A</v>
      </c>
      <c r="Z3409" s="94" t="e">
        <v>#N/A</v>
      </c>
    </row>
    <row r="3410" spans="22:26" x14ac:dyDescent="0.2">
      <c r="V3410" s="123" t="str">
        <f t="shared" si="63"/>
        <v>1w</v>
      </c>
      <c r="W3410" s="82">
        <f>_xll.qlCalendarAdvance(Calendar,W3409,V3410,"f",FALSE)</f>
        <v>62856</v>
      </c>
      <c r="X3410" s="91">
        <f>_xll.qlCalendarAdvance(Calendar,W3410,NDays&amp;"D")</f>
        <v>62856</v>
      </c>
      <c r="Y3410" s="92" t="e">
        <v>#N/A</v>
      </c>
      <c r="Z3410" s="94" t="e">
        <v>#N/A</v>
      </c>
    </row>
    <row r="3411" spans="22:26" x14ac:dyDescent="0.2">
      <c r="V3411" s="123" t="str">
        <f t="shared" si="63"/>
        <v>1w</v>
      </c>
      <c r="W3411" s="82">
        <f>_xll.qlCalendarAdvance(Calendar,W3410,V3411,"f",FALSE)</f>
        <v>62863</v>
      </c>
      <c r="X3411" s="91">
        <f>_xll.qlCalendarAdvance(Calendar,W3411,NDays&amp;"D")</f>
        <v>62863</v>
      </c>
      <c r="Y3411" s="92" t="e">
        <v>#N/A</v>
      </c>
      <c r="Z3411" s="94" t="e">
        <v>#N/A</v>
      </c>
    </row>
    <row r="3412" spans="22:26" x14ac:dyDescent="0.2">
      <c r="V3412" s="123" t="str">
        <f t="shared" si="63"/>
        <v>1w</v>
      </c>
      <c r="W3412" s="82">
        <f>_xll.qlCalendarAdvance(Calendar,W3411,V3412,"f",FALSE)</f>
        <v>62870</v>
      </c>
      <c r="X3412" s="91">
        <f>_xll.qlCalendarAdvance(Calendar,W3412,NDays&amp;"D")</f>
        <v>62870</v>
      </c>
      <c r="Y3412" s="92" t="e">
        <v>#N/A</v>
      </c>
      <c r="Z3412" s="94" t="e">
        <v>#N/A</v>
      </c>
    </row>
    <row r="3413" spans="22:26" x14ac:dyDescent="0.2">
      <c r="V3413" s="123" t="str">
        <f t="shared" ref="V3413:V3476" si="64">V3412</f>
        <v>1w</v>
      </c>
      <c r="W3413" s="82">
        <f>_xll.qlCalendarAdvance(Calendar,W3412,V3413,"f",FALSE)</f>
        <v>62877</v>
      </c>
      <c r="X3413" s="91">
        <f>_xll.qlCalendarAdvance(Calendar,W3413,NDays&amp;"D")</f>
        <v>62877</v>
      </c>
      <c r="Y3413" s="92" t="e">
        <v>#N/A</v>
      </c>
      <c r="Z3413" s="94" t="e">
        <v>#N/A</v>
      </c>
    </row>
    <row r="3414" spans="22:26" x14ac:dyDescent="0.2">
      <c r="V3414" s="123" t="str">
        <f t="shared" si="64"/>
        <v>1w</v>
      </c>
      <c r="W3414" s="82">
        <f>_xll.qlCalendarAdvance(Calendar,W3413,V3414,"f",FALSE)</f>
        <v>62884</v>
      </c>
      <c r="X3414" s="91">
        <f>_xll.qlCalendarAdvance(Calendar,W3414,NDays&amp;"D")</f>
        <v>62884</v>
      </c>
      <c r="Y3414" s="92" t="e">
        <v>#N/A</v>
      </c>
      <c r="Z3414" s="94" t="e">
        <v>#N/A</v>
      </c>
    </row>
    <row r="3415" spans="22:26" x14ac:dyDescent="0.2">
      <c r="V3415" s="123" t="str">
        <f t="shared" si="64"/>
        <v>1w</v>
      </c>
      <c r="W3415" s="82">
        <f>_xll.qlCalendarAdvance(Calendar,W3414,V3415,"f",FALSE)</f>
        <v>62891</v>
      </c>
      <c r="X3415" s="91">
        <f>_xll.qlCalendarAdvance(Calendar,W3415,NDays&amp;"D")</f>
        <v>62891</v>
      </c>
      <c r="Y3415" s="92" t="e">
        <v>#N/A</v>
      </c>
      <c r="Z3415" s="94" t="e">
        <v>#N/A</v>
      </c>
    </row>
    <row r="3416" spans="22:26" x14ac:dyDescent="0.2">
      <c r="V3416" s="123" t="str">
        <f t="shared" si="64"/>
        <v>1w</v>
      </c>
      <c r="W3416" s="82">
        <f>_xll.qlCalendarAdvance(Calendar,W3415,V3416,"f",FALSE)</f>
        <v>62898</v>
      </c>
      <c r="X3416" s="91">
        <f>_xll.qlCalendarAdvance(Calendar,W3416,NDays&amp;"D")</f>
        <v>62898</v>
      </c>
      <c r="Y3416" s="92" t="e">
        <v>#N/A</v>
      </c>
      <c r="Z3416" s="94" t="e">
        <v>#N/A</v>
      </c>
    </row>
    <row r="3417" spans="22:26" x14ac:dyDescent="0.2">
      <c r="V3417" s="123" t="str">
        <f t="shared" si="64"/>
        <v>1w</v>
      </c>
      <c r="W3417" s="82">
        <f>_xll.qlCalendarAdvance(Calendar,W3416,V3417,"f",FALSE)</f>
        <v>62905</v>
      </c>
      <c r="X3417" s="91">
        <f>_xll.qlCalendarAdvance(Calendar,W3417,NDays&amp;"D")</f>
        <v>62905</v>
      </c>
      <c r="Y3417" s="92" t="e">
        <v>#N/A</v>
      </c>
      <c r="Z3417" s="94" t="e">
        <v>#N/A</v>
      </c>
    </row>
    <row r="3418" spans="22:26" x14ac:dyDescent="0.2">
      <c r="V3418" s="123" t="str">
        <f t="shared" si="64"/>
        <v>1w</v>
      </c>
      <c r="W3418" s="82">
        <f>_xll.qlCalendarAdvance(Calendar,W3417,V3418,"f",FALSE)</f>
        <v>62912</v>
      </c>
      <c r="X3418" s="91">
        <f>_xll.qlCalendarAdvance(Calendar,W3418,NDays&amp;"D")</f>
        <v>62912</v>
      </c>
      <c r="Y3418" s="92" t="e">
        <v>#N/A</v>
      </c>
      <c r="Z3418" s="94" t="e">
        <v>#N/A</v>
      </c>
    </row>
    <row r="3419" spans="22:26" x14ac:dyDescent="0.2">
      <c r="V3419" s="123" t="str">
        <f t="shared" si="64"/>
        <v>1w</v>
      </c>
      <c r="W3419" s="82">
        <f>_xll.qlCalendarAdvance(Calendar,W3418,V3419,"f",FALSE)</f>
        <v>62919</v>
      </c>
      <c r="X3419" s="91">
        <f>_xll.qlCalendarAdvance(Calendar,W3419,NDays&amp;"D")</f>
        <v>62919</v>
      </c>
      <c r="Y3419" s="92" t="e">
        <v>#N/A</v>
      </c>
      <c r="Z3419" s="94" t="e">
        <v>#N/A</v>
      </c>
    </row>
    <row r="3420" spans="22:26" x14ac:dyDescent="0.2">
      <c r="V3420" s="123" t="str">
        <f t="shared" si="64"/>
        <v>1w</v>
      </c>
      <c r="W3420" s="82">
        <f>_xll.qlCalendarAdvance(Calendar,W3419,V3420,"f",FALSE)</f>
        <v>62926</v>
      </c>
      <c r="X3420" s="91">
        <f>_xll.qlCalendarAdvance(Calendar,W3420,NDays&amp;"D")</f>
        <v>62926</v>
      </c>
      <c r="Y3420" s="92" t="e">
        <v>#N/A</v>
      </c>
      <c r="Z3420" s="94" t="e">
        <v>#N/A</v>
      </c>
    </row>
    <row r="3421" spans="22:26" x14ac:dyDescent="0.2">
      <c r="V3421" s="123" t="str">
        <f t="shared" si="64"/>
        <v>1w</v>
      </c>
      <c r="W3421" s="82">
        <f>_xll.qlCalendarAdvance(Calendar,W3420,V3421,"f",FALSE)</f>
        <v>62933</v>
      </c>
      <c r="X3421" s="91">
        <f>_xll.qlCalendarAdvance(Calendar,W3421,NDays&amp;"D")</f>
        <v>62933</v>
      </c>
      <c r="Y3421" s="92" t="e">
        <v>#N/A</v>
      </c>
      <c r="Z3421" s="94" t="e">
        <v>#N/A</v>
      </c>
    </row>
    <row r="3422" spans="22:26" x14ac:dyDescent="0.2">
      <c r="V3422" s="123" t="str">
        <f t="shared" si="64"/>
        <v>1w</v>
      </c>
      <c r="W3422" s="82">
        <f>_xll.qlCalendarAdvance(Calendar,W3421,V3422,"f",FALSE)</f>
        <v>62940</v>
      </c>
      <c r="X3422" s="91">
        <f>_xll.qlCalendarAdvance(Calendar,W3422,NDays&amp;"D")</f>
        <v>62940</v>
      </c>
      <c r="Y3422" s="92" t="e">
        <v>#N/A</v>
      </c>
      <c r="Z3422" s="94" t="e">
        <v>#N/A</v>
      </c>
    </row>
    <row r="3423" spans="22:26" x14ac:dyDescent="0.2">
      <c r="V3423" s="123" t="str">
        <f t="shared" si="64"/>
        <v>1w</v>
      </c>
      <c r="W3423" s="82">
        <f>_xll.qlCalendarAdvance(Calendar,W3422,V3423,"f",FALSE)</f>
        <v>62947</v>
      </c>
      <c r="X3423" s="91">
        <f>_xll.qlCalendarAdvance(Calendar,W3423,NDays&amp;"D")</f>
        <v>62947</v>
      </c>
      <c r="Y3423" s="92" t="e">
        <v>#N/A</v>
      </c>
      <c r="Z3423" s="94" t="e">
        <v>#N/A</v>
      </c>
    </row>
    <row r="3424" spans="22:26" x14ac:dyDescent="0.2">
      <c r="V3424" s="123" t="str">
        <f t="shared" si="64"/>
        <v>1w</v>
      </c>
      <c r="W3424" s="82">
        <f>_xll.qlCalendarAdvance(Calendar,W3423,V3424,"f",FALSE)</f>
        <v>62954</v>
      </c>
      <c r="X3424" s="91">
        <f>_xll.qlCalendarAdvance(Calendar,W3424,NDays&amp;"D")</f>
        <v>62954</v>
      </c>
      <c r="Y3424" s="92" t="e">
        <v>#N/A</v>
      </c>
      <c r="Z3424" s="94" t="e">
        <v>#N/A</v>
      </c>
    </row>
    <row r="3425" spans="22:26" x14ac:dyDescent="0.2">
      <c r="V3425" s="123" t="str">
        <f t="shared" si="64"/>
        <v>1w</v>
      </c>
      <c r="W3425" s="82">
        <f>_xll.qlCalendarAdvance(Calendar,W3424,V3425,"f",FALSE)</f>
        <v>62961</v>
      </c>
      <c r="X3425" s="91">
        <f>_xll.qlCalendarAdvance(Calendar,W3425,NDays&amp;"D")</f>
        <v>62961</v>
      </c>
      <c r="Y3425" s="92" t="e">
        <v>#N/A</v>
      </c>
      <c r="Z3425" s="94" t="e">
        <v>#N/A</v>
      </c>
    </row>
    <row r="3426" spans="22:26" x14ac:dyDescent="0.2">
      <c r="V3426" s="123" t="str">
        <f t="shared" si="64"/>
        <v>1w</v>
      </c>
      <c r="W3426" s="82">
        <f>_xll.qlCalendarAdvance(Calendar,W3425,V3426,"f",FALSE)</f>
        <v>62968</v>
      </c>
      <c r="X3426" s="91">
        <f>_xll.qlCalendarAdvance(Calendar,W3426,NDays&amp;"D")</f>
        <v>62968</v>
      </c>
      <c r="Y3426" s="92" t="e">
        <v>#N/A</v>
      </c>
      <c r="Z3426" s="94" t="e">
        <v>#N/A</v>
      </c>
    </row>
    <row r="3427" spans="22:26" x14ac:dyDescent="0.2">
      <c r="V3427" s="123" t="str">
        <f t="shared" si="64"/>
        <v>1w</v>
      </c>
      <c r="W3427" s="82">
        <f>_xll.qlCalendarAdvance(Calendar,W3426,V3427,"f",FALSE)</f>
        <v>62975</v>
      </c>
      <c r="X3427" s="91">
        <f>_xll.qlCalendarAdvance(Calendar,W3427,NDays&amp;"D")</f>
        <v>62975</v>
      </c>
      <c r="Y3427" s="92" t="e">
        <v>#N/A</v>
      </c>
      <c r="Z3427" s="94" t="e">
        <v>#N/A</v>
      </c>
    </row>
    <row r="3428" spans="22:26" x14ac:dyDescent="0.2">
      <c r="V3428" s="123" t="str">
        <f t="shared" si="64"/>
        <v>1w</v>
      </c>
      <c r="W3428" s="82">
        <f>_xll.qlCalendarAdvance(Calendar,W3427,V3428,"f",FALSE)</f>
        <v>62982</v>
      </c>
      <c r="X3428" s="91">
        <f>_xll.qlCalendarAdvance(Calendar,W3428,NDays&amp;"D")</f>
        <v>62982</v>
      </c>
      <c r="Y3428" s="92" t="e">
        <v>#N/A</v>
      </c>
      <c r="Z3428" s="94" t="e">
        <v>#N/A</v>
      </c>
    </row>
    <row r="3429" spans="22:26" x14ac:dyDescent="0.2">
      <c r="V3429" s="123" t="str">
        <f t="shared" si="64"/>
        <v>1w</v>
      </c>
      <c r="W3429" s="82">
        <f>_xll.qlCalendarAdvance(Calendar,W3428,V3429,"f",FALSE)</f>
        <v>62989</v>
      </c>
      <c r="X3429" s="91">
        <f>_xll.qlCalendarAdvance(Calendar,W3429,NDays&amp;"D")</f>
        <v>62989</v>
      </c>
      <c r="Y3429" s="92" t="e">
        <v>#N/A</v>
      </c>
      <c r="Z3429" s="94" t="e">
        <v>#N/A</v>
      </c>
    </row>
    <row r="3430" spans="22:26" x14ac:dyDescent="0.2">
      <c r="V3430" s="123" t="str">
        <f t="shared" si="64"/>
        <v>1w</v>
      </c>
      <c r="W3430" s="82">
        <f>_xll.qlCalendarAdvance(Calendar,W3429,V3430,"f",FALSE)</f>
        <v>62996</v>
      </c>
      <c r="X3430" s="91">
        <f>_xll.qlCalendarAdvance(Calendar,W3430,NDays&amp;"D")</f>
        <v>62996</v>
      </c>
      <c r="Y3430" s="92" t="e">
        <v>#N/A</v>
      </c>
      <c r="Z3430" s="94" t="e">
        <v>#N/A</v>
      </c>
    </row>
    <row r="3431" spans="22:26" x14ac:dyDescent="0.2">
      <c r="V3431" s="123" t="str">
        <f t="shared" si="64"/>
        <v>1w</v>
      </c>
      <c r="W3431" s="82">
        <f>_xll.qlCalendarAdvance(Calendar,W3430,V3431,"f",FALSE)</f>
        <v>63003</v>
      </c>
      <c r="X3431" s="91">
        <f>_xll.qlCalendarAdvance(Calendar,W3431,NDays&amp;"D")</f>
        <v>63003</v>
      </c>
      <c r="Y3431" s="92" t="e">
        <v>#N/A</v>
      </c>
      <c r="Z3431" s="94" t="e">
        <v>#N/A</v>
      </c>
    </row>
    <row r="3432" spans="22:26" x14ac:dyDescent="0.2">
      <c r="V3432" s="123" t="str">
        <f t="shared" si="64"/>
        <v>1w</v>
      </c>
      <c r="W3432" s="82">
        <f>_xll.qlCalendarAdvance(Calendar,W3431,V3432,"f",FALSE)</f>
        <v>63010</v>
      </c>
      <c r="X3432" s="91">
        <f>_xll.qlCalendarAdvance(Calendar,W3432,NDays&amp;"D")</f>
        <v>63010</v>
      </c>
      <c r="Y3432" s="92" t="e">
        <v>#N/A</v>
      </c>
      <c r="Z3432" s="94" t="e">
        <v>#N/A</v>
      </c>
    </row>
    <row r="3433" spans="22:26" x14ac:dyDescent="0.2">
      <c r="V3433" s="123" t="str">
        <f t="shared" si="64"/>
        <v>1w</v>
      </c>
      <c r="W3433" s="82">
        <f>_xll.qlCalendarAdvance(Calendar,W3432,V3433,"f",FALSE)</f>
        <v>63017</v>
      </c>
      <c r="X3433" s="91">
        <f>_xll.qlCalendarAdvance(Calendar,W3433,NDays&amp;"D")</f>
        <v>63017</v>
      </c>
      <c r="Y3433" s="92" t="e">
        <v>#N/A</v>
      </c>
      <c r="Z3433" s="94" t="e">
        <v>#N/A</v>
      </c>
    </row>
    <row r="3434" spans="22:26" x14ac:dyDescent="0.2">
      <c r="V3434" s="123" t="str">
        <f t="shared" si="64"/>
        <v>1w</v>
      </c>
      <c r="W3434" s="82">
        <f>_xll.qlCalendarAdvance(Calendar,W3433,V3434,"f",FALSE)</f>
        <v>63024</v>
      </c>
      <c r="X3434" s="91">
        <f>_xll.qlCalendarAdvance(Calendar,W3434,NDays&amp;"D")</f>
        <v>63024</v>
      </c>
      <c r="Y3434" s="92" t="e">
        <v>#N/A</v>
      </c>
      <c r="Z3434" s="94" t="e">
        <v>#N/A</v>
      </c>
    </row>
    <row r="3435" spans="22:26" x14ac:dyDescent="0.2">
      <c r="V3435" s="123" t="str">
        <f t="shared" si="64"/>
        <v>1w</v>
      </c>
      <c r="W3435" s="82">
        <f>_xll.qlCalendarAdvance(Calendar,W3434,V3435,"f",FALSE)</f>
        <v>63031</v>
      </c>
      <c r="X3435" s="91">
        <f>_xll.qlCalendarAdvance(Calendar,W3435,NDays&amp;"D")</f>
        <v>63031</v>
      </c>
      <c r="Y3435" s="92" t="e">
        <v>#N/A</v>
      </c>
      <c r="Z3435" s="94" t="e">
        <v>#N/A</v>
      </c>
    </row>
    <row r="3436" spans="22:26" x14ac:dyDescent="0.2">
      <c r="V3436" s="123" t="str">
        <f t="shared" si="64"/>
        <v>1w</v>
      </c>
      <c r="W3436" s="82">
        <f>_xll.qlCalendarAdvance(Calendar,W3435,V3436,"f",FALSE)</f>
        <v>63038</v>
      </c>
      <c r="X3436" s="91">
        <f>_xll.qlCalendarAdvance(Calendar,W3436,NDays&amp;"D")</f>
        <v>63038</v>
      </c>
      <c r="Y3436" s="92" t="e">
        <v>#N/A</v>
      </c>
      <c r="Z3436" s="94" t="e">
        <v>#N/A</v>
      </c>
    </row>
    <row r="3437" spans="22:26" x14ac:dyDescent="0.2">
      <c r="V3437" s="123" t="str">
        <f t="shared" si="64"/>
        <v>1w</v>
      </c>
      <c r="W3437" s="82">
        <f>_xll.qlCalendarAdvance(Calendar,W3436,V3437,"f",FALSE)</f>
        <v>63045</v>
      </c>
      <c r="X3437" s="91">
        <f>_xll.qlCalendarAdvance(Calendar,W3437,NDays&amp;"D")</f>
        <v>63045</v>
      </c>
      <c r="Y3437" s="92" t="e">
        <v>#N/A</v>
      </c>
      <c r="Z3437" s="94" t="e">
        <v>#N/A</v>
      </c>
    </row>
    <row r="3438" spans="22:26" x14ac:dyDescent="0.2">
      <c r="V3438" s="123" t="str">
        <f t="shared" si="64"/>
        <v>1w</v>
      </c>
      <c r="W3438" s="82">
        <f>_xll.qlCalendarAdvance(Calendar,W3437,V3438,"f",FALSE)</f>
        <v>63052</v>
      </c>
      <c r="X3438" s="91">
        <f>_xll.qlCalendarAdvance(Calendar,W3438,NDays&amp;"D")</f>
        <v>63052</v>
      </c>
      <c r="Y3438" s="92" t="e">
        <v>#N/A</v>
      </c>
      <c r="Z3438" s="94" t="e">
        <v>#N/A</v>
      </c>
    </row>
    <row r="3439" spans="22:26" x14ac:dyDescent="0.2">
      <c r="V3439" s="123" t="str">
        <f t="shared" si="64"/>
        <v>1w</v>
      </c>
      <c r="W3439" s="82">
        <f>_xll.qlCalendarAdvance(Calendar,W3438,V3439,"f",FALSE)</f>
        <v>63059</v>
      </c>
      <c r="X3439" s="91">
        <f>_xll.qlCalendarAdvance(Calendar,W3439,NDays&amp;"D")</f>
        <v>63059</v>
      </c>
      <c r="Y3439" s="92" t="e">
        <v>#N/A</v>
      </c>
      <c r="Z3439" s="94" t="e">
        <v>#N/A</v>
      </c>
    </row>
    <row r="3440" spans="22:26" x14ac:dyDescent="0.2">
      <c r="V3440" s="123" t="str">
        <f t="shared" si="64"/>
        <v>1w</v>
      </c>
      <c r="W3440" s="82">
        <f>_xll.qlCalendarAdvance(Calendar,W3439,V3440,"f",FALSE)</f>
        <v>63066</v>
      </c>
      <c r="X3440" s="91">
        <f>_xll.qlCalendarAdvance(Calendar,W3440,NDays&amp;"D")</f>
        <v>63066</v>
      </c>
      <c r="Y3440" s="92" t="e">
        <v>#N/A</v>
      </c>
      <c r="Z3440" s="94" t="e">
        <v>#N/A</v>
      </c>
    </row>
    <row r="3441" spans="22:26" x14ac:dyDescent="0.2">
      <c r="V3441" s="123" t="str">
        <f t="shared" si="64"/>
        <v>1w</v>
      </c>
      <c r="W3441" s="82">
        <f>_xll.qlCalendarAdvance(Calendar,W3440,V3441,"f",FALSE)</f>
        <v>63073</v>
      </c>
      <c r="X3441" s="91">
        <f>_xll.qlCalendarAdvance(Calendar,W3441,NDays&amp;"D")</f>
        <v>63073</v>
      </c>
      <c r="Y3441" s="92" t="e">
        <v>#N/A</v>
      </c>
      <c r="Z3441" s="94" t="e">
        <v>#N/A</v>
      </c>
    </row>
    <row r="3442" spans="22:26" x14ac:dyDescent="0.2">
      <c r="V3442" s="123" t="str">
        <f t="shared" si="64"/>
        <v>1w</v>
      </c>
      <c r="W3442" s="82">
        <f>_xll.qlCalendarAdvance(Calendar,W3441,V3442,"f",FALSE)</f>
        <v>63080</v>
      </c>
      <c r="X3442" s="91">
        <f>_xll.qlCalendarAdvance(Calendar,W3442,NDays&amp;"D")</f>
        <v>63080</v>
      </c>
      <c r="Y3442" s="92" t="e">
        <v>#N/A</v>
      </c>
      <c r="Z3442" s="94" t="e">
        <v>#N/A</v>
      </c>
    </row>
    <row r="3443" spans="22:26" x14ac:dyDescent="0.2">
      <c r="V3443" s="123" t="str">
        <f t="shared" si="64"/>
        <v>1w</v>
      </c>
      <c r="W3443" s="82">
        <f>_xll.qlCalendarAdvance(Calendar,W3442,V3443,"f",FALSE)</f>
        <v>63087</v>
      </c>
      <c r="X3443" s="91">
        <f>_xll.qlCalendarAdvance(Calendar,W3443,NDays&amp;"D")</f>
        <v>63087</v>
      </c>
      <c r="Y3443" s="92" t="e">
        <v>#N/A</v>
      </c>
      <c r="Z3443" s="94" t="e">
        <v>#N/A</v>
      </c>
    </row>
    <row r="3444" spans="22:26" x14ac:dyDescent="0.2">
      <c r="V3444" s="123" t="str">
        <f t="shared" si="64"/>
        <v>1w</v>
      </c>
      <c r="W3444" s="82">
        <f>_xll.qlCalendarAdvance(Calendar,W3443,V3444,"f",FALSE)</f>
        <v>63094</v>
      </c>
      <c r="X3444" s="91">
        <f>_xll.qlCalendarAdvance(Calendar,W3444,NDays&amp;"D")</f>
        <v>63094</v>
      </c>
      <c r="Y3444" s="92" t="e">
        <v>#N/A</v>
      </c>
      <c r="Z3444" s="94" t="e">
        <v>#N/A</v>
      </c>
    </row>
    <row r="3445" spans="22:26" x14ac:dyDescent="0.2">
      <c r="V3445" s="123" t="str">
        <f t="shared" si="64"/>
        <v>1w</v>
      </c>
      <c r="W3445" s="82">
        <f>_xll.qlCalendarAdvance(Calendar,W3444,V3445,"f",FALSE)</f>
        <v>63101</v>
      </c>
      <c r="X3445" s="91">
        <f>_xll.qlCalendarAdvance(Calendar,W3445,NDays&amp;"D")</f>
        <v>63101</v>
      </c>
      <c r="Y3445" s="92" t="e">
        <v>#N/A</v>
      </c>
      <c r="Z3445" s="94" t="e">
        <v>#N/A</v>
      </c>
    </row>
    <row r="3446" spans="22:26" x14ac:dyDescent="0.2">
      <c r="V3446" s="123" t="str">
        <f t="shared" si="64"/>
        <v>1w</v>
      </c>
      <c r="W3446" s="82">
        <f>_xll.qlCalendarAdvance(Calendar,W3445,V3446,"f",FALSE)</f>
        <v>63108</v>
      </c>
      <c r="X3446" s="91">
        <f>_xll.qlCalendarAdvance(Calendar,W3446,NDays&amp;"D")</f>
        <v>63108</v>
      </c>
      <c r="Y3446" s="92" t="e">
        <v>#N/A</v>
      </c>
      <c r="Z3446" s="94" t="e">
        <v>#N/A</v>
      </c>
    </row>
    <row r="3447" spans="22:26" x14ac:dyDescent="0.2">
      <c r="V3447" s="123" t="str">
        <f t="shared" si="64"/>
        <v>1w</v>
      </c>
      <c r="W3447" s="82">
        <f>_xll.qlCalendarAdvance(Calendar,W3446,V3447,"f",FALSE)</f>
        <v>63115</v>
      </c>
      <c r="X3447" s="91">
        <f>_xll.qlCalendarAdvance(Calendar,W3447,NDays&amp;"D")</f>
        <v>63115</v>
      </c>
      <c r="Y3447" s="92" t="e">
        <v>#N/A</v>
      </c>
      <c r="Z3447" s="94" t="e">
        <v>#N/A</v>
      </c>
    </row>
    <row r="3448" spans="22:26" x14ac:dyDescent="0.2">
      <c r="V3448" s="123" t="str">
        <f t="shared" si="64"/>
        <v>1w</v>
      </c>
      <c r="W3448" s="82">
        <f>_xll.qlCalendarAdvance(Calendar,W3447,V3448,"f",FALSE)</f>
        <v>63122</v>
      </c>
      <c r="X3448" s="91">
        <f>_xll.qlCalendarAdvance(Calendar,W3448,NDays&amp;"D")</f>
        <v>63122</v>
      </c>
      <c r="Y3448" s="92" t="e">
        <v>#N/A</v>
      </c>
      <c r="Z3448" s="94" t="e">
        <v>#N/A</v>
      </c>
    </row>
    <row r="3449" spans="22:26" x14ac:dyDescent="0.2">
      <c r="V3449" s="123" t="str">
        <f t="shared" si="64"/>
        <v>1w</v>
      </c>
      <c r="W3449" s="82">
        <f>_xll.qlCalendarAdvance(Calendar,W3448,V3449,"f",FALSE)</f>
        <v>63129</v>
      </c>
      <c r="X3449" s="91">
        <f>_xll.qlCalendarAdvance(Calendar,W3449,NDays&amp;"D")</f>
        <v>63129</v>
      </c>
      <c r="Y3449" s="92" t="e">
        <v>#N/A</v>
      </c>
      <c r="Z3449" s="94" t="e">
        <v>#N/A</v>
      </c>
    </row>
    <row r="3450" spans="22:26" x14ac:dyDescent="0.2">
      <c r="V3450" s="123" t="str">
        <f t="shared" si="64"/>
        <v>1w</v>
      </c>
      <c r="W3450" s="82">
        <f>_xll.qlCalendarAdvance(Calendar,W3449,V3450,"f",FALSE)</f>
        <v>63136</v>
      </c>
      <c r="X3450" s="91">
        <f>_xll.qlCalendarAdvance(Calendar,W3450,NDays&amp;"D")</f>
        <v>63136</v>
      </c>
      <c r="Y3450" s="92" t="e">
        <v>#N/A</v>
      </c>
      <c r="Z3450" s="94" t="e">
        <v>#N/A</v>
      </c>
    </row>
    <row r="3451" spans="22:26" x14ac:dyDescent="0.2">
      <c r="V3451" s="123" t="str">
        <f t="shared" si="64"/>
        <v>1w</v>
      </c>
      <c r="W3451" s="82">
        <f>_xll.qlCalendarAdvance(Calendar,W3450,V3451,"f",FALSE)</f>
        <v>63143</v>
      </c>
      <c r="X3451" s="91">
        <f>_xll.qlCalendarAdvance(Calendar,W3451,NDays&amp;"D")</f>
        <v>63143</v>
      </c>
      <c r="Y3451" s="92" t="e">
        <v>#N/A</v>
      </c>
      <c r="Z3451" s="94" t="e">
        <v>#N/A</v>
      </c>
    </row>
    <row r="3452" spans="22:26" x14ac:dyDescent="0.2">
      <c r="V3452" s="123" t="str">
        <f t="shared" si="64"/>
        <v>1w</v>
      </c>
      <c r="W3452" s="82">
        <f>_xll.qlCalendarAdvance(Calendar,W3451,V3452,"f",FALSE)</f>
        <v>63150</v>
      </c>
      <c r="X3452" s="91">
        <f>_xll.qlCalendarAdvance(Calendar,W3452,NDays&amp;"D")</f>
        <v>63150</v>
      </c>
      <c r="Y3452" s="92" t="e">
        <v>#N/A</v>
      </c>
      <c r="Z3452" s="94" t="e">
        <v>#N/A</v>
      </c>
    </row>
    <row r="3453" spans="22:26" x14ac:dyDescent="0.2">
      <c r="V3453" s="123" t="str">
        <f t="shared" si="64"/>
        <v>1w</v>
      </c>
      <c r="W3453" s="82">
        <f>_xll.qlCalendarAdvance(Calendar,W3452,V3453,"f",FALSE)</f>
        <v>63157</v>
      </c>
      <c r="X3453" s="91">
        <f>_xll.qlCalendarAdvance(Calendar,W3453,NDays&amp;"D")</f>
        <v>63157</v>
      </c>
      <c r="Y3453" s="92" t="e">
        <v>#N/A</v>
      </c>
      <c r="Z3453" s="94" t="e">
        <v>#N/A</v>
      </c>
    </row>
    <row r="3454" spans="22:26" x14ac:dyDescent="0.2">
      <c r="V3454" s="123" t="str">
        <f t="shared" si="64"/>
        <v>1w</v>
      </c>
      <c r="W3454" s="82">
        <f>_xll.qlCalendarAdvance(Calendar,W3453,V3454,"f",FALSE)</f>
        <v>63164</v>
      </c>
      <c r="X3454" s="91">
        <f>_xll.qlCalendarAdvance(Calendar,W3454,NDays&amp;"D")</f>
        <v>63164</v>
      </c>
      <c r="Y3454" s="92" t="e">
        <v>#N/A</v>
      </c>
      <c r="Z3454" s="94" t="e">
        <v>#N/A</v>
      </c>
    </row>
    <row r="3455" spans="22:26" x14ac:dyDescent="0.2">
      <c r="V3455" s="123" t="str">
        <f t="shared" si="64"/>
        <v>1w</v>
      </c>
      <c r="W3455" s="82">
        <f>_xll.qlCalendarAdvance(Calendar,W3454,V3455,"f",FALSE)</f>
        <v>63171</v>
      </c>
      <c r="X3455" s="91">
        <f>_xll.qlCalendarAdvance(Calendar,W3455,NDays&amp;"D")</f>
        <v>63171</v>
      </c>
      <c r="Y3455" s="92" t="e">
        <v>#N/A</v>
      </c>
      <c r="Z3455" s="94" t="e">
        <v>#N/A</v>
      </c>
    </row>
    <row r="3456" spans="22:26" x14ac:dyDescent="0.2">
      <c r="V3456" s="123" t="str">
        <f t="shared" si="64"/>
        <v>1w</v>
      </c>
      <c r="W3456" s="82">
        <f>_xll.qlCalendarAdvance(Calendar,W3455,V3456,"f",FALSE)</f>
        <v>63178</v>
      </c>
      <c r="X3456" s="91">
        <f>_xll.qlCalendarAdvance(Calendar,W3456,NDays&amp;"D")</f>
        <v>63178</v>
      </c>
      <c r="Y3456" s="92" t="e">
        <v>#N/A</v>
      </c>
      <c r="Z3456" s="94" t="e">
        <v>#N/A</v>
      </c>
    </row>
    <row r="3457" spans="22:26" x14ac:dyDescent="0.2">
      <c r="V3457" s="123" t="str">
        <f t="shared" si="64"/>
        <v>1w</v>
      </c>
      <c r="W3457" s="82">
        <f>_xll.qlCalendarAdvance(Calendar,W3456,V3457,"f",FALSE)</f>
        <v>63185</v>
      </c>
      <c r="X3457" s="91">
        <f>_xll.qlCalendarAdvance(Calendar,W3457,NDays&amp;"D")</f>
        <v>63185</v>
      </c>
      <c r="Y3457" s="92" t="e">
        <v>#N/A</v>
      </c>
      <c r="Z3457" s="94" t="e">
        <v>#N/A</v>
      </c>
    </row>
    <row r="3458" spans="22:26" x14ac:dyDescent="0.2">
      <c r="V3458" s="123" t="str">
        <f t="shared" si="64"/>
        <v>1w</v>
      </c>
      <c r="W3458" s="82">
        <f>_xll.qlCalendarAdvance(Calendar,W3457,V3458,"f",FALSE)</f>
        <v>63192</v>
      </c>
      <c r="X3458" s="91">
        <f>_xll.qlCalendarAdvance(Calendar,W3458,NDays&amp;"D")</f>
        <v>63192</v>
      </c>
      <c r="Y3458" s="92" t="e">
        <v>#N/A</v>
      </c>
      <c r="Z3458" s="94" t="e">
        <v>#N/A</v>
      </c>
    </row>
    <row r="3459" spans="22:26" x14ac:dyDescent="0.2">
      <c r="V3459" s="123" t="str">
        <f t="shared" si="64"/>
        <v>1w</v>
      </c>
      <c r="W3459" s="82">
        <f>_xll.qlCalendarAdvance(Calendar,W3458,V3459,"f",FALSE)</f>
        <v>63199</v>
      </c>
      <c r="X3459" s="91">
        <f>_xll.qlCalendarAdvance(Calendar,W3459,NDays&amp;"D")</f>
        <v>63199</v>
      </c>
      <c r="Y3459" s="92" t="e">
        <v>#N/A</v>
      </c>
      <c r="Z3459" s="94" t="e">
        <v>#N/A</v>
      </c>
    </row>
    <row r="3460" spans="22:26" x14ac:dyDescent="0.2">
      <c r="V3460" s="123" t="str">
        <f t="shared" si="64"/>
        <v>1w</v>
      </c>
      <c r="W3460" s="82">
        <f>_xll.qlCalendarAdvance(Calendar,W3459,V3460,"f",FALSE)</f>
        <v>63206</v>
      </c>
      <c r="X3460" s="91">
        <f>_xll.qlCalendarAdvance(Calendar,W3460,NDays&amp;"D")</f>
        <v>63206</v>
      </c>
      <c r="Y3460" s="92" t="e">
        <v>#N/A</v>
      </c>
      <c r="Z3460" s="94" t="e">
        <v>#N/A</v>
      </c>
    </row>
    <row r="3461" spans="22:26" x14ac:dyDescent="0.2">
      <c r="V3461" s="123" t="str">
        <f t="shared" si="64"/>
        <v>1w</v>
      </c>
      <c r="W3461" s="82">
        <f>_xll.qlCalendarAdvance(Calendar,W3460,V3461,"f",FALSE)</f>
        <v>63213</v>
      </c>
      <c r="X3461" s="91">
        <f>_xll.qlCalendarAdvance(Calendar,W3461,NDays&amp;"D")</f>
        <v>63213</v>
      </c>
      <c r="Y3461" s="92" t="e">
        <v>#N/A</v>
      </c>
      <c r="Z3461" s="94" t="e">
        <v>#N/A</v>
      </c>
    </row>
    <row r="3462" spans="22:26" x14ac:dyDescent="0.2">
      <c r="V3462" s="123" t="str">
        <f t="shared" si="64"/>
        <v>1w</v>
      </c>
      <c r="W3462" s="82">
        <f>_xll.qlCalendarAdvance(Calendar,W3461,V3462,"f",FALSE)</f>
        <v>63220</v>
      </c>
      <c r="X3462" s="91">
        <f>_xll.qlCalendarAdvance(Calendar,W3462,NDays&amp;"D")</f>
        <v>63220</v>
      </c>
      <c r="Y3462" s="92" t="e">
        <v>#N/A</v>
      </c>
      <c r="Z3462" s="94" t="e">
        <v>#N/A</v>
      </c>
    </row>
    <row r="3463" spans="22:26" x14ac:dyDescent="0.2">
      <c r="V3463" s="123" t="str">
        <f t="shared" si="64"/>
        <v>1w</v>
      </c>
      <c r="W3463" s="82">
        <f>_xll.qlCalendarAdvance(Calendar,W3462,V3463,"f",FALSE)</f>
        <v>63227</v>
      </c>
      <c r="X3463" s="91">
        <f>_xll.qlCalendarAdvance(Calendar,W3463,NDays&amp;"D")</f>
        <v>63227</v>
      </c>
      <c r="Y3463" s="92" t="e">
        <v>#N/A</v>
      </c>
      <c r="Z3463" s="94" t="e">
        <v>#N/A</v>
      </c>
    </row>
    <row r="3464" spans="22:26" x14ac:dyDescent="0.2">
      <c r="V3464" s="123" t="str">
        <f t="shared" si="64"/>
        <v>1w</v>
      </c>
      <c r="W3464" s="82">
        <f>_xll.qlCalendarAdvance(Calendar,W3463,V3464,"f",FALSE)</f>
        <v>63234</v>
      </c>
      <c r="X3464" s="91">
        <f>_xll.qlCalendarAdvance(Calendar,W3464,NDays&amp;"D")</f>
        <v>63234</v>
      </c>
      <c r="Y3464" s="92" t="e">
        <v>#N/A</v>
      </c>
      <c r="Z3464" s="94" t="e">
        <v>#N/A</v>
      </c>
    </row>
    <row r="3465" spans="22:26" x14ac:dyDescent="0.2">
      <c r="V3465" s="123" t="str">
        <f t="shared" si="64"/>
        <v>1w</v>
      </c>
      <c r="W3465" s="82">
        <f>_xll.qlCalendarAdvance(Calendar,W3464,V3465,"f",FALSE)</f>
        <v>63241</v>
      </c>
      <c r="X3465" s="91">
        <f>_xll.qlCalendarAdvance(Calendar,W3465,NDays&amp;"D")</f>
        <v>63241</v>
      </c>
      <c r="Y3465" s="92" t="e">
        <v>#N/A</v>
      </c>
      <c r="Z3465" s="94" t="e">
        <v>#N/A</v>
      </c>
    </row>
    <row r="3466" spans="22:26" x14ac:dyDescent="0.2">
      <c r="V3466" s="123" t="str">
        <f t="shared" si="64"/>
        <v>1w</v>
      </c>
      <c r="W3466" s="82">
        <f>_xll.qlCalendarAdvance(Calendar,W3465,V3466,"f",FALSE)</f>
        <v>63248</v>
      </c>
      <c r="X3466" s="91">
        <f>_xll.qlCalendarAdvance(Calendar,W3466,NDays&amp;"D")</f>
        <v>63248</v>
      </c>
      <c r="Y3466" s="92" t="e">
        <v>#N/A</v>
      </c>
      <c r="Z3466" s="94" t="e">
        <v>#N/A</v>
      </c>
    </row>
    <row r="3467" spans="22:26" x14ac:dyDescent="0.2">
      <c r="V3467" s="123" t="str">
        <f t="shared" si="64"/>
        <v>1w</v>
      </c>
      <c r="W3467" s="82">
        <f>_xll.qlCalendarAdvance(Calendar,W3466,V3467,"f",FALSE)</f>
        <v>63255</v>
      </c>
      <c r="X3467" s="91">
        <f>_xll.qlCalendarAdvance(Calendar,W3467,NDays&amp;"D")</f>
        <v>63255</v>
      </c>
      <c r="Y3467" s="92" t="e">
        <v>#N/A</v>
      </c>
      <c r="Z3467" s="94" t="e">
        <v>#N/A</v>
      </c>
    </row>
    <row r="3468" spans="22:26" x14ac:dyDescent="0.2">
      <c r="V3468" s="123" t="str">
        <f t="shared" si="64"/>
        <v>1w</v>
      </c>
      <c r="W3468" s="82">
        <f>_xll.qlCalendarAdvance(Calendar,W3467,V3468,"f",FALSE)</f>
        <v>63262</v>
      </c>
      <c r="X3468" s="91">
        <f>_xll.qlCalendarAdvance(Calendar,W3468,NDays&amp;"D")</f>
        <v>63262</v>
      </c>
      <c r="Y3468" s="92" t="e">
        <v>#N/A</v>
      </c>
      <c r="Z3468" s="94" t="e">
        <v>#N/A</v>
      </c>
    </row>
    <row r="3469" spans="22:26" x14ac:dyDescent="0.2">
      <c r="V3469" s="123" t="str">
        <f t="shared" si="64"/>
        <v>1w</v>
      </c>
      <c r="W3469" s="82">
        <f>_xll.qlCalendarAdvance(Calendar,W3468,V3469,"f",FALSE)</f>
        <v>63269</v>
      </c>
      <c r="X3469" s="91">
        <f>_xll.qlCalendarAdvance(Calendar,W3469,NDays&amp;"D")</f>
        <v>63269</v>
      </c>
      <c r="Y3469" s="92" t="e">
        <v>#N/A</v>
      </c>
      <c r="Z3469" s="94" t="e">
        <v>#N/A</v>
      </c>
    </row>
    <row r="3470" spans="22:26" x14ac:dyDescent="0.2">
      <c r="V3470" s="123" t="str">
        <f t="shared" si="64"/>
        <v>1w</v>
      </c>
      <c r="W3470" s="82">
        <f>_xll.qlCalendarAdvance(Calendar,W3469,V3470,"f",FALSE)</f>
        <v>63276</v>
      </c>
      <c r="X3470" s="91">
        <f>_xll.qlCalendarAdvance(Calendar,W3470,NDays&amp;"D")</f>
        <v>63276</v>
      </c>
      <c r="Y3470" s="92" t="e">
        <v>#N/A</v>
      </c>
      <c r="Z3470" s="94" t="e">
        <v>#N/A</v>
      </c>
    </row>
    <row r="3471" spans="22:26" x14ac:dyDescent="0.2">
      <c r="V3471" s="123" t="str">
        <f t="shared" si="64"/>
        <v>1w</v>
      </c>
      <c r="W3471" s="82">
        <f>_xll.qlCalendarAdvance(Calendar,W3470,V3471,"f",FALSE)</f>
        <v>63283</v>
      </c>
      <c r="X3471" s="91">
        <f>_xll.qlCalendarAdvance(Calendar,W3471,NDays&amp;"D")</f>
        <v>63283</v>
      </c>
      <c r="Y3471" s="92" t="e">
        <v>#N/A</v>
      </c>
      <c r="Z3471" s="94" t="e">
        <v>#N/A</v>
      </c>
    </row>
    <row r="3472" spans="22:26" x14ac:dyDescent="0.2">
      <c r="V3472" s="123" t="str">
        <f t="shared" si="64"/>
        <v>1w</v>
      </c>
      <c r="W3472" s="82">
        <f>_xll.qlCalendarAdvance(Calendar,W3471,V3472,"f",FALSE)</f>
        <v>63290</v>
      </c>
      <c r="X3472" s="91">
        <f>_xll.qlCalendarAdvance(Calendar,W3472,NDays&amp;"D")</f>
        <v>63290</v>
      </c>
      <c r="Y3472" s="92" t="e">
        <v>#N/A</v>
      </c>
      <c r="Z3472" s="94" t="e">
        <v>#N/A</v>
      </c>
    </row>
    <row r="3473" spans="22:26" x14ac:dyDescent="0.2">
      <c r="V3473" s="123" t="str">
        <f t="shared" si="64"/>
        <v>1w</v>
      </c>
      <c r="W3473" s="82">
        <f>_xll.qlCalendarAdvance(Calendar,W3472,V3473,"f",FALSE)</f>
        <v>63297</v>
      </c>
      <c r="X3473" s="91">
        <f>_xll.qlCalendarAdvance(Calendar,W3473,NDays&amp;"D")</f>
        <v>63297</v>
      </c>
      <c r="Y3473" s="92" t="e">
        <v>#N/A</v>
      </c>
      <c r="Z3473" s="94" t="e">
        <v>#N/A</v>
      </c>
    </row>
    <row r="3474" spans="22:26" x14ac:dyDescent="0.2">
      <c r="V3474" s="123" t="str">
        <f t="shared" si="64"/>
        <v>1w</v>
      </c>
      <c r="W3474" s="82">
        <f>_xll.qlCalendarAdvance(Calendar,W3473,V3474,"f",FALSE)</f>
        <v>63304</v>
      </c>
      <c r="X3474" s="91">
        <f>_xll.qlCalendarAdvance(Calendar,W3474,NDays&amp;"D")</f>
        <v>63304</v>
      </c>
      <c r="Y3474" s="92" t="e">
        <v>#N/A</v>
      </c>
      <c r="Z3474" s="94" t="e">
        <v>#N/A</v>
      </c>
    </row>
    <row r="3475" spans="22:26" x14ac:dyDescent="0.2">
      <c r="V3475" s="123" t="str">
        <f t="shared" si="64"/>
        <v>1w</v>
      </c>
      <c r="W3475" s="82">
        <f>_xll.qlCalendarAdvance(Calendar,W3474,V3475,"f",FALSE)</f>
        <v>63311</v>
      </c>
      <c r="X3475" s="91">
        <f>_xll.qlCalendarAdvance(Calendar,W3475,NDays&amp;"D")</f>
        <v>63311</v>
      </c>
      <c r="Y3475" s="92" t="e">
        <v>#N/A</v>
      </c>
      <c r="Z3475" s="94" t="e">
        <v>#N/A</v>
      </c>
    </row>
    <row r="3476" spans="22:26" x14ac:dyDescent="0.2">
      <c r="V3476" s="123" t="str">
        <f t="shared" si="64"/>
        <v>1w</v>
      </c>
      <c r="W3476" s="82">
        <f>_xll.qlCalendarAdvance(Calendar,W3475,V3476,"f",FALSE)</f>
        <v>63318</v>
      </c>
      <c r="X3476" s="91">
        <f>_xll.qlCalendarAdvance(Calendar,W3476,NDays&amp;"D")</f>
        <v>63318</v>
      </c>
      <c r="Y3476" s="92" t="e">
        <v>#N/A</v>
      </c>
      <c r="Z3476" s="94" t="e">
        <v>#N/A</v>
      </c>
    </row>
    <row r="3477" spans="22:26" x14ac:dyDescent="0.2">
      <c r="V3477" s="123" t="str">
        <f t="shared" ref="V3477:V3540" si="65">V3476</f>
        <v>1w</v>
      </c>
      <c r="W3477" s="82">
        <f>_xll.qlCalendarAdvance(Calendar,W3476,V3477,"f",FALSE)</f>
        <v>63325</v>
      </c>
      <c r="X3477" s="91">
        <f>_xll.qlCalendarAdvance(Calendar,W3477,NDays&amp;"D")</f>
        <v>63325</v>
      </c>
      <c r="Y3477" s="92" t="e">
        <v>#N/A</v>
      </c>
      <c r="Z3477" s="94" t="e">
        <v>#N/A</v>
      </c>
    </row>
    <row r="3478" spans="22:26" x14ac:dyDescent="0.2">
      <c r="V3478" s="123" t="str">
        <f t="shared" si="65"/>
        <v>1w</v>
      </c>
      <c r="W3478" s="82">
        <f>_xll.qlCalendarAdvance(Calendar,W3477,V3478,"f",FALSE)</f>
        <v>63332</v>
      </c>
      <c r="X3478" s="91">
        <f>_xll.qlCalendarAdvance(Calendar,W3478,NDays&amp;"D")</f>
        <v>63332</v>
      </c>
      <c r="Y3478" s="92" t="e">
        <v>#N/A</v>
      </c>
      <c r="Z3478" s="94" t="e">
        <v>#N/A</v>
      </c>
    </row>
    <row r="3479" spans="22:26" x14ac:dyDescent="0.2">
      <c r="V3479" s="123" t="str">
        <f t="shared" si="65"/>
        <v>1w</v>
      </c>
      <c r="W3479" s="82">
        <f>_xll.qlCalendarAdvance(Calendar,W3478,V3479,"f",FALSE)</f>
        <v>63339</v>
      </c>
      <c r="X3479" s="91">
        <f>_xll.qlCalendarAdvance(Calendar,W3479,NDays&amp;"D")</f>
        <v>63339</v>
      </c>
      <c r="Y3479" s="92" t="e">
        <v>#N/A</v>
      </c>
      <c r="Z3479" s="94" t="e">
        <v>#N/A</v>
      </c>
    </row>
    <row r="3480" spans="22:26" x14ac:dyDescent="0.2">
      <c r="V3480" s="123" t="str">
        <f t="shared" si="65"/>
        <v>1w</v>
      </c>
      <c r="W3480" s="82">
        <f>_xll.qlCalendarAdvance(Calendar,W3479,V3480,"f",FALSE)</f>
        <v>63346</v>
      </c>
      <c r="X3480" s="91">
        <f>_xll.qlCalendarAdvance(Calendar,W3480,NDays&amp;"D")</f>
        <v>63346</v>
      </c>
      <c r="Y3480" s="92" t="e">
        <v>#N/A</v>
      </c>
      <c r="Z3480" s="94" t="e">
        <v>#N/A</v>
      </c>
    </row>
    <row r="3481" spans="22:26" x14ac:dyDescent="0.2">
      <c r="V3481" s="123" t="str">
        <f t="shared" si="65"/>
        <v>1w</v>
      </c>
      <c r="W3481" s="82">
        <f>_xll.qlCalendarAdvance(Calendar,W3480,V3481,"f",FALSE)</f>
        <v>63353</v>
      </c>
      <c r="X3481" s="91">
        <f>_xll.qlCalendarAdvance(Calendar,W3481,NDays&amp;"D")</f>
        <v>63353</v>
      </c>
      <c r="Y3481" s="92" t="e">
        <v>#N/A</v>
      </c>
      <c r="Z3481" s="94" t="e">
        <v>#N/A</v>
      </c>
    </row>
    <row r="3482" spans="22:26" x14ac:dyDescent="0.2">
      <c r="V3482" s="123" t="str">
        <f t="shared" si="65"/>
        <v>1w</v>
      </c>
      <c r="W3482" s="82">
        <f>_xll.qlCalendarAdvance(Calendar,W3481,V3482,"f",FALSE)</f>
        <v>63360</v>
      </c>
      <c r="X3482" s="91">
        <f>_xll.qlCalendarAdvance(Calendar,W3482,NDays&amp;"D")</f>
        <v>63360</v>
      </c>
      <c r="Y3482" s="92" t="e">
        <v>#N/A</v>
      </c>
      <c r="Z3482" s="94" t="e">
        <v>#N/A</v>
      </c>
    </row>
    <row r="3483" spans="22:26" x14ac:dyDescent="0.2">
      <c r="V3483" s="123" t="str">
        <f t="shared" si="65"/>
        <v>1w</v>
      </c>
      <c r="W3483" s="82">
        <f>_xll.qlCalendarAdvance(Calendar,W3482,V3483,"f",FALSE)</f>
        <v>63367</v>
      </c>
      <c r="X3483" s="91">
        <f>_xll.qlCalendarAdvance(Calendar,W3483,NDays&amp;"D")</f>
        <v>63367</v>
      </c>
      <c r="Y3483" s="92" t="e">
        <v>#N/A</v>
      </c>
      <c r="Z3483" s="94" t="e">
        <v>#N/A</v>
      </c>
    </row>
    <row r="3484" spans="22:26" x14ac:dyDescent="0.2">
      <c r="V3484" s="123" t="str">
        <f t="shared" si="65"/>
        <v>1w</v>
      </c>
      <c r="W3484" s="82">
        <f>_xll.qlCalendarAdvance(Calendar,W3483,V3484,"f",FALSE)</f>
        <v>63374</v>
      </c>
      <c r="X3484" s="91">
        <f>_xll.qlCalendarAdvance(Calendar,W3484,NDays&amp;"D")</f>
        <v>63374</v>
      </c>
      <c r="Y3484" s="92" t="e">
        <v>#N/A</v>
      </c>
      <c r="Z3484" s="94" t="e">
        <v>#N/A</v>
      </c>
    </row>
    <row r="3485" spans="22:26" x14ac:dyDescent="0.2">
      <c r="V3485" s="123" t="str">
        <f t="shared" si="65"/>
        <v>1w</v>
      </c>
      <c r="W3485" s="82">
        <f>_xll.qlCalendarAdvance(Calendar,W3484,V3485,"f",FALSE)</f>
        <v>63381</v>
      </c>
      <c r="X3485" s="91">
        <f>_xll.qlCalendarAdvance(Calendar,W3485,NDays&amp;"D")</f>
        <v>63381</v>
      </c>
      <c r="Y3485" s="92" t="e">
        <v>#N/A</v>
      </c>
      <c r="Z3485" s="94" t="e">
        <v>#N/A</v>
      </c>
    </row>
    <row r="3486" spans="22:26" x14ac:dyDescent="0.2">
      <c r="V3486" s="123" t="str">
        <f t="shared" si="65"/>
        <v>1w</v>
      </c>
      <c r="W3486" s="82">
        <f>_xll.qlCalendarAdvance(Calendar,W3485,V3486,"f",FALSE)</f>
        <v>63388</v>
      </c>
      <c r="X3486" s="91">
        <f>_xll.qlCalendarAdvance(Calendar,W3486,NDays&amp;"D")</f>
        <v>63388</v>
      </c>
      <c r="Y3486" s="92" t="e">
        <v>#N/A</v>
      </c>
      <c r="Z3486" s="94" t="e">
        <v>#N/A</v>
      </c>
    </row>
    <row r="3487" spans="22:26" x14ac:dyDescent="0.2">
      <c r="V3487" s="123" t="str">
        <f t="shared" si="65"/>
        <v>1w</v>
      </c>
      <c r="W3487" s="82">
        <f>_xll.qlCalendarAdvance(Calendar,W3486,V3487,"f",FALSE)</f>
        <v>63395</v>
      </c>
      <c r="X3487" s="91">
        <f>_xll.qlCalendarAdvance(Calendar,W3487,NDays&amp;"D")</f>
        <v>63395</v>
      </c>
      <c r="Y3487" s="92" t="e">
        <v>#N/A</v>
      </c>
      <c r="Z3487" s="94" t="e">
        <v>#N/A</v>
      </c>
    </row>
    <row r="3488" spans="22:26" x14ac:dyDescent="0.2">
      <c r="V3488" s="123" t="str">
        <f t="shared" si="65"/>
        <v>1w</v>
      </c>
      <c r="W3488" s="82">
        <f>_xll.qlCalendarAdvance(Calendar,W3487,V3488,"f",FALSE)</f>
        <v>63402</v>
      </c>
      <c r="X3488" s="91">
        <f>_xll.qlCalendarAdvance(Calendar,W3488,NDays&amp;"D")</f>
        <v>63402</v>
      </c>
      <c r="Y3488" s="92" t="e">
        <v>#N/A</v>
      </c>
      <c r="Z3488" s="94" t="e">
        <v>#N/A</v>
      </c>
    </row>
    <row r="3489" spans="22:26" x14ac:dyDescent="0.2">
      <c r="V3489" s="123" t="str">
        <f t="shared" si="65"/>
        <v>1w</v>
      </c>
      <c r="W3489" s="82">
        <f>_xll.qlCalendarAdvance(Calendar,W3488,V3489,"f",FALSE)</f>
        <v>63409</v>
      </c>
      <c r="X3489" s="91">
        <f>_xll.qlCalendarAdvance(Calendar,W3489,NDays&amp;"D")</f>
        <v>63409</v>
      </c>
      <c r="Y3489" s="92" t="e">
        <v>#N/A</v>
      </c>
      <c r="Z3489" s="94" t="e">
        <v>#N/A</v>
      </c>
    </row>
    <row r="3490" spans="22:26" x14ac:dyDescent="0.2">
      <c r="V3490" s="123" t="str">
        <f t="shared" si="65"/>
        <v>1w</v>
      </c>
      <c r="W3490" s="82">
        <f>_xll.qlCalendarAdvance(Calendar,W3489,V3490,"f",FALSE)</f>
        <v>63416</v>
      </c>
      <c r="X3490" s="91">
        <f>_xll.qlCalendarAdvance(Calendar,W3490,NDays&amp;"D")</f>
        <v>63416</v>
      </c>
      <c r="Y3490" s="92" t="e">
        <v>#N/A</v>
      </c>
      <c r="Z3490" s="94" t="e">
        <v>#N/A</v>
      </c>
    </row>
    <row r="3491" spans="22:26" x14ac:dyDescent="0.2">
      <c r="V3491" s="123" t="str">
        <f t="shared" si="65"/>
        <v>1w</v>
      </c>
      <c r="W3491" s="82">
        <f>_xll.qlCalendarAdvance(Calendar,W3490,V3491,"f",FALSE)</f>
        <v>63423</v>
      </c>
      <c r="X3491" s="91">
        <f>_xll.qlCalendarAdvance(Calendar,W3491,NDays&amp;"D")</f>
        <v>63423</v>
      </c>
      <c r="Y3491" s="92" t="e">
        <v>#N/A</v>
      </c>
      <c r="Z3491" s="94" t="e">
        <v>#N/A</v>
      </c>
    </row>
    <row r="3492" spans="22:26" x14ac:dyDescent="0.2">
      <c r="V3492" s="123" t="str">
        <f t="shared" si="65"/>
        <v>1w</v>
      </c>
      <c r="W3492" s="82">
        <f>_xll.qlCalendarAdvance(Calendar,W3491,V3492,"f",FALSE)</f>
        <v>63430</v>
      </c>
      <c r="X3492" s="91">
        <f>_xll.qlCalendarAdvance(Calendar,W3492,NDays&amp;"D")</f>
        <v>63430</v>
      </c>
      <c r="Y3492" s="92" t="e">
        <v>#N/A</v>
      </c>
      <c r="Z3492" s="94" t="e">
        <v>#N/A</v>
      </c>
    </row>
    <row r="3493" spans="22:26" x14ac:dyDescent="0.2">
      <c r="V3493" s="123" t="str">
        <f t="shared" si="65"/>
        <v>1w</v>
      </c>
      <c r="W3493" s="82">
        <f>_xll.qlCalendarAdvance(Calendar,W3492,V3493,"f",FALSE)</f>
        <v>63437</v>
      </c>
      <c r="X3493" s="91">
        <f>_xll.qlCalendarAdvance(Calendar,W3493,NDays&amp;"D")</f>
        <v>63437</v>
      </c>
      <c r="Y3493" s="92" t="e">
        <v>#N/A</v>
      </c>
      <c r="Z3493" s="94" t="e">
        <v>#N/A</v>
      </c>
    </row>
    <row r="3494" spans="22:26" x14ac:dyDescent="0.2">
      <c r="V3494" s="123" t="str">
        <f t="shared" si="65"/>
        <v>1w</v>
      </c>
      <c r="W3494" s="82">
        <f>_xll.qlCalendarAdvance(Calendar,W3493,V3494,"f",FALSE)</f>
        <v>63444</v>
      </c>
      <c r="X3494" s="91">
        <f>_xll.qlCalendarAdvance(Calendar,W3494,NDays&amp;"D")</f>
        <v>63444</v>
      </c>
      <c r="Y3494" s="92" t="e">
        <v>#N/A</v>
      </c>
      <c r="Z3494" s="94" t="e">
        <v>#N/A</v>
      </c>
    </row>
    <row r="3495" spans="22:26" x14ac:dyDescent="0.2">
      <c r="V3495" s="123" t="str">
        <f t="shared" si="65"/>
        <v>1w</v>
      </c>
      <c r="W3495" s="82">
        <f>_xll.qlCalendarAdvance(Calendar,W3494,V3495,"f",FALSE)</f>
        <v>63451</v>
      </c>
      <c r="X3495" s="91">
        <f>_xll.qlCalendarAdvance(Calendar,W3495,NDays&amp;"D")</f>
        <v>63451</v>
      </c>
      <c r="Y3495" s="92" t="e">
        <v>#N/A</v>
      </c>
      <c r="Z3495" s="94" t="e">
        <v>#N/A</v>
      </c>
    </row>
    <row r="3496" spans="22:26" x14ac:dyDescent="0.2">
      <c r="V3496" s="123" t="str">
        <f t="shared" si="65"/>
        <v>1w</v>
      </c>
      <c r="W3496" s="82">
        <f>_xll.qlCalendarAdvance(Calendar,W3495,V3496,"f",FALSE)</f>
        <v>63458</v>
      </c>
      <c r="X3496" s="91">
        <f>_xll.qlCalendarAdvance(Calendar,W3496,NDays&amp;"D")</f>
        <v>63458</v>
      </c>
      <c r="Y3496" s="92" t="e">
        <v>#N/A</v>
      </c>
      <c r="Z3496" s="94" t="e">
        <v>#N/A</v>
      </c>
    </row>
    <row r="3497" spans="22:26" x14ac:dyDescent="0.2">
      <c r="V3497" s="123" t="str">
        <f t="shared" si="65"/>
        <v>1w</v>
      </c>
      <c r="W3497" s="82">
        <f>_xll.qlCalendarAdvance(Calendar,W3496,V3497,"f",FALSE)</f>
        <v>63465</v>
      </c>
      <c r="X3497" s="91">
        <f>_xll.qlCalendarAdvance(Calendar,W3497,NDays&amp;"D")</f>
        <v>63465</v>
      </c>
      <c r="Y3497" s="92" t="e">
        <v>#N/A</v>
      </c>
      <c r="Z3497" s="94" t="e">
        <v>#N/A</v>
      </c>
    </row>
    <row r="3498" spans="22:26" x14ac:dyDescent="0.2">
      <c r="V3498" s="123" t="str">
        <f t="shared" si="65"/>
        <v>1w</v>
      </c>
      <c r="W3498" s="82">
        <f>_xll.qlCalendarAdvance(Calendar,W3497,V3498,"f",FALSE)</f>
        <v>63472</v>
      </c>
      <c r="X3498" s="91">
        <f>_xll.qlCalendarAdvance(Calendar,W3498,NDays&amp;"D")</f>
        <v>63472</v>
      </c>
      <c r="Y3498" s="92" t="e">
        <v>#N/A</v>
      </c>
      <c r="Z3498" s="94" t="e">
        <v>#N/A</v>
      </c>
    </row>
    <row r="3499" spans="22:26" x14ac:dyDescent="0.2">
      <c r="V3499" s="123" t="str">
        <f t="shared" si="65"/>
        <v>1w</v>
      </c>
      <c r="W3499" s="82">
        <f>_xll.qlCalendarAdvance(Calendar,W3498,V3499,"f",FALSE)</f>
        <v>63479</v>
      </c>
      <c r="X3499" s="91">
        <f>_xll.qlCalendarAdvance(Calendar,W3499,NDays&amp;"D")</f>
        <v>63479</v>
      </c>
      <c r="Y3499" s="92" t="e">
        <v>#N/A</v>
      </c>
      <c r="Z3499" s="94" t="e">
        <v>#N/A</v>
      </c>
    </row>
    <row r="3500" spans="22:26" x14ac:dyDescent="0.2">
      <c r="V3500" s="123" t="str">
        <f t="shared" si="65"/>
        <v>1w</v>
      </c>
      <c r="W3500" s="82">
        <f>_xll.qlCalendarAdvance(Calendar,W3499,V3500,"f",FALSE)</f>
        <v>63486</v>
      </c>
      <c r="X3500" s="91">
        <f>_xll.qlCalendarAdvance(Calendar,W3500,NDays&amp;"D")</f>
        <v>63486</v>
      </c>
      <c r="Y3500" s="92" t="e">
        <v>#N/A</v>
      </c>
      <c r="Z3500" s="94" t="e">
        <v>#N/A</v>
      </c>
    </row>
    <row r="3501" spans="22:26" x14ac:dyDescent="0.2">
      <c r="V3501" s="123" t="str">
        <f t="shared" si="65"/>
        <v>1w</v>
      </c>
      <c r="W3501" s="82">
        <f>_xll.qlCalendarAdvance(Calendar,W3500,V3501,"f",FALSE)</f>
        <v>63493</v>
      </c>
      <c r="X3501" s="91">
        <f>_xll.qlCalendarAdvance(Calendar,W3501,NDays&amp;"D")</f>
        <v>63493</v>
      </c>
      <c r="Y3501" s="92" t="e">
        <v>#N/A</v>
      </c>
      <c r="Z3501" s="94" t="e">
        <v>#N/A</v>
      </c>
    </row>
    <row r="3502" spans="22:26" x14ac:dyDescent="0.2">
      <c r="V3502" s="123" t="str">
        <f t="shared" si="65"/>
        <v>1w</v>
      </c>
      <c r="W3502" s="82">
        <f>_xll.qlCalendarAdvance(Calendar,W3501,V3502,"f",FALSE)</f>
        <v>63500</v>
      </c>
      <c r="X3502" s="91">
        <f>_xll.qlCalendarAdvance(Calendar,W3502,NDays&amp;"D")</f>
        <v>63500</v>
      </c>
      <c r="Y3502" s="92" t="e">
        <v>#N/A</v>
      </c>
      <c r="Z3502" s="94" t="e">
        <v>#N/A</v>
      </c>
    </row>
    <row r="3503" spans="22:26" x14ac:dyDescent="0.2">
      <c r="V3503" s="123" t="str">
        <f t="shared" si="65"/>
        <v>1w</v>
      </c>
      <c r="W3503" s="82">
        <f>_xll.qlCalendarAdvance(Calendar,W3502,V3503,"f",FALSE)</f>
        <v>63507</v>
      </c>
      <c r="X3503" s="91">
        <f>_xll.qlCalendarAdvance(Calendar,W3503,NDays&amp;"D")</f>
        <v>63507</v>
      </c>
      <c r="Y3503" s="92" t="e">
        <v>#N/A</v>
      </c>
      <c r="Z3503" s="94" t="e">
        <v>#N/A</v>
      </c>
    </row>
    <row r="3504" spans="22:26" x14ac:dyDescent="0.2">
      <c r="V3504" s="123" t="str">
        <f t="shared" si="65"/>
        <v>1w</v>
      </c>
      <c r="W3504" s="82">
        <f>_xll.qlCalendarAdvance(Calendar,W3503,V3504,"f",FALSE)</f>
        <v>63514</v>
      </c>
      <c r="X3504" s="91">
        <f>_xll.qlCalendarAdvance(Calendar,W3504,NDays&amp;"D")</f>
        <v>63514</v>
      </c>
      <c r="Y3504" s="92" t="e">
        <v>#N/A</v>
      </c>
      <c r="Z3504" s="94" t="e">
        <v>#N/A</v>
      </c>
    </row>
    <row r="3505" spans="22:26" x14ac:dyDescent="0.2">
      <c r="V3505" s="123" t="str">
        <f t="shared" si="65"/>
        <v>1w</v>
      </c>
      <c r="W3505" s="82">
        <f>_xll.qlCalendarAdvance(Calendar,W3504,V3505,"f",FALSE)</f>
        <v>63521</v>
      </c>
      <c r="X3505" s="91">
        <f>_xll.qlCalendarAdvance(Calendar,W3505,NDays&amp;"D")</f>
        <v>63521</v>
      </c>
      <c r="Y3505" s="92" t="e">
        <v>#N/A</v>
      </c>
      <c r="Z3505" s="94" t="e">
        <v>#N/A</v>
      </c>
    </row>
    <row r="3506" spans="22:26" x14ac:dyDescent="0.2">
      <c r="V3506" s="123" t="str">
        <f t="shared" si="65"/>
        <v>1w</v>
      </c>
      <c r="W3506" s="82">
        <f>_xll.qlCalendarAdvance(Calendar,W3505,V3506,"f",FALSE)</f>
        <v>63528</v>
      </c>
      <c r="X3506" s="91">
        <f>_xll.qlCalendarAdvance(Calendar,W3506,NDays&amp;"D")</f>
        <v>63528</v>
      </c>
      <c r="Y3506" s="92" t="e">
        <v>#N/A</v>
      </c>
      <c r="Z3506" s="94" t="e">
        <v>#N/A</v>
      </c>
    </row>
    <row r="3507" spans="22:26" x14ac:dyDescent="0.2">
      <c r="V3507" s="123" t="str">
        <f t="shared" si="65"/>
        <v>1w</v>
      </c>
      <c r="W3507" s="82">
        <f>_xll.qlCalendarAdvance(Calendar,W3506,V3507,"f",FALSE)</f>
        <v>63535</v>
      </c>
      <c r="X3507" s="91">
        <f>_xll.qlCalendarAdvance(Calendar,W3507,NDays&amp;"D")</f>
        <v>63535</v>
      </c>
      <c r="Y3507" s="92" t="e">
        <v>#N/A</v>
      </c>
      <c r="Z3507" s="94" t="e">
        <v>#N/A</v>
      </c>
    </row>
    <row r="3508" spans="22:26" x14ac:dyDescent="0.2">
      <c r="V3508" s="123" t="str">
        <f t="shared" si="65"/>
        <v>1w</v>
      </c>
      <c r="W3508" s="82">
        <f>_xll.qlCalendarAdvance(Calendar,W3507,V3508,"f",FALSE)</f>
        <v>63542</v>
      </c>
      <c r="X3508" s="91">
        <f>_xll.qlCalendarAdvance(Calendar,W3508,NDays&amp;"D")</f>
        <v>63542</v>
      </c>
      <c r="Y3508" s="92" t="e">
        <v>#N/A</v>
      </c>
      <c r="Z3508" s="94" t="e">
        <v>#N/A</v>
      </c>
    </row>
    <row r="3509" spans="22:26" x14ac:dyDescent="0.2">
      <c r="V3509" s="123" t="str">
        <f t="shared" si="65"/>
        <v>1w</v>
      </c>
      <c r="W3509" s="82">
        <f>_xll.qlCalendarAdvance(Calendar,W3508,V3509,"f",FALSE)</f>
        <v>63550</v>
      </c>
      <c r="X3509" s="91">
        <f>_xll.qlCalendarAdvance(Calendar,W3509,NDays&amp;"D")</f>
        <v>63550</v>
      </c>
      <c r="Y3509" s="92" t="e">
        <v>#N/A</v>
      </c>
      <c r="Z3509" s="94" t="e">
        <v>#N/A</v>
      </c>
    </row>
    <row r="3510" spans="22:26" x14ac:dyDescent="0.2">
      <c r="V3510" s="123" t="str">
        <f t="shared" si="65"/>
        <v>1w</v>
      </c>
      <c r="W3510" s="82">
        <f>_xll.qlCalendarAdvance(Calendar,W3509,V3510,"f",FALSE)</f>
        <v>63557</v>
      </c>
      <c r="X3510" s="91">
        <f>_xll.qlCalendarAdvance(Calendar,W3510,NDays&amp;"D")</f>
        <v>63557</v>
      </c>
      <c r="Y3510" s="92" t="e">
        <v>#N/A</v>
      </c>
      <c r="Z3510" s="94" t="e">
        <v>#N/A</v>
      </c>
    </row>
    <row r="3511" spans="22:26" x14ac:dyDescent="0.2">
      <c r="V3511" s="123" t="str">
        <f t="shared" si="65"/>
        <v>1w</v>
      </c>
      <c r="W3511" s="82">
        <f>_xll.qlCalendarAdvance(Calendar,W3510,V3511,"f",FALSE)</f>
        <v>63564</v>
      </c>
      <c r="X3511" s="91">
        <f>_xll.qlCalendarAdvance(Calendar,W3511,NDays&amp;"D")</f>
        <v>63564</v>
      </c>
      <c r="Y3511" s="92" t="e">
        <v>#N/A</v>
      </c>
      <c r="Z3511" s="94" t="e">
        <v>#N/A</v>
      </c>
    </row>
    <row r="3512" spans="22:26" x14ac:dyDescent="0.2">
      <c r="V3512" s="123" t="str">
        <f t="shared" si="65"/>
        <v>1w</v>
      </c>
      <c r="W3512" s="82">
        <f>_xll.qlCalendarAdvance(Calendar,W3511,V3512,"f",FALSE)</f>
        <v>63571</v>
      </c>
      <c r="X3512" s="91">
        <f>_xll.qlCalendarAdvance(Calendar,W3512,NDays&amp;"D")</f>
        <v>63571</v>
      </c>
      <c r="Y3512" s="92" t="e">
        <v>#N/A</v>
      </c>
      <c r="Z3512" s="94" t="e">
        <v>#N/A</v>
      </c>
    </row>
    <row r="3513" spans="22:26" x14ac:dyDescent="0.2">
      <c r="V3513" s="123" t="str">
        <f t="shared" si="65"/>
        <v>1w</v>
      </c>
      <c r="W3513" s="82">
        <f>_xll.qlCalendarAdvance(Calendar,W3512,V3513,"f",FALSE)</f>
        <v>63578</v>
      </c>
      <c r="X3513" s="91">
        <f>_xll.qlCalendarAdvance(Calendar,W3513,NDays&amp;"D")</f>
        <v>63578</v>
      </c>
      <c r="Y3513" s="92" t="e">
        <v>#N/A</v>
      </c>
      <c r="Z3513" s="94" t="e">
        <v>#N/A</v>
      </c>
    </row>
    <row r="3514" spans="22:26" x14ac:dyDescent="0.2">
      <c r="V3514" s="123" t="str">
        <f t="shared" si="65"/>
        <v>1w</v>
      </c>
      <c r="W3514" s="82">
        <f>_xll.qlCalendarAdvance(Calendar,W3513,V3514,"f",FALSE)</f>
        <v>63585</v>
      </c>
      <c r="X3514" s="91">
        <f>_xll.qlCalendarAdvance(Calendar,W3514,NDays&amp;"D")</f>
        <v>63585</v>
      </c>
      <c r="Y3514" s="92" t="e">
        <v>#N/A</v>
      </c>
      <c r="Z3514" s="94" t="e">
        <v>#N/A</v>
      </c>
    </row>
    <row r="3515" spans="22:26" x14ac:dyDescent="0.2">
      <c r="V3515" s="123" t="str">
        <f t="shared" si="65"/>
        <v>1w</v>
      </c>
      <c r="W3515" s="82">
        <f>_xll.qlCalendarAdvance(Calendar,W3514,V3515,"f",FALSE)</f>
        <v>63592</v>
      </c>
      <c r="X3515" s="91">
        <f>_xll.qlCalendarAdvance(Calendar,W3515,NDays&amp;"D")</f>
        <v>63592</v>
      </c>
      <c r="Y3515" s="92" t="e">
        <v>#N/A</v>
      </c>
      <c r="Z3515" s="94" t="e">
        <v>#N/A</v>
      </c>
    </row>
    <row r="3516" spans="22:26" x14ac:dyDescent="0.2">
      <c r="V3516" s="123" t="str">
        <f t="shared" si="65"/>
        <v>1w</v>
      </c>
      <c r="W3516" s="82">
        <f>_xll.qlCalendarAdvance(Calendar,W3515,V3516,"f",FALSE)</f>
        <v>63599</v>
      </c>
      <c r="X3516" s="91">
        <f>_xll.qlCalendarAdvance(Calendar,W3516,NDays&amp;"D")</f>
        <v>63599</v>
      </c>
      <c r="Y3516" s="92" t="e">
        <v>#N/A</v>
      </c>
      <c r="Z3516" s="94" t="e">
        <v>#N/A</v>
      </c>
    </row>
    <row r="3517" spans="22:26" x14ac:dyDescent="0.2">
      <c r="V3517" s="123" t="str">
        <f t="shared" si="65"/>
        <v>1w</v>
      </c>
      <c r="W3517" s="82">
        <f>_xll.qlCalendarAdvance(Calendar,W3516,V3517,"f",FALSE)</f>
        <v>63606</v>
      </c>
      <c r="X3517" s="91">
        <f>_xll.qlCalendarAdvance(Calendar,W3517,NDays&amp;"D")</f>
        <v>63606</v>
      </c>
      <c r="Y3517" s="92" t="e">
        <v>#N/A</v>
      </c>
      <c r="Z3517" s="94" t="e">
        <v>#N/A</v>
      </c>
    </row>
    <row r="3518" spans="22:26" x14ac:dyDescent="0.2">
      <c r="V3518" s="123" t="str">
        <f t="shared" si="65"/>
        <v>1w</v>
      </c>
      <c r="W3518" s="82">
        <f>_xll.qlCalendarAdvance(Calendar,W3517,V3518,"f",FALSE)</f>
        <v>63613</v>
      </c>
      <c r="X3518" s="91">
        <f>_xll.qlCalendarAdvance(Calendar,W3518,NDays&amp;"D")</f>
        <v>63613</v>
      </c>
      <c r="Y3518" s="92" t="e">
        <v>#N/A</v>
      </c>
      <c r="Z3518" s="94" t="e">
        <v>#N/A</v>
      </c>
    </row>
    <row r="3519" spans="22:26" x14ac:dyDescent="0.2">
      <c r="V3519" s="123" t="str">
        <f t="shared" si="65"/>
        <v>1w</v>
      </c>
      <c r="W3519" s="82">
        <f>_xll.qlCalendarAdvance(Calendar,W3518,V3519,"f",FALSE)</f>
        <v>63620</v>
      </c>
      <c r="X3519" s="91">
        <f>_xll.qlCalendarAdvance(Calendar,W3519,NDays&amp;"D")</f>
        <v>63620</v>
      </c>
      <c r="Y3519" s="92" t="e">
        <v>#N/A</v>
      </c>
      <c r="Z3519" s="94" t="e">
        <v>#N/A</v>
      </c>
    </row>
    <row r="3520" spans="22:26" x14ac:dyDescent="0.2">
      <c r="V3520" s="123" t="str">
        <f t="shared" si="65"/>
        <v>1w</v>
      </c>
      <c r="W3520" s="82">
        <f>_xll.qlCalendarAdvance(Calendar,W3519,V3520,"f",FALSE)</f>
        <v>63627</v>
      </c>
      <c r="X3520" s="91">
        <f>_xll.qlCalendarAdvance(Calendar,W3520,NDays&amp;"D")</f>
        <v>63627</v>
      </c>
      <c r="Y3520" s="92" t="e">
        <v>#N/A</v>
      </c>
      <c r="Z3520" s="94" t="e">
        <v>#N/A</v>
      </c>
    </row>
    <row r="3521" spans="22:26" x14ac:dyDescent="0.2">
      <c r="V3521" s="123" t="str">
        <f t="shared" si="65"/>
        <v>1w</v>
      </c>
      <c r="W3521" s="82">
        <f>_xll.qlCalendarAdvance(Calendar,W3520,V3521,"f",FALSE)</f>
        <v>63634</v>
      </c>
      <c r="X3521" s="91">
        <f>_xll.qlCalendarAdvance(Calendar,W3521,NDays&amp;"D")</f>
        <v>63634</v>
      </c>
      <c r="Y3521" s="92" t="e">
        <v>#N/A</v>
      </c>
      <c r="Z3521" s="94" t="e">
        <v>#N/A</v>
      </c>
    </row>
    <row r="3522" spans="22:26" x14ac:dyDescent="0.2">
      <c r="V3522" s="123" t="str">
        <f t="shared" si="65"/>
        <v>1w</v>
      </c>
      <c r="W3522" s="82">
        <f>_xll.qlCalendarAdvance(Calendar,W3521,V3522,"f",FALSE)</f>
        <v>63641</v>
      </c>
      <c r="X3522" s="91">
        <f>_xll.qlCalendarAdvance(Calendar,W3522,NDays&amp;"D")</f>
        <v>63641</v>
      </c>
      <c r="Y3522" s="92" t="e">
        <v>#N/A</v>
      </c>
      <c r="Z3522" s="94" t="e">
        <v>#N/A</v>
      </c>
    </row>
    <row r="3523" spans="22:26" x14ac:dyDescent="0.2">
      <c r="V3523" s="123" t="str">
        <f t="shared" si="65"/>
        <v>1w</v>
      </c>
      <c r="W3523" s="82">
        <f>_xll.qlCalendarAdvance(Calendar,W3522,V3523,"f",FALSE)</f>
        <v>63648</v>
      </c>
      <c r="X3523" s="91">
        <f>_xll.qlCalendarAdvance(Calendar,W3523,NDays&amp;"D")</f>
        <v>63648</v>
      </c>
      <c r="Y3523" s="92" t="e">
        <v>#N/A</v>
      </c>
      <c r="Z3523" s="94" t="e">
        <v>#N/A</v>
      </c>
    </row>
    <row r="3524" spans="22:26" x14ac:dyDescent="0.2">
      <c r="V3524" s="123" t="str">
        <f t="shared" si="65"/>
        <v>1w</v>
      </c>
      <c r="W3524" s="82">
        <f>_xll.qlCalendarAdvance(Calendar,W3523,V3524,"f",FALSE)</f>
        <v>63655</v>
      </c>
      <c r="X3524" s="91">
        <f>_xll.qlCalendarAdvance(Calendar,W3524,NDays&amp;"D")</f>
        <v>63655</v>
      </c>
      <c r="Y3524" s="92" t="e">
        <v>#N/A</v>
      </c>
      <c r="Z3524" s="94" t="e">
        <v>#N/A</v>
      </c>
    </row>
    <row r="3525" spans="22:26" x14ac:dyDescent="0.2">
      <c r="V3525" s="123" t="str">
        <f t="shared" si="65"/>
        <v>1w</v>
      </c>
      <c r="W3525" s="82">
        <f>_xll.qlCalendarAdvance(Calendar,W3524,V3525,"f",FALSE)</f>
        <v>63662</v>
      </c>
      <c r="X3525" s="91">
        <f>_xll.qlCalendarAdvance(Calendar,W3525,NDays&amp;"D")</f>
        <v>63662</v>
      </c>
      <c r="Y3525" s="92" t="e">
        <v>#N/A</v>
      </c>
      <c r="Z3525" s="94" t="e">
        <v>#N/A</v>
      </c>
    </row>
    <row r="3526" spans="22:26" x14ac:dyDescent="0.2">
      <c r="V3526" s="123" t="str">
        <f t="shared" si="65"/>
        <v>1w</v>
      </c>
      <c r="W3526" s="82">
        <f>_xll.qlCalendarAdvance(Calendar,W3525,V3526,"f",FALSE)</f>
        <v>63669</v>
      </c>
      <c r="X3526" s="91">
        <f>_xll.qlCalendarAdvance(Calendar,W3526,NDays&amp;"D")</f>
        <v>63669</v>
      </c>
      <c r="Y3526" s="92" t="e">
        <v>#N/A</v>
      </c>
      <c r="Z3526" s="94" t="e">
        <v>#N/A</v>
      </c>
    </row>
    <row r="3527" spans="22:26" x14ac:dyDescent="0.2">
      <c r="V3527" s="123" t="str">
        <f t="shared" si="65"/>
        <v>1w</v>
      </c>
      <c r="W3527" s="82">
        <f>_xll.qlCalendarAdvance(Calendar,W3526,V3527,"f",FALSE)</f>
        <v>63676</v>
      </c>
      <c r="X3527" s="91">
        <f>_xll.qlCalendarAdvance(Calendar,W3527,NDays&amp;"D")</f>
        <v>63676</v>
      </c>
      <c r="Y3527" s="92" t="e">
        <v>#N/A</v>
      </c>
      <c r="Z3527" s="94" t="e">
        <v>#N/A</v>
      </c>
    </row>
    <row r="3528" spans="22:26" x14ac:dyDescent="0.2">
      <c r="V3528" s="123" t="str">
        <f t="shared" si="65"/>
        <v>1w</v>
      </c>
      <c r="W3528" s="82">
        <f>_xll.qlCalendarAdvance(Calendar,W3527,V3528,"f",FALSE)</f>
        <v>63683</v>
      </c>
      <c r="X3528" s="91">
        <f>_xll.qlCalendarAdvance(Calendar,W3528,NDays&amp;"D")</f>
        <v>63683</v>
      </c>
      <c r="Y3528" s="92" t="e">
        <v>#N/A</v>
      </c>
      <c r="Z3528" s="94" t="e">
        <v>#N/A</v>
      </c>
    </row>
    <row r="3529" spans="22:26" x14ac:dyDescent="0.2">
      <c r="V3529" s="123" t="str">
        <f t="shared" si="65"/>
        <v>1w</v>
      </c>
      <c r="W3529" s="82">
        <f>_xll.qlCalendarAdvance(Calendar,W3528,V3529,"f",FALSE)</f>
        <v>63690</v>
      </c>
      <c r="X3529" s="91">
        <f>_xll.qlCalendarAdvance(Calendar,W3529,NDays&amp;"D")</f>
        <v>63690</v>
      </c>
      <c r="Y3529" s="92" t="e">
        <v>#N/A</v>
      </c>
      <c r="Z3529" s="94" t="e">
        <v>#N/A</v>
      </c>
    </row>
    <row r="3530" spans="22:26" x14ac:dyDescent="0.2">
      <c r="V3530" s="123" t="str">
        <f t="shared" si="65"/>
        <v>1w</v>
      </c>
      <c r="W3530" s="82">
        <f>_xll.qlCalendarAdvance(Calendar,W3529,V3530,"f",FALSE)</f>
        <v>63697</v>
      </c>
      <c r="X3530" s="91">
        <f>_xll.qlCalendarAdvance(Calendar,W3530,NDays&amp;"D")</f>
        <v>63697</v>
      </c>
      <c r="Y3530" s="92" t="e">
        <v>#N/A</v>
      </c>
      <c r="Z3530" s="94" t="e">
        <v>#N/A</v>
      </c>
    </row>
    <row r="3531" spans="22:26" x14ac:dyDescent="0.2">
      <c r="V3531" s="123" t="str">
        <f t="shared" si="65"/>
        <v>1w</v>
      </c>
      <c r="W3531" s="82">
        <f>_xll.qlCalendarAdvance(Calendar,W3530,V3531,"f",FALSE)</f>
        <v>63704</v>
      </c>
      <c r="X3531" s="91">
        <f>_xll.qlCalendarAdvance(Calendar,W3531,NDays&amp;"D")</f>
        <v>63704</v>
      </c>
      <c r="Y3531" s="92" t="e">
        <v>#N/A</v>
      </c>
      <c r="Z3531" s="94" t="e">
        <v>#N/A</v>
      </c>
    </row>
    <row r="3532" spans="22:26" x14ac:dyDescent="0.2">
      <c r="V3532" s="123" t="str">
        <f t="shared" si="65"/>
        <v>1w</v>
      </c>
      <c r="W3532" s="82">
        <f>_xll.qlCalendarAdvance(Calendar,W3531,V3532,"f",FALSE)</f>
        <v>63711</v>
      </c>
      <c r="X3532" s="91">
        <f>_xll.qlCalendarAdvance(Calendar,W3532,NDays&amp;"D")</f>
        <v>63711</v>
      </c>
      <c r="Y3532" s="92" t="e">
        <v>#N/A</v>
      </c>
      <c r="Z3532" s="94" t="e">
        <v>#N/A</v>
      </c>
    </row>
    <row r="3533" spans="22:26" x14ac:dyDescent="0.2">
      <c r="V3533" s="123" t="str">
        <f t="shared" si="65"/>
        <v>1w</v>
      </c>
      <c r="W3533" s="82">
        <f>_xll.qlCalendarAdvance(Calendar,W3532,V3533,"f",FALSE)</f>
        <v>63718</v>
      </c>
      <c r="X3533" s="91">
        <f>_xll.qlCalendarAdvance(Calendar,W3533,NDays&amp;"D")</f>
        <v>63718</v>
      </c>
      <c r="Y3533" s="92" t="e">
        <v>#N/A</v>
      </c>
      <c r="Z3533" s="94" t="e">
        <v>#N/A</v>
      </c>
    </row>
    <row r="3534" spans="22:26" x14ac:dyDescent="0.2">
      <c r="V3534" s="123" t="str">
        <f t="shared" si="65"/>
        <v>1w</v>
      </c>
      <c r="W3534" s="82">
        <f>_xll.qlCalendarAdvance(Calendar,W3533,V3534,"f",FALSE)</f>
        <v>63725</v>
      </c>
      <c r="X3534" s="91">
        <f>_xll.qlCalendarAdvance(Calendar,W3534,NDays&amp;"D")</f>
        <v>63725</v>
      </c>
      <c r="Y3534" s="92" t="e">
        <v>#N/A</v>
      </c>
      <c r="Z3534" s="94" t="e">
        <v>#N/A</v>
      </c>
    </row>
    <row r="3535" spans="22:26" x14ac:dyDescent="0.2">
      <c r="V3535" s="123" t="str">
        <f t="shared" si="65"/>
        <v>1w</v>
      </c>
      <c r="W3535" s="82">
        <f>_xll.qlCalendarAdvance(Calendar,W3534,V3535,"f",FALSE)</f>
        <v>63732</v>
      </c>
      <c r="X3535" s="91">
        <f>_xll.qlCalendarAdvance(Calendar,W3535,NDays&amp;"D")</f>
        <v>63732</v>
      </c>
      <c r="Y3535" s="92" t="e">
        <v>#N/A</v>
      </c>
      <c r="Z3535" s="94" t="e">
        <v>#N/A</v>
      </c>
    </row>
    <row r="3536" spans="22:26" x14ac:dyDescent="0.2">
      <c r="V3536" s="123" t="str">
        <f t="shared" si="65"/>
        <v>1w</v>
      </c>
      <c r="W3536" s="82">
        <f>_xll.qlCalendarAdvance(Calendar,W3535,V3536,"f",FALSE)</f>
        <v>63739</v>
      </c>
      <c r="X3536" s="91">
        <f>_xll.qlCalendarAdvance(Calendar,W3536,NDays&amp;"D")</f>
        <v>63739</v>
      </c>
      <c r="Y3536" s="92" t="e">
        <v>#N/A</v>
      </c>
      <c r="Z3536" s="94" t="e">
        <v>#N/A</v>
      </c>
    </row>
    <row r="3537" spans="2:26" x14ac:dyDescent="0.2">
      <c r="V3537" s="123" t="str">
        <f t="shared" si="65"/>
        <v>1w</v>
      </c>
      <c r="W3537" s="82">
        <f>_xll.qlCalendarAdvance(Calendar,W3536,V3537,"f",FALSE)</f>
        <v>63746</v>
      </c>
      <c r="X3537" s="91">
        <f>_xll.qlCalendarAdvance(Calendar,W3537,NDays&amp;"D")</f>
        <v>63746</v>
      </c>
      <c r="Y3537" s="92" t="e">
        <v>#N/A</v>
      </c>
      <c r="Z3537" s="94" t="e">
        <v>#N/A</v>
      </c>
    </row>
    <row r="3538" spans="2:26" x14ac:dyDescent="0.2">
      <c r="V3538" s="123" t="str">
        <f t="shared" si="65"/>
        <v>1w</v>
      </c>
      <c r="W3538" s="82">
        <f>_xll.qlCalendarAdvance(Calendar,W3537,V3538,"f",FALSE)</f>
        <v>63753</v>
      </c>
      <c r="X3538" s="91">
        <f>_xll.qlCalendarAdvance(Calendar,W3538,NDays&amp;"D")</f>
        <v>63753</v>
      </c>
      <c r="Y3538" s="92" t="e">
        <v>#N/A</v>
      </c>
      <c r="Z3538" s="94" t="e">
        <v>#N/A</v>
      </c>
    </row>
    <row r="3539" spans="2:26" x14ac:dyDescent="0.2">
      <c r="V3539" s="123" t="str">
        <f t="shared" si="65"/>
        <v>1w</v>
      </c>
      <c r="W3539" s="82">
        <f>_xll.qlCalendarAdvance(Calendar,W3538,V3539,"f",FALSE)</f>
        <v>63760</v>
      </c>
      <c r="X3539" s="91">
        <f>_xll.qlCalendarAdvance(Calendar,W3539,NDays&amp;"D")</f>
        <v>63760</v>
      </c>
      <c r="Y3539" s="92" t="e">
        <v>#N/A</v>
      </c>
      <c r="Z3539" s="94" t="e">
        <v>#N/A</v>
      </c>
    </row>
    <row r="3540" spans="2:26" x14ac:dyDescent="0.2">
      <c r="B3540" s="82"/>
      <c r="C3540" s="91"/>
      <c r="D3540" s="92"/>
      <c r="E3540" s="92"/>
      <c r="V3540" s="123" t="str">
        <f t="shared" si="65"/>
        <v>1w</v>
      </c>
      <c r="W3540" s="82">
        <f>_xll.qlCalendarAdvance(Calendar,W3539,V3540,"f",FALSE)</f>
        <v>63767</v>
      </c>
      <c r="X3540" s="91">
        <f>_xll.qlCalendarAdvance(Calendar,W3540,NDays&amp;"D")</f>
        <v>63767</v>
      </c>
      <c r="Y3540" s="92" t="e">
        <v>#N/A</v>
      </c>
      <c r="Z3540" s="94" t="e">
        <v>#N/A</v>
      </c>
    </row>
    <row r="3541" spans="2:26" x14ac:dyDescent="0.2">
      <c r="B3541" s="82"/>
      <c r="C3541" s="91"/>
      <c r="D3541" s="92"/>
      <c r="E3541" s="92"/>
      <c r="V3541" s="123" t="str">
        <f t="shared" ref="V3541:V3552" si="66">V3540</f>
        <v>1w</v>
      </c>
      <c r="W3541" s="82">
        <f>_xll.qlCalendarAdvance(Calendar,W3540,V3541,"f",FALSE)</f>
        <v>63774</v>
      </c>
      <c r="X3541" s="91">
        <f>_xll.qlCalendarAdvance(Calendar,W3541,NDays&amp;"D")</f>
        <v>63774</v>
      </c>
      <c r="Y3541" s="92" t="e">
        <v>#N/A</v>
      </c>
      <c r="Z3541" s="94" t="e">
        <v>#N/A</v>
      </c>
    </row>
    <row r="3542" spans="2:26" x14ac:dyDescent="0.2">
      <c r="B3542" s="82"/>
      <c r="C3542" s="91"/>
      <c r="D3542" s="92"/>
      <c r="E3542" s="92"/>
      <c r="V3542" s="123" t="str">
        <f t="shared" si="66"/>
        <v>1w</v>
      </c>
      <c r="W3542" s="82">
        <f>_xll.qlCalendarAdvance(Calendar,W3541,V3542,"f",FALSE)</f>
        <v>63781</v>
      </c>
      <c r="X3542" s="91">
        <f>_xll.qlCalendarAdvance(Calendar,W3542,NDays&amp;"D")</f>
        <v>63781</v>
      </c>
      <c r="Y3542" s="92" t="e">
        <v>#N/A</v>
      </c>
      <c r="Z3542" s="94" t="e">
        <v>#N/A</v>
      </c>
    </row>
    <row r="3543" spans="2:26" x14ac:dyDescent="0.2">
      <c r="B3543" s="82"/>
      <c r="C3543" s="91"/>
      <c r="D3543" s="92"/>
      <c r="E3543" s="92"/>
      <c r="V3543" s="123" t="str">
        <f t="shared" si="66"/>
        <v>1w</v>
      </c>
      <c r="W3543" s="82">
        <f>_xll.qlCalendarAdvance(Calendar,W3542,V3543,"f",FALSE)</f>
        <v>63788</v>
      </c>
      <c r="X3543" s="91">
        <f>_xll.qlCalendarAdvance(Calendar,W3543,NDays&amp;"D")</f>
        <v>63788</v>
      </c>
      <c r="Y3543" s="92" t="e">
        <v>#N/A</v>
      </c>
      <c r="Z3543" s="94" t="e">
        <v>#N/A</v>
      </c>
    </row>
    <row r="3544" spans="2:26" x14ac:dyDescent="0.2">
      <c r="B3544" s="82"/>
      <c r="C3544" s="91"/>
      <c r="D3544" s="92"/>
      <c r="E3544" s="92"/>
      <c r="V3544" s="123" t="str">
        <f t="shared" si="66"/>
        <v>1w</v>
      </c>
      <c r="W3544" s="82">
        <f>_xll.qlCalendarAdvance(Calendar,W3543,V3544,"f",FALSE)</f>
        <v>63795</v>
      </c>
      <c r="X3544" s="91">
        <f>_xll.qlCalendarAdvance(Calendar,W3544,NDays&amp;"D")</f>
        <v>63795</v>
      </c>
      <c r="Y3544" s="92" t="e">
        <v>#N/A</v>
      </c>
      <c r="Z3544" s="94" t="e">
        <v>#N/A</v>
      </c>
    </row>
    <row r="3545" spans="2:26" x14ac:dyDescent="0.2">
      <c r="B3545" s="82"/>
      <c r="C3545" s="91"/>
      <c r="D3545" s="92"/>
      <c r="E3545" s="92"/>
      <c r="V3545" s="123" t="str">
        <f t="shared" si="66"/>
        <v>1w</v>
      </c>
      <c r="W3545" s="82">
        <f>_xll.qlCalendarAdvance(Calendar,W3544,V3545,"f",FALSE)</f>
        <v>63802</v>
      </c>
      <c r="X3545" s="91">
        <f>_xll.qlCalendarAdvance(Calendar,W3545,NDays&amp;"D")</f>
        <v>63802</v>
      </c>
      <c r="Y3545" s="92" t="e">
        <v>#N/A</v>
      </c>
      <c r="Z3545" s="94" t="e">
        <v>#N/A</v>
      </c>
    </row>
    <row r="3546" spans="2:26" x14ac:dyDescent="0.2">
      <c r="B3546" s="82"/>
      <c r="C3546" s="91"/>
      <c r="D3546" s="92"/>
      <c r="E3546" s="92"/>
      <c r="V3546" s="123" t="str">
        <f t="shared" si="66"/>
        <v>1w</v>
      </c>
      <c r="W3546" s="82">
        <f>_xll.qlCalendarAdvance(Calendar,W3545,V3546,"f",FALSE)</f>
        <v>63809</v>
      </c>
      <c r="X3546" s="91">
        <f>_xll.qlCalendarAdvance(Calendar,W3546,NDays&amp;"D")</f>
        <v>63809</v>
      </c>
      <c r="Y3546" s="92" t="e">
        <v>#N/A</v>
      </c>
      <c r="Z3546" s="94" t="e">
        <v>#N/A</v>
      </c>
    </row>
    <row r="3547" spans="2:26" x14ac:dyDescent="0.2">
      <c r="B3547" s="82"/>
      <c r="C3547" s="91"/>
      <c r="D3547" s="92"/>
      <c r="E3547" s="92"/>
      <c r="V3547" s="123" t="str">
        <f t="shared" si="66"/>
        <v>1w</v>
      </c>
      <c r="W3547" s="82">
        <f>_xll.qlCalendarAdvance(Calendar,W3546,V3547,"f",FALSE)</f>
        <v>63816</v>
      </c>
      <c r="X3547" s="91">
        <f>_xll.qlCalendarAdvance(Calendar,W3547,NDays&amp;"D")</f>
        <v>63816</v>
      </c>
      <c r="Y3547" s="92" t="e">
        <v>#N/A</v>
      </c>
      <c r="Z3547" s="94" t="e">
        <v>#N/A</v>
      </c>
    </row>
    <row r="3548" spans="2:26" x14ac:dyDescent="0.2">
      <c r="B3548" s="82"/>
      <c r="C3548" s="91"/>
      <c r="D3548" s="92"/>
      <c r="E3548" s="92"/>
      <c r="V3548" s="123" t="str">
        <f t="shared" si="66"/>
        <v>1w</v>
      </c>
      <c r="W3548" s="82">
        <f>_xll.qlCalendarAdvance(Calendar,W3547,V3548,"f",FALSE)</f>
        <v>63823</v>
      </c>
      <c r="X3548" s="91">
        <f>_xll.qlCalendarAdvance(Calendar,W3548,NDays&amp;"D")</f>
        <v>63823</v>
      </c>
      <c r="Y3548" s="92" t="e">
        <v>#N/A</v>
      </c>
      <c r="Z3548" s="94" t="e">
        <v>#N/A</v>
      </c>
    </row>
    <row r="3549" spans="2:26" x14ac:dyDescent="0.2">
      <c r="B3549" s="82"/>
      <c r="C3549" s="91"/>
      <c r="D3549" s="92"/>
      <c r="E3549" s="92"/>
      <c r="V3549" s="123" t="str">
        <f t="shared" si="66"/>
        <v>1w</v>
      </c>
      <c r="W3549" s="82">
        <f>_xll.qlCalendarAdvance(Calendar,W3548,V3549,"f",FALSE)</f>
        <v>63830</v>
      </c>
      <c r="X3549" s="91">
        <f>_xll.qlCalendarAdvance(Calendar,W3549,NDays&amp;"D")</f>
        <v>63830</v>
      </c>
      <c r="Y3549" s="92" t="e">
        <v>#N/A</v>
      </c>
      <c r="Z3549" s="94" t="e">
        <v>#N/A</v>
      </c>
    </row>
    <row r="3550" spans="2:26" x14ac:dyDescent="0.2">
      <c r="B3550" s="82"/>
      <c r="C3550" s="91"/>
      <c r="D3550" s="92"/>
      <c r="E3550" s="92"/>
      <c r="V3550" s="123" t="str">
        <f t="shared" si="66"/>
        <v>1w</v>
      </c>
      <c r="W3550" s="82">
        <f>_xll.qlCalendarAdvance(Calendar,W3549,V3550,"f",FALSE)</f>
        <v>63837</v>
      </c>
      <c r="X3550" s="91">
        <f>_xll.qlCalendarAdvance(Calendar,W3550,NDays&amp;"D")</f>
        <v>63837</v>
      </c>
      <c r="Y3550" s="92" t="e">
        <v>#N/A</v>
      </c>
      <c r="Z3550" s="94" t="e">
        <v>#N/A</v>
      </c>
    </row>
    <row r="3551" spans="2:26" x14ac:dyDescent="0.2">
      <c r="B3551" s="82"/>
      <c r="C3551" s="91"/>
      <c r="D3551" s="92"/>
      <c r="E3551" s="92"/>
      <c r="V3551" s="123" t="str">
        <f t="shared" si="66"/>
        <v>1w</v>
      </c>
      <c r="W3551" s="82">
        <f>_xll.qlCalendarAdvance(Calendar,W3550,V3551,"f",FALSE)</f>
        <v>63844</v>
      </c>
      <c r="X3551" s="91">
        <f>_xll.qlCalendarAdvance(Calendar,W3551,NDays&amp;"D")</f>
        <v>63844</v>
      </c>
      <c r="Y3551" s="92" t="e">
        <v>#N/A</v>
      </c>
      <c r="Z3551" s="94" t="e">
        <v>#N/A</v>
      </c>
    </row>
    <row r="3552" spans="2:26" ht="12" thickBot="1" x14ac:dyDescent="0.25">
      <c r="B3552" s="82"/>
      <c r="C3552" s="91"/>
      <c r="D3552" s="92"/>
      <c r="E3552" s="92"/>
      <c r="V3552" s="125" t="str">
        <f t="shared" si="66"/>
        <v>1w</v>
      </c>
      <c r="W3552" s="98">
        <f>_xll.qlCalendarAdvance(Calendar,W3551,V3552,"f",FALSE)</f>
        <v>63851</v>
      </c>
      <c r="X3552" s="102">
        <f>_xll.qlCalendarAdvance(Calendar,W3552,NDays&amp;"D")</f>
        <v>63851</v>
      </c>
      <c r="Y3552" s="93" t="e">
        <v>#N/A</v>
      </c>
      <c r="Z3552" s="95" t="e">
        <v>#N/A</v>
      </c>
    </row>
    <row r="3553" spans="2:22" x14ac:dyDescent="0.2">
      <c r="B3553" s="82"/>
      <c r="C3553" s="91"/>
      <c r="D3553" s="92"/>
      <c r="E3553" s="92"/>
      <c r="V3553" s="97"/>
    </row>
    <row r="3554" spans="2:22" x14ac:dyDescent="0.2">
      <c r="B3554" s="82"/>
      <c r="C3554" s="91"/>
      <c r="D3554" s="92"/>
      <c r="E3554" s="92"/>
      <c r="V3554" s="97"/>
    </row>
    <row r="3555" spans="2:22" x14ac:dyDescent="0.2">
      <c r="B3555" s="82"/>
      <c r="C3555" s="91"/>
      <c r="D3555" s="92"/>
      <c r="E3555" s="92"/>
      <c r="V3555" s="97"/>
    </row>
    <row r="3556" spans="2:22" x14ac:dyDescent="0.2">
      <c r="B3556" s="82"/>
      <c r="C3556" s="91"/>
      <c r="D3556" s="92"/>
      <c r="E3556" s="92"/>
      <c r="V3556" s="97"/>
    </row>
    <row r="3557" spans="2:22" x14ac:dyDescent="0.2">
      <c r="B3557" s="82"/>
      <c r="C3557" s="91"/>
      <c r="D3557" s="92"/>
      <c r="E3557" s="92"/>
      <c r="V3557" s="97"/>
    </row>
    <row r="3558" spans="2:22" x14ac:dyDescent="0.2">
      <c r="B3558" s="82"/>
      <c r="C3558" s="91"/>
      <c r="D3558" s="92"/>
      <c r="E3558" s="92"/>
      <c r="V3558" s="97"/>
    </row>
  </sheetData>
  <dataConsolidate/>
  <dataValidations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ignoredErrors>
    <ignoredError sqref="C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Length4">
              <controlPr defaultSize="0" print="0" autoFill="0" autoPict="0" macro="[0]!grphUpdate">
                <anchor moveWithCells="1">
                  <from>
                    <xdr:col>8</xdr:col>
                    <xdr:colOff>628650</xdr:colOff>
                    <xdr:row>34</xdr:row>
                    <xdr:rowOff>38100</xdr:rowOff>
                  </from>
                  <to>
                    <xdr:col>10</xdr:col>
                    <xdr:colOff>333375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Length1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26</xdr:row>
                    <xdr:rowOff>28575</xdr:rowOff>
                  </from>
                  <to>
                    <xdr:col>10</xdr:col>
                    <xdr:colOff>361950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Length7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42</xdr:row>
                    <xdr:rowOff>66675</xdr:rowOff>
                  </from>
                  <to>
                    <xdr:col>10</xdr:col>
                    <xdr:colOff>361950</xdr:colOff>
                    <xdr:row>44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Length0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21</xdr:row>
                    <xdr:rowOff>76200</xdr:rowOff>
                  </from>
                  <to>
                    <xdr:col>10</xdr:col>
                    <xdr:colOff>361950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Length2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28</xdr:row>
                    <xdr:rowOff>133350</xdr:rowOff>
                  </from>
                  <to>
                    <xdr:col>10</xdr:col>
                    <xdr:colOff>361950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Length3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31</xdr:row>
                    <xdr:rowOff>76200</xdr:rowOff>
                  </from>
                  <to>
                    <xdr:col>10</xdr:col>
                    <xdr:colOff>361950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Length5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37</xdr:row>
                    <xdr:rowOff>0</xdr:rowOff>
                  </from>
                  <to>
                    <xdr:col>10</xdr:col>
                    <xdr:colOff>361950</xdr:colOff>
                    <xdr:row>38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Length6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39</xdr:row>
                    <xdr:rowOff>104775</xdr:rowOff>
                  </from>
                  <to>
                    <xdr:col>10</xdr:col>
                    <xdr:colOff>361950</xdr:colOff>
                    <xdr:row>41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2" name="Check Box 9">
              <controlPr defaultSize="0" autoFill="0" autoLine="0" autoPict="0">
                <anchor moveWithCells="1">
                  <from>
                    <xdr:col>8</xdr:col>
                    <xdr:colOff>657225</xdr:colOff>
                    <xdr:row>46</xdr:row>
                    <xdr:rowOff>85725</xdr:rowOff>
                  </from>
                  <to>
                    <xdr:col>10</xdr:col>
                    <xdr:colOff>352425</xdr:colOff>
                    <xdr:row>48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General Settings</vt:lpstr>
      <vt:lpstr>RateHelpers</vt:lpstr>
      <vt:lpstr>Selected</vt:lpstr>
      <vt:lpstr>Deposits</vt:lpstr>
      <vt:lpstr>Swaps</vt:lpstr>
      <vt:lpstr>Monitor</vt:lpstr>
      <vt:lpstr>Accuracy</vt:lpstr>
      <vt:lpstr>BondBasisDayCounter</vt:lpstr>
      <vt:lpstr>Calendar</vt:lpstr>
      <vt:lpstr>CheckDeposits</vt:lpstr>
      <vt:lpstr>Currency</vt:lpstr>
      <vt:lpstr>Monitor!DataTable</vt:lpstr>
      <vt:lpstr>DayCounter</vt:lpstr>
      <vt:lpstr>Selected!DepoInclusionCriteria</vt:lpstr>
      <vt:lpstr>DepositsDates</vt:lpstr>
      <vt:lpstr>DepositsNull</vt:lpstr>
      <vt:lpstr>DepositsQuotes</vt:lpstr>
      <vt:lpstr>Discounting</vt:lpstr>
      <vt:lpstr>Discounting2</vt:lpstr>
      <vt:lpstr>FamilyName</vt:lpstr>
      <vt:lpstr>FileOverwrite</vt:lpstr>
      <vt:lpstr>Selected!FrontFuturesRollingDays</vt:lpstr>
      <vt:lpstr>Monitor!IborIndex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Monitor!ONQuotes</vt:lpstr>
      <vt:lpstr>Monitor!ONValueDates</vt:lpstr>
      <vt:lpstr>Monitor!OverNightIndex</vt:lpstr>
      <vt:lpstr>Permanent</vt:lpstr>
      <vt:lpstr>QuoteSuffix</vt:lpstr>
      <vt:lpstr>Swaps!RateHelperConstructors</vt:lpstr>
      <vt:lpstr>RateHelperPrefix</vt:lpstr>
      <vt:lpstr>RateHelpers</vt:lpstr>
      <vt:lpstr>RateHelpersIncluded</vt:lpstr>
      <vt:lpstr>RateHelpersPriority</vt:lpstr>
      <vt:lpstr>RateHelpersSelected</vt:lpstr>
      <vt:lpstr>Monitor!RecalcTrigger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ZANZI MADDALENA</cp:lastModifiedBy>
  <cp:lastPrinted>2006-06-05T17:15:30Z</cp:lastPrinted>
  <dcterms:created xsi:type="dcterms:W3CDTF">2006-04-26T09:45:07Z</dcterms:created>
  <dcterms:modified xsi:type="dcterms:W3CDTF">2014-08-27T08:22:02Z</dcterms:modified>
</cp:coreProperties>
</file>
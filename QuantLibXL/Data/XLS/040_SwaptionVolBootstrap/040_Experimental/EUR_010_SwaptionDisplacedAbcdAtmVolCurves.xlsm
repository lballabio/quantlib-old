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110" windowHeight="12405"/>
  </bookViews>
  <sheets>
    <sheet name="General Settings" sheetId="12" r:id="rId1"/>
    <sheet name="Calibration" sheetId="8" r:id="rId2"/>
    <sheet name="Summary" sheetId="9" r:id="rId3"/>
    <sheet name="Chart K" sheetId="11" r:id="rId4"/>
  </sheets>
  <definedNames>
    <definedName name="Currency">'General Settings'!$D$14</definedName>
    <definedName name="Displacement">Calibration!$D$1</definedName>
    <definedName name="FileOverwrite">'General Settings'!$D$9</definedName>
    <definedName name="Guess10Y">Calibration!$AN$5:$AN$8</definedName>
    <definedName name="Guess11Y">Calibration!$AR$5:$AR$8</definedName>
    <definedName name="Guess12Y">Calibration!$AV$5:$AV$8</definedName>
    <definedName name="Guess13Y">Calibration!$AZ$5:$AZ$8</definedName>
    <definedName name="Guess14Y">Calibration!$BD$5:$BD$8</definedName>
    <definedName name="Guess15Y">Calibration!$BH$5:$BH$8</definedName>
    <definedName name="Guess16Y">Calibration!$BL$5:$BL$8</definedName>
    <definedName name="Guess17Y">Calibration!$BP$5:$BP$8</definedName>
    <definedName name="Guess18Y">Calibration!$BT$5:$BT$8</definedName>
    <definedName name="Guess19Y">Calibration!$BX$5:$BX$8</definedName>
    <definedName name="Guess1Y">Calibration!$D$5:$D$8</definedName>
    <definedName name="Guess20Y">Calibration!$CB$5:$CB$8</definedName>
    <definedName name="Guess21Y">Calibration!$CF$5:$CF$8</definedName>
    <definedName name="Guess22Y">Calibration!$CJ$5:$CJ$8</definedName>
    <definedName name="Guess23Y">Calibration!$CN$5:$CN$8</definedName>
    <definedName name="Guess24Y">Calibration!$CR$5:$CR$8</definedName>
    <definedName name="Guess25Y">Calibration!$CV$5:$CV$8</definedName>
    <definedName name="Guess26Y">Calibration!$CZ$5:$CZ$8</definedName>
    <definedName name="Guess27Y">Calibration!$DD$5:$DD$8</definedName>
    <definedName name="Guess28Y">Calibration!$DH$5:$DH$8</definedName>
    <definedName name="Guess29Y">Calibration!$DL$5:$DL$8</definedName>
    <definedName name="Guess2Y">Calibration!$H$5:$H$8</definedName>
    <definedName name="Guess30Y">Calibration!$DP$5:$DP$8</definedName>
    <definedName name="Guess3Y">Calibration!$L$5:$L$8</definedName>
    <definedName name="Guess4Y">Calibration!$P$5:$P$8</definedName>
    <definedName name="Guess5Y">Calibration!$T$5:$T$8</definedName>
    <definedName name="Guess6Y">Calibration!$X$5:$X$8</definedName>
    <definedName name="Guess7Y">Calibration!$AB$5:$AB$8</definedName>
    <definedName name="Guess8Y">Calibration!$AF$5:$AF$8</definedName>
    <definedName name="Guess9Y">Calibration!$AJ$5:$AJ$8</definedName>
    <definedName name="Name">'General Settings'!$D$15</definedName>
    <definedName name="ObjectOverwrite">'General Settings'!$D$6</definedName>
    <definedName name="OptionTenors">Calibration!$B$49:$B$68</definedName>
    <definedName name="Permanent">'General Settings'!$D$5</definedName>
    <definedName name="_xlnm.Print_Area" localSheetId="2">Summary!$A$31:$L$60</definedName>
    <definedName name="Results10Y">Calibration!$AN$33:$AN$36</definedName>
    <definedName name="Results11Y">Calibration!$AR$33:$AR$36</definedName>
    <definedName name="Results12Y">Calibration!$AV$33:$AV$36</definedName>
    <definedName name="Results13Y">Calibration!$AZ$33:$AZ$36</definedName>
    <definedName name="Results14Y">Calibration!$BD$33:$BD$36</definedName>
    <definedName name="Results15Y">Calibration!$BH$33:$BH$36</definedName>
    <definedName name="Results16Y">Calibration!$BL$33:$BL$36</definedName>
    <definedName name="Results17Y">Calibration!$BP$33:$BP$36</definedName>
    <definedName name="Results18Y">Calibration!$BT$33:$BT$36</definedName>
    <definedName name="Results19Y">Calibration!$BX$33:$BX$36</definedName>
    <definedName name="Results1Y">Calibration!$D$33:$D$36</definedName>
    <definedName name="Results20Y">Calibration!$CB$33:$CB$36</definedName>
    <definedName name="Results21Y">Calibration!$CF$33:$CF$36</definedName>
    <definedName name="Results22Y">Calibration!$CJ$33:$CJ$36</definedName>
    <definedName name="Results23Y">Calibration!$CN$33:$CN$36</definedName>
    <definedName name="Results24Y">Calibration!$CR$33:$CR$36</definedName>
    <definedName name="Results25Y">Calibration!$CV$33:$CV$36</definedName>
    <definedName name="Results26Y">Calibration!$CZ$33:$CZ$36</definedName>
    <definedName name="Results27Y">Calibration!$DD$33:$DD$36</definedName>
    <definedName name="Results28Y">Calibration!$DH$33:$DH$36</definedName>
    <definedName name="Results29Y">Calibration!$DL$33:$DL$36</definedName>
    <definedName name="Results2Y">Calibration!$H$33:$H$36</definedName>
    <definedName name="Results30Y">Calibration!$DP$33:$DP$36</definedName>
    <definedName name="Results3Y">Calibration!$L$33:$L$36</definedName>
    <definedName name="Results4Y">Calibration!$P$33:$P$36</definedName>
    <definedName name="Results5Y">Calibration!$T$33:$T$36</definedName>
    <definedName name="Results6Y">Calibration!$X$33:$X$36</definedName>
    <definedName name="Results7Y">Calibration!$AB$33:$AB$36</definedName>
    <definedName name="Results8Y">Calibration!$AF$33:$AF$36</definedName>
    <definedName name="Results9Y">Calibration!$AJ$33:$AJ$36</definedName>
    <definedName name="SerializationPath">'General Settings'!$D$8</definedName>
    <definedName name="Serialize">'General Settings'!$D$7</definedName>
    <definedName name="Trigger">'General Settings'!$D$4</definedName>
    <definedName name="Vol">Calibration!$D$2</definedName>
  </definedNames>
  <calcPr calcId="145621"/>
</workbook>
</file>

<file path=xl/calcChain.xml><?xml version="1.0" encoding="utf-8"?>
<calcChain xmlns="http://schemas.openxmlformats.org/spreadsheetml/2006/main">
  <c r="D8" i="12" l="1"/>
  <c r="DP8" i="8" l="1"/>
  <c r="DP7" i="8"/>
  <c r="DP6" i="8"/>
  <c r="DP5" i="8"/>
  <c r="DL8" i="8"/>
  <c r="DL7" i="8"/>
  <c r="DL6" i="8"/>
  <c r="DL5" i="8"/>
  <c r="DH8" i="8"/>
  <c r="DH7" i="8"/>
  <c r="DH6" i="8"/>
  <c r="DH5" i="8"/>
  <c r="DD8" i="8"/>
  <c r="DD7" i="8"/>
  <c r="DD6" i="8"/>
  <c r="DD5" i="8"/>
  <c r="CZ8" i="8"/>
  <c r="CZ7" i="8"/>
  <c r="CZ6" i="8"/>
  <c r="CZ5" i="8"/>
  <c r="CV8" i="8"/>
  <c r="CV7" i="8"/>
  <c r="CV6" i="8"/>
  <c r="CV5" i="8"/>
  <c r="CR8" i="8"/>
  <c r="CR7" i="8"/>
  <c r="CR6" i="8"/>
  <c r="CR5" i="8"/>
  <c r="CN8" i="8"/>
  <c r="CN7" i="8"/>
  <c r="CN6" i="8"/>
  <c r="CN5" i="8"/>
  <c r="CJ8" i="8"/>
  <c r="CJ7" i="8"/>
  <c r="CJ6" i="8"/>
  <c r="CJ5" i="8"/>
  <c r="CF8" i="8"/>
  <c r="CF7" i="8"/>
  <c r="CF6" i="8"/>
  <c r="CF5" i="8"/>
  <c r="CB8" i="8"/>
  <c r="CB7" i="8"/>
  <c r="CB6" i="8"/>
  <c r="CB5" i="8"/>
  <c r="BX8" i="8"/>
  <c r="BX7" i="8"/>
  <c r="BX6" i="8"/>
  <c r="BX5" i="8"/>
  <c r="BT8" i="8"/>
  <c r="BT7" i="8"/>
  <c r="BT6" i="8"/>
  <c r="BT5" i="8"/>
  <c r="BP8" i="8"/>
  <c r="BP7" i="8"/>
  <c r="BP6" i="8"/>
  <c r="BP5" i="8"/>
  <c r="BL8" i="8"/>
  <c r="BL7" i="8"/>
  <c r="BL6" i="8"/>
  <c r="BL5" i="8"/>
  <c r="BH8" i="8"/>
  <c r="BH7" i="8"/>
  <c r="BH6" i="8"/>
  <c r="BH5" i="8"/>
  <c r="BD8" i="8"/>
  <c r="BD7" i="8"/>
  <c r="BD6" i="8"/>
  <c r="BD5" i="8"/>
  <c r="AZ8" i="8"/>
  <c r="AZ7" i="8"/>
  <c r="AZ6" i="8"/>
  <c r="AZ5" i="8"/>
  <c r="AV8" i="8"/>
  <c r="AV7" i="8"/>
  <c r="AV6" i="8"/>
  <c r="AV5" i="8"/>
  <c r="AR8" i="8"/>
  <c r="AR7" i="8"/>
  <c r="AR6" i="8"/>
  <c r="AR5" i="8"/>
  <c r="AN8" i="8"/>
  <c r="AN7" i="8"/>
  <c r="AN6" i="8"/>
  <c r="AN5" i="8"/>
  <c r="AJ8" i="8"/>
  <c r="AJ7" i="8"/>
  <c r="AJ6" i="8"/>
  <c r="AJ5" i="8"/>
  <c r="AF8" i="8"/>
  <c r="AF7" i="8"/>
  <c r="AF6" i="8"/>
  <c r="AF5" i="8"/>
  <c r="AB8" i="8"/>
  <c r="AB7" i="8"/>
  <c r="AB6" i="8"/>
  <c r="AB5" i="8"/>
  <c r="X8" i="8"/>
  <c r="X7" i="8"/>
  <c r="X6" i="8"/>
  <c r="X5" i="8"/>
  <c r="T8" i="8"/>
  <c r="T7" i="8"/>
  <c r="T6" i="8"/>
  <c r="T5" i="8"/>
  <c r="P8" i="8"/>
  <c r="P7" i="8"/>
  <c r="P6" i="8"/>
  <c r="P5" i="8"/>
  <c r="L8" i="8"/>
  <c r="L7" i="8"/>
  <c r="L6" i="8"/>
  <c r="L5" i="8"/>
  <c r="H8" i="8"/>
  <c r="H7" i="8"/>
  <c r="H6" i="8"/>
  <c r="H5" i="8"/>
  <c r="D8" i="8"/>
  <c r="D7" i="8"/>
  <c r="D6" i="8"/>
  <c r="D5" i="8"/>
  <c r="G45" i="8"/>
  <c r="K45" i="8"/>
  <c r="O45" i="8"/>
  <c r="S45" i="8"/>
  <c r="W45" i="8"/>
  <c r="W46" i="8" s="1"/>
  <c r="AA45" i="8"/>
  <c r="AA46" i="8" s="1"/>
  <c r="AE45" i="8"/>
  <c r="DQ47" i="8"/>
  <c r="DM47" i="8"/>
  <c r="DI47" i="8"/>
  <c r="DE47" i="8"/>
  <c r="DA47" i="8"/>
  <c r="CW47" i="8"/>
  <c r="CS47" i="8"/>
  <c r="CO47" i="8"/>
  <c r="CK47" i="8"/>
  <c r="CG47" i="8"/>
  <c r="CC47" i="8"/>
  <c r="BY47" i="8"/>
  <c r="BU47" i="8"/>
  <c r="BQ47" i="8"/>
  <c r="BM47" i="8"/>
  <c r="BI47" i="8"/>
  <c r="BE47" i="8"/>
  <c r="BA47" i="8"/>
  <c r="AW47" i="8"/>
  <c r="AS47" i="8"/>
  <c r="AO47" i="8"/>
  <c r="AK47" i="8"/>
  <c r="AG47" i="8"/>
  <c r="AC47" i="8"/>
  <c r="Y47" i="8"/>
  <c r="S46" i="8"/>
  <c r="U47" i="8"/>
  <c r="O46" i="8"/>
  <c r="Q47" i="8"/>
  <c r="K46" i="8"/>
  <c r="M47" i="8"/>
  <c r="G46" i="8"/>
  <c r="I47" i="8"/>
  <c r="C46" i="8"/>
  <c r="E47" i="8"/>
  <c r="A70" i="8" a="1"/>
  <c r="A67" i="8"/>
  <c r="A59" i="8"/>
  <c r="A51" i="8"/>
  <c r="A62" i="8"/>
  <c r="A54" i="8"/>
  <c r="A68" i="8"/>
  <c r="A65" i="8"/>
  <c r="A57" i="8"/>
  <c r="A49" i="8"/>
  <c r="A52" i="8"/>
  <c r="A64" i="8"/>
  <c r="A60" i="8"/>
  <c r="A53" i="8"/>
  <c r="A56" i="8"/>
  <c r="A63" i="8"/>
  <c r="C47" i="8"/>
  <c r="DL21" i="8"/>
  <c r="CV21" i="8"/>
  <c r="CF21" i="8"/>
  <c r="BP21" i="8"/>
  <c r="AZ21" i="8"/>
  <c r="AJ21" i="8"/>
  <c r="T21" i="8"/>
  <c r="D21" i="8"/>
  <c r="DD18" i="8"/>
  <c r="CN18" i="8"/>
  <c r="BX18" i="8"/>
  <c r="BH18" i="8"/>
  <c r="AR18" i="8"/>
  <c r="AB18" i="8"/>
  <c r="L18" i="8"/>
  <c r="DL10" i="8"/>
  <c r="CV10" i="8"/>
  <c r="CF10" i="8"/>
  <c r="BP10" i="8"/>
  <c r="AZ10" i="8"/>
  <c r="AJ10" i="8"/>
  <c r="T10" i="8"/>
  <c r="D10" i="8"/>
  <c r="A58" i="8"/>
  <c r="D89" i="8"/>
  <c r="D87" i="8"/>
  <c r="D78" i="8"/>
  <c r="D71" i="8"/>
  <c r="CZ21" i="8"/>
  <c r="BP22" i="8"/>
  <c r="AV21" i="8"/>
  <c r="L21" i="8"/>
  <c r="CR18" i="8"/>
  <c r="BH19" i="8"/>
  <c r="AN18" i="8"/>
  <c r="D18" i="8"/>
  <c r="CJ10" i="8"/>
  <c r="AZ11" i="8"/>
  <c r="AF10" i="8"/>
  <c r="O47" i="8"/>
  <c r="P84" i="8"/>
  <c r="P76" i="8"/>
  <c r="D80" i="8"/>
  <c r="D73" i="8"/>
  <c r="DP21" i="8"/>
  <c r="CZ22" i="8"/>
  <c r="CF22" i="8"/>
  <c r="BL21" i="8"/>
  <c r="AV22" i="8"/>
  <c r="AB21" i="8"/>
  <c r="L22" i="8"/>
  <c r="DH18" i="8"/>
  <c r="CR19" i="8"/>
  <c r="BX19" i="8"/>
  <c r="BD18" i="8"/>
  <c r="AN19" i="8"/>
  <c r="T18" i="8"/>
  <c r="D19" i="8"/>
  <c r="CZ10" i="8"/>
  <c r="CJ11" i="8"/>
  <c r="BP11" i="8"/>
  <c r="AV10" i="8"/>
  <c r="AF11" i="8"/>
  <c r="L10" i="8"/>
  <c r="A66" i="8"/>
  <c r="A50" i="8"/>
  <c r="W47" i="8"/>
  <c r="S47" i="8"/>
  <c r="T87" i="8"/>
  <c r="T84" i="8"/>
  <c r="X89" i="8"/>
  <c r="X71" i="8"/>
  <c r="T89" i="8"/>
  <c r="X85" i="8"/>
  <c r="X73" i="8"/>
  <c r="P82" i="8"/>
  <c r="P78" i="8"/>
  <c r="D86" i="8"/>
  <c r="D83" i="8"/>
  <c r="D74" i="8"/>
  <c r="CV22" i="8"/>
  <c r="BX21" i="8"/>
  <c r="AB22" i="8"/>
  <c r="D22" i="8"/>
  <c r="CV18" i="8"/>
  <c r="BT18" i="8"/>
  <c r="AB19" i="8"/>
  <c r="DP10" i="8"/>
  <c r="CR10" i="8"/>
  <c r="AV11" i="8"/>
  <c r="X10" i="8"/>
  <c r="B1" i="12"/>
  <c r="A61" i="8"/>
  <c r="X79" i="8"/>
  <c r="T88" i="8"/>
  <c r="T83" i="8"/>
  <c r="T78" i="8"/>
  <c r="T75" i="8"/>
  <c r="T71" i="8"/>
  <c r="CR21" i="8"/>
  <c r="BX22" i="8"/>
  <c r="AZ22" i="8"/>
  <c r="X21" i="8"/>
  <c r="DP18" i="8"/>
  <c r="CV19" i="8"/>
  <c r="BT19" i="8"/>
  <c r="AV18" i="8"/>
  <c r="X18" i="8"/>
  <c r="X19" i="8" s="1"/>
  <c r="DP11" i="8"/>
  <c r="CR11" i="8"/>
  <c r="BT10" i="8"/>
  <c r="BT11" i="8" s="1"/>
  <c r="AR10" i="8"/>
  <c r="X11" i="8"/>
  <c r="X77" i="8"/>
  <c r="P88" i="8"/>
  <c r="P74" i="8"/>
  <c r="P70" i="8"/>
  <c r="D82" i="8"/>
  <c r="D79" i="8"/>
  <c r="D70" i="8"/>
  <c r="DP22" i="8"/>
  <c r="CR22" i="8"/>
  <c r="BT21" i="8"/>
  <c r="AR21" i="8"/>
  <c r="X22" i="8"/>
  <c r="DP19" i="8"/>
  <c r="CN19" i="8"/>
  <c r="BP18" i="8"/>
  <c r="AV19" i="8"/>
  <c r="T19" i="8"/>
  <c r="DL11" i="8"/>
  <c r="CN10" i="8"/>
  <c r="BL10" i="8"/>
  <c r="AR11" i="8"/>
  <c r="T11" i="8"/>
  <c r="A55" i="8"/>
  <c r="T86" i="8"/>
  <c r="T81" i="8"/>
  <c r="T70" i="8"/>
  <c r="D88" i="8"/>
  <c r="D85" i="8"/>
  <c r="D76" i="8"/>
  <c r="DL22" i="8"/>
  <c r="CN21" i="8"/>
  <c r="BT22" i="8"/>
  <c r="AR22" i="8"/>
  <c r="T22" i="8"/>
  <c r="DL18" i="8"/>
  <c r="DL19" i="8" s="1"/>
  <c r="CJ18" i="8"/>
  <c r="BP19" i="8"/>
  <c r="AR19" i="8"/>
  <c r="P18" i="8"/>
  <c r="DH10" i="8"/>
  <c r="CN11" i="8"/>
  <c r="BL11" i="8"/>
  <c r="AN10" i="8"/>
  <c r="P10" i="8"/>
  <c r="P11" i="8" s="1"/>
  <c r="AA47" i="8"/>
  <c r="DD21" i="8"/>
  <c r="H21" i="8"/>
  <c r="AF18" i="8"/>
  <c r="CZ11" i="8"/>
  <c r="BD10" i="8"/>
  <c r="L19" i="8"/>
  <c r="AB77" i="8"/>
  <c r="T76" i="8"/>
  <c r="DD22" i="8"/>
  <c r="BD21" i="8"/>
  <c r="BD22" i="8" s="1"/>
  <c r="H22" i="8"/>
  <c r="CB18" i="8"/>
  <c r="CB19" i="8" s="1"/>
  <c r="AF19" i="8"/>
  <c r="CV11" i="8"/>
  <c r="BD11" i="8"/>
  <c r="D11" i="8"/>
  <c r="K47" i="8"/>
  <c r="L75" i="8"/>
  <c r="G47" i="8"/>
  <c r="H83" i="8"/>
  <c r="H76" i="8"/>
  <c r="CN22" i="8"/>
  <c r="AN21" i="8"/>
  <c r="DH19" i="8"/>
  <c r="BL18" i="8"/>
  <c r="BL19" i="8" s="1"/>
  <c r="P19" i="8"/>
  <c r="CF11" i="8"/>
  <c r="AN11" i="8"/>
  <c r="AB73" i="8"/>
  <c r="H89" i="8"/>
  <c r="D84" i="8"/>
  <c r="D72" i="8"/>
  <c r="CJ21" i="8"/>
  <c r="CJ22" i="8" s="1"/>
  <c r="AN22" i="8"/>
  <c r="DD19" i="8"/>
  <c r="CB10" i="8"/>
  <c r="AJ11" i="8"/>
  <c r="AB71" i="8"/>
  <c r="X70" i="8"/>
  <c r="P80" i="8"/>
  <c r="L87" i="8"/>
  <c r="H82" i="8"/>
  <c r="H75" i="8"/>
  <c r="CB21" i="8"/>
  <c r="AJ22" i="8"/>
  <c r="CZ18" i="8"/>
  <c r="BD19" i="8"/>
  <c r="H18" i="8"/>
  <c r="CB11" i="8"/>
  <c r="AB10" i="8"/>
  <c r="P72" i="8"/>
  <c r="L79" i="8"/>
  <c r="H87" i="8"/>
  <c r="D75" i="8"/>
  <c r="CB22" i="8"/>
  <c r="CF18" i="8"/>
  <c r="CF19" i="8" s="1"/>
  <c r="BH10" i="8"/>
  <c r="T80" i="8"/>
  <c r="BL22" i="8"/>
  <c r="AZ18" i="8"/>
  <c r="AZ19" i="8" s="1"/>
  <c r="BH11" i="8"/>
  <c r="BH21" i="8"/>
  <c r="BH22" i="8" s="1"/>
  <c r="L11" i="8"/>
  <c r="T73" i="8"/>
  <c r="P86" i="8"/>
  <c r="AJ18" i="8"/>
  <c r="AB11" i="8"/>
  <c r="T79" i="8"/>
  <c r="AF21" i="8"/>
  <c r="AF22" i="8" s="1"/>
  <c r="AJ19" i="8"/>
  <c r="T72" i="8"/>
  <c r="D81" i="8"/>
  <c r="DH21" i="8"/>
  <c r="CZ19" i="8"/>
  <c r="DD10" i="8"/>
  <c r="DD11" i="8" s="1"/>
  <c r="P21" i="8"/>
  <c r="P22" i="8"/>
  <c r="CJ19" i="8"/>
  <c r="D77" i="8"/>
  <c r="H10" i="8"/>
  <c r="H11" i="8" s="1"/>
  <c r="DH22" i="8"/>
  <c r="H19" i="8"/>
  <c r="DH11" i="8"/>
  <c r="BX10" i="8"/>
  <c r="BX11" i="8" s="1"/>
  <c r="H72" i="8"/>
  <c r="P71" i="8"/>
  <c r="P73" i="8"/>
  <c r="P75" i="8"/>
  <c r="P77" i="8"/>
  <c r="P79" i="8"/>
  <c r="P81" i="8"/>
  <c r="P83" i="8"/>
  <c r="P85" i="8"/>
  <c r="P87" i="8"/>
  <c r="P89" i="8"/>
  <c r="X75" i="8"/>
  <c r="X87" i="8"/>
  <c r="X83" i="8"/>
  <c r="X81" i="8"/>
  <c r="X72" i="8"/>
  <c r="X74" i="8"/>
  <c r="X76" i="8"/>
  <c r="X78" i="8"/>
  <c r="X80" i="8"/>
  <c r="X82" i="8"/>
  <c r="X84" i="8"/>
  <c r="X86" i="8"/>
  <c r="X88" i="8"/>
  <c r="T74" i="8"/>
  <c r="T77" i="8"/>
  <c r="T82" i="8"/>
  <c r="T85" i="8"/>
  <c r="AB86" i="8"/>
  <c r="AB80" i="8"/>
  <c r="AB72" i="8"/>
  <c r="AB81" i="8"/>
  <c r="AB84" i="8"/>
  <c r="AB75" i="8"/>
  <c r="AB78" i="8"/>
  <c r="AB87" i="8"/>
  <c r="AB88" i="8"/>
  <c r="AB70" i="8"/>
  <c r="AB79" i="8"/>
  <c r="AB82" i="8"/>
  <c r="AB76" i="8"/>
  <c r="AB85" i="8"/>
  <c r="AB74" i="8"/>
  <c r="AB83" i="8"/>
  <c r="AB89" i="8"/>
  <c r="L83" i="8"/>
  <c r="L77" i="8"/>
  <c r="L71" i="8"/>
  <c r="L85" i="8"/>
  <c r="L73" i="8"/>
  <c r="L81" i="8"/>
  <c r="L89" i="8"/>
  <c r="L70" i="8"/>
  <c r="L72" i="8"/>
  <c r="L74" i="8"/>
  <c r="L76" i="8"/>
  <c r="L78" i="8"/>
  <c r="L80" i="8"/>
  <c r="L82" i="8"/>
  <c r="L84" i="8"/>
  <c r="L86" i="8"/>
  <c r="L88" i="8"/>
  <c r="H79" i="8"/>
  <c r="H70" i="8"/>
  <c r="H77" i="8"/>
  <c r="H80" i="8"/>
  <c r="H84" i="8"/>
  <c r="H74" i="8"/>
  <c r="H85" i="8"/>
  <c r="H88" i="8"/>
  <c r="H73" i="8"/>
  <c r="H78" i="8"/>
  <c r="H81" i="8"/>
  <c r="H86" i="8"/>
  <c r="H71" i="8"/>
  <c r="I48" i="8" l="1"/>
  <c r="C2" i="9" s="1"/>
  <c r="M48" i="8"/>
  <c r="D2" i="9" s="1"/>
  <c r="AC48" i="8"/>
  <c r="H2" i="9" s="1"/>
  <c r="U48" i="8"/>
  <c r="F2" i="9" s="1"/>
  <c r="Y48" i="8"/>
  <c r="G2" i="9" s="1"/>
  <c r="Q48" i="8"/>
  <c r="E2" i="9" s="1"/>
  <c r="E48" i="8"/>
  <c r="B2" i="9" s="1"/>
  <c r="A76" i="8"/>
  <c r="A84" i="8"/>
  <c r="A71" i="8"/>
  <c r="A80" i="8"/>
  <c r="A89" i="8"/>
  <c r="A72" i="8"/>
  <c r="A81" i="8"/>
  <c r="A75" i="8"/>
  <c r="A87" i="8"/>
  <c r="A77" i="8"/>
  <c r="A88" i="8"/>
  <c r="A78" i="8"/>
  <c r="A79" i="8"/>
  <c r="A73" i="8"/>
  <c r="A74" i="8"/>
  <c r="A82" i="8"/>
  <c r="A83" i="8"/>
  <c r="A85" i="8"/>
  <c r="A70" i="8"/>
  <c r="A86" i="8"/>
  <c r="AI45" i="8"/>
  <c r="AE46" i="8"/>
  <c r="L44" i="8"/>
  <c r="P44" i="8"/>
  <c r="C81" i="8"/>
  <c r="S81" i="8"/>
  <c r="W81" i="8"/>
  <c r="G81" i="8"/>
  <c r="G60" i="8" s="1"/>
  <c r="K81" i="8"/>
  <c r="M81" i="8" s="1"/>
  <c r="O81" i="8"/>
  <c r="AA81" i="8"/>
  <c r="C74" i="8"/>
  <c r="AA74" i="8"/>
  <c r="AC74" i="8" s="1"/>
  <c r="K74" i="8"/>
  <c r="O74" i="8"/>
  <c r="G74" i="8"/>
  <c r="S74" i="8"/>
  <c r="W74" i="8"/>
  <c r="G75" i="8"/>
  <c r="K75" i="8"/>
  <c r="S75" i="8"/>
  <c r="C75" i="8"/>
  <c r="W75" i="8"/>
  <c r="O75" i="8"/>
  <c r="AA75" i="8"/>
  <c r="G82" i="8"/>
  <c r="I82" i="8" s="1"/>
  <c r="K82" i="8"/>
  <c r="O82" i="8"/>
  <c r="W82" i="8"/>
  <c r="AA82" i="8"/>
  <c r="C82" i="8"/>
  <c r="S82" i="8"/>
  <c r="U82" i="8" s="1"/>
  <c r="G76" i="8"/>
  <c r="C76" i="8"/>
  <c r="K76" i="8"/>
  <c r="O76" i="8"/>
  <c r="S76" i="8"/>
  <c r="W76" i="8"/>
  <c r="W55" i="8" s="1"/>
  <c r="AA76" i="8"/>
  <c r="AA55" i="8" s="1"/>
  <c r="C83" i="8"/>
  <c r="G83" i="8"/>
  <c r="K83" i="8"/>
  <c r="S83" i="8"/>
  <c r="O83" i="8"/>
  <c r="W83" i="8"/>
  <c r="AA83" i="8"/>
  <c r="AC82" i="8"/>
  <c r="C61" i="8"/>
  <c r="S53" i="8"/>
  <c r="C84" i="8"/>
  <c r="G84" i="8"/>
  <c r="AA84" i="8"/>
  <c r="W84" i="8"/>
  <c r="W63" i="8" s="1"/>
  <c r="K84" i="8"/>
  <c r="O84" i="8"/>
  <c r="O63" i="8" s="1"/>
  <c r="S84" i="8"/>
  <c r="U84" i="8" s="1"/>
  <c r="K85" i="8"/>
  <c r="K64" i="8" s="1"/>
  <c r="S85" i="8"/>
  <c r="C85" i="8"/>
  <c r="E85" i="8" s="1"/>
  <c r="G85" i="8"/>
  <c r="W85" i="8"/>
  <c r="O85" i="8"/>
  <c r="AA85" i="8"/>
  <c r="M74" i="8"/>
  <c r="S63" i="8"/>
  <c r="G53" i="8"/>
  <c r="K71" i="8"/>
  <c r="C71" i="8"/>
  <c r="E71" i="8" s="1"/>
  <c r="G71" i="8"/>
  <c r="I71" i="8" s="1"/>
  <c r="W71" i="8"/>
  <c r="S71" i="8"/>
  <c r="S50" i="8" s="1"/>
  <c r="O71" i="8"/>
  <c r="O50" i="8" s="1"/>
  <c r="AA71" i="8"/>
  <c r="Y83" i="8"/>
  <c r="E82" i="8"/>
  <c r="AA64" i="8"/>
  <c r="S54" i="8"/>
  <c r="C62" i="8"/>
  <c r="O78" i="8"/>
  <c r="K78" i="8"/>
  <c r="C78" i="8"/>
  <c r="E78" i="8" s="1"/>
  <c r="G78" i="8"/>
  <c r="W78" i="8"/>
  <c r="S78" i="8"/>
  <c r="AA78" i="8"/>
  <c r="AC78" i="8" s="1"/>
  <c r="Y82" i="8"/>
  <c r="W53" i="8"/>
  <c r="W60" i="8"/>
  <c r="C64" i="8"/>
  <c r="E83" i="8"/>
  <c r="S73" i="8"/>
  <c r="W73" i="8"/>
  <c r="Y73" i="8" s="1"/>
  <c r="C73" i="8"/>
  <c r="G73" i="8"/>
  <c r="G52" i="8" s="1"/>
  <c r="K73" i="8"/>
  <c r="O73" i="8"/>
  <c r="AA73" i="8"/>
  <c r="AC73" i="8" s="1"/>
  <c r="M73" i="8"/>
  <c r="AC85" i="8"/>
  <c r="AC75" i="8"/>
  <c r="Y76" i="8"/>
  <c r="Q71" i="8"/>
  <c r="U73" i="8"/>
  <c r="I76" i="8"/>
  <c r="C55" i="8"/>
  <c r="K55" i="8"/>
  <c r="O55" i="8"/>
  <c r="W61" i="8"/>
  <c r="Q78" i="8"/>
  <c r="AA50" i="8"/>
  <c r="K63" i="8"/>
  <c r="C53" i="8"/>
  <c r="G64" i="8"/>
  <c r="S52" i="8"/>
  <c r="W52" i="8"/>
  <c r="K52" i="8"/>
  <c r="C54" i="8"/>
  <c r="C63" i="8"/>
  <c r="O64" i="8"/>
  <c r="AA52" i="8"/>
  <c r="AA57" i="8"/>
  <c r="G87" i="8"/>
  <c r="C87" i="8"/>
  <c r="E87" i="8" s="1"/>
  <c r="K87" i="8"/>
  <c r="M87" i="8" s="1"/>
  <c r="S87" i="8"/>
  <c r="W87" i="8"/>
  <c r="O87" i="8"/>
  <c r="AA87" i="8"/>
  <c r="AA66" i="8" s="1"/>
  <c r="AC81" i="8"/>
  <c r="U81" i="8"/>
  <c r="U75" i="8"/>
  <c r="O61" i="8"/>
  <c r="C77" i="8"/>
  <c r="E77" i="8" s="1"/>
  <c r="S77" i="8"/>
  <c r="G77" i="8"/>
  <c r="G56" i="8" s="1"/>
  <c r="K77" i="8"/>
  <c r="K56" i="8" s="1"/>
  <c r="W77" i="8"/>
  <c r="O77" i="8"/>
  <c r="O56" i="8" s="1"/>
  <c r="AA77" i="8"/>
  <c r="AA61" i="8"/>
  <c r="W50" i="8"/>
  <c r="S64" i="8"/>
  <c r="X44" i="8"/>
  <c r="C60" i="8"/>
  <c r="C52" i="8"/>
  <c r="S62" i="8"/>
  <c r="K86" i="8"/>
  <c r="K65" i="8" s="1"/>
  <c r="O86" i="8"/>
  <c r="Q86" i="8" s="1"/>
  <c r="C86" i="8"/>
  <c r="E86" i="8" s="1"/>
  <c r="W86" i="8"/>
  <c r="W65" i="8" s="1"/>
  <c r="AA86" i="8"/>
  <c r="AA65" i="8" s="1"/>
  <c r="G86" i="8"/>
  <c r="S86" i="8"/>
  <c r="M86" i="8"/>
  <c r="Y87" i="8"/>
  <c r="M75" i="8"/>
  <c r="G50" i="8"/>
  <c r="W66" i="8"/>
  <c r="K62" i="8"/>
  <c r="O53" i="8"/>
  <c r="O65" i="8"/>
  <c r="AA54" i="8"/>
  <c r="O72" i="8"/>
  <c r="G72" i="8"/>
  <c r="G51" i="8" s="1"/>
  <c r="K72" i="8"/>
  <c r="M72" i="8" s="1"/>
  <c r="C72" i="8"/>
  <c r="C51" i="8" s="1"/>
  <c r="AA72" i="8"/>
  <c r="AC72" i="8" s="1"/>
  <c r="W72" i="8"/>
  <c r="S72" i="8"/>
  <c r="S51" i="8" s="1"/>
  <c r="I81" i="8"/>
  <c r="I77" i="8"/>
  <c r="M78" i="8"/>
  <c r="M85" i="8"/>
  <c r="AC76" i="8"/>
  <c r="AC84" i="8"/>
  <c r="U74" i="8"/>
  <c r="Y74" i="8"/>
  <c r="Q85" i="8"/>
  <c r="I72" i="8"/>
  <c r="I83" i="8"/>
  <c r="U76" i="8"/>
  <c r="G55" i="8"/>
  <c r="S55" i="8"/>
  <c r="U71" i="8"/>
  <c r="G61" i="8"/>
  <c r="Q82" i="8"/>
  <c r="T44" i="8"/>
  <c r="C50" i="8"/>
  <c r="K66" i="8"/>
  <c r="K53" i="8"/>
  <c r="O60" i="8"/>
  <c r="C66" i="8"/>
  <c r="K60" i="8"/>
  <c r="C65" i="8"/>
  <c r="W62" i="8"/>
  <c r="AB44" i="8"/>
  <c r="Y85" i="8"/>
  <c r="E73" i="8"/>
  <c r="W64" i="8"/>
  <c r="M83" i="8"/>
  <c r="E72" i="8"/>
  <c r="U83" i="8"/>
  <c r="K50" i="8"/>
  <c r="D44" i="8"/>
  <c r="K57" i="8"/>
  <c r="O54" i="8"/>
  <c r="O62" i="8"/>
  <c r="AA51" i="8"/>
  <c r="K51" i="8"/>
  <c r="I85" i="8"/>
  <c r="Q77" i="8"/>
  <c r="E84" i="8"/>
  <c r="Y71" i="8"/>
  <c r="W51" i="8"/>
  <c r="G79" i="8"/>
  <c r="G58" i="8" s="1"/>
  <c r="K79" i="8"/>
  <c r="C79" i="8"/>
  <c r="W79" i="8"/>
  <c r="W58" i="8" s="1"/>
  <c r="S79" i="8"/>
  <c r="S58" i="8" s="1"/>
  <c r="O79" i="8"/>
  <c r="AA79" i="8"/>
  <c r="E76" i="8"/>
  <c r="Q84" i="8"/>
  <c r="AA53" i="8"/>
  <c r="O57" i="8"/>
  <c r="G54" i="8"/>
  <c r="AA62" i="8"/>
  <c r="I78" i="8"/>
  <c r="M76" i="8"/>
  <c r="M71" i="8"/>
  <c r="Y72" i="8"/>
  <c r="Q83" i="8"/>
  <c r="E75" i="8"/>
  <c r="G66" i="8"/>
  <c r="W54" i="8"/>
  <c r="W88" i="8"/>
  <c r="C88" i="8"/>
  <c r="K88" i="8"/>
  <c r="O88" i="8"/>
  <c r="G88" i="8"/>
  <c r="G67" i="8" s="1"/>
  <c r="AA88" i="8"/>
  <c r="AA67" i="8" s="1"/>
  <c r="S88" i="8"/>
  <c r="W70" i="8"/>
  <c r="G70" i="8"/>
  <c r="C70" i="8"/>
  <c r="K70" i="8"/>
  <c r="M70" i="8" s="1"/>
  <c r="O70" i="8"/>
  <c r="AA70" i="8"/>
  <c r="S70" i="8"/>
  <c r="M88" i="8"/>
  <c r="C56" i="8"/>
  <c r="C57" i="8"/>
  <c r="K67" i="8"/>
  <c r="AC86" i="8"/>
  <c r="G62" i="8"/>
  <c r="AE81" i="8"/>
  <c r="AE60" i="8" s="1"/>
  <c r="AE83" i="8"/>
  <c r="AE62" i="8" s="1"/>
  <c r="AE77" i="8"/>
  <c r="AE56" i="8" s="1"/>
  <c r="AE74" i="8"/>
  <c r="AE53" i="8" s="1"/>
  <c r="AE86" i="8"/>
  <c r="AE65" i="8" s="1"/>
  <c r="AE72" i="8"/>
  <c r="AE51" i="8" s="1"/>
  <c r="AE75" i="8"/>
  <c r="AE54" i="8" s="1"/>
  <c r="AE84" i="8"/>
  <c r="AE63" i="8" s="1"/>
  <c r="AE76" i="8"/>
  <c r="AE55" i="8" s="1"/>
  <c r="AE79" i="8"/>
  <c r="AE88" i="8"/>
  <c r="AE67" i="8" s="1"/>
  <c r="AE70" i="8"/>
  <c r="AE49" i="8" s="1"/>
  <c r="AE73" i="8"/>
  <c r="AE52" i="8" s="1"/>
  <c r="AE82" i="8"/>
  <c r="AE71" i="8"/>
  <c r="AE80" i="8"/>
  <c r="AE87" i="8"/>
  <c r="AE66" i="8" s="1"/>
  <c r="AE47" i="8"/>
  <c r="AE78" i="8"/>
  <c r="AE57" i="8" s="1"/>
  <c r="AE85" i="8"/>
  <c r="AE64" i="8" s="1"/>
  <c r="AE89" i="8"/>
  <c r="AE68" i="8" s="1"/>
  <c r="I73" i="8"/>
  <c r="I79" i="8"/>
  <c r="M77" i="8"/>
  <c r="Y86" i="8"/>
  <c r="Y81" i="8"/>
  <c r="Q81" i="8"/>
  <c r="E81" i="8"/>
  <c r="I87" i="8"/>
  <c r="AC71" i="8"/>
  <c r="H44" i="8"/>
  <c r="AE50" i="8"/>
  <c r="AA63" i="8"/>
  <c r="S60" i="8"/>
  <c r="E74" i="8"/>
  <c r="Q76" i="8"/>
  <c r="G57" i="8"/>
  <c r="K54" i="8"/>
  <c r="Y79" i="8"/>
  <c r="I88" i="8"/>
  <c r="Y84" i="8"/>
  <c r="U72" i="8"/>
  <c r="S61" i="8"/>
  <c r="K49" i="8"/>
  <c r="K80" i="8"/>
  <c r="M80" i="8" s="1"/>
  <c r="O80" i="8"/>
  <c r="G80" i="8"/>
  <c r="AA80" i="8"/>
  <c r="W80" i="8"/>
  <c r="W59" i="8" s="1"/>
  <c r="C80" i="8"/>
  <c r="S80" i="8"/>
  <c r="AC88" i="8"/>
  <c r="C89" i="8"/>
  <c r="C68" i="8" s="1"/>
  <c r="G89" i="8"/>
  <c r="G68" i="8" s="1"/>
  <c r="S89" i="8"/>
  <c r="O89" i="8"/>
  <c r="K89" i="8"/>
  <c r="W89" i="8"/>
  <c r="AA89" i="8"/>
  <c r="Q74" i="8"/>
  <c r="AA60" i="8"/>
  <c r="E89" i="8"/>
  <c r="K68" i="8"/>
  <c r="AE59" i="8"/>
  <c r="I74" i="8"/>
  <c r="M84" i="8"/>
  <c r="M89" i="8"/>
  <c r="AC83" i="8"/>
  <c r="AC87" i="8"/>
  <c r="U85" i="8"/>
  <c r="Y80" i="8"/>
  <c r="Y75" i="8"/>
  <c r="Q75" i="8"/>
  <c r="U79" i="8"/>
  <c r="I75" i="8"/>
  <c r="I89" i="8"/>
  <c r="AE61" i="8"/>
  <c r="AE58" i="8"/>
  <c r="K59" i="8"/>
  <c r="K61" i="8"/>
  <c r="M82" i="8"/>
  <c r="G63" i="8"/>
  <c r="I84" i="8"/>
  <c r="W57" i="8"/>
  <c r="Y78" i="8"/>
  <c r="U78" i="8"/>
  <c r="S57" i="8"/>
  <c r="O52" i="8"/>
  <c r="Q73" i="8"/>
  <c r="U87" i="8"/>
  <c r="S66" i="8"/>
  <c r="O66" i="8"/>
  <c r="Q87" i="8"/>
  <c r="S56" i="8"/>
  <c r="U77" i="8"/>
  <c r="Y77" i="8"/>
  <c r="W56" i="8"/>
  <c r="AA56" i="8"/>
  <c r="AC77" i="8"/>
  <c r="I86" i="8"/>
  <c r="G65" i="8"/>
  <c r="U86" i="8"/>
  <c r="S65" i="8"/>
  <c r="Q72" i="8"/>
  <c r="O51" i="8"/>
  <c r="M79" i="8"/>
  <c r="K58" i="8"/>
  <c r="E79" i="8"/>
  <c r="C58" i="8"/>
  <c r="Q79" i="8"/>
  <c r="O58" i="8"/>
  <c r="AC79" i="8"/>
  <c r="AA58" i="8"/>
  <c r="Y88" i="8"/>
  <c r="W67" i="8"/>
  <c r="E88" i="8"/>
  <c r="C67" i="8"/>
  <c r="O67" i="8"/>
  <c r="Q88" i="8"/>
  <c r="U88" i="8"/>
  <c r="S67" i="8"/>
  <c r="Y70" i="8"/>
  <c r="W49" i="8"/>
  <c r="I70" i="8"/>
  <c r="G49" i="8"/>
  <c r="C49" i="8"/>
  <c r="E70" i="8"/>
  <c r="Q70" i="8"/>
  <c r="O49" i="8"/>
  <c r="AA49" i="8"/>
  <c r="AC70" i="8"/>
  <c r="U70" i="8"/>
  <c r="S49" i="8"/>
  <c r="AF75" i="8"/>
  <c r="AF87" i="8"/>
  <c r="AF77" i="8"/>
  <c r="AF81" i="8"/>
  <c r="AF71" i="8"/>
  <c r="AF89" i="8"/>
  <c r="AF72" i="8"/>
  <c r="AF84" i="8"/>
  <c r="AF74" i="8"/>
  <c r="AF86" i="8"/>
  <c r="AF80" i="8"/>
  <c r="AF79" i="8"/>
  <c r="AF88" i="8"/>
  <c r="AF70" i="8"/>
  <c r="AF73" i="8"/>
  <c r="AF82" i="8"/>
  <c r="AF78" i="8"/>
  <c r="AF85" i="8"/>
  <c r="AF76" i="8"/>
  <c r="AF83" i="8"/>
  <c r="O59" i="8"/>
  <c r="Q80" i="8"/>
  <c r="I80" i="8"/>
  <c r="G59" i="8"/>
  <c r="AC80" i="8"/>
  <c r="AA59" i="8"/>
  <c r="E80" i="8"/>
  <c r="C59" i="8"/>
  <c r="U80" i="8"/>
  <c r="S59" i="8"/>
  <c r="U89" i="8"/>
  <c r="S68" i="8"/>
  <c r="O68" i="8"/>
  <c r="Q89" i="8"/>
  <c r="W68" i="8"/>
  <c r="Y89" i="8"/>
  <c r="AC89" i="8"/>
  <c r="AA68" i="8"/>
  <c r="AG48" i="8" l="1"/>
  <c r="I2" i="9" s="1"/>
  <c r="AM45" i="8"/>
  <c r="AI46" i="8"/>
  <c r="AG83" i="8"/>
  <c r="AG79" i="8"/>
  <c r="AG81" i="8"/>
  <c r="AI84" i="8"/>
  <c r="AI63" i="8" s="1"/>
  <c r="AI72" i="8"/>
  <c r="AI51" i="8" s="1"/>
  <c r="AI81" i="8"/>
  <c r="AI60" i="8" s="1"/>
  <c r="AI75" i="8"/>
  <c r="AI54" i="8" s="1"/>
  <c r="AI77" i="8"/>
  <c r="AI56" i="8" s="1"/>
  <c r="AI76" i="8"/>
  <c r="AI55" i="8" s="1"/>
  <c r="AI85" i="8"/>
  <c r="AI64" i="8" s="1"/>
  <c r="AI88" i="8"/>
  <c r="AI67" i="8" s="1"/>
  <c r="AI70" i="8"/>
  <c r="AI49" i="8" s="1"/>
  <c r="AI79" i="8"/>
  <c r="AI58" i="8" s="1"/>
  <c r="AI82" i="8"/>
  <c r="AI61" i="8" s="1"/>
  <c r="AI74" i="8"/>
  <c r="AI53" i="8" s="1"/>
  <c r="AI83" i="8"/>
  <c r="AI62" i="8" s="1"/>
  <c r="AI86" i="8"/>
  <c r="AI65" i="8" s="1"/>
  <c r="AI73" i="8"/>
  <c r="AI52" i="8" s="1"/>
  <c r="AI80" i="8"/>
  <c r="AI59" i="8" s="1"/>
  <c r="AI71" i="8"/>
  <c r="AI50" i="8" s="1"/>
  <c r="AI78" i="8"/>
  <c r="AI57" i="8" s="1"/>
  <c r="AI87" i="8"/>
  <c r="AI66" i="8" s="1"/>
  <c r="AI47" i="8"/>
  <c r="AI89" i="8"/>
  <c r="AI68" i="8" s="1"/>
  <c r="AG76" i="8"/>
  <c r="AG80" i="8"/>
  <c r="AG77" i="8"/>
  <c r="AG85" i="8"/>
  <c r="AG86" i="8"/>
  <c r="AG87" i="8"/>
  <c r="AG78" i="8"/>
  <c r="AG74" i="8"/>
  <c r="AG75" i="8"/>
  <c r="AG82" i="8"/>
  <c r="AG84" i="8"/>
  <c r="AG73" i="8"/>
  <c r="AG72" i="8"/>
  <c r="AG70" i="8"/>
  <c r="AG89" i="8"/>
  <c r="AF44" i="8"/>
  <c r="AG88" i="8"/>
  <c r="AG71" i="8"/>
  <c r="AJ84" i="8"/>
  <c r="AJ72" i="8"/>
  <c r="AJ81" i="8"/>
  <c r="AJ75" i="8"/>
  <c r="AJ88" i="8"/>
  <c r="AJ70" i="8"/>
  <c r="AJ79" i="8"/>
  <c r="AJ82" i="8"/>
  <c r="AJ73" i="8"/>
  <c r="AJ74" i="8"/>
  <c r="AJ83" i="8"/>
  <c r="AJ86" i="8"/>
  <c r="AJ77" i="8"/>
  <c r="AJ80" i="8"/>
  <c r="AJ71" i="8"/>
  <c r="AJ78" i="8"/>
  <c r="AJ87" i="8"/>
  <c r="AJ89" i="8"/>
  <c r="AJ76" i="8"/>
  <c r="AJ85" i="8"/>
  <c r="AK48" i="8" l="1"/>
  <c r="J2" i="9" s="1"/>
  <c r="AQ45" i="8"/>
  <c r="AM46" i="8"/>
  <c r="AK85" i="8"/>
  <c r="AK86" i="8"/>
  <c r="AK75" i="8"/>
  <c r="AM81" i="8"/>
  <c r="AM60" i="8" s="1"/>
  <c r="AM75" i="8"/>
  <c r="AM54" i="8" s="1"/>
  <c r="AM76" i="8"/>
  <c r="AM55" i="8" s="1"/>
  <c r="AM88" i="8"/>
  <c r="AM67" i="8" s="1"/>
  <c r="AM78" i="8"/>
  <c r="AM57" i="8" s="1"/>
  <c r="AM72" i="8"/>
  <c r="AM51" i="8" s="1"/>
  <c r="AM84" i="8"/>
  <c r="AM63" i="8" s="1"/>
  <c r="AM85" i="8"/>
  <c r="AM64" i="8" s="1"/>
  <c r="AM79" i="8"/>
  <c r="AM58" i="8" s="1"/>
  <c r="AM70" i="8"/>
  <c r="AM49" i="8" s="1"/>
  <c r="AM83" i="8"/>
  <c r="AM62" i="8" s="1"/>
  <c r="AM74" i="8"/>
  <c r="AM53" i="8" s="1"/>
  <c r="AM77" i="8"/>
  <c r="AM56" i="8" s="1"/>
  <c r="AM86" i="8"/>
  <c r="AM65" i="8" s="1"/>
  <c r="AM89" i="8"/>
  <c r="AM68" i="8" s="1"/>
  <c r="AM73" i="8"/>
  <c r="AM52" i="8" s="1"/>
  <c r="AM82" i="8"/>
  <c r="AM61" i="8" s="1"/>
  <c r="AM71" i="8"/>
  <c r="AM50" i="8" s="1"/>
  <c r="AM80" i="8"/>
  <c r="AM59" i="8" s="1"/>
  <c r="AM87" i="8"/>
  <c r="AM66" i="8" s="1"/>
  <c r="AM47" i="8"/>
  <c r="AK76" i="8"/>
  <c r="AK83" i="8"/>
  <c r="AK81" i="8"/>
  <c r="AK89" i="8"/>
  <c r="AK74" i="8"/>
  <c r="AK72" i="8"/>
  <c r="AK87" i="8"/>
  <c r="AK73" i="8"/>
  <c r="AK84" i="8"/>
  <c r="AK78" i="8"/>
  <c r="AK82" i="8"/>
  <c r="AK71" i="8"/>
  <c r="AK79" i="8"/>
  <c r="AJ44" i="8"/>
  <c r="AK80" i="8"/>
  <c r="AK70" i="8"/>
  <c r="AK77" i="8"/>
  <c r="AK88" i="8"/>
  <c r="AN76" i="8"/>
  <c r="AN88" i="8"/>
  <c r="AN70" i="8"/>
  <c r="AN82" i="8"/>
  <c r="AN72" i="8"/>
  <c r="AN84" i="8"/>
  <c r="AN74" i="8"/>
  <c r="AN86" i="8"/>
  <c r="AN80" i="8"/>
  <c r="AN89" i="8"/>
  <c r="AN78" i="8"/>
  <c r="AN71" i="8"/>
  <c r="AN73" i="8"/>
  <c r="AN75" i="8"/>
  <c r="AN77" i="8"/>
  <c r="AN79" i="8"/>
  <c r="AN81" i="8"/>
  <c r="AN83" i="8"/>
  <c r="AN85" i="8"/>
  <c r="AN87" i="8"/>
  <c r="AO48" i="8" l="1"/>
  <c r="K2" i="9" s="1"/>
  <c r="AQ46" i="8"/>
  <c r="AU45" i="8"/>
  <c r="AO87" i="8"/>
  <c r="AO71" i="8"/>
  <c r="AO82" i="8"/>
  <c r="AO85" i="8"/>
  <c r="AO78" i="8"/>
  <c r="AO70" i="8"/>
  <c r="AO83" i="8"/>
  <c r="AO89" i="8"/>
  <c r="AO88" i="8"/>
  <c r="AO81" i="8"/>
  <c r="AO80" i="8"/>
  <c r="AO76" i="8"/>
  <c r="AO79" i="8"/>
  <c r="AO86" i="8"/>
  <c r="AO77" i="8"/>
  <c r="AO74" i="8"/>
  <c r="AN44" i="8"/>
  <c r="AO75" i="8"/>
  <c r="AO84" i="8"/>
  <c r="AO73" i="8"/>
  <c r="AO72" i="8"/>
  <c r="AQ85" i="8"/>
  <c r="AQ64" i="8" s="1"/>
  <c r="AQ79" i="8"/>
  <c r="AQ58" i="8" s="1"/>
  <c r="AQ71" i="8"/>
  <c r="AQ50" i="8" s="1"/>
  <c r="AQ83" i="8"/>
  <c r="AQ62" i="8" s="1"/>
  <c r="AQ47" i="8"/>
  <c r="AQ77" i="8"/>
  <c r="AQ56" i="8" s="1"/>
  <c r="AQ89" i="8"/>
  <c r="AQ68" i="8" s="1"/>
  <c r="AQ87" i="8"/>
  <c r="AQ66" i="8" s="1"/>
  <c r="AQ81" i="8"/>
  <c r="AQ60" i="8" s="1"/>
  <c r="AQ75" i="8"/>
  <c r="AQ54" i="8" s="1"/>
  <c r="AQ73" i="8"/>
  <c r="AQ52" i="8" s="1"/>
  <c r="AQ70" i="8"/>
  <c r="AQ49" i="8" s="1"/>
  <c r="AQ72" i="8"/>
  <c r="AQ51" i="8" s="1"/>
  <c r="AQ74" i="8"/>
  <c r="AQ53" i="8" s="1"/>
  <c r="AQ76" i="8"/>
  <c r="AQ55" i="8" s="1"/>
  <c r="AQ78" i="8"/>
  <c r="AQ57" i="8" s="1"/>
  <c r="AQ80" i="8"/>
  <c r="AQ59" i="8" s="1"/>
  <c r="AQ82" i="8"/>
  <c r="AQ61" i="8" s="1"/>
  <c r="AQ84" i="8"/>
  <c r="AQ63" i="8" s="1"/>
  <c r="AQ86" i="8"/>
  <c r="AQ65" i="8" s="1"/>
  <c r="AQ88" i="8"/>
  <c r="AQ67" i="8" s="1"/>
  <c r="AR85" i="8"/>
  <c r="AR79" i="8"/>
  <c r="AR83" i="8"/>
  <c r="AR76" i="8"/>
  <c r="AR88" i="8"/>
  <c r="AR70" i="8"/>
  <c r="AR74" i="8"/>
  <c r="AR77" i="8"/>
  <c r="AR86" i="8"/>
  <c r="AR78" i="8"/>
  <c r="AR81" i="8"/>
  <c r="AR72" i="8"/>
  <c r="AR75" i="8"/>
  <c r="AR84" i="8"/>
  <c r="AR73" i="8"/>
  <c r="AR82" i="8"/>
  <c r="AR71" i="8"/>
  <c r="AR80" i="8"/>
  <c r="AR87" i="8"/>
  <c r="AR89" i="8"/>
  <c r="AS48" i="8" l="1"/>
  <c r="AY45" i="8"/>
  <c r="AU46" i="8"/>
  <c r="AS89" i="8"/>
  <c r="AS72" i="8"/>
  <c r="AS76" i="8"/>
  <c r="AU86" i="8"/>
  <c r="AU65" i="8" s="1"/>
  <c r="AU70" i="8"/>
  <c r="AU49" i="8" s="1"/>
  <c r="AU88" i="8"/>
  <c r="AU67" i="8" s="1"/>
  <c r="AU74" i="8"/>
  <c r="AU53" i="8" s="1"/>
  <c r="AU76" i="8"/>
  <c r="AU55" i="8" s="1"/>
  <c r="AU71" i="8"/>
  <c r="AU50" i="8" s="1"/>
  <c r="AU83" i="8"/>
  <c r="AU62" i="8" s="1"/>
  <c r="AU73" i="8"/>
  <c r="AU52" i="8" s="1"/>
  <c r="AU85" i="8"/>
  <c r="AU64" i="8" s="1"/>
  <c r="AU79" i="8"/>
  <c r="AU58" i="8" s="1"/>
  <c r="AU80" i="8"/>
  <c r="AU59" i="8" s="1"/>
  <c r="AU89" i="8"/>
  <c r="AU68" i="8" s="1"/>
  <c r="AU78" i="8"/>
  <c r="AU57" i="8" s="1"/>
  <c r="AU87" i="8"/>
  <c r="AU66" i="8" s="1"/>
  <c r="AU72" i="8"/>
  <c r="AU51" i="8" s="1"/>
  <c r="AU81" i="8"/>
  <c r="AU60" i="8" s="1"/>
  <c r="AU77" i="8"/>
  <c r="AU56" i="8" s="1"/>
  <c r="AU84" i="8"/>
  <c r="AU63" i="8" s="1"/>
  <c r="AU75" i="8"/>
  <c r="AU54" i="8" s="1"/>
  <c r="AU82" i="8"/>
  <c r="AU61" i="8" s="1"/>
  <c r="AU47" i="8"/>
  <c r="AS87" i="8"/>
  <c r="AS81" i="8"/>
  <c r="AS83" i="8"/>
  <c r="AS80" i="8"/>
  <c r="AS78" i="8"/>
  <c r="AS79" i="8"/>
  <c r="AS71" i="8"/>
  <c r="AS86" i="8"/>
  <c r="AS85" i="8"/>
  <c r="AS82" i="8"/>
  <c r="AS77" i="8"/>
  <c r="AS73" i="8"/>
  <c r="AS74" i="8"/>
  <c r="AS84" i="8"/>
  <c r="AS70" i="8"/>
  <c r="AR44" i="8"/>
  <c r="AS75" i="8"/>
  <c r="AS88" i="8"/>
  <c r="AV70" i="8"/>
  <c r="AV71" i="8"/>
  <c r="AV83" i="8"/>
  <c r="AV77" i="8"/>
  <c r="AV89" i="8"/>
  <c r="AV79" i="8"/>
  <c r="AV74" i="8"/>
  <c r="AV86" i="8"/>
  <c r="AV78" i="8"/>
  <c r="AV87" i="8"/>
  <c r="AV72" i="8"/>
  <c r="AV81" i="8"/>
  <c r="AV84" i="8"/>
  <c r="AV76" i="8"/>
  <c r="AV85" i="8"/>
  <c r="AV88" i="8"/>
  <c r="AV75" i="8"/>
  <c r="AV82" i="8"/>
  <c r="AV73" i="8"/>
  <c r="AV80" i="8"/>
  <c r="AW48" i="8" l="1"/>
  <c r="L2" i="9" s="1"/>
  <c r="BC45" i="8"/>
  <c r="AY46" i="8"/>
  <c r="AW80" i="8"/>
  <c r="AW81" i="8"/>
  <c r="AW77" i="8"/>
  <c r="AY79" i="8"/>
  <c r="AY58" i="8" s="1"/>
  <c r="AY87" i="8"/>
  <c r="AY66" i="8" s="1"/>
  <c r="AY80" i="8"/>
  <c r="AY59" i="8" s="1"/>
  <c r="AY74" i="8"/>
  <c r="AY53" i="8" s="1"/>
  <c r="AY76" i="8"/>
  <c r="AY55" i="8" s="1"/>
  <c r="AY89" i="8"/>
  <c r="AY68" i="8" s="1"/>
  <c r="AY71" i="8"/>
  <c r="AY50" i="8" s="1"/>
  <c r="AY83" i="8"/>
  <c r="AY62" i="8" s="1"/>
  <c r="AY78" i="8"/>
  <c r="AY57" i="8" s="1"/>
  <c r="AY81" i="8"/>
  <c r="AY60" i="8" s="1"/>
  <c r="AY72" i="8"/>
  <c r="AY51" i="8" s="1"/>
  <c r="AY85" i="8"/>
  <c r="AY64" i="8" s="1"/>
  <c r="AY73" i="8"/>
  <c r="AY52" i="8" s="1"/>
  <c r="AY82" i="8"/>
  <c r="AY61" i="8" s="1"/>
  <c r="AY47" i="8"/>
  <c r="AY88" i="8"/>
  <c r="AY67" i="8" s="1"/>
  <c r="AY70" i="8"/>
  <c r="AY49" i="8" s="1"/>
  <c r="AY77" i="8"/>
  <c r="AY56" i="8" s="1"/>
  <c r="AY86" i="8"/>
  <c r="AY65" i="8" s="1"/>
  <c r="AY75" i="8"/>
  <c r="AY54" i="8" s="1"/>
  <c r="AY84" i="8"/>
  <c r="AY63" i="8" s="1"/>
  <c r="AW73" i="8"/>
  <c r="AW72" i="8"/>
  <c r="AW83" i="8"/>
  <c r="AW82" i="8"/>
  <c r="AW87" i="8"/>
  <c r="AW71" i="8"/>
  <c r="AW75" i="8"/>
  <c r="AW78" i="8"/>
  <c r="AW70" i="8"/>
  <c r="AW88" i="8"/>
  <c r="AW86" i="8"/>
  <c r="AV44" i="8"/>
  <c r="AW85" i="8"/>
  <c r="AW74" i="8"/>
  <c r="AW76" i="8"/>
  <c r="AW79" i="8"/>
  <c r="AW84" i="8"/>
  <c r="AW89" i="8"/>
  <c r="AZ80" i="8"/>
  <c r="AZ87" i="8"/>
  <c r="AZ74" i="8"/>
  <c r="AZ70" i="8"/>
  <c r="AZ71" i="8"/>
  <c r="AZ83" i="8"/>
  <c r="AZ77" i="8"/>
  <c r="AZ78" i="8"/>
  <c r="AZ81" i="8"/>
  <c r="AZ72" i="8"/>
  <c r="AZ85" i="8"/>
  <c r="AZ89" i="8"/>
  <c r="AZ76" i="8"/>
  <c r="AZ79" i="8"/>
  <c r="AZ88" i="8"/>
  <c r="AZ86" i="8"/>
  <c r="AZ75" i="8"/>
  <c r="AZ84" i="8"/>
  <c r="AZ73" i="8"/>
  <c r="AZ82" i="8"/>
  <c r="BA48" i="8" l="1"/>
  <c r="BG45" i="8"/>
  <c r="BC46" i="8"/>
  <c r="BA82" i="8"/>
  <c r="BA89" i="8"/>
  <c r="BA70" i="8"/>
  <c r="BC80" i="8"/>
  <c r="BC59" i="8" s="1"/>
  <c r="BC84" i="8"/>
  <c r="BC63" i="8" s="1"/>
  <c r="BC75" i="8"/>
  <c r="BC54" i="8" s="1"/>
  <c r="BC78" i="8"/>
  <c r="BC57" i="8" s="1"/>
  <c r="BC87" i="8"/>
  <c r="BC66" i="8" s="1"/>
  <c r="BC71" i="8"/>
  <c r="BC50" i="8" s="1"/>
  <c r="BC47" i="8"/>
  <c r="BC77" i="8"/>
  <c r="BC56" i="8" s="1"/>
  <c r="BC82" i="8"/>
  <c r="BC61" i="8" s="1"/>
  <c r="BC73" i="8"/>
  <c r="BC52" i="8" s="1"/>
  <c r="BC76" i="8"/>
  <c r="BC55" i="8" s="1"/>
  <c r="BC85" i="8"/>
  <c r="BC64" i="8" s="1"/>
  <c r="BC89" i="8"/>
  <c r="BC68" i="8" s="1"/>
  <c r="BC74" i="8"/>
  <c r="BC53" i="8" s="1"/>
  <c r="BC83" i="8"/>
  <c r="BC62" i="8" s="1"/>
  <c r="BC72" i="8"/>
  <c r="BC51" i="8" s="1"/>
  <c r="BC81" i="8"/>
  <c r="BC60" i="8" s="1"/>
  <c r="BC88" i="8"/>
  <c r="BC67" i="8" s="1"/>
  <c r="BC70" i="8"/>
  <c r="BC49" i="8" s="1"/>
  <c r="BC79" i="8"/>
  <c r="BC58" i="8" s="1"/>
  <c r="BC86" i="8"/>
  <c r="BC65" i="8" s="1"/>
  <c r="BA73" i="8"/>
  <c r="BA85" i="8"/>
  <c r="BA74" i="8"/>
  <c r="BA84" i="8"/>
  <c r="BA72" i="8"/>
  <c r="BA87" i="8"/>
  <c r="BA75" i="8"/>
  <c r="BA81" i="8"/>
  <c r="BA80" i="8"/>
  <c r="BA86" i="8"/>
  <c r="BA78" i="8"/>
  <c r="BA88" i="8"/>
  <c r="BA77" i="8"/>
  <c r="AZ44" i="8"/>
  <c r="BA79" i="8"/>
  <c r="BA83" i="8"/>
  <c r="BA76" i="8"/>
  <c r="BA71" i="8"/>
  <c r="BD89" i="8"/>
  <c r="BD71" i="8"/>
  <c r="BD75" i="8"/>
  <c r="BD85" i="8"/>
  <c r="BD73" i="8"/>
  <c r="BD87" i="8"/>
  <c r="BD83" i="8"/>
  <c r="BD81" i="8"/>
  <c r="BD79" i="8"/>
  <c r="BD77" i="8"/>
  <c r="BD70" i="8"/>
  <c r="BD72" i="8"/>
  <c r="BD74" i="8"/>
  <c r="BD76" i="8"/>
  <c r="BD78" i="8"/>
  <c r="BD80" i="8"/>
  <c r="BD82" i="8"/>
  <c r="BD84" i="8"/>
  <c r="BD86" i="8"/>
  <c r="BD88" i="8"/>
  <c r="BE48" i="8" l="1"/>
  <c r="BK45" i="8"/>
  <c r="BG46" i="8"/>
  <c r="BE88" i="8"/>
  <c r="BE72" i="8"/>
  <c r="BE85" i="8"/>
  <c r="BG88" i="8"/>
  <c r="BG67" i="8" s="1"/>
  <c r="BG82" i="8"/>
  <c r="BG61" i="8" s="1"/>
  <c r="BG70" i="8"/>
  <c r="BG49" i="8" s="1"/>
  <c r="BG80" i="8"/>
  <c r="BG59" i="8" s="1"/>
  <c r="BG78" i="8"/>
  <c r="BG57" i="8" s="1"/>
  <c r="BG86" i="8"/>
  <c r="BG65" i="8" s="1"/>
  <c r="BG76" i="8"/>
  <c r="BG55" i="8" s="1"/>
  <c r="BG47" i="8"/>
  <c r="BG74" i="8"/>
  <c r="BG53" i="8" s="1"/>
  <c r="BG84" i="8"/>
  <c r="BG63" i="8" s="1"/>
  <c r="BG89" i="8"/>
  <c r="BG68" i="8" s="1"/>
  <c r="BG72" i="8"/>
  <c r="BG51" i="8" s="1"/>
  <c r="BG71" i="8"/>
  <c r="BG50" i="8" s="1"/>
  <c r="BG73" i="8"/>
  <c r="BG52" i="8" s="1"/>
  <c r="BG75" i="8"/>
  <c r="BG54" i="8" s="1"/>
  <c r="BG77" i="8"/>
  <c r="BG56" i="8" s="1"/>
  <c r="BG79" i="8"/>
  <c r="BG58" i="8" s="1"/>
  <c r="BG81" i="8"/>
  <c r="BG60" i="8" s="1"/>
  <c r="BG83" i="8"/>
  <c r="BG62" i="8" s="1"/>
  <c r="BG85" i="8"/>
  <c r="BG64" i="8" s="1"/>
  <c r="BG87" i="8"/>
  <c r="BG66" i="8" s="1"/>
  <c r="BE86" i="8"/>
  <c r="BE70" i="8"/>
  <c r="BE75" i="8"/>
  <c r="BE84" i="8"/>
  <c r="BE77" i="8"/>
  <c r="BE71" i="8"/>
  <c r="BE82" i="8"/>
  <c r="BE79" i="8"/>
  <c r="BE89" i="8"/>
  <c r="BE80" i="8"/>
  <c r="BE81" i="8"/>
  <c r="BE78" i="8"/>
  <c r="BE83" i="8"/>
  <c r="BE76" i="8"/>
  <c r="BE87" i="8"/>
  <c r="BD44" i="8"/>
  <c r="BE74" i="8"/>
  <c r="BE73" i="8"/>
  <c r="BH71" i="8"/>
  <c r="BH88" i="8"/>
  <c r="BH73" i="8"/>
  <c r="BH86" i="8"/>
  <c r="BH77" i="8"/>
  <c r="BH78" i="8"/>
  <c r="BH75" i="8"/>
  <c r="BH80" i="8"/>
  <c r="BH76" i="8"/>
  <c r="BH74" i="8"/>
  <c r="BH84" i="8"/>
  <c r="BH72" i="8"/>
  <c r="BH70" i="8"/>
  <c r="BH82" i="8"/>
  <c r="BH79" i="8"/>
  <c r="BH81" i="8"/>
  <c r="BH83" i="8"/>
  <c r="BH85" i="8"/>
  <c r="BH87" i="8"/>
  <c r="BH89" i="8"/>
  <c r="BI48" i="8" l="1"/>
  <c r="M2" i="9" s="1"/>
  <c r="BO45" i="8"/>
  <c r="BK46" i="8"/>
  <c r="BI89" i="8"/>
  <c r="BI72" i="8"/>
  <c r="BI86" i="8"/>
  <c r="BK81" i="8"/>
  <c r="BK60" i="8" s="1"/>
  <c r="BK83" i="8"/>
  <c r="BK62" i="8" s="1"/>
  <c r="BK73" i="8"/>
  <c r="BK52" i="8" s="1"/>
  <c r="BK75" i="8"/>
  <c r="BK54" i="8" s="1"/>
  <c r="BK47" i="8"/>
  <c r="BK71" i="8"/>
  <c r="BK50" i="8" s="1"/>
  <c r="BK79" i="8"/>
  <c r="BK58" i="8" s="1"/>
  <c r="BK87" i="8"/>
  <c r="BK66" i="8" s="1"/>
  <c r="BK89" i="8"/>
  <c r="BK68" i="8" s="1"/>
  <c r="BK77" i="8"/>
  <c r="BK56" i="8" s="1"/>
  <c r="BK85" i="8"/>
  <c r="BK64" i="8" s="1"/>
  <c r="BK70" i="8"/>
  <c r="BK49" i="8" s="1"/>
  <c r="BK72" i="8"/>
  <c r="BK51" i="8" s="1"/>
  <c r="BK74" i="8"/>
  <c r="BK53" i="8" s="1"/>
  <c r="BK76" i="8"/>
  <c r="BK55" i="8" s="1"/>
  <c r="BK78" i="8"/>
  <c r="BK57" i="8" s="1"/>
  <c r="BK80" i="8"/>
  <c r="BK59" i="8" s="1"/>
  <c r="BK82" i="8"/>
  <c r="BK61" i="8" s="1"/>
  <c r="BK84" i="8"/>
  <c r="BK63" i="8" s="1"/>
  <c r="BK86" i="8"/>
  <c r="BK65" i="8" s="1"/>
  <c r="BK88" i="8"/>
  <c r="BK67" i="8" s="1"/>
  <c r="BI87" i="8"/>
  <c r="BI84" i="8"/>
  <c r="BI73" i="8"/>
  <c r="BI85" i="8"/>
  <c r="BI74" i="8"/>
  <c r="BI88" i="8"/>
  <c r="BI83" i="8"/>
  <c r="BI76" i="8"/>
  <c r="BI71" i="8"/>
  <c r="BI81" i="8"/>
  <c r="BI80" i="8"/>
  <c r="BI79" i="8"/>
  <c r="BI75" i="8"/>
  <c r="BI82" i="8"/>
  <c r="BI78" i="8"/>
  <c r="BH44" i="8"/>
  <c r="BI70" i="8"/>
  <c r="BI77" i="8"/>
  <c r="BL88" i="8"/>
  <c r="BL70" i="8"/>
  <c r="BL81" i="8"/>
  <c r="BL72" i="8"/>
  <c r="BL83" i="8"/>
  <c r="BL86" i="8"/>
  <c r="BL73" i="8"/>
  <c r="BL78" i="8"/>
  <c r="BL89" i="8"/>
  <c r="BL75" i="8"/>
  <c r="BL80" i="8"/>
  <c r="BL71" i="8"/>
  <c r="BL76" i="8"/>
  <c r="BL79" i="8"/>
  <c r="BL84" i="8"/>
  <c r="BL87" i="8"/>
  <c r="BL74" i="8"/>
  <c r="BL77" i="8"/>
  <c r="BL82" i="8"/>
  <c r="BL85" i="8"/>
  <c r="BM48" i="8" l="1"/>
  <c r="BS45" i="8"/>
  <c r="BO46" i="8"/>
  <c r="BM85" i="8"/>
  <c r="BM71" i="8"/>
  <c r="BM72" i="8"/>
  <c r="BO78" i="8"/>
  <c r="BO57" i="8" s="1"/>
  <c r="BO81" i="8"/>
  <c r="BO60" i="8" s="1"/>
  <c r="BO83" i="8"/>
  <c r="BO62" i="8" s="1"/>
  <c r="BO76" i="8"/>
  <c r="BO55" i="8" s="1"/>
  <c r="BO73" i="8"/>
  <c r="BO52" i="8" s="1"/>
  <c r="BO84" i="8"/>
  <c r="BO63" i="8" s="1"/>
  <c r="BO70" i="8"/>
  <c r="BO49" i="8" s="1"/>
  <c r="BO75" i="8"/>
  <c r="BO54" i="8" s="1"/>
  <c r="BO86" i="8"/>
  <c r="BO65" i="8" s="1"/>
  <c r="BO71" i="8"/>
  <c r="BO50" i="8" s="1"/>
  <c r="BO74" i="8"/>
  <c r="BO53" i="8" s="1"/>
  <c r="BO79" i="8"/>
  <c r="BO58" i="8" s="1"/>
  <c r="BO82" i="8"/>
  <c r="BO61" i="8" s="1"/>
  <c r="BO87" i="8"/>
  <c r="BO66" i="8" s="1"/>
  <c r="BO72" i="8"/>
  <c r="BO51" i="8" s="1"/>
  <c r="BO77" i="8"/>
  <c r="BO56" i="8" s="1"/>
  <c r="BO80" i="8"/>
  <c r="BO59" i="8" s="1"/>
  <c r="BO85" i="8"/>
  <c r="BO64" i="8" s="1"/>
  <c r="BO88" i="8"/>
  <c r="BO67" i="8" s="1"/>
  <c r="BO47" i="8"/>
  <c r="BO89" i="8"/>
  <c r="BO68" i="8" s="1"/>
  <c r="BM82" i="8"/>
  <c r="BM80" i="8"/>
  <c r="BM81" i="8"/>
  <c r="BM77" i="8"/>
  <c r="BM75" i="8"/>
  <c r="BM70" i="8"/>
  <c r="BM74" i="8"/>
  <c r="BM89" i="8"/>
  <c r="BM88" i="8"/>
  <c r="BM87" i="8"/>
  <c r="BM78" i="8"/>
  <c r="BM84" i="8"/>
  <c r="BM73" i="8"/>
  <c r="BL44" i="8"/>
  <c r="BM79" i="8"/>
  <c r="BM86" i="8"/>
  <c r="BM76" i="8"/>
  <c r="BM83" i="8"/>
  <c r="BP87" i="8"/>
  <c r="BP71" i="8"/>
  <c r="BP82" i="8"/>
  <c r="BP73" i="8"/>
  <c r="BP84" i="8"/>
  <c r="BP89" i="8"/>
  <c r="BP74" i="8"/>
  <c r="BP79" i="8"/>
  <c r="BP76" i="8"/>
  <c r="BP81" i="8"/>
  <c r="BP72" i="8"/>
  <c r="BP77" i="8"/>
  <c r="BP80" i="8"/>
  <c r="BP85" i="8"/>
  <c r="BP88" i="8"/>
  <c r="BP70" i="8"/>
  <c r="BP75" i="8"/>
  <c r="BP78" i="8"/>
  <c r="BP83" i="8"/>
  <c r="BP86" i="8"/>
  <c r="BQ48" i="8" l="1"/>
  <c r="BW45" i="8"/>
  <c r="BS46" i="8"/>
  <c r="BQ86" i="8"/>
  <c r="BQ77" i="8"/>
  <c r="BQ73" i="8"/>
  <c r="BS77" i="8"/>
  <c r="BS56" i="8" s="1"/>
  <c r="BS85" i="8"/>
  <c r="BS64" i="8" s="1"/>
  <c r="BS74" i="8"/>
  <c r="BS53" i="8" s="1"/>
  <c r="BS80" i="8"/>
  <c r="BS59" i="8" s="1"/>
  <c r="BS82" i="8"/>
  <c r="BS61" i="8" s="1"/>
  <c r="BS88" i="8"/>
  <c r="BS67" i="8" s="1"/>
  <c r="BS71" i="8"/>
  <c r="BS50" i="8" s="1"/>
  <c r="BS76" i="8"/>
  <c r="BS55" i="8" s="1"/>
  <c r="BS83" i="8"/>
  <c r="BS62" i="8" s="1"/>
  <c r="BS72" i="8"/>
  <c r="BS51" i="8" s="1"/>
  <c r="BS75" i="8"/>
  <c r="BS54" i="8" s="1"/>
  <c r="BS84" i="8"/>
  <c r="BS63" i="8" s="1"/>
  <c r="BS78" i="8"/>
  <c r="BS57" i="8" s="1"/>
  <c r="BS87" i="8"/>
  <c r="BS66" i="8" s="1"/>
  <c r="BS70" i="8"/>
  <c r="BS49" i="8" s="1"/>
  <c r="BS73" i="8"/>
  <c r="BS52" i="8" s="1"/>
  <c r="BS81" i="8"/>
  <c r="BS60" i="8" s="1"/>
  <c r="BS79" i="8"/>
  <c r="BS58" i="8" s="1"/>
  <c r="BS86" i="8"/>
  <c r="BS65" i="8" s="1"/>
  <c r="BS47" i="8"/>
  <c r="BS89" i="8"/>
  <c r="BS68" i="8" s="1"/>
  <c r="BQ83" i="8"/>
  <c r="BQ72" i="8"/>
  <c r="BQ82" i="8"/>
  <c r="BQ78" i="8"/>
  <c r="BQ81" i="8"/>
  <c r="BQ71" i="8"/>
  <c r="BQ75" i="8"/>
  <c r="BQ76" i="8"/>
  <c r="BQ87" i="8"/>
  <c r="BQ70" i="8"/>
  <c r="BQ79" i="8"/>
  <c r="BP44" i="8"/>
  <c r="BQ88" i="8"/>
  <c r="BQ74" i="8"/>
  <c r="BQ85" i="8"/>
  <c r="BQ89" i="8"/>
  <c r="BQ80" i="8"/>
  <c r="BQ84" i="8"/>
  <c r="BT89" i="8"/>
  <c r="BT83" i="8"/>
  <c r="BT85" i="8"/>
  <c r="BT74" i="8"/>
  <c r="BT80" i="8"/>
  <c r="BT76" i="8"/>
  <c r="BT72" i="8"/>
  <c r="BT78" i="8"/>
  <c r="BT87" i="8"/>
  <c r="BT70" i="8"/>
  <c r="BT81" i="8"/>
  <c r="BT82" i="8"/>
  <c r="BT88" i="8"/>
  <c r="BT79" i="8"/>
  <c r="BT86" i="8"/>
  <c r="BT71" i="8"/>
  <c r="BT73" i="8"/>
  <c r="BT75" i="8"/>
  <c r="BT77" i="8"/>
  <c r="BT84" i="8"/>
  <c r="BU48" i="8" l="1"/>
  <c r="CA45" i="8"/>
  <c r="BW46" i="8"/>
  <c r="BU84" i="8"/>
  <c r="BU82" i="8"/>
  <c r="BU74" i="8"/>
  <c r="BW71" i="8"/>
  <c r="BW50" i="8" s="1"/>
  <c r="BW82" i="8"/>
  <c r="BW61" i="8" s="1"/>
  <c r="BW85" i="8"/>
  <c r="BW64" i="8" s="1"/>
  <c r="BW75" i="8"/>
  <c r="BW54" i="8" s="1"/>
  <c r="BW47" i="8"/>
  <c r="BW79" i="8"/>
  <c r="BW58" i="8" s="1"/>
  <c r="BW74" i="8"/>
  <c r="BW53" i="8" s="1"/>
  <c r="BW88" i="8"/>
  <c r="BW67" i="8" s="1"/>
  <c r="BW72" i="8"/>
  <c r="BW51" i="8" s="1"/>
  <c r="BW76" i="8"/>
  <c r="BW55" i="8" s="1"/>
  <c r="BW83" i="8"/>
  <c r="BW62" i="8" s="1"/>
  <c r="BW87" i="8"/>
  <c r="BW66" i="8" s="1"/>
  <c r="BW89" i="8"/>
  <c r="BW68" i="8" s="1"/>
  <c r="BW77" i="8"/>
  <c r="BW56" i="8" s="1"/>
  <c r="BW80" i="8"/>
  <c r="BW59" i="8" s="1"/>
  <c r="BW84" i="8"/>
  <c r="BW63" i="8" s="1"/>
  <c r="BW70" i="8"/>
  <c r="BW49" i="8" s="1"/>
  <c r="BW73" i="8"/>
  <c r="BW52" i="8" s="1"/>
  <c r="BW78" i="8"/>
  <c r="BW57" i="8" s="1"/>
  <c r="BW81" i="8"/>
  <c r="BW60" i="8" s="1"/>
  <c r="BW86" i="8"/>
  <c r="BW65" i="8" s="1"/>
  <c r="BU77" i="8"/>
  <c r="BU81" i="8"/>
  <c r="BU85" i="8"/>
  <c r="BU75" i="8"/>
  <c r="BU70" i="8"/>
  <c r="BU83" i="8"/>
  <c r="BU73" i="8"/>
  <c r="BU87" i="8"/>
  <c r="BU89" i="8"/>
  <c r="BU71" i="8"/>
  <c r="BU78" i="8"/>
  <c r="BT44" i="8"/>
  <c r="BU86" i="8"/>
  <c r="BU72" i="8"/>
  <c r="BU79" i="8"/>
  <c r="BU76" i="8"/>
  <c r="BU88" i="8"/>
  <c r="BU80" i="8"/>
  <c r="BX78" i="8"/>
  <c r="BX72" i="8"/>
  <c r="BX86" i="8"/>
  <c r="BX82" i="8"/>
  <c r="BX80" i="8"/>
  <c r="BX70" i="8"/>
  <c r="BX74" i="8"/>
  <c r="BX88" i="8"/>
  <c r="BX76" i="8"/>
  <c r="BX84" i="8"/>
  <c r="BX89" i="8"/>
  <c r="BX71" i="8"/>
  <c r="BX73" i="8"/>
  <c r="BX75" i="8"/>
  <c r="BX77" i="8"/>
  <c r="BX79" i="8"/>
  <c r="BX81" i="8"/>
  <c r="BX83" i="8"/>
  <c r="BX85" i="8"/>
  <c r="BX87" i="8"/>
  <c r="BY48" i="8" l="1"/>
  <c r="CA46" i="8"/>
  <c r="CE45" i="8"/>
  <c r="BY85" i="8"/>
  <c r="BY89" i="8"/>
  <c r="BY86" i="8"/>
  <c r="BY83" i="8"/>
  <c r="BY84" i="8"/>
  <c r="BY72" i="8"/>
  <c r="BY81" i="8"/>
  <c r="BY76" i="8"/>
  <c r="BY78" i="8"/>
  <c r="BY79" i="8"/>
  <c r="BY88" i="8"/>
  <c r="BY77" i="8"/>
  <c r="BY74" i="8"/>
  <c r="BX44" i="8"/>
  <c r="BY75" i="8"/>
  <c r="BY70" i="8"/>
  <c r="BY73" i="8"/>
  <c r="BY80" i="8"/>
  <c r="CA75" i="8"/>
  <c r="CA54" i="8" s="1"/>
  <c r="CA89" i="8"/>
  <c r="CA68" i="8" s="1"/>
  <c r="CA71" i="8"/>
  <c r="CA50" i="8" s="1"/>
  <c r="CA85" i="8"/>
  <c r="CA64" i="8" s="1"/>
  <c r="CA79" i="8"/>
  <c r="CA58" i="8" s="1"/>
  <c r="CA83" i="8"/>
  <c r="CA62" i="8" s="1"/>
  <c r="CA87" i="8"/>
  <c r="CA66" i="8" s="1"/>
  <c r="CA77" i="8"/>
  <c r="CA56" i="8" s="1"/>
  <c r="CA73" i="8"/>
  <c r="CA52" i="8" s="1"/>
  <c r="CA81" i="8"/>
  <c r="CA60" i="8" s="1"/>
  <c r="CA47" i="8"/>
  <c r="CA70" i="8"/>
  <c r="CA49" i="8" s="1"/>
  <c r="CA72" i="8"/>
  <c r="CA51" i="8" s="1"/>
  <c r="CA74" i="8"/>
  <c r="CA53" i="8" s="1"/>
  <c r="CA76" i="8"/>
  <c r="CA55" i="8" s="1"/>
  <c r="CA78" i="8"/>
  <c r="CA57" i="8" s="1"/>
  <c r="CA80" i="8"/>
  <c r="CA59" i="8" s="1"/>
  <c r="CA82" i="8"/>
  <c r="CA61" i="8" s="1"/>
  <c r="CA84" i="8"/>
  <c r="CA63" i="8" s="1"/>
  <c r="CA86" i="8"/>
  <c r="CA65" i="8" s="1"/>
  <c r="CA88" i="8"/>
  <c r="CA67" i="8" s="1"/>
  <c r="BY87" i="8"/>
  <c r="BY71" i="8"/>
  <c r="BY82" i="8"/>
  <c r="CB75" i="8"/>
  <c r="CB85" i="8"/>
  <c r="CB81" i="8"/>
  <c r="CB83" i="8"/>
  <c r="CB73" i="8"/>
  <c r="CB77" i="8"/>
  <c r="CB89" i="8"/>
  <c r="CB71" i="8"/>
  <c r="CB79" i="8"/>
  <c r="CB87" i="8"/>
  <c r="CB70" i="8"/>
  <c r="CB72" i="8"/>
  <c r="CB74" i="8"/>
  <c r="CB76" i="8"/>
  <c r="CB78" i="8"/>
  <c r="CB80" i="8"/>
  <c r="CB82" i="8"/>
  <c r="CB84" i="8"/>
  <c r="CB86" i="8"/>
  <c r="CB88" i="8"/>
  <c r="CC48" i="8" l="1"/>
  <c r="N2" i="9" s="1"/>
  <c r="CI45" i="8"/>
  <c r="CE46" i="8"/>
  <c r="CC88" i="8"/>
  <c r="CC72" i="8"/>
  <c r="CC83" i="8"/>
  <c r="CE83" i="8"/>
  <c r="CE62" i="8" s="1"/>
  <c r="CE86" i="8"/>
  <c r="CE65" i="8" s="1"/>
  <c r="CE78" i="8"/>
  <c r="CE57" i="8" s="1"/>
  <c r="CE72" i="8"/>
  <c r="CE51" i="8" s="1"/>
  <c r="CE87" i="8"/>
  <c r="CE66" i="8" s="1"/>
  <c r="CE89" i="8"/>
  <c r="CE68" i="8" s="1"/>
  <c r="CE76" i="8"/>
  <c r="CE55" i="8" s="1"/>
  <c r="CE80" i="8"/>
  <c r="CE59" i="8" s="1"/>
  <c r="CE84" i="8"/>
  <c r="CE63" i="8" s="1"/>
  <c r="CE70" i="8"/>
  <c r="CE49" i="8" s="1"/>
  <c r="CE47" i="8"/>
  <c r="CE74" i="8"/>
  <c r="CE53" i="8" s="1"/>
  <c r="CE82" i="8"/>
  <c r="CE61" i="8" s="1"/>
  <c r="CE85" i="8"/>
  <c r="CE64" i="8" s="1"/>
  <c r="CE71" i="8"/>
  <c r="CE50" i="8" s="1"/>
  <c r="CE73" i="8"/>
  <c r="CE52" i="8" s="1"/>
  <c r="CE75" i="8"/>
  <c r="CE54" i="8" s="1"/>
  <c r="CE77" i="8"/>
  <c r="CE56" i="8" s="1"/>
  <c r="CE79" i="8"/>
  <c r="CE58" i="8" s="1"/>
  <c r="CE81" i="8"/>
  <c r="CE60" i="8" s="1"/>
  <c r="CE88" i="8"/>
  <c r="CE67" i="8" s="1"/>
  <c r="CC71" i="8"/>
  <c r="CC78" i="8"/>
  <c r="CC89" i="8"/>
  <c r="CB44" i="8"/>
  <c r="CC86" i="8"/>
  <c r="CC70" i="8"/>
  <c r="CC81" i="8"/>
  <c r="CC84" i="8"/>
  <c r="CC87" i="8"/>
  <c r="CC85" i="8"/>
  <c r="CC82" i="8"/>
  <c r="CC79" i="8"/>
  <c r="CC75" i="8"/>
  <c r="CC80" i="8"/>
  <c r="CC76" i="8"/>
  <c r="CC77" i="8"/>
  <c r="CC74" i="8"/>
  <c r="CC73" i="8"/>
  <c r="CF72" i="8"/>
  <c r="CF76" i="8"/>
  <c r="CF80" i="8"/>
  <c r="CF75" i="8"/>
  <c r="CF84" i="8"/>
  <c r="CF70" i="8"/>
  <c r="CF73" i="8"/>
  <c r="CF77" i="8"/>
  <c r="CF89" i="8"/>
  <c r="CF78" i="8"/>
  <c r="CF81" i="8"/>
  <c r="CF71" i="8"/>
  <c r="CF74" i="8"/>
  <c r="CF79" i="8"/>
  <c r="CF82" i="8"/>
  <c r="CF88" i="8"/>
  <c r="CF86" i="8"/>
  <c r="CF83" i="8"/>
  <c r="CF85" i="8"/>
  <c r="CF87" i="8"/>
  <c r="CG48" i="8" l="1"/>
  <c r="CI46" i="8"/>
  <c r="CM45" i="8"/>
  <c r="CG87" i="8"/>
  <c r="CG71" i="8"/>
  <c r="CG75" i="8"/>
  <c r="CG82" i="8"/>
  <c r="CG73" i="8"/>
  <c r="CG79" i="8"/>
  <c r="CG70" i="8"/>
  <c r="CG74" i="8"/>
  <c r="CI79" i="8"/>
  <c r="CI58" i="8" s="1"/>
  <c r="CI83" i="8"/>
  <c r="CI62" i="8" s="1"/>
  <c r="CI75" i="8"/>
  <c r="CI54" i="8" s="1"/>
  <c r="CI71" i="8"/>
  <c r="CI50" i="8" s="1"/>
  <c r="CI47" i="8"/>
  <c r="CI81" i="8"/>
  <c r="CI60" i="8" s="1"/>
  <c r="CI89" i="8"/>
  <c r="CI68" i="8" s="1"/>
  <c r="CI73" i="8"/>
  <c r="CI52" i="8" s="1"/>
  <c r="CI87" i="8"/>
  <c r="CI66" i="8" s="1"/>
  <c r="CI77" i="8"/>
  <c r="CI56" i="8" s="1"/>
  <c r="CI85" i="8"/>
  <c r="CI64" i="8" s="1"/>
  <c r="CI70" i="8"/>
  <c r="CI49" i="8" s="1"/>
  <c r="CI72" i="8"/>
  <c r="CI51" i="8" s="1"/>
  <c r="CI74" i="8"/>
  <c r="CI53" i="8" s="1"/>
  <c r="CI76" i="8"/>
  <c r="CI55" i="8" s="1"/>
  <c r="CI78" i="8"/>
  <c r="CI57" i="8" s="1"/>
  <c r="CI80" i="8"/>
  <c r="CI59" i="8" s="1"/>
  <c r="CI82" i="8"/>
  <c r="CI61" i="8" s="1"/>
  <c r="CI84" i="8"/>
  <c r="CI63" i="8" s="1"/>
  <c r="CI86" i="8"/>
  <c r="CI65" i="8" s="1"/>
  <c r="CI88" i="8"/>
  <c r="CI67" i="8" s="1"/>
  <c r="CG85" i="8"/>
  <c r="CG81" i="8"/>
  <c r="CG80" i="8"/>
  <c r="CG83" i="8"/>
  <c r="CG78" i="8"/>
  <c r="CG76" i="8"/>
  <c r="CG86" i="8"/>
  <c r="CG89" i="8"/>
  <c r="CG72" i="8"/>
  <c r="CG88" i="8"/>
  <c r="CG77" i="8"/>
  <c r="CF44" i="8"/>
  <c r="CG84" i="8"/>
  <c r="CJ71" i="8"/>
  <c r="CJ73" i="8"/>
  <c r="CJ89" i="8"/>
  <c r="CJ79" i="8"/>
  <c r="CJ83" i="8"/>
  <c r="CJ70" i="8"/>
  <c r="CJ75" i="8"/>
  <c r="CJ78" i="8"/>
  <c r="CJ87" i="8"/>
  <c r="CJ80" i="8"/>
  <c r="CJ76" i="8"/>
  <c r="CJ86" i="8"/>
  <c r="CJ81" i="8"/>
  <c r="CJ84" i="8"/>
  <c r="CJ88" i="8"/>
  <c r="CJ74" i="8"/>
  <c r="CJ77" i="8"/>
  <c r="CJ82" i="8"/>
  <c r="CJ85" i="8"/>
  <c r="CJ72" i="8"/>
  <c r="CK48" i="8" l="1"/>
  <c r="CQ45" i="8"/>
  <c r="CM46" i="8"/>
  <c r="CK72" i="8"/>
  <c r="CK86" i="8"/>
  <c r="CK79" i="8"/>
  <c r="CM71" i="8"/>
  <c r="CM50" i="8" s="1"/>
  <c r="CM82" i="8"/>
  <c r="CM61" i="8" s="1"/>
  <c r="CM76" i="8"/>
  <c r="CM55" i="8" s="1"/>
  <c r="CM86" i="8"/>
  <c r="CM65" i="8" s="1"/>
  <c r="CM73" i="8"/>
  <c r="CM52" i="8" s="1"/>
  <c r="CM83" i="8"/>
  <c r="CM62" i="8" s="1"/>
  <c r="CM87" i="8"/>
  <c r="CM66" i="8" s="1"/>
  <c r="CM70" i="8"/>
  <c r="CM49" i="8" s="1"/>
  <c r="CM75" i="8"/>
  <c r="CM54" i="8" s="1"/>
  <c r="CM79" i="8"/>
  <c r="CM58" i="8" s="1"/>
  <c r="CM84" i="8"/>
  <c r="CM63" i="8" s="1"/>
  <c r="CM74" i="8"/>
  <c r="CM53" i="8" s="1"/>
  <c r="CM78" i="8"/>
  <c r="CM57" i="8" s="1"/>
  <c r="CM81" i="8"/>
  <c r="CM60" i="8" s="1"/>
  <c r="CM72" i="8"/>
  <c r="CM51" i="8" s="1"/>
  <c r="CM77" i="8"/>
  <c r="CM56" i="8" s="1"/>
  <c r="CM80" i="8"/>
  <c r="CM59" i="8" s="1"/>
  <c r="CM85" i="8"/>
  <c r="CM64" i="8" s="1"/>
  <c r="CM88" i="8"/>
  <c r="CM67" i="8" s="1"/>
  <c r="CM47" i="8"/>
  <c r="CM89" i="8"/>
  <c r="CM68" i="8" s="1"/>
  <c r="CK85" i="8"/>
  <c r="CK76" i="8"/>
  <c r="CK89" i="8"/>
  <c r="CK82" i="8"/>
  <c r="CK80" i="8"/>
  <c r="CK73" i="8"/>
  <c r="CK77" i="8"/>
  <c r="CK87" i="8"/>
  <c r="CK71" i="8"/>
  <c r="CK74" i="8"/>
  <c r="CK78" i="8"/>
  <c r="CJ44" i="8"/>
  <c r="CK88" i="8"/>
  <c r="CK75" i="8"/>
  <c r="CK84" i="8"/>
  <c r="CK70" i="8"/>
  <c r="CK81" i="8"/>
  <c r="CK83" i="8"/>
  <c r="CN87" i="8"/>
  <c r="CN72" i="8"/>
  <c r="CN82" i="8"/>
  <c r="CN73" i="8"/>
  <c r="CN79" i="8"/>
  <c r="CN84" i="8"/>
  <c r="CN71" i="8"/>
  <c r="CN76" i="8"/>
  <c r="CN80" i="8"/>
  <c r="CN85" i="8"/>
  <c r="CN89" i="8"/>
  <c r="CN74" i="8"/>
  <c r="CN77" i="8"/>
  <c r="CN81" i="8"/>
  <c r="CN88" i="8"/>
  <c r="CN70" i="8"/>
  <c r="CN75" i="8"/>
  <c r="CN78" i="8"/>
  <c r="CN83" i="8"/>
  <c r="CN86" i="8"/>
  <c r="CO48" i="8" l="1"/>
  <c r="CU45" i="8"/>
  <c r="CQ46" i="8"/>
  <c r="CO86" i="8"/>
  <c r="CO74" i="8"/>
  <c r="CO73" i="8"/>
  <c r="CQ75" i="8"/>
  <c r="CQ54" i="8" s="1"/>
  <c r="CQ79" i="8"/>
  <c r="CQ58" i="8" s="1"/>
  <c r="CQ84" i="8"/>
  <c r="CQ63" i="8" s="1"/>
  <c r="CQ83" i="8"/>
  <c r="CQ62" i="8" s="1"/>
  <c r="CQ76" i="8"/>
  <c r="CQ55" i="8" s="1"/>
  <c r="CQ80" i="8"/>
  <c r="CQ59" i="8" s="1"/>
  <c r="CQ47" i="8"/>
  <c r="CQ89" i="8"/>
  <c r="CQ68" i="8" s="1"/>
  <c r="CQ72" i="8"/>
  <c r="CQ51" i="8" s="1"/>
  <c r="CQ77" i="8"/>
  <c r="CQ56" i="8" s="1"/>
  <c r="CQ82" i="8"/>
  <c r="CQ61" i="8" s="1"/>
  <c r="CQ87" i="8"/>
  <c r="CQ66" i="8" s="1"/>
  <c r="CQ71" i="8"/>
  <c r="CQ50" i="8" s="1"/>
  <c r="CQ74" i="8"/>
  <c r="CQ53" i="8" s="1"/>
  <c r="CQ85" i="8"/>
  <c r="CQ64" i="8" s="1"/>
  <c r="CQ88" i="8"/>
  <c r="CQ67" i="8" s="1"/>
  <c r="CQ70" i="8"/>
  <c r="CQ49" i="8" s="1"/>
  <c r="CQ73" i="8"/>
  <c r="CQ52" i="8" s="1"/>
  <c r="CQ78" i="8"/>
  <c r="CQ57" i="8" s="1"/>
  <c r="CQ81" i="8"/>
  <c r="CQ60" i="8" s="1"/>
  <c r="CQ86" i="8"/>
  <c r="CQ65" i="8" s="1"/>
  <c r="CO83" i="8"/>
  <c r="CO89" i="8"/>
  <c r="CO82" i="8"/>
  <c r="CO78" i="8"/>
  <c r="CO85" i="8"/>
  <c r="CO72" i="8"/>
  <c r="CO75" i="8"/>
  <c r="CO80" i="8"/>
  <c r="CO87" i="8"/>
  <c r="CO70" i="8"/>
  <c r="CO76" i="8"/>
  <c r="CO88" i="8"/>
  <c r="CO71" i="8"/>
  <c r="CO81" i="8"/>
  <c r="CO84" i="8"/>
  <c r="CN44" i="8"/>
  <c r="CO77" i="8"/>
  <c r="CO79" i="8"/>
  <c r="CR88" i="8"/>
  <c r="CR74" i="8"/>
  <c r="CR84" i="8"/>
  <c r="CR76" i="8"/>
  <c r="CR80" i="8"/>
  <c r="CR89" i="8"/>
  <c r="CR72" i="8"/>
  <c r="CR82" i="8"/>
  <c r="CR70" i="8"/>
  <c r="CR78" i="8"/>
  <c r="CR86" i="8"/>
  <c r="CR71" i="8"/>
  <c r="CR73" i="8"/>
  <c r="CR75" i="8"/>
  <c r="CR77" i="8"/>
  <c r="CR79" i="8"/>
  <c r="CR81" i="8"/>
  <c r="CR83" i="8"/>
  <c r="CR85" i="8"/>
  <c r="CR87" i="8"/>
  <c r="CS48" i="8" l="1"/>
  <c r="CY45" i="8"/>
  <c r="CU46" i="8"/>
  <c r="CS87" i="8"/>
  <c r="CS71" i="8"/>
  <c r="CS76" i="8"/>
  <c r="CU89" i="8"/>
  <c r="CU68" i="8" s="1"/>
  <c r="CU47" i="8"/>
  <c r="CU75" i="8"/>
  <c r="CU54" i="8" s="1"/>
  <c r="CU77" i="8"/>
  <c r="CU56" i="8" s="1"/>
  <c r="CU87" i="8"/>
  <c r="CU66" i="8" s="1"/>
  <c r="CU79" i="8"/>
  <c r="CU58" i="8" s="1"/>
  <c r="CU83" i="8"/>
  <c r="CU62" i="8" s="1"/>
  <c r="CU71" i="8"/>
  <c r="CU50" i="8" s="1"/>
  <c r="CU85" i="8"/>
  <c r="CU64" i="8" s="1"/>
  <c r="CU73" i="8"/>
  <c r="CU52" i="8" s="1"/>
  <c r="CU81" i="8"/>
  <c r="CU60" i="8" s="1"/>
  <c r="CU70" i="8"/>
  <c r="CU49" i="8" s="1"/>
  <c r="CU72" i="8"/>
  <c r="CU51" i="8" s="1"/>
  <c r="CU74" i="8"/>
  <c r="CU53" i="8" s="1"/>
  <c r="CU76" i="8"/>
  <c r="CU55" i="8" s="1"/>
  <c r="CU78" i="8"/>
  <c r="CU57" i="8" s="1"/>
  <c r="CU80" i="8"/>
  <c r="CU59" i="8" s="1"/>
  <c r="CU82" i="8"/>
  <c r="CU61" i="8" s="1"/>
  <c r="CU84" i="8"/>
  <c r="CU63" i="8" s="1"/>
  <c r="CU86" i="8"/>
  <c r="CU65" i="8" s="1"/>
  <c r="CU88" i="8"/>
  <c r="CU67" i="8" s="1"/>
  <c r="CS85" i="8"/>
  <c r="CS86" i="8"/>
  <c r="CS84" i="8"/>
  <c r="CS83" i="8"/>
  <c r="CS78" i="8"/>
  <c r="CS74" i="8"/>
  <c r="CS81" i="8"/>
  <c r="CS70" i="8"/>
  <c r="CS88" i="8"/>
  <c r="CS79" i="8"/>
  <c r="CS82" i="8"/>
  <c r="CS77" i="8"/>
  <c r="CS72" i="8"/>
  <c r="CS75" i="8"/>
  <c r="CS89" i="8"/>
  <c r="CR44" i="8"/>
  <c r="CS73" i="8"/>
  <c r="CS80" i="8"/>
  <c r="CV77" i="8"/>
  <c r="CV87" i="8"/>
  <c r="CV79" i="8"/>
  <c r="CV83" i="8"/>
  <c r="CV75" i="8"/>
  <c r="CV71" i="8"/>
  <c r="CV85" i="8"/>
  <c r="CV73" i="8"/>
  <c r="CV81" i="8"/>
  <c r="CV89" i="8"/>
  <c r="CV70" i="8"/>
  <c r="CV72" i="8"/>
  <c r="CV74" i="8"/>
  <c r="CV76" i="8"/>
  <c r="CV78" i="8"/>
  <c r="CV80" i="8"/>
  <c r="CV82" i="8"/>
  <c r="CV84" i="8"/>
  <c r="CV86" i="8"/>
  <c r="CV88" i="8"/>
  <c r="CW48" i="8" l="1"/>
  <c r="O2" i="9" s="1"/>
  <c r="DC45" i="8"/>
  <c r="CY46" i="8"/>
  <c r="CW88" i="8"/>
  <c r="CW72" i="8"/>
  <c r="CW83" i="8"/>
  <c r="CY74" i="8"/>
  <c r="CY53" i="8" s="1"/>
  <c r="CY88" i="8"/>
  <c r="CY67" i="8" s="1"/>
  <c r="CY70" i="8"/>
  <c r="CY49" i="8" s="1"/>
  <c r="CY80" i="8"/>
  <c r="CY59" i="8" s="1"/>
  <c r="CY72" i="8"/>
  <c r="CY51" i="8" s="1"/>
  <c r="CY86" i="8"/>
  <c r="CY65" i="8" s="1"/>
  <c r="CY78" i="8"/>
  <c r="CY57" i="8" s="1"/>
  <c r="CY82" i="8"/>
  <c r="CY61" i="8" s="1"/>
  <c r="CY76" i="8"/>
  <c r="CY55" i="8" s="1"/>
  <c r="CY84" i="8"/>
  <c r="CY63" i="8" s="1"/>
  <c r="CY89" i="8"/>
  <c r="CY68" i="8" s="1"/>
  <c r="CY71" i="8"/>
  <c r="CY50" i="8" s="1"/>
  <c r="CY73" i="8"/>
  <c r="CY52" i="8" s="1"/>
  <c r="CY75" i="8"/>
  <c r="CY54" i="8" s="1"/>
  <c r="CY77" i="8"/>
  <c r="CY56" i="8" s="1"/>
  <c r="CY79" i="8"/>
  <c r="CY58" i="8" s="1"/>
  <c r="CY81" i="8"/>
  <c r="CY60" i="8" s="1"/>
  <c r="CY83" i="8"/>
  <c r="CY62" i="8" s="1"/>
  <c r="CY85" i="8"/>
  <c r="CY64" i="8" s="1"/>
  <c r="CY87" i="8"/>
  <c r="CY66" i="8" s="1"/>
  <c r="CY47" i="8"/>
  <c r="CW86" i="8"/>
  <c r="CW70" i="8"/>
  <c r="CW79" i="8"/>
  <c r="CW84" i="8"/>
  <c r="CW89" i="8"/>
  <c r="CW87" i="8"/>
  <c r="CW82" i="8"/>
  <c r="CW81" i="8"/>
  <c r="CW77" i="8"/>
  <c r="CW80" i="8"/>
  <c r="CW73" i="8"/>
  <c r="CV44" i="8"/>
  <c r="CW78" i="8"/>
  <c r="CW85" i="8"/>
  <c r="CW76" i="8"/>
  <c r="CW71" i="8"/>
  <c r="CW74" i="8"/>
  <c r="CW75" i="8"/>
  <c r="CZ78" i="8"/>
  <c r="CZ83" i="8"/>
  <c r="CZ73" i="8"/>
  <c r="CZ88" i="8"/>
  <c r="CZ70" i="8"/>
  <c r="CZ80" i="8"/>
  <c r="CZ84" i="8"/>
  <c r="CZ76" i="8"/>
  <c r="CZ85" i="8"/>
  <c r="CZ77" i="8"/>
  <c r="CZ81" i="8"/>
  <c r="CZ72" i="8"/>
  <c r="CZ75" i="8"/>
  <c r="CZ86" i="8"/>
  <c r="CZ71" i="8"/>
  <c r="CZ74" i="8"/>
  <c r="CZ79" i="8"/>
  <c r="CZ82" i="8"/>
  <c r="CZ87" i="8"/>
  <c r="CZ89" i="8"/>
  <c r="DA48" i="8" l="1"/>
  <c r="DC46" i="8"/>
  <c r="DG45" i="8"/>
  <c r="DA89" i="8"/>
  <c r="DA72" i="8"/>
  <c r="DA88" i="8"/>
  <c r="DA87" i="8"/>
  <c r="DA81" i="8"/>
  <c r="DA73" i="8"/>
  <c r="DA76" i="8"/>
  <c r="DA71" i="8"/>
  <c r="DA84" i="8"/>
  <c r="CZ44" i="8"/>
  <c r="DC71" i="8"/>
  <c r="DC50" i="8" s="1"/>
  <c r="DC81" i="8"/>
  <c r="DC60" i="8" s="1"/>
  <c r="DC87" i="8"/>
  <c r="DC66" i="8" s="1"/>
  <c r="DC70" i="8"/>
  <c r="DC49" i="8" s="1"/>
  <c r="DC75" i="8"/>
  <c r="DC54" i="8" s="1"/>
  <c r="DC76" i="8"/>
  <c r="DC55" i="8" s="1"/>
  <c r="DC88" i="8"/>
  <c r="DC67" i="8" s="1"/>
  <c r="DC73" i="8"/>
  <c r="DC52" i="8" s="1"/>
  <c r="DC84" i="8"/>
  <c r="DC63" i="8" s="1"/>
  <c r="DC80" i="8"/>
  <c r="DC59" i="8" s="1"/>
  <c r="DC78" i="8"/>
  <c r="DC57" i="8" s="1"/>
  <c r="DC72" i="8"/>
  <c r="DC51" i="8" s="1"/>
  <c r="DC79" i="8"/>
  <c r="DC58" i="8" s="1"/>
  <c r="DC83" i="8"/>
  <c r="DC62" i="8" s="1"/>
  <c r="DC86" i="8"/>
  <c r="DC65" i="8" s="1"/>
  <c r="DC47" i="8"/>
  <c r="DC89" i="8"/>
  <c r="DC68" i="8" s="1"/>
  <c r="DC74" i="8"/>
  <c r="DC53" i="8" s="1"/>
  <c r="DC77" i="8"/>
  <c r="DC56" i="8" s="1"/>
  <c r="DC82" i="8"/>
  <c r="DC61" i="8" s="1"/>
  <c r="DC85" i="8"/>
  <c r="DC64" i="8" s="1"/>
  <c r="DA82" i="8"/>
  <c r="DA77" i="8"/>
  <c r="DA83" i="8"/>
  <c r="DA79" i="8"/>
  <c r="DA85" i="8"/>
  <c r="DA78" i="8"/>
  <c r="DA74" i="8"/>
  <c r="DA86" i="8"/>
  <c r="DA80" i="8"/>
  <c r="DA75" i="8"/>
  <c r="DA70" i="8"/>
  <c r="DD71" i="8"/>
  <c r="DD87" i="8"/>
  <c r="DD88" i="8"/>
  <c r="DD76" i="8"/>
  <c r="DD81" i="8"/>
  <c r="DD73" i="8"/>
  <c r="DD78" i="8"/>
  <c r="DD84" i="8"/>
  <c r="DD80" i="8"/>
  <c r="DD70" i="8"/>
  <c r="DD75" i="8"/>
  <c r="DD72" i="8"/>
  <c r="DD79" i="8"/>
  <c r="DD83" i="8"/>
  <c r="DD86" i="8"/>
  <c r="DD89" i="8"/>
  <c r="DD74" i="8"/>
  <c r="DD77" i="8"/>
  <c r="DD82" i="8"/>
  <c r="DD85" i="8"/>
  <c r="DE48" i="8" l="1"/>
  <c r="DG46" i="8"/>
  <c r="DK45" i="8"/>
  <c r="DE85" i="8"/>
  <c r="DE72" i="8"/>
  <c r="DE76" i="8"/>
  <c r="DE87" i="8"/>
  <c r="DE79" i="8"/>
  <c r="DE82" i="8"/>
  <c r="DE75" i="8"/>
  <c r="DE88" i="8"/>
  <c r="DE73" i="8"/>
  <c r="DE77" i="8"/>
  <c r="DE70" i="8"/>
  <c r="DE83" i="8"/>
  <c r="DG78" i="8"/>
  <c r="DG57" i="8" s="1"/>
  <c r="DG84" i="8"/>
  <c r="DG63" i="8" s="1"/>
  <c r="DG73" i="8"/>
  <c r="DG52" i="8" s="1"/>
  <c r="DG74" i="8"/>
  <c r="DG53" i="8" s="1"/>
  <c r="DG70" i="8"/>
  <c r="DG49" i="8" s="1"/>
  <c r="DG81" i="8"/>
  <c r="DG60" i="8" s="1"/>
  <c r="DG87" i="8"/>
  <c r="DG66" i="8" s="1"/>
  <c r="DG71" i="8"/>
  <c r="DG50" i="8" s="1"/>
  <c r="DG75" i="8"/>
  <c r="DG54" i="8" s="1"/>
  <c r="DG82" i="8"/>
  <c r="DG61" i="8" s="1"/>
  <c r="DG86" i="8"/>
  <c r="DG65" i="8" s="1"/>
  <c r="DG47" i="8"/>
  <c r="DG76" i="8"/>
  <c r="DG55" i="8" s="1"/>
  <c r="DG79" i="8"/>
  <c r="DG58" i="8" s="1"/>
  <c r="DG83" i="8"/>
  <c r="DG62" i="8" s="1"/>
  <c r="DG72" i="8"/>
  <c r="DG51" i="8" s="1"/>
  <c r="DG77" i="8"/>
  <c r="DG56" i="8" s="1"/>
  <c r="DG80" i="8"/>
  <c r="DG59" i="8" s="1"/>
  <c r="DG85" i="8"/>
  <c r="DG64" i="8" s="1"/>
  <c r="DG88" i="8"/>
  <c r="DG67" i="8" s="1"/>
  <c r="DG89" i="8"/>
  <c r="DG68" i="8" s="1"/>
  <c r="DE74" i="8"/>
  <c r="DE80" i="8"/>
  <c r="DE71" i="8"/>
  <c r="DE89" i="8"/>
  <c r="DE84" i="8"/>
  <c r="DE86" i="8"/>
  <c r="DE78" i="8"/>
  <c r="DD44" i="8"/>
  <c r="DE81" i="8"/>
  <c r="DH73" i="8"/>
  <c r="DH71" i="8"/>
  <c r="DH75" i="8"/>
  <c r="DH81" i="8"/>
  <c r="DH87" i="8"/>
  <c r="DH89" i="8"/>
  <c r="DH79" i="8"/>
  <c r="DH83" i="8"/>
  <c r="DH77" i="8"/>
  <c r="DH85" i="8"/>
  <c r="DH70" i="8"/>
  <c r="DH72" i="8"/>
  <c r="DH74" i="8"/>
  <c r="DH76" i="8"/>
  <c r="DH78" i="8"/>
  <c r="DH80" i="8"/>
  <c r="DH82" i="8"/>
  <c r="DH84" i="8"/>
  <c r="DH86" i="8"/>
  <c r="DH88" i="8"/>
  <c r="DI48" i="8" l="1"/>
  <c r="DK46" i="8"/>
  <c r="DO45" i="8"/>
  <c r="DO46" i="8" s="1"/>
  <c r="DI88" i="8"/>
  <c r="DI72" i="8"/>
  <c r="DI81" i="8"/>
  <c r="DO75" i="8"/>
  <c r="DO54" i="8" s="1"/>
  <c r="DO71" i="8"/>
  <c r="DO50" i="8" s="1"/>
  <c r="DO77" i="8"/>
  <c r="DO56" i="8" s="1"/>
  <c r="DO82" i="8"/>
  <c r="DO61" i="8" s="1"/>
  <c r="DO89" i="8"/>
  <c r="DO68" i="8" s="1"/>
  <c r="DO72" i="8"/>
  <c r="DO51" i="8" s="1"/>
  <c r="DO74" i="8"/>
  <c r="DO53" i="8" s="1"/>
  <c r="DO79" i="8"/>
  <c r="DO58" i="8" s="1"/>
  <c r="DO87" i="8"/>
  <c r="DO66" i="8" s="1"/>
  <c r="DO80" i="8"/>
  <c r="DO59" i="8" s="1"/>
  <c r="DO85" i="8"/>
  <c r="DO64" i="8" s="1"/>
  <c r="DO83" i="8"/>
  <c r="DO62" i="8" s="1"/>
  <c r="DO88" i="8"/>
  <c r="DO67" i="8" s="1"/>
  <c r="DO76" i="8"/>
  <c r="DO55" i="8" s="1"/>
  <c r="DO84" i="8"/>
  <c r="DO63" i="8" s="1"/>
  <c r="DO73" i="8"/>
  <c r="DO52" i="8" s="1"/>
  <c r="DO81" i="8"/>
  <c r="DO60" i="8" s="1"/>
  <c r="DO70" i="8"/>
  <c r="DO49" i="8" s="1"/>
  <c r="DO78" i="8"/>
  <c r="DO57" i="8" s="1"/>
  <c r="DO86" i="8"/>
  <c r="DO65" i="8" s="1"/>
  <c r="DO47" i="8"/>
  <c r="DI86" i="8"/>
  <c r="DI70" i="8"/>
  <c r="DI75" i="8"/>
  <c r="DI84" i="8"/>
  <c r="DI85" i="8"/>
  <c r="DI71" i="8"/>
  <c r="DI82" i="8"/>
  <c r="DI77" i="8"/>
  <c r="DI73" i="8"/>
  <c r="DI80" i="8"/>
  <c r="DI83" i="8"/>
  <c r="DI78" i="8"/>
  <c r="DI79" i="8"/>
  <c r="DH44" i="8"/>
  <c r="DI76" i="8"/>
  <c r="DI89" i="8"/>
  <c r="DI74" i="8"/>
  <c r="DI87" i="8"/>
  <c r="DK74" i="8"/>
  <c r="DK53" i="8" s="1"/>
  <c r="DK89" i="8"/>
  <c r="DK68" i="8" s="1"/>
  <c r="DK70" i="8"/>
  <c r="DK49" i="8" s="1"/>
  <c r="DK86" i="8"/>
  <c r="DK65" i="8" s="1"/>
  <c r="DK82" i="8"/>
  <c r="DK61" i="8" s="1"/>
  <c r="DK78" i="8"/>
  <c r="DK57" i="8" s="1"/>
  <c r="DK84" i="8"/>
  <c r="DK63" i="8" s="1"/>
  <c r="DK47" i="8"/>
  <c r="DK76" i="8"/>
  <c r="DK55" i="8" s="1"/>
  <c r="DK72" i="8"/>
  <c r="DK51" i="8" s="1"/>
  <c r="DK80" i="8"/>
  <c r="DK59" i="8" s="1"/>
  <c r="DK88" i="8"/>
  <c r="DK67" i="8" s="1"/>
  <c r="DK71" i="8"/>
  <c r="DK50" i="8" s="1"/>
  <c r="DK73" i="8"/>
  <c r="DK52" i="8" s="1"/>
  <c r="DK75" i="8"/>
  <c r="DK54" i="8" s="1"/>
  <c r="DK77" i="8"/>
  <c r="DK56" i="8" s="1"/>
  <c r="DK79" i="8"/>
  <c r="DK58" i="8" s="1"/>
  <c r="DK81" i="8"/>
  <c r="DK60" i="8" s="1"/>
  <c r="DK83" i="8"/>
  <c r="DK62" i="8" s="1"/>
  <c r="DK85" i="8"/>
  <c r="DK64" i="8" s="1"/>
  <c r="DK87" i="8"/>
  <c r="DK66" i="8" s="1"/>
  <c r="DP82" i="8"/>
  <c r="DP71" i="8"/>
  <c r="DP87" i="8"/>
  <c r="DP72" i="8"/>
  <c r="DP85" i="8"/>
  <c r="DP74" i="8"/>
  <c r="DP79" i="8"/>
  <c r="DP76" i="8"/>
  <c r="DP80" i="8"/>
  <c r="DP84" i="8"/>
  <c r="DP77" i="8"/>
  <c r="DP88" i="8"/>
  <c r="DP73" i="8"/>
  <c r="DP81" i="8"/>
  <c r="DP70" i="8"/>
  <c r="DP78" i="8"/>
  <c r="DP86" i="8"/>
  <c r="DP89" i="8"/>
  <c r="DP75" i="8"/>
  <c r="DP83" i="8"/>
  <c r="DL74" i="8"/>
  <c r="DL82" i="8"/>
  <c r="DL88" i="8"/>
  <c r="DL72" i="8"/>
  <c r="DL76" i="8"/>
  <c r="DL80" i="8"/>
  <c r="DL84" i="8"/>
  <c r="DL70" i="8"/>
  <c r="DL78" i="8"/>
  <c r="DL86" i="8"/>
  <c r="DL71" i="8"/>
  <c r="DL73" i="8"/>
  <c r="DL75" i="8"/>
  <c r="DL77" i="8"/>
  <c r="DL79" i="8"/>
  <c r="DL81" i="8"/>
  <c r="DL83" i="8"/>
  <c r="DL85" i="8"/>
  <c r="DL87" i="8"/>
  <c r="DL89" i="8"/>
  <c r="DM48" i="8" l="1"/>
  <c r="DQ48" i="8"/>
  <c r="P2" i="9" s="1"/>
  <c r="DM89" i="8"/>
  <c r="DM73" i="8"/>
  <c r="DM72" i="8"/>
  <c r="DQ78" i="8"/>
  <c r="DQ76" i="8"/>
  <c r="DM87" i="8"/>
  <c r="DM71" i="8"/>
  <c r="DM88" i="8"/>
  <c r="DQ70" i="8"/>
  <c r="DQ79" i="8"/>
  <c r="DL44" i="8"/>
  <c r="DM85" i="8"/>
  <c r="DM86" i="8"/>
  <c r="DM82" i="8"/>
  <c r="DQ81" i="8"/>
  <c r="DQ74" i="8"/>
  <c r="DM83" i="8"/>
  <c r="DM78" i="8"/>
  <c r="DM74" i="8"/>
  <c r="DQ73" i="8"/>
  <c r="DQ85" i="8"/>
  <c r="DP44" i="8"/>
  <c r="DM81" i="8"/>
  <c r="DM70" i="8"/>
  <c r="DQ83" i="8"/>
  <c r="DQ88" i="8"/>
  <c r="DQ72" i="8"/>
  <c r="DM79" i="8"/>
  <c r="DM84" i="8"/>
  <c r="DQ75" i="8"/>
  <c r="DQ77" i="8"/>
  <c r="DQ87" i="8"/>
  <c r="DM77" i="8"/>
  <c r="DM80" i="8"/>
  <c r="DQ89" i="8"/>
  <c r="DQ84" i="8"/>
  <c r="DQ71" i="8"/>
  <c r="DM75" i="8"/>
  <c r="DM76" i="8"/>
  <c r="DQ86" i="8"/>
  <c r="DQ80" i="8"/>
  <c r="DQ82" i="8"/>
  <c r="T29" i="8"/>
  <c r="U67" i="8"/>
  <c r="F18" i="9"/>
  <c r="U61" i="8"/>
  <c r="F14" i="9"/>
  <c r="U56" i="8"/>
  <c r="F10" i="9"/>
  <c r="U52" i="8"/>
  <c r="F6" i="9"/>
  <c r="T31" i="8"/>
  <c r="U57" i="8"/>
  <c r="F11" i="9"/>
  <c r="T33" i="8"/>
  <c r="F21" i="9"/>
  <c r="H29" i="8"/>
  <c r="I68" i="8"/>
  <c r="C19" i="9"/>
  <c r="I56" i="8"/>
  <c r="C10" i="9"/>
  <c r="I60" i="8"/>
  <c r="H32" i="8"/>
  <c r="I52" i="8"/>
  <c r="C6" i="9"/>
  <c r="I64" i="8"/>
  <c r="C15" i="9"/>
  <c r="T32" i="8"/>
  <c r="U53" i="8"/>
  <c r="F7" i="9"/>
  <c r="U65" i="8"/>
  <c r="F16" i="9"/>
  <c r="U60" i="8"/>
  <c r="CN29" i="8"/>
  <c r="CO67" i="8"/>
  <c r="CO51" i="8"/>
  <c r="CO60" i="8"/>
  <c r="CO68" i="8"/>
  <c r="CO56" i="8"/>
  <c r="CO65" i="8"/>
  <c r="CN32" i="8"/>
  <c r="CN34" i="8"/>
  <c r="CN39" i="8"/>
  <c r="CO50" i="8"/>
  <c r="CO54" i="8"/>
  <c r="CO58" i="8"/>
  <c r="CO62" i="8"/>
  <c r="CO66" i="8"/>
  <c r="CN33" i="8"/>
  <c r="CN38" i="8"/>
  <c r="CB29" i="8"/>
  <c r="CC54" i="8"/>
  <c r="N8" i="9"/>
  <c r="CC61" i="8"/>
  <c r="N14" i="9"/>
  <c r="CC57" i="8"/>
  <c r="N11" i="9"/>
  <c r="CC53" i="8"/>
  <c r="N7" i="9"/>
  <c r="CC65" i="8"/>
  <c r="N16" i="9"/>
  <c r="CB38" i="8"/>
  <c r="N25" i="9"/>
  <c r="CC60" i="8"/>
  <c r="CB32" i="8"/>
  <c r="CB39" i="8"/>
  <c r="N26" i="9"/>
  <c r="CC52" i="8"/>
  <c r="N6" i="9"/>
  <c r="BL29" i="8"/>
  <c r="BM55" i="8"/>
  <c r="BM61" i="8"/>
  <c r="BL39" i="8"/>
  <c r="BM52" i="8"/>
  <c r="BM57" i="8"/>
  <c r="BM66" i="8"/>
  <c r="BM68" i="8"/>
  <c r="BL38" i="8"/>
  <c r="BM53" i="8"/>
  <c r="BM62" i="8"/>
  <c r="BL32" i="8"/>
  <c r="BL36" i="8"/>
  <c r="BM54" i="8"/>
  <c r="L29" i="8"/>
  <c r="M68" i="8"/>
  <c r="D19" i="9"/>
  <c r="M56" i="8"/>
  <c r="D10" i="9"/>
  <c r="M61" i="8"/>
  <c r="D14" i="9"/>
  <c r="L38" i="8"/>
  <c r="D25" i="9"/>
  <c r="M66" i="8"/>
  <c r="D17" i="9"/>
  <c r="M59" i="8"/>
  <c r="D13" i="9"/>
  <c r="M55" i="8"/>
  <c r="D9" i="9"/>
  <c r="M51" i="8"/>
  <c r="D5" i="9"/>
  <c r="L33" i="8"/>
  <c r="D21" i="9"/>
  <c r="M60" i="8"/>
  <c r="M52" i="8"/>
  <c r="D6" i="9"/>
  <c r="M64" i="8"/>
  <c r="D15" i="9"/>
  <c r="L39" i="8"/>
  <c r="D26" i="9"/>
  <c r="H31" i="8"/>
  <c r="I57" i="8"/>
  <c r="C11" i="9"/>
  <c r="H38" i="8"/>
  <c r="C25" i="9"/>
  <c r="U49" i="8"/>
  <c r="F3" i="9"/>
  <c r="T35" i="8"/>
  <c r="F23" i="9"/>
  <c r="CN31" i="8"/>
  <c r="CO52" i="8"/>
  <c r="CJ29" i="8"/>
  <c r="CK67" i="8"/>
  <c r="CK50" i="8"/>
  <c r="CJ39" i="8"/>
  <c r="CK55" i="8"/>
  <c r="CK64" i="8"/>
  <c r="CJ36" i="8"/>
  <c r="CK51" i="8"/>
  <c r="CK60" i="8"/>
  <c r="CJ34" i="8"/>
  <c r="CK49" i="8"/>
  <c r="CK53" i="8"/>
  <c r="CK57" i="8"/>
  <c r="CK61" i="8"/>
  <c r="CK65" i="8"/>
  <c r="CJ35" i="8"/>
  <c r="CK54" i="8"/>
  <c r="CB31" i="8"/>
  <c r="CC63" i="8"/>
  <c r="CC67" i="8"/>
  <c r="N18" i="9"/>
  <c r="CC51" i="8"/>
  <c r="N5" i="9"/>
  <c r="BL31" i="8"/>
  <c r="BM59" i="8"/>
  <c r="CO59" i="8"/>
  <c r="CO53" i="8"/>
  <c r="CK62" i="8"/>
  <c r="CK56" i="8"/>
  <c r="CC68" i="8"/>
  <c r="N19" i="9"/>
  <c r="CC59" i="8"/>
  <c r="N13" i="9"/>
  <c r="BM67" i="8"/>
  <c r="BM60" i="8"/>
  <c r="BM49" i="8"/>
  <c r="AN29" i="8"/>
  <c r="AO51" i="8"/>
  <c r="K5" i="9"/>
  <c r="AO68" i="8"/>
  <c r="K19" i="9"/>
  <c r="AN32" i="8"/>
  <c r="AO64" i="8"/>
  <c r="K15" i="9"/>
  <c r="AN39" i="8"/>
  <c r="K26" i="9"/>
  <c r="AO57" i="8"/>
  <c r="K11" i="9"/>
  <c r="AO60" i="8"/>
  <c r="AO52" i="8"/>
  <c r="K6" i="9"/>
  <c r="AO56" i="8"/>
  <c r="K10" i="9"/>
  <c r="AO61" i="8"/>
  <c r="K14" i="9"/>
  <c r="AO67" i="8"/>
  <c r="K18" i="9"/>
  <c r="AN31" i="8"/>
  <c r="H39" i="8"/>
  <c r="C26" i="9"/>
  <c r="T34" i="8"/>
  <c r="F22" i="9"/>
  <c r="U58" i="8"/>
  <c r="F12" i="9"/>
  <c r="CC58" i="8"/>
  <c r="N12" i="9"/>
  <c r="BM65" i="8"/>
  <c r="CO64" i="8"/>
  <c r="DD29" i="8"/>
  <c r="DE58" i="8"/>
  <c r="DE65" i="8"/>
  <c r="DE49" i="8"/>
  <c r="DE51" i="8"/>
  <c r="DE59" i="8"/>
  <c r="DE67" i="8"/>
  <c r="DE50" i="8"/>
  <c r="DE62" i="8"/>
  <c r="DE56" i="8"/>
  <c r="DE63" i="8"/>
  <c r="DD36" i="8"/>
  <c r="DD38" i="8"/>
  <c r="DE52" i="8"/>
  <c r="DE61" i="8"/>
  <c r="DD33" i="8"/>
  <c r="DE57" i="8"/>
  <c r="DE66" i="8"/>
  <c r="DD32" i="8"/>
  <c r="DE68" i="8"/>
  <c r="DD35" i="8"/>
  <c r="DE53" i="8"/>
  <c r="CO61" i="8"/>
  <c r="CK63" i="8"/>
  <c r="CB36" i="8"/>
  <c r="N24" i="9"/>
  <c r="CC49" i="8"/>
  <c r="N3" i="9"/>
  <c r="AO65" i="8"/>
  <c r="K16" i="9"/>
  <c r="AO54" i="8"/>
  <c r="K8" i="9"/>
  <c r="L36" i="8"/>
  <c r="D24" i="9"/>
  <c r="I55" i="8"/>
  <c r="C9" i="9"/>
  <c r="I66" i="8"/>
  <c r="C17" i="9"/>
  <c r="U68" i="8"/>
  <c r="F19" i="9"/>
  <c r="CC62" i="8"/>
  <c r="BM51" i="8"/>
  <c r="AO53" i="8"/>
  <c r="K7" i="9"/>
  <c r="DL29" i="8"/>
  <c r="DM50" i="8"/>
  <c r="DM59" i="8"/>
  <c r="DM66" i="8"/>
  <c r="DM52" i="8"/>
  <c r="DM60" i="8"/>
  <c r="DM54" i="8"/>
  <c r="DM61" i="8"/>
  <c r="DL33" i="8"/>
  <c r="DM68" i="8"/>
  <c r="DM56" i="8"/>
  <c r="DM63" i="8"/>
  <c r="DL35" i="8"/>
  <c r="DM51" i="8"/>
  <c r="DM57" i="8"/>
  <c r="DL34" i="8"/>
  <c r="DL38" i="8"/>
  <c r="DM53" i="8"/>
  <c r="DM62" i="8"/>
  <c r="DL32" i="8"/>
  <c r="DM49" i="8"/>
  <c r="DM58" i="8"/>
  <c r="DM67" i="8"/>
  <c r="DL31" i="8"/>
  <c r="DL36" i="8"/>
  <c r="CK68" i="8"/>
  <c r="CJ38" i="8"/>
  <c r="BM63" i="8"/>
  <c r="M63" i="8"/>
  <c r="I58" i="8"/>
  <c r="C12" i="9"/>
  <c r="DM55" i="8"/>
  <c r="DE64" i="8"/>
  <c r="DD39" i="8"/>
  <c r="CR29" i="8"/>
  <c r="CS56" i="8"/>
  <c r="CR39" i="8"/>
  <c r="CS52" i="8"/>
  <c r="CS58" i="8"/>
  <c r="CS66" i="8"/>
  <c r="CS53" i="8"/>
  <c r="CS61" i="8"/>
  <c r="CR34" i="8"/>
  <c r="CS49" i="8"/>
  <c r="CS54" i="8"/>
  <c r="CS60" i="8"/>
  <c r="CS65" i="8"/>
  <c r="CR33" i="8"/>
  <c r="CS68" i="8"/>
  <c r="CS51" i="8"/>
  <c r="CS55" i="8"/>
  <c r="CS59" i="8"/>
  <c r="CS63" i="8"/>
  <c r="CS67" i="8"/>
  <c r="CR32" i="8"/>
  <c r="CS57" i="8"/>
  <c r="CN35" i="8"/>
  <c r="CO57" i="8"/>
  <c r="CJ31" i="8"/>
  <c r="CK59" i="8"/>
  <c r="BM64" i="8"/>
  <c r="AO63" i="8"/>
  <c r="M53" i="8"/>
  <c r="D7" i="9"/>
  <c r="H33" i="8"/>
  <c r="C21" i="9"/>
  <c r="I62" i="8"/>
  <c r="I49" i="8"/>
  <c r="C3" i="9"/>
  <c r="U51" i="8"/>
  <c r="F5" i="9"/>
  <c r="U59" i="8"/>
  <c r="F13" i="9"/>
  <c r="T39" i="8"/>
  <c r="F26" i="9"/>
  <c r="U63" i="8"/>
  <c r="CR31" i="8"/>
  <c r="CN36" i="8"/>
  <c r="CJ32" i="8"/>
  <c r="CC56" i="8"/>
  <c r="N10" i="9"/>
  <c r="AO59" i="8"/>
  <c r="K13" i="9"/>
  <c r="H34" i="8"/>
  <c r="C22" i="9"/>
  <c r="I67" i="8"/>
  <c r="C18" i="9"/>
  <c r="T36" i="8"/>
  <c r="F24" i="9"/>
  <c r="DL39" i="8"/>
  <c r="CO55" i="8"/>
  <c r="CK58" i="8"/>
  <c r="CC55" i="8"/>
  <c r="N9" i="9"/>
  <c r="AN33" i="8"/>
  <c r="K21" i="9"/>
  <c r="AF29" i="8"/>
  <c r="AG52" i="8"/>
  <c r="I6" i="9"/>
  <c r="AG54" i="8"/>
  <c r="I8" i="9"/>
  <c r="AG65" i="8"/>
  <c r="I16" i="9"/>
  <c r="AF39" i="8"/>
  <c r="I26" i="9"/>
  <c r="AG50" i="8"/>
  <c r="I4" i="9"/>
  <c r="AG59" i="8"/>
  <c r="I13" i="9"/>
  <c r="AG63" i="8"/>
  <c r="AF34" i="8"/>
  <c r="I22" i="9"/>
  <c r="AG55" i="8"/>
  <c r="I9" i="9"/>
  <c r="AG67" i="8"/>
  <c r="I18" i="9"/>
  <c r="AF33" i="8"/>
  <c r="I21" i="9"/>
  <c r="AG51" i="8"/>
  <c r="I5" i="9"/>
  <c r="AG61" i="8"/>
  <c r="I14" i="9"/>
  <c r="AF32" i="8"/>
  <c r="AG49" i="8"/>
  <c r="I3" i="9"/>
  <c r="AG53" i="8"/>
  <c r="I7" i="9"/>
  <c r="AG57" i="8"/>
  <c r="I11" i="9"/>
  <c r="AG64" i="8"/>
  <c r="I15" i="9"/>
  <c r="AG68" i="8"/>
  <c r="I19" i="9"/>
  <c r="AG62" i="8"/>
  <c r="H35" i="8"/>
  <c r="C23" i="9"/>
  <c r="U54" i="8"/>
  <c r="F8" i="9"/>
  <c r="X29" i="8"/>
  <c r="Y55" i="8"/>
  <c r="G9" i="9"/>
  <c r="Y64" i="8"/>
  <c r="G15" i="9"/>
  <c r="Y52" i="8"/>
  <c r="G6" i="9"/>
  <c r="Y49" i="8"/>
  <c r="G3" i="9"/>
  <c r="Y62" i="8"/>
  <c r="Y53" i="8"/>
  <c r="G7" i="9"/>
  <c r="Y66" i="8"/>
  <c r="G17" i="9"/>
  <c r="X36" i="8"/>
  <c r="G24" i="9"/>
  <c r="Y59" i="8"/>
  <c r="G13" i="9"/>
  <c r="X34" i="8"/>
  <c r="G22" i="9"/>
  <c r="Y50" i="8"/>
  <c r="G4" i="9"/>
  <c r="Y54" i="8"/>
  <c r="G8" i="9"/>
  <c r="Y58" i="8"/>
  <c r="G12" i="9"/>
  <c r="Y65" i="8"/>
  <c r="G16" i="9"/>
  <c r="X39" i="8"/>
  <c r="G26" i="9"/>
  <c r="Y63" i="8"/>
  <c r="X35" i="8"/>
  <c r="G23" i="9"/>
  <c r="M65" i="8"/>
  <c r="D16" i="9"/>
  <c r="I50" i="8"/>
  <c r="C4" i="9"/>
  <c r="CR35" i="8"/>
  <c r="AO62" i="8"/>
  <c r="Y61" i="8"/>
  <c r="G14" i="9"/>
  <c r="M54" i="8"/>
  <c r="D8" i="9"/>
  <c r="T38" i="8"/>
  <c r="F25" i="9"/>
  <c r="DM64" i="8"/>
  <c r="DD31" i="8"/>
  <c r="DE54" i="8"/>
  <c r="CB34" i="8"/>
  <c r="N22" i="9"/>
  <c r="CC50" i="8"/>
  <c r="N4" i="9"/>
  <c r="BL34" i="8"/>
  <c r="BM58" i="8"/>
  <c r="AN36" i="8"/>
  <c r="K24" i="9"/>
  <c r="AN38" i="8"/>
  <c r="K25" i="9"/>
  <c r="AO66" i="8"/>
  <c r="K17" i="9"/>
  <c r="AO55" i="8"/>
  <c r="K9" i="9"/>
  <c r="AO49" i="8"/>
  <c r="K3" i="9"/>
  <c r="AF36" i="8"/>
  <c r="I24" i="9"/>
  <c r="AF38" i="8"/>
  <c r="I25" i="9"/>
  <c r="AG66" i="8"/>
  <c r="I17" i="9"/>
  <c r="X33" i="8"/>
  <c r="G21" i="9"/>
  <c r="X38" i="8"/>
  <c r="G25" i="9"/>
  <c r="L34" i="8"/>
  <c r="D22" i="9"/>
  <c r="M67" i="8"/>
  <c r="D18" i="9"/>
  <c r="I61" i="8"/>
  <c r="C14" i="9"/>
  <c r="CR36" i="8"/>
  <c r="CC64" i="8"/>
  <c r="N15" i="9"/>
  <c r="BP29" i="8"/>
  <c r="BQ55" i="8"/>
  <c r="BQ60" i="8"/>
  <c r="BP39" i="8"/>
  <c r="BQ50" i="8"/>
  <c r="BQ61" i="8"/>
  <c r="BQ49" i="8"/>
  <c r="BQ54" i="8"/>
  <c r="BQ65" i="8"/>
  <c r="BQ56" i="8"/>
  <c r="BP36" i="8"/>
  <c r="BQ64" i="8"/>
  <c r="BP33" i="8"/>
  <c r="BQ63" i="8"/>
  <c r="BQ51" i="8"/>
  <c r="BP35" i="8"/>
  <c r="BQ52" i="8"/>
  <c r="BQ59" i="8"/>
  <c r="BQ68" i="8"/>
  <c r="BP38" i="8"/>
  <c r="BQ57" i="8"/>
  <c r="BQ62" i="8"/>
  <c r="BP32" i="8"/>
  <c r="BQ53" i="8"/>
  <c r="BQ58" i="8"/>
  <c r="BQ67" i="8"/>
  <c r="BP31" i="8"/>
  <c r="BP34" i="8"/>
  <c r="BL35" i="8"/>
  <c r="AZ29" i="8"/>
  <c r="BA55" i="8"/>
  <c r="BA50" i="8"/>
  <c r="BA51" i="8"/>
  <c r="BA60" i="8"/>
  <c r="AZ31" i="8"/>
  <c r="AZ39" i="8"/>
  <c r="AZ33" i="8"/>
  <c r="BA52" i="8"/>
  <c r="BA58" i="8"/>
  <c r="BA63" i="8"/>
  <c r="AZ36" i="8"/>
  <c r="AZ38" i="8"/>
  <c r="BA54" i="8"/>
  <c r="BA59" i="8"/>
  <c r="BA64" i="8"/>
  <c r="BA68" i="8"/>
  <c r="AZ35" i="8"/>
  <c r="BA49" i="8"/>
  <c r="BA53" i="8"/>
  <c r="BA57" i="8"/>
  <c r="BA61" i="8"/>
  <c r="BA65" i="8"/>
  <c r="AZ34" i="8"/>
  <c r="BA67" i="8"/>
  <c r="AZ32" i="8"/>
  <c r="Y60" i="8"/>
  <c r="M58" i="8"/>
  <c r="D12" i="9"/>
  <c r="I59" i="8"/>
  <c r="C13" i="9"/>
  <c r="U50" i="8"/>
  <c r="F4" i="9"/>
  <c r="CK52" i="8"/>
  <c r="CB33" i="8"/>
  <c r="N21" i="9"/>
  <c r="BA66" i="8"/>
  <c r="AO50" i="8"/>
  <c r="K4" i="9"/>
  <c r="AG56" i="8"/>
  <c r="I10" i="9"/>
  <c r="Y57" i="8"/>
  <c r="G11" i="9"/>
  <c r="M62" i="8"/>
  <c r="U62" i="8"/>
  <c r="BQ66" i="8"/>
  <c r="U55" i="8"/>
  <c r="F9" i="9"/>
  <c r="CO49" i="8"/>
  <c r="BM56" i="8"/>
  <c r="AF31" i="8"/>
  <c r="CJ33" i="8"/>
  <c r="BA56" i="8"/>
  <c r="AF35" i="8"/>
  <c r="I23" i="9"/>
  <c r="AB29" i="8"/>
  <c r="AB39" i="8"/>
  <c r="H26" i="9"/>
  <c r="AC53" i="8"/>
  <c r="H7" i="9"/>
  <c r="AC61" i="8"/>
  <c r="H14" i="9"/>
  <c r="AB38" i="8"/>
  <c r="H25" i="9"/>
  <c r="AC51" i="8"/>
  <c r="H5" i="9"/>
  <c r="AC57" i="8"/>
  <c r="H11" i="9"/>
  <c r="AC68" i="8"/>
  <c r="H19" i="9"/>
  <c r="AC60" i="8"/>
  <c r="AB32" i="8"/>
  <c r="AC56" i="8"/>
  <c r="H10" i="9"/>
  <c r="AC58" i="8"/>
  <c r="H12" i="9"/>
  <c r="AB31" i="8"/>
  <c r="AC63" i="8"/>
  <c r="AC49" i="8"/>
  <c r="H3" i="9"/>
  <c r="AC54" i="8"/>
  <c r="H8" i="9"/>
  <c r="AC66" i="8"/>
  <c r="H17" i="9"/>
  <c r="AC62" i="8"/>
  <c r="AB35" i="8"/>
  <c r="H23" i="9"/>
  <c r="AC50" i="8"/>
  <c r="H4" i="9"/>
  <c r="AC59" i="8"/>
  <c r="H13" i="9"/>
  <c r="AB34" i="8"/>
  <c r="H22" i="9"/>
  <c r="AC55" i="8"/>
  <c r="H9" i="9"/>
  <c r="AC67" i="8"/>
  <c r="H18" i="9"/>
  <c r="AB33" i="8"/>
  <c r="H21" i="9"/>
  <c r="AB36" i="8"/>
  <c r="H24" i="9"/>
  <c r="M49" i="8"/>
  <c r="D3" i="9"/>
  <c r="DD34" i="8"/>
  <c r="CR38" i="8"/>
  <c r="X32" i="8"/>
  <c r="L31" i="8"/>
  <c r="M50" i="8"/>
  <c r="D4" i="9"/>
  <c r="I51" i="8"/>
  <c r="C5" i="9"/>
  <c r="U66" i="8"/>
  <c r="F17" i="9"/>
  <c r="DE60" i="8"/>
  <c r="BH29" i="8"/>
  <c r="BI66" i="8"/>
  <c r="M17" i="9"/>
  <c r="BI68" i="8"/>
  <c r="M19" i="9"/>
  <c r="BI58" i="8"/>
  <c r="M12" i="9"/>
  <c r="BH38" i="8"/>
  <c r="M25" i="9"/>
  <c r="BH39" i="8"/>
  <c r="M26" i="9"/>
  <c r="BI51" i="8"/>
  <c r="M5" i="9"/>
  <c r="BH32" i="8"/>
  <c r="BI49" i="8"/>
  <c r="M3" i="9"/>
  <c r="BI60" i="8"/>
  <c r="BH36" i="8"/>
  <c r="M24" i="9"/>
  <c r="BI54" i="8"/>
  <c r="M8" i="9"/>
  <c r="BI64" i="8"/>
  <c r="M15" i="9"/>
  <c r="BI65" i="8"/>
  <c r="M16" i="9"/>
  <c r="BH35" i="8"/>
  <c r="M23" i="9"/>
  <c r="BI50" i="8"/>
  <c r="M4" i="9"/>
  <c r="BI59" i="8"/>
  <c r="M13" i="9"/>
  <c r="BI63" i="8"/>
  <c r="BH34" i="8"/>
  <c r="M22" i="9"/>
  <c r="BI55" i="8"/>
  <c r="M9" i="9"/>
  <c r="BH33" i="8"/>
  <c r="M21" i="9"/>
  <c r="BI52" i="8"/>
  <c r="M6" i="9"/>
  <c r="BI56" i="8"/>
  <c r="M10" i="9"/>
  <c r="BI61" i="8"/>
  <c r="M14" i="9"/>
  <c r="BI67" i="8"/>
  <c r="M18" i="9"/>
  <c r="BH31" i="8"/>
  <c r="L32" i="8"/>
  <c r="DE55" i="8"/>
  <c r="BL33" i="8"/>
  <c r="AG60" i="8"/>
  <c r="M57" i="8"/>
  <c r="D11" i="9"/>
  <c r="I54" i="8"/>
  <c r="C8" i="9"/>
  <c r="CS64" i="8"/>
  <c r="I63" i="8"/>
  <c r="CS62" i="8"/>
  <c r="CB35" i="8"/>
  <c r="N23" i="9"/>
  <c r="AN34" i="8"/>
  <c r="K22" i="9"/>
  <c r="Y56" i="8"/>
  <c r="G10" i="9"/>
  <c r="I65" i="8"/>
  <c r="C16" i="9"/>
  <c r="BA62" i="8"/>
  <c r="AN35" i="8"/>
  <c r="K23" i="9"/>
  <c r="AC52" i="8"/>
  <c r="H6" i="9"/>
  <c r="CS50" i="8"/>
  <c r="BM50" i="8"/>
  <c r="X31" i="8"/>
  <c r="Y51" i="8"/>
  <c r="G5" i="9"/>
  <c r="U64" i="8"/>
  <c r="F15" i="9"/>
  <c r="CK66" i="8"/>
  <c r="BI57" i="8"/>
  <c r="M11" i="9"/>
  <c r="P29" i="8"/>
  <c r="Q52" i="8"/>
  <c r="E6" i="9"/>
  <c r="Q55" i="8"/>
  <c r="E9" i="9"/>
  <c r="Q61" i="8"/>
  <c r="E14" i="9"/>
  <c r="Q64" i="8"/>
  <c r="E15" i="9"/>
  <c r="Q63" i="8"/>
  <c r="Q54" i="8"/>
  <c r="E8" i="9"/>
  <c r="Q56" i="8"/>
  <c r="E10" i="9"/>
  <c r="Q67" i="8"/>
  <c r="E18" i="9"/>
  <c r="P35" i="8"/>
  <c r="E23" i="9"/>
  <c r="Q50" i="8"/>
  <c r="E4" i="9"/>
  <c r="P33" i="8"/>
  <c r="E21" i="9"/>
  <c r="Q51" i="8"/>
  <c r="E5" i="9"/>
  <c r="Q59" i="8"/>
  <c r="E13" i="9"/>
  <c r="Q68" i="8"/>
  <c r="E19" i="9"/>
  <c r="Q60" i="8"/>
  <c r="P32" i="8"/>
  <c r="P39" i="8"/>
  <c r="E26" i="9"/>
  <c r="P31" i="8"/>
  <c r="Q57" i="8"/>
  <c r="E11" i="9"/>
  <c r="P38" i="8"/>
  <c r="E25" i="9"/>
  <c r="Q53" i="8"/>
  <c r="E7" i="9"/>
  <c r="Q65" i="8"/>
  <c r="E16" i="9"/>
  <c r="Q49" i="8"/>
  <c r="E3" i="9"/>
  <c r="Q58" i="8"/>
  <c r="E12" i="9"/>
  <c r="Q66" i="8"/>
  <c r="E17" i="9"/>
  <c r="Q62" i="8"/>
  <c r="P36" i="8"/>
  <c r="E24" i="9"/>
  <c r="P34" i="8"/>
  <c r="E22" i="9"/>
  <c r="DM65" i="8"/>
  <c r="BI53" i="8"/>
  <c r="M7" i="9"/>
  <c r="AO58" i="8"/>
  <c r="K12" i="9"/>
  <c r="AC65" i="8"/>
  <c r="H16" i="9"/>
  <c r="Y68" i="8"/>
  <c r="G19" i="9"/>
  <c r="I53" i="8"/>
  <c r="C7" i="9"/>
  <c r="CO63" i="8"/>
  <c r="CC66" i="8"/>
  <c r="N17" i="9"/>
  <c r="BI62" i="8"/>
  <c r="AG58" i="8"/>
  <c r="I12" i="9"/>
  <c r="AC64" i="8"/>
  <c r="H15" i="9"/>
  <c r="Y67" i="8"/>
  <c r="G18" i="9"/>
  <c r="L35" i="8"/>
  <c r="D23" i="9"/>
  <c r="H36" i="8"/>
  <c r="C24" i="9"/>
  <c r="D29" i="8"/>
  <c r="E61" i="8"/>
  <c r="B14" i="9"/>
  <c r="E53" i="8"/>
  <c r="B7" i="9"/>
  <c r="D36" i="8"/>
  <c r="B24" i="9"/>
  <c r="E63" i="8"/>
  <c r="E52" i="8"/>
  <c r="B6" i="9"/>
  <c r="E62" i="8"/>
  <c r="E60" i="8"/>
  <c r="D35" i="8"/>
  <c r="B23" i="9"/>
  <c r="E57" i="8"/>
  <c r="B11" i="9"/>
  <c r="D39" i="8"/>
  <c r="B26" i="9"/>
  <c r="D33" i="8"/>
  <c r="B21" i="9"/>
  <c r="D34" i="8"/>
  <c r="B22" i="9"/>
  <c r="E51" i="8"/>
  <c r="B5" i="9"/>
  <c r="E66" i="8"/>
  <c r="B17" i="9"/>
  <c r="E55" i="8"/>
  <c r="B9" i="9"/>
  <c r="D32" i="8"/>
  <c r="E59" i="8"/>
  <c r="B13" i="9"/>
  <c r="E49" i="8"/>
  <c r="B3" i="9"/>
  <c r="E67" i="8"/>
  <c r="B18" i="9"/>
  <c r="E64" i="8"/>
  <c r="B15" i="9"/>
  <c r="E68" i="8"/>
  <c r="B19" i="9"/>
  <c r="E56" i="8"/>
  <c r="B10" i="9"/>
  <c r="E50" i="8"/>
  <c r="B4" i="9"/>
  <c r="E65" i="8"/>
  <c r="B16" i="9"/>
  <c r="E58" i="8"/>
  <c r="B12" i="9"/>
  <c r="E54" i="8"/>
  <c r="B8" i="9"/>
  <c r="D38" i="8"/>
  <c r="B25" i="9"/>
  <c r="D31" i="8"/>
  <c r="AR29" i="8"/>
  <c r="AR32" i="8"/>
  <c r="AR39" i="8"/>
  <c r="AS51" i="8"/>
  <c r="AS57" i="8"/>
  <c r="AS62" i="8"/>
  <c r="AS65" i="8"/>
  <c r="AR33" i="8"/>
  <c r="AR38" i="8"/>
  <c r="AS56" i="8"/>
  <c r="AS64" i="8"/>
  <c r="AS68" i="8"/>
  <c r="AS66" i="8"/>
  <c r="AS60" i="8"/>
  <c r="AS53" i="8"/>
  <c r="AS61" i="8"/>
  <c r="AR35" i="8"/>
  <c r="AS52" i="8"/>
  <c r="AS55" i="8"/>
  <c r="AR34" i="8"/>
  <c r="AS58" i="8"/>
  <c r="AS54" i="8"/>
  <c r="AS63" i="8"/>
  <c r="AS49" i="8"/>
  <c r="AS67" i="8"/>
  <c r="AR31" i="8"/>
  <c r="AS50" i="8"/>
  <c r="AS59" i="8"/>
  <c r="AR36" i="8"/>
  <c r="BX29" i="8"/>
  <c r="BY61" i="8"/>
  <c r="BY62" i="8"/>
  <c r="BY66" i="8"/>
  <c r="BY50" i="8"/>
  <c r="BY55" i="8"/>
  <c r="BX35" i="8"/>
  <c r="BY56" i="8"/>
  <c r="BX36" i="8"/>
  <c r="BX38" i="8"/>
  <c r="BY52" i="8"/>
  <c r="BY57" i="8"/>
  <c r="BX34" i="8"/>
  <c r="BY59" i="8"/>
  <c r="BY65" i="8"/>
  <c r="BY68" i="8"/>
  <c r="BY51" i="8"/>
  <c r="BY64" i="8"/>
  <c r="BX33" i="8"/>
  <c r="BY53" i="8"/>
  <c r="BY60" i="8"/>
  <c r="BX32" i="8"/>
  <c r="BY49" i="8"/>
  <c r="BY58" i="8"/>
  <c r="BY67" i="8"/>
  <c r="BY54" i="8"/>
  <c r="BY63" i="8"/>
  <c r="BX39" i="8"/>
  <c r="BX31" i="8"/>
  <c r="CV29" i="8"/>
  <c r="CV32" i="8"/>
  <c r="CW53" i="8"/>
  <c r="O7" i="9"/>
  <c r="CW54" i="8"/>
  <c r="O8" i="9"/>
  <c r="CW62" i="8"/>
  <c r="CW63" i="8"/>
  <c r="CW61" i="8"/>
  <c r="O14" i="9"/>
  <c r="CW64" i="8"/>
  <c r="O15" i="9"/>
  <c r="CV31" i="8"/>
  <c r="CW49" i="8"/>
  <c r="O3" i="9"/>
  <c r="CW56" i="8"/>
  <c r="O10" i="9"/>
  <c r="CW67" i="8"/>
  <c r="O18" i="9"/>
  <c r="CV39" i="8"/>
  <c r="O26" i="9"/>
  <c r="CW60" i="8"/>
  <c r="CV36" i="8"/>
  <c r="O24" i="9"/>
  <c r="CW50" i="8"/>
  <c r="O4" i="9"/>
  <c r="CW58" i="8"/>
  <c r="O12" i="9"/>
  <c r="CW68" i="8"/>
  <c r="O19" i="9"/>
  <c r="CV35" i="8"/>
  <c r="O23" i="9"/>
  <c r="CW52" i="8"/>
  <c r="O6" i="9"/>
  <c r="CW57" i="8"/>
  <c r="O11" i="9"/>
  <c r="CW65" i="8"/>
  <c r="O16" i="9"/>
  <c r="CV34" i="8"/>
  <c r="O22" i="9"/>
  <c r="CW51" i="8"/>
  <c r="O5" i="9"/>
  <c r="CW55" i="8"/>
  <c r="O9" i="9"/>
  <c r="CW59" i="8"/>
  <c r="O13" i="9"/>
  <c r="CW66" i="8"/>
  <c r="O17" i="9"/>
  <c r="CV38" i="8"/>
  <c r="O25" i="9"/>
  <c r="CV33" i="8"/>
  <c r="O21" i="9"/>
  <c r="CZ29" i="8"/>
  <c r="DA58" i="8"/>
  <c r="CZ36" i="8"/>
  <c r="DA53" i="8"/>
  <c r="DA60" i="8"/>
  <c r="DA52" i="8"/>
  <c r="DA65" i="8"/>
  <c r="CZ35" i="8"/>
  <c r="DA54" i="8"/>
  <c r="DA49" i="8"/>
  <c r="DA57" i="8"/>
  <c r="DA64" i="8"/>
  <c r="CZ33" i="8"/>
  <c r="CZ38" i="8"/>
  <c r="DA62" i="8"/>
  <c r="CZ34" i="8"/>
  <c r="DA68" i="8"/>
  <c r="DA50" i="8"/>
  <c r="DA56" i="8"/>
  <c r="DA61" i="8"/>
  <c r="DA66" i="8"/>
  <c r="DA51" i="8"/>
  <c r="DA55" i="8"/>
  <c r="DA59" i="8"/>
  <c r="DA63" i="8"/>
  <c r="DA67" i="8"/>
  <c r="CZ32" i="8"/>
  <c r="CZ39" i="8"/>
  <c r="CZ31" i="8"/>
  <c r="DH29" i="8"/>
  <c r="DI67" i="8"/>
  <c r="DI50" i="8"/>
  <c r="DH36" i="8"/>
  <c r="DI51" i="8"/>
  <c r="DI58" i="8"/>
  <c r="DI52" i="8"/>
  <c r="DI61" i="8"/>
  <c r="DH35" i="8"/>
  <c r="DI55" i="8"/>
  <c r="DI63" i="8"/>
  <c r="DH33" i="8"/>
  <c r="DI49" i="8"/>
  <c r="DI56" i="8"/>
  <c r="DI64" i="8"/>
  <c r="DH34" i="8"/>
  <c r="DI59" i="8"/>
  <c r="DI65" i="8"/>
  <c r="DI54" i="8"/>
  <c r="DI60" i="8"/>
  <c r="DH38" i="8"/>
  <c r="DI57" i="8"/>
  <c r="DI66" i="8"/>
  <c r="DI68" i="8"/>
  <c r="DI53" i="8"/>
  <c r="DI62" i="8"/>
  <c r="DH32" i="8"/>
  <c r="DH39" i="8"/>
  <c r="DH31" i="8"/>
  <c r="AJ29" i="8"/>
  <c r="AK62" i="8"/>
  <c r="AK63" i="8"/>
  <c r="AK52" i="8"/>
  <c r="J6" i="9"/>
  <c r="AK65" i="8"/>
  <c r="J16" i="9"/>
  <c r="AK54" i="8"/>
  <c r="J8" i="9"/>
  <c r="AK53" i="8"/>
  <c r="J7" i="9"/>
  <c r="AK59" i="8"/>
  <c r="J13" i="9"/>
  <c r="AK57" i="8"/>
  <c r="J11" i="9"/>
  <c r="AJ38" i="8"/>
  <c r="J25" i="9"/>
  <c r="AJ36" i="8"/>
  <c r="J24" i="9"/>
  <c r="AK60" i="8"/>
  <c r="AJ35" i="8"/>
  <c r="J23" i="9"/>
  <c r="AK49" i="8"/>
  <c r="J3" i="9"/>
  <c r="AK66" i="8"/>
  <c r="J17" i="9"/>
  <c r="AK50" i="8"/>
  <c r="J4" i="9"/>
  <c r="AK58" i="8"/>
  <c r="J12" i="9"/>
  <c r="AJ34" i="8"/>
  <c r="J22" i="9"/>
  <c r="AK55" i="8"/>
  <c r="J9" i="9"/>
  <c r="AK67" i="8"/>
  <c r="J18" i="9"/>
  <c r="AJ33" i="8"/>
  <c r="J21" i="9"/>
  <c r="AK51" i="8"/>
  <c r="J5" i="9"/>
  <c r="AK61" i="8"/>
  <c r="J14" i="9"/>
  <c r="AK68" i="8"/>
  <c r="J19" i="9"/>
  <c r="AJ32" i="8"/>
  <c r="AK56" i="8"/>
  <c r="J10" i="9"/>
  <c r="AK64" i="8"/>
  <c r="J15" i="9"/>
  <c r="AJ39" i="8"/>
  <c r="J26" i="9"/>
  <c r="AJ31" i="8"/>
  <c r="AV29" i="8"/>
  <c r="AW55" i="8"/>
  <c r="L9" i="9"/>
  <c r="AW50" i="8"/>
  <c r="L4" i="9"/>
  <c r="AW57" i="8"/>
  <c r="L11" i="9"/>
  <c r="AW66" i="8"/>
  <c r="L17" i="9"/>
  <c r="AW63" i="8"/>
  <c r="AW58" i="8"/>
  <c r="L12" i="9"/>
  <c r="AW51" i="8"/>
  <c r="L5" i="9"/>
  <c r="AV33" i="8"/>
  <c r="L21" i="9"/>
  <c r="AW64" i="8"/>
  <c r="L15" i="9"/>
  <c r="AW53" i="8"/>
  <c r="L7" i="9"/>
  <c r="AW65" i="8"/>
  <c r="L16" i="9"/>
  <c r="AV38" i="8"/>
  <c r="L25" i="9"/>
  <c r="AV32" i="8"/>
  <c r="AW49" i="8"/>
  <c r="L3" i="9"/>
  <c r="AW54" i="8"/>
  <c r="L8" i="9"/>
  <c r="AW59" i="8"/>
  <c r="L13" i="9"/>
  <c r="AV39" i="8"/>
  <c r="L26" i="9"/>
  <c r="AW62" i="8"/>
  <c r="AV35" i="8"/>
  <c r="L23" i="9"/>
  <c r="AW60" i="8"/>
  <c r="AV36" i="8"/>
  <c r="L24" i="9"/>
  <c r="AW68" i="8"/>
  <c r="L19" i="9"/>
  <c r="AV34" i="8"/>
  <c r="L22" i="9"/>
  <c r="AW52" i="8"/>
  <c r="L6" i="9"/>
  <c r="AW56" i="8"/>
  <c r="L10" i="9"/>
  <c r="AW61" i="8"/>
  <c r="L14" i="9"/>
  <c r="AW67" i="8"/>
  <c r="L18" i="9"/>
  <c r="AV31" i="8"/>
  <c r="BT29" i="8"/>
  <c r="BU64" i="8"/>
  <c r="BT35" i="8"/>
  <c r="BU65" i="8"/>
  <c r="BU52" i="8"/>
  <c r="BT33" i="8"/>
  <c r="BU57" i="8"/>
  <c r="BU59" i="8"/>
  <c r="BT32" i="8"/>
  <c r="BT34" i="8"/>
  <c r="BU51" i="8"/>
  <c r="BU54" i="8"/>
  <c r="BU61" i="8"/>
  <c r="BT39" i="8"/>
  <c r="BU60" i="8"/>
  <c r="BT38" i="8"/>
  <c r="BU55" i="8"/>
  <c r="BU66" i="8"/>
  <c r="BU50" i="8"/>
  <c r="BU56" i="8"/>
  <c r="BT36" i="8"/>
  <c r="BU53" i="8"/>
  <c r="BU62" i="8"/>
  <c r="BU67" i="8"/>
  <c r="BT31" i="8"/>
  <c r="BU49" i="8"/>
  <c r="BU58" i="8"/>
  <c r="BU63" i="8"/>
  <c r="BU68" i="8"/>
  <c r="BD29" i="8"/>
  <c r="BD39" i="8"/>
  <c r="BE66" i="8"/>
  <c r="BE58" i="8"/>
  <c r="BD36" i="8"/>
  <c r="BE57" i="8"/>
  <c r="BE50" i="8"/>
  <c r="BD35" i="8"/>
  <c r="BE59" i="8"/>
  <c r="BD32" i="8"/>
  <c r="BE68" i="8"/>
  <c r="BE53" i="8"/>
  <c r="BE63" i="8"/>
  <c r="BD31" i="8"/>
  <c r="BE49" i="8"/>
  <c r="BE67" i="8"/>
  <c r="BE54" i="8"/>
  <c r="BE55" i="8"/>
  <c r="BE62" i="8"/>
  <c r="BE51" i="8"/>
  <c r="BE65" i="8"/>
  <c r="BD34" i="8"/>
  <c r="BE61" i="8"/>
  <c r="BD33" i="8"/>
  <c r="BD38" i="8"/>
  <c r="BE52" i="8"/>
  <c r="BE56" i="8"/>
  <c r="BE60" i="8"/>
  <c r="BE64" i="8"/>
  <c r="CF29" i="8"/>
  <c r="CG54" i="8"/>
  <c r="CF31" i="8"/>
  <c r="CG67" i="8"/>
  <c r="CG49" i="8"/>
  <c r="CG62" i="8"/>
  <c r="CG61" i="8"/>
  <c r="CG66" i="8"/>
  <c r="CF34" i="8"/>
  <c r="CG51" i="8"/>
  <c r="CG58" i="8"/>
  <c r="CG65" i="8"/>
  <c r="CG68" i="8"/>
  <c r="CG57" i="8"/>
  <c r="CG63" i="8"/>
  <c r="CF33" i="8"/>
  <c r="CG53" i="8"/>
  <c r="CF32" i="8"/>
  <c r="CF38" i="8"/>
  <c r="CG50" i="8"/>
  <c r="CG59" i="8"/>
  <c r="CF36" i="8"/>
  <c r="CF39" i="8"/>
  <c r="CG55" i="8"/>
  <c r="CF35" i="8"/>
  <c r="CG52" i="8"/>
  <c r="CG56" i="8"/>
  <c r="CG60" i="8"/>
  <c r="CG64" i="8"/>
  <c r="DP29" i="8"/>
  <c r="DQ50" i="8"/>
  <c r="P4" i="9"/>
  <c r="DQ49" i="8"/>
  <c r="P3" i="9"/>
  <c r="DQ62" i="8"/>
  <c r="DQ68" i="8"/>
  <c r="P19" i="9"/>
  <c r="DQ59" i="8"/>
  <c r="P13" i="9"/>
  <c r="DQ67" i="8"/>
  <c r="P18" i="9"/>
  <c r="DQ55" i="8"/>
  <c r="P9" i="9"/>
  <c r="DQ54" i="8"/>
  <c r="P8" i="9"/>
  <c r="DP36" i="8"/>
  <c r="P24" i="9"/>
  <c r="DQ64" i="8"/>
  <c r="P15" i="9"/>
  <c r="DQ61" i="8"/>
  <c r="P14" i="9"/>
  <c r="DQ52" i="8"/>
  <c r="P6" i="9"/>
  <c r="DP38" i="8"/>
  <c r="P25" i="9"/>
  <c r="DP35" i="8"/>
  <c r="P23" i="9"/>
  <c r="DP34" i="8"/>
  <c r="P22" i="9"/>
  <c r="DQ51" i="8"/>
  <c r="P5" i="9"/>
  <c r="DP33" i="8"/>
  <c r="P21" i="9"/>
  <c r="DQ66" i="8"/>
  <c r="P17" i="9"/>
  <c r="DQ56" i="8"/>
  <c r="P10" i="9"/>
  <c r="DQ63" i="8"/>
  <c r="DP32" i="8"/>
  <c r="DQ58" i="8"/>
  <c r="P12" i="9"/>
  <c r="DQ53" i="8"/>
  <c r="P7" i="9"/>
  <c r="DP39" i="8"/>
  <c r="P26" i="9"/>
  <c r="DP31" i="8"/>
  <c r="DQ65" i="8"/>
  <c r="P16" i="9"/>
  <c r="DQ57" i="8"/>
  <c r="P11" i="9"/>
  <c r="DQ60" i="8"/>
  <c r="X37" i="8"/>
  <c r="X61" i="8"/>
  <c r="X68" i="8"/>
  <c r="X49" i="8"/>
  <c r="X59" i="8"/>
  <c r="X60" i="8"/>
  <c r="X64" i="8"/>
  <c r="X51" i="8"/>
  <c r="X52" i="8"/>
  <c r="X40" i="8"/>
  <c r="G27" i="9"/>
  <c r="X53" i="8"/>
  <c r="X66" i="8"/>
  <c r="X65" i="8"/>
  <c r="X57" i="8"/>
  <c r="X67" i="8"/>
  <c r="X42" i="8"/>
  <c r="G29" i="9"/>
  <c r="X54" i="8"/>
  <c r="X62" i="8"/>
  <c r="X55" i="8"/>
  <c r="X41" i="8"/>
  <c r="G28" i="9"/>
  <c r="X56" i="8"/>
  <c r="X63" i="8"/>
  <c r="X43" i="8"/>
  <c r="G30" i="9"/>
  <c r="X50" i="8"/>
  <c r="X58" i="8"/>
  <c r="L37" i="8"/>
  <c r="L43" i="8"/>
  <c r="D30" i="9"/>
  <c r="L49" i="8"/>
  <c r="L58" i="8"/>
  <c r="L63" i="8"/>
  <c r="L59" i="8"/>
  <c r="L50" i="8"/>
  <c r="L55" i="8"/>
  <c r="L56" i="8"/>
  <c r="L66" i="8"/>
  <c r="L41" i="8"/>
  <c r="D28" i="9"/>
  <c r="L64" i="8"/>
  <c r="L57" i="8"/>
  <c r="L68" i="8"/>
  <c r="L51" i="8"/>
  <c r="L67" i="8"/>
  <c r="L53" i="8"/>
  <c r="L61" i="8"/>
  <c r="L40" i="8"/>
  <c r="D27" i="9"/>
  <c r="L54" i="8"/>
  <c r="L62" i="8"/>
  <c r="L42" i="8"/>
  <c r="D29" i="9"/>
  <c r="L52" i="8"/>
  <c r="L60" i="8"/>
  <c r="L65" i="8"/>
  <c r="P37" i="8"/>
  <c r="P41" i="8"/>
  <c r="E28" i="9"/>
  <c r="P50" i="8"/>
  <c r="P57" i="8"/>
  <c r="P66" i="8"/>
  <c r="P67" i="8"/>
  <c r="P40" i="8"/>
  <c r="E27" i="9"/>
  <c r="P56" i="8"/>
  <c r="P52" i="8"/>
  <c r="P65" i="8"/>
  <c r="P58" i="8"/>
  <c r="P60" i="8"/>
  <c r="P49" i="8"/>
  <c r="P63" i="8"/>
  <c r="P54" i="8"/>
  <c r="P43" i="8"/>
  <c r="E30" i="9"/>
  <c r="P53" i="8"/>
  <c r="P61" i="8"/>
  <c r="P68" i="8"/>
  <c r="P42" i="8"/>
  <c r="E29" i="9"/>
  <c r="P62" i="8"/>
  <c r="P55" i="8"/>
  <c r="P51" i="8"/>
  <c r="P59" i="8"/>
  <c r="P64" i="8"/>
  <c r="H37" i="8"/>
  <c r="H42" i="8"/>
  <c r="C29" i="9"/>
  <c r="H54" i="8"/>
  <c r="H56" i="8"/>
  <c r="H57" i="8"/>
  <c r="H41" i="8"/>
  <c r="C28" i="9"/>
  <c r="H55" i="8"/>
  <c r="H64" i="8"/>
  <c r="H58" i="8"/>
  <c r="H62" i="8"/>
  <c r="H40" i="8"/>
  <c r="C27" i="9"/>
  <c r="H49" i="8"/>
  <c r="H63" i="8"/>
  <c r="H51" i="8"/>
  <c r="H60" i="8"/>
  <c r="H67" i="8"/>
  <c r="H43" i="8"/>
  <c r="C30" i="9"/>
  <c r="H50" i="8"/>
  <c r="H59" i="8"/>
  <c r="H65" i="8"/>
  <c r="H52" i="8"/>
  <c r="H61" i="8"/>
  <c r="H68" i="8"/>
  <c r="H53" i="8"/>
  <c r="H66" i="8"/>
  <c r="AB37" i="8"/>
  <c r="AB40" i="8"/>
  <c r="H27" i="9"/>
  <c r="AB51" i="8"/>
  <c r="AB62" i="8"/>
  <c r="AB66" i="8"/>
  <c r="AB67" i="8"/>
  <c r="AB53" i="8"/>
  <c r="AB54" i="8"/>
  <c r="AB42" i="8"/>
  <c r="H29" i="9"/>
  <c r="AB52" i="8"/>
  <c r="AB65" i="8"/>
  <c r="AB59" i="8"/>
  <c r="AB68" i="8"/>
  <c r="AB60" i="8"/>
  <c r="AB43" i="8"/>
  <c r="H30" i="9"/>
  <c r="AB50" i="8"/>
  <c r="AB61" i="8"/>
  <c r="AB41" i="8"/>
  <c r="H28" i="9"/>
  <c r="AB55" i="8"/>
  <c r="AB56" i="8"/>
  <c r="AB58" i="8"/>
  <c r="AB64" i="8"/>
  <c r="AB49" i="8"/>
  <c r="AB57" i="8"/>
  <c r="AB63" i="8"/>
  <c r="D37" i="8"/>
  <c r="D62" i="8"/>
  <c r="D40" i="8"/>
  <c r="B27" i="9"/>
  <c r="D61" i="8"/>
  <c r="D53" i="8"/>
  <c r="D56" i="8"/>
  <c r="D52" i="8"/>
  <c r="D43" i="8"/>
  <c r="B30" i="9"/>
  <c r="D57" i="8"/>
  <c r="D63" i="8"/>
  <c r="D64" i="8"/>
  <c r="D54" i="8"/>
  <c r="D65" i="8"/>
  <c r="D55" i="8"/>
  <c r="D66" i="8"/>
  <c r="D49" i="8"/>
  <c r="D58" i="8"/>
  <c r="D68" i="8"/>
  <c r="D42" i="8"/>
  <c r="B29" i="9"/>
  <c r="D50" i="8"/>
  <c r="D60" i="8"/>
  <c r="D41" i="8"/>
  <c r="B28" i="9"/>
  <c r="D51" i="8"/>
  <c r="D59" i="8"/>
  <c r="D67" i="8"/>
  <c r="T37" i="8"/>
  <c r="T43" i="8"/>
  <c r="F30" i="9"/>
  <c r="T58" i="8"/>
  <c r="T59" i="8"/>
  <c r="T50" i="8"/>
  <c r="T49" i="8"/>
  <c r="T40" i="8"/>
  <c r="F27" i="9"/>
  <c r="T62" i="8"/>
  <c r="T42" i="8"/>
  <c r="F29" i="9"/>
  <c r="T57" i="8"/>
  <c r="T68" i="8"/>
  <c r="T64" i="8"/>
  <c r="T55" i="8"/>
  <c r="T56" i="8"/>
  <c r="T63" i="8"/>
  <c r="T51" i="8"/>
  <c r="T67" i="8"/>
  <c r="T54" i="8"/>
  <c r="T53" i="8"/>
  <c r="T61" i="8"/>
  <c r="T66" i="8"/>
  <c r="T41" i="8"/>
  <c r="F28" i="9"/>
  <c r="T65" i="8"/>
  <c r="T60" i="8"/>
  <c r="T52" i="8"/>
  <c r="AF37" i="8"/>
  <c r="AF61" i="8"/>
  <c r="AF68" i="8"/>
  <c r="AF43" i="8"/>
  <c r="I30" i="9"/>
  <c r="AF55" i="8"/>
  <c r="AF60" i="8"/>
  <c r="AF51" i="8"/>
  <c r="AF42" i="8"/>
  <c r="I29" i="9"/>
  <c r="AF63" i="8"/>
  <c r="AF53" i="8"/>
  <c r="AF66" i="8"/>
  <c r="AF62" i="8"/>
  <c r="AF52" i="8"/>
  <c r="AF54" i="8"/>
  <c r="AF67" i="8"/>
  <c r="AF64" i="8"/>
  <c r="AF41" i="8"/>
  <c r="I28" i="9"/>
  <c r="AF57" i="8"/>
  <c r="AF49" i="8"/>
  <c r="AF58" i="8"/>
  <c r="AF50" i="8"/>
  <c r="AF59" i="8"/>
  <c r="AF65" i="8"/>
  <c r="AF40" i="8"/>
  <c r="I27" i="9"/>
  <c r="AF56" i="8"/>
  <c r="AJ37" i="8"/>
  <c r="AJ54" i="8"/>
  <c r="AJ67" i="8"/>
  <c r="AJ41" i="8"/>
  <c r="J28" i="9"/>
  <c r="AJ53" i="8"/>
  <c r="AJ42" i="8"/>
  <c r="J29" i="9"/>
  <c r="AJ52" i="8"/>
  <c r="AJ63" i="8"/>
  <c r="AJ56" i="8"/>
  <c r="AJ57" i="8"/>
  <c r="AJ43" i="8"/>
  <c r="J30" i="9"/>
  <c r="AJ61" i="8"/>
  <c r="AJ40" i="8"/>
  <c r="J27" i="9"/>
  <c r="AJ49" i="8"/>
  <c r="AJ58" i="8"/>
  <c r="AJ64" i="8"/>
  <c r="AJ50" i="8"/>
  <c r="AJ59" i="8"/>
  <c r="AJ65" i="8"/>
  <c r="AJ51" i="8"/>
  <c r="AJ60" i="8"/>
  <c r="AJ66" i="8"/>
  <c r="AJ55" i="8"/>
  <c r="AJ62" i="8"/>
  <c r="AJ68" i="8"/>
  <c r="AN37" i="8"/>
  <c r="AN56" i="8"/>
  <c r="AN62" i="8"/>
  <c r="AN58" i="8"/>
  <c r="AN40" i="8"/>
  <c r="K27" i="9"/>
  <c r="AN57" i="8"/>
  <c r="AN42" i="8"/>
  <c r="K29" i="9"/>
  <c r="AN63" i="8"/>
  <c r="AN53" i="8"/>
  <c r="AN49" i="8"/>
  <c r="AN55" i="8"/>
  <c r="AN64" i="8"/>
  <c r="AN50" i="8"/>
  <c r="AN59" i="8"/>
  <c r="AN65" i="8"/>
  <c r="AN51" i="8"/>
  <c r="AN60" i="8"/>
  <c r="AN66" i="8"/>
  <c r="AN43" i="8"/>
  <c r="K30" i="9"/>
  <c r="AN52" i="8"/>
  <c r="AN68" i="8"/>
  <c r="AN41" i="8"/>
  <c r="K28" i="9"/>
  <c r="AN54" i="8"/>
  <c r="AN61" i="8"/>
  <c r="AN67" i="8"/>
  <c r="AR37" i="8"/>
  <c r="AR56" i="8"/>
  <c r="AR58" i="8"/>
  <c r="AR66" i="8"/>
  <c r="AR51" i="8"/>
  <c r="AR60" i="8"/>
  <c r="AR42" i="8"/>
  <c r="AR41" i="8"/>
  <c r="AR52" i="8"/>
  <c r="AR67" i="8"/>
  <c r="AR40" i="8"/>
  <c r="AR62" i="8"/>
  <c r="AR68" i="8"/>
  <c r="AR54" i="8"/>
  <c r="AR63" i="8"/>
  <c r="AR50" i="8"/>
  <c r="AR59" i="8"/>
  <c r="AR43" i="8"/>
  <c r="AR55" i="8"/>
  <c r="AR64" i="8"/>
  <c r="AR49" i="8"/>
  <c r="AR53" i="8"/>
  <c r="AR57" i="8"/>
  <c r="AR61" i="8"/>
  <c r="AR65" i="8"/>
  <c r="AV37" i="8"/>
  <c r="AV49" i="8"/>
  <c r="AV60" i="8"/>
  <c r="AV50" i="8"/>
  <c r="AV64" i="8"/>
  <c r="AV65" i="8"/>
  <c r="AV43" i="8"/>
  <c r="L30" i="9"/>
  <c r="AV56" i="8"/>
  <c r="AV57" i="8"/>
  <c r="AV40" i="8"/>
  <c r="L27" i="9"/>
  <c r="AV58" i="8"/>
  <c r="AV42" i="8"/>
  <c r="L29" i="9"/>
  <c r="AV66" i="8"/>
  <c r="AV59" i="8"/>
  <c r="AV52" i="8"/>
  <c r="AV51" i="8"/>
  <c r="AV53" i="8"/>
  <c r="AV63" i="8"/>
  <c r="AV41" i="8"/>
  <c r="L28" i="9"/>
  <c r="AV54" i="8"/>
  <c r="AV61" i="8"/>
  <c r="AV67" i="8"/>
  <c r="AV55" i="8"/>
  <c r="AV62" i="8"/>
  <c r="AV68" i="8"/>
  <c r="AZ37" i="8"/>
  <c r="AZ55" i="8"/>
  <c r="AZ56" i="8"/>
  <c r="AZ50" i="8"/>
  <c r="AZ66" i="8"/>
  <c r="AZ43" i="8"/>
  <c r="AZ41" i="8"/>
  <c r="AZ42" i="8"/>
  <c r="AZ63" i="8"/>
  <c r="AZ58" i="8"/>
  <c r="AZ51" i="8"/>
  <c r="AZ68" i="8"/>
  <c r="AZ67" i="8"/>
  <c r="AZ60" i="8"/>
  <c r="AZ52" i="8"/>
  <c r="AZ62" i="8"/>
  <c r="AZ54" i="8"/>
  <c r="AZ59" i="8"/>
  <c r="AZ64" i="8"/>
  <c r="AZ40" i="8"/>
  <c r="AZ49" i="8"/>
  <c r="AZ53" i="8"/>
  <c r="AZ57" i="8"/>
  <c r="AZ61" i="8"/>
  <c r="AZ65" i="8"/>
  <c r="BD37" i="8"/>
  <c r="BD42" i="8"/>
  <c r="BD58" i="8"/>
  <c r="BD64" i="8"/>
  <c r="BD54" i="8"/>
  <c r="BD43" i="8"/>
  <c r="BD65" i="8"/>
  <c r="BD53" i="8"/>
  <c r="BD63" i="8"/>
  <c r="BD59" i="8"/>
  <c r="BD51" i="8"/>
  <c r="BD55" i="8"/>
  <c r="BD62" i="8"/>
  <c r="BD49" i="8"/>
  <c r="BD60" i="8"/>
  <c r="BD67" i="8"/>
  <c r="BD50" i="8"/>
  <c r="BD68" i="8"/>
  <c r="BD41" i="8"/>
  <c r="BD56" i="8"/>
  <c r="BD61" i="8"/>
  <c r="BD40" i="8"/>
  <c r="BD52" i="8"/>
  <c r="BD57" i="8"/>
  <c r="BD66" i="8"/>
  <c r="BH37" i="8"/>
  <c r="BH53" i="8"/>
  <c r="BH56" i="8"/>
  <c r="BH55" i="8"/>
  <c r="BH65" i="8"/>
  <c r="BH66" i="8"/>
  <c r="BH63" i="8"/>
  <c r="BH52" i="8"/>
  <c r="BH68" i="8"/>
  <c r="BH42" i="8"/>
  <c r="M29" i="9"/>
  <c r="BH50" i="8"/>
  <c r="BH43" i="8"/>
  <c r="M30" i="9"/>
  <c r="BH59" i="8"/>
  <c r="BH60" i="8"/>
  <c r="BH51" i="8"/>
  <c r="BH62" i="8"/>
  <c r="BH57" i="8"/>
  <c r="BH40" i="8"/>
  <c r="M27" i="9"/>
  <c r="BH49" i="8"/>
  <c r="BH58" i="8"/>
  <c r="BH64" i="8"/>
  <c r="BH41" i="8"/>
  <c r="M28" i="9"/>
  <c r="BH54" i="8"/>
  <c r="BH61" i="8"/>
  <c r="BH67" i="8"/>
  <c r="BL37" i="8"/>
  <c r="BL59" i="8"/>
  <c r="BL42" i="8"/>
  <c r="BL63" i="8"/>
  <c r="BL43" i="8"/>
  <c r="BL51" i="8"/>
  <c r="BL64" i="8"/>
  <c r="BL52" i="8"/>
  <c r="BL56" i="8"/>
  <c r="BL54" i="8"/>
  <c r="BL55" i="8"/>
  <c r="BL41" i="8"/>
  <c r="BL40" i="8"/>
  <c r="BL60" i="8"/>
  <c r="BL66" i="8"/>
  <c r="BL50" i="8"/>
  <c r="BL68" i="8"/>
  <c r="BL62" i="8"/>
  <c r="BL58" i="8"/>
  <c r="BL67" i="8"/>
  <c r="BL49" i="8"/>
  <c r="BL53" i="8"/>
  <c r="BL57" i="8"/>
  <c r="BL61" i="8"/>
  <c r="BL65" i="8"/>
  <c r="BP37" i="8"/>
  <c r="BP40" i="8"/>
  <c r="BP55" i="8"/>
  <c r="BP60" i="8"/>
  <c r="BP56" i="8"/>
  <c r="BP68" i="8"/>
  <c r="BP61" i="8"/>
  <c r="BP51" i="8"/>
  <c r="BP42" i="8"/>
  <c r="BP52" i="8"/>
  <c r="BP59" i="8"/>
  <c r="BP57" i="8"/>
  <c r="BP64" i="8"/>
  <c r="BP41" i="8"/>
  <c r="BP65" i="8"/>
  <c r="BP53" i="8"/>
  <c r="BP67" i="8"/>
  <c r="BP49" i="8"/>
  <c r="BP63" i="8"/>
  <c r="BP43" i="8"/>
  <c r="BP50" i="8"/>
  <c r="BP54" i="8"/>
  <c r="BP58" i="8"/>
  <c r="BP62" i="8"/>
  <c r="BP66" i="8"/>
  <c r="BT37" i="8"/>
  <c r="BT52" i="8"/>
  <c r="BT53" i="8"/>
  <c r="BT57" i="8"/>
  <c r="BT65" i="8"/>
  <c r="BT40" i="8"/>
  <c r="BT60" i="8"/>
  <c r="BT43" i="8"/>
  <c r="BT42" i="8"/>
  <c r="BT64" i="8"/>
  <c r="BT66" i="8"/>
  <c r="BT50" i="8"/>
  <c r="BT56" i="8"/>
  <c r="BT61" i="8"/>
  <c r="BT62" i="8"/>
  <c r="BT49" i="8"/>
  <c r="BT58" i="8"/>
  <c r="BT54" i="8"/>
  <c r="BT68" i="8"/>
  <c r="BT41" i="8"/>
  <c r="BT51" i="8"/>
  <c r="BT55" i="8"/>
  <c r="BT59" i="8"/>
  <c r="BT63" i="8"/>
  <c r="BT67" i="8"/>
  <c r="BX37" i="8"/>
  <c r="BX55" i="8"/>
  <c r="BX49" i="8"/>
  <c r="BX51" i="8"/>
  <c r="BX62" i="8"/>
  <c r="BX57" i="8"/>
  <c r="BX67" i="8"/>
  <c r="BX61" i="8"/>
  <c r="BX43" i="8"/>
  <c r="BX41" i="8"/>
  <c r="BX53" i="8"/>
  <c r="BX42" i="8"/>
  <c r="BX58" i="8"/>
  <c r="BX65" i="8"/>
  <c r="BX40" i="8"/>
  <c r="BX66" i="8"/>
  <c r="BX54" i="8"/>
  <c r="BX63" i="8"/>
  <c r="BX50" i="8"/>
  <c r="BX59" i="8"/>
  <c r="BX52" i="8"/>
  <c r="BX56" i="8"/>
  <c r="BX60" i="8"/>
  <c r="BX64" i="8"/>
  <c r="BX68" i="8"/>
  <c r="CB37" i="8"/>
  <c r="CB49" i="8"/>
  <c r="CB51" i="8"/>
  <c r="CB42" i="8"/>
  <c r="N29" i="9"/>
  <c r="CB59" i="8"/>
  <c r="CB50" i="8"/>
  <c r="CB60" i="8"/>
  <c r="CB40" i="8"/>
  <c r="N27" i="9"/>
  <c r="CB63" i="8"/>
  <c r="CB41" i="8"/>
  <c r="N28" i="9"/>
  <c r="CB55" i="8"/>
  <c r="CB57" i="8"/>
  <c r="CB65" i="8"/>
  <c r="CB56" i="8"/>
  <c r="CB64" i="8"/>
  <c r="CB58" i="8"/>
  <c r="CB67" i="8"/>
  <c r="CB43" i="8"/>
  <c r="N30" i="9"/>
  <c r="CB52" i="8"/>
  <c r="CB61" i="8"/>
  <c r="CB68" i="8"/>
  <c r="CB54" i="8"/>
  <c r="CB62" i="8"/>
  <c r="CB53" i="8"/>
  <c r="CB66" i="8"/>
  <c r="CF37" i="8"/>
  <c r="CF57" i="8"/>
  <c r="CF68" i="8"/>
  <c r="CF61" i="8"/>
  <c r="CF67" i="8"/>
  <c r="CF42" i="8"/>
  <c r="CF56" i="8"/>
  <c r="CF49" i="8"/>
  <c r="CF50" i="8"/>
  <c r="CF62" i="8"/>
  <c r="CF54" i="8"/>
  <c r="CF52" i="8"/>
  <c r="CF63" i="8"/>
  <c r="CF40" i="8"/>
  <c r="CF53" i="8"/>
  <c r="CF58" i="8"/>
  <c r="CF41" i="8"/>
  <c r="CF59" i="8"/>
  <c r="CF66" i="8"/>
  <c r="CF55" i="8"/>
  <c r="CF64" i="8"/>
  <c r="CF51" i="8"/>
  <c r="CF60" i="8"/>
  <c r="CF65" i="8"/>
  <c r="CF43" i="8"/>
  <c r="CJ37" i="8"/>
  <c r="CJ58" i="8"/>
  <c r="CJ64" i="8"/>
  <c r="CJ54" i="8"/>
  <c r="CJ53" i="8"/>
  <c r="CJ66" i="8"/>
  <c r="CJ41" i="8"/>
  <c r="CJ42" i="8"/>
  <c r="CJ59" i="8"/>
  <c r="CJ52" i="8"/>
  <c r="CJ62" i="8"/>
  <c r="CJ43" i="8"/>
  <c r="CJ61" i="8"/>
  <c r="CJ67" i="8"/>
  <c r="CJ50" i="8"/>
  <c r="CJ68" i="8"/>
  <c r="CJ49" i="8"/>
  <c r="CJ55" i="8"/>
  <c r="CJ57" i="8"/>
  <c r="CJ63" i="8"/>
  <c r="CJ51" i="8"/>
  <c r="CJ60" i="8"/>
  <c r="CJ40" i="8"/>
  <c r="CJ56" i="8"/>
  <c r="CJ65" i="8"/>
  <c r="CN37" i="8"/>
  <c r="CN68" i="8"/>
  <c r="CN51" i="8"/>
  <c r="CN55" i="8"/>
  <c r="CN62" i="8"/>
  <c r="CN50" i="8"/>
  <c r="CN63" i="8"/>
  <c r="CN57" i="8"/>
  <c r="CN49" i="8"/>
  <c r="CN53" i="8"/>
  <c r="CN58" i="8"/>
  <c r="CN64" i="8"/>
  <c r="CN42" i="8"/>
  <c r="CN67" i="8"/>
  <c r="CN59" i="8"/>
  <c r="CN43" i="8"/>
  <c r="CN54" i="8"/>
  <c r="CN60" i="8"/>
  <c r="CN40" i="8"/>
  <c r="CN56" i="8"/>
  <c r="CN65" i="8"/>
  <c r="CN41" i="8"/>
  <c r="CN52" i="8"/>
  <c r="CN61" i="8"/>
  <c r="CN66" i="8"/>
  <c r="CR37" i="8"/>
  <c r="CR56" i="8"/>
  <c r="CR50" i="8"/>
  <c r="CR64" i="8"/>
  <c r="CR57" i="8"/>
  <c r="CR62" i="8"/>
  <c r="CR52" i="8"/>
  <c r="CR58" i="8"/>
  <c r="CR43" i="8"/>
  <c r="CR53" i="8"/>
  <c r="CR61" i="8"/>
  <c r="CR68" i="8"/>
  <c r="CR66" i="8"/>
  <c r="CR42" i="8"/>
  <c r="CR49" i="8"/>
  <c r="CR54" i="8"/>
  <c r="CR60" i="8"/>
  <c r="CR65" i="8"/>
  <c r="CR41" i="8"/>
  <c r="CR51" i="8"/>
  <c r="CR55" i="8"/>
  <c r="CR59" i="8"/>
  <c r="CR63" i="8"/>
  <c r="CR67" i="8"/>
  <c r="CR40" i="8"/>
  <c r="CV37" i="8"/>
  <c r="CV43" i="8"/>
  <c r="O30" i="9"/>
  <c r="CV40" i="8"/>
  <c r="O27" i="9"/>
  <c r="CV49" i="8"/>
  <c r="CV63" i="8"/>
  <c r="CV50" i="8"/>
  <c r="CV53" i="8"/>
  <c r="CV54" i="8"/>
  <c r="CV62" i="8"/>
  <c r="CV56" i="8"/>
  <c r="CV55" i="8"/>
  <c r="CV68" i="8"/>
  <c r="CV61" i="8"/>
  <c r="CV57" i="8"/>
  <c r="CV66" i="8"/>
  <c r="CV41" i="8"/>
  <c r="O28" i="9"/>
  <c r="CV58" i="8"/>
  <c r="CV67" i="8"/>
  <c r="CV51" i="8"/>
  <c r="CV59" i="8"/>
  <c r="CV64" i="8"/>
  <c r="CV42" i="8"/>
  <c r="O29" i="9"/>
  <c r="CV52" i="8"/>
  <c r="CV60" i="8"/>
  <c r="CV65" i="8"/>
  <c r="CZ37" i="8"/>
  <c r="CZ53" i="8"/>
  <c r="CZ54" i="8"/>
  <c r="CZ66" i="8"/>
  <c r="CZ59" i="8"/>
  <c r="CZ41" i="8"/>
  <c r="CZ61" i="8"/>
  <c r="CZ42" i="8"/>
  <c r="CZ49" i="8"/>
  <c r="CZ55" i="8"/>
  <c r="CZ63" i="8"/>
  <c r="CZ50" i="8"/>
  <c r="CZ58" i="8"/>
  <c r="CZ65" i="8"/>
  <c r="CZ43" i="8"/>
  <c r="CZ51" i="8"/>
  <c r="CZ57" i="8"/>
  <c r="CZ62" i="8"/>
  <c r="CZ67" i="8"/>
  <c r="CZ40" i="8"/>
  <c r="CZ52" i="8"/>
  <c r="CZ56" i="8"/>
  <c r="CZ60" i="8"/>
  <c r="CZ64" i="8"/>
  <c r="CZ68" i="8"/>
  <c r="DD37" i="8"/>
  <c r="DD42" i="8"/>
  <c r="DD54" i="8"/>
  <c r="DD61" i="8"/>
  <c r="DD41" i="8"/>
  <c r="DD40" i="8"/>
  <c r="DD64" i="8"/>
  <c r="DD50" i="8"/>
  <c r="DD65" i="8"/>
  <c r="DD58" i="8"/>
  <c r="DD52" i="8"/>
  <c r="DD60" i="8"/>
  <c r="DD68" i="8"/>
  <c r="DD56" i="8"/>
  <c r="DD43" i="8"/>
  <c r="DD51" i="8"/>
  <c r="DD57" i="8"/>
  <c r="DD66" i="8"/>
  <c r="DD49" i="8"/>
  <c r="DD53" i="8"/>
  <c r="DD62" i="8"/>
  <c r="DD55" i="8"/>
  <c r="DD59" i="8"/>
  <c r="DD63" i="8"/>
  <c r="DD67" i="8"/>
  <c r="DH37" i="8"/>
  <c r="DH51" i="8"/>
  <c r="DH59" i="8"/>
  <c r="DH61" i="8"/>
  <c r="DH42" i="8"/>
  <c r="DH55" i="8"/>
  <c r="DH43" i="8"/>
  <c r="DH63" i="8"/>
  <c r="DH50" i="8"/>
  <c r="DH57" i="8"/>
  <c r="DH65" i="8"/>
  <c r="DH41" i="8"/>
  <c r="DH54" i="8"/>
  <c r="DH40" i="8"/>
  <c r="DH66" i="8"/>
  <c r="DH53" i="8"/>
  <c r="DH62" i="8"/>
  <c r="DH49" i="8"/>
  <c r="DH58" i="8"/>
  <c r="DH67" i="8"/>
  <c r="DH52" i="8"/>
  <c r="DH56" i="8"/>
  <c r="DH60" i="8"/>
  <c r="DH64" i="8"/>
  <c r="DH68" i="8"/>
  <c r="DL37" i="8"/>
  <c r="DL59" i="8"/>
  <c r="DL66" i="8"/>
  <c r="DL40" i="8"/>
  <c r="DL50" i="8"/>
  <c r="DL56" i="8"/>
  <c r="DL60" i="8"/>
  <c r="DL52" i="8"/>
  <c r="DL42" i="8"/>
  <c r="DL68" i="8"/>
  <c r="DL41" i="8"/>
  <c r="DL55" i="8"/>
  <c r="DL62" i="8"/>
  <c r="DL51" i="8"/>
  <c r="DL43" i="8"/>
  <c r="DL64" i="8"/>
  <c r="DL58" i="8"/>
  <c r="DL67" i="8"/>
  <c r="DL54" i="8"/>
  <c r="DL63" i="8"/>
  <c r="DL49" i="8"/>
  <c r="DL53" i="8"/>
  <c r="DL57" i="8"/>
  <c r="DL61" i="8"/>
  <c r="DL65" i="8"/>
  <c r="DP37" i="8"/>
  <c r="DP61" i="8"/>
  <c r="DP64" i="8"/>
  <c r="DP49" i="8"/>
  <c r="DP42" i="8"/>
  <c r="P29" i="9"/>
  <c r="DP50" i="8"/>
  <c r="DP65" i="8"/>
  <c r="DP41" i="8"/>
  <c r="P28" i="9"/>
  <c r="DP57" i="8"/>
  <c r="DP56" i="8"/>
  <c r="DP58" i="8"/>
  <c r="DP59" i="8"/>
  <c r="DP40" i="8"/>
  <c r="P27" i="9"/>
  <c r="DP53" i="8"/>
  <c r="DP63" i="8"/>
  <c r="DP54" i="8"/>
  <c r="DP51" i="8"/>
  <c r="DP60" i="8"/>
  <c r="DP66" i="8"/>
  <c r="DP43" i="8"/>
  <c r="P30" i="9"/>
  <c r="DP52" i="8"/>
  <c r="DP67" i="8"/>
  <c r="DP55" i="8"/>
  <c r="DP62" i="8"/>
  <c r="DP68" i="8"/>
  <c r="B44" i="8"/>
</calcChain>
</file>

<file path=xl/comments1.xml><?xml version="1.0" encoding="utf-8"?>
<comments xmlns="http://schemas.openxmlformats.org/spreadsheetml/2006/main">
  <authors>
    <author>Cristina Duminuco</author>
    <author>Giorgio Facchinetti</author>
  </authors>
  <commentList>
    <comment ref="D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H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L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P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T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X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AB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AF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AJ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AN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AR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AV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AZ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BD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BH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BL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BP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BT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BX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CB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CF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CJ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CN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CR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CV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CZ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DD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DH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DL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DP12" authorId="0">
      <text>
        <r>
          <rPr>
            <sz val="8"/>
            <color indexed="81"/>
            <rFont val="Tahoma"/>
          </rPr>
          <t>max number of iterations.
Default for abcd calibration = 1000</t>
        </r>
      </text>
    </comment>
    <comment ref="D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H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L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P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T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X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AB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AF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AJ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AN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AR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AV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AZ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BD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BH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BL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BP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BT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BX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CB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CF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CJ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CN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CR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CV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CZ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DD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DH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DL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DP13" authorId="0">
      <text>
        <r>
          <rPr>
            <sz val="8"/>
            <color indexed="81"/>
            <rFont val="Tahoma"/>
          </rPr>
          <t>max number of iterations in a stationary state.
Default in abcd calibration = 100</t>
        </r>
      </text>
    </comment>
    <comment ref="D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H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L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P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T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X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AB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AF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AJ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AN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AR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AV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AZ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BD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BH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BL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BP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BT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BX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CB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CF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CJ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CN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CR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CV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CZ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DD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DH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DL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DP14" authorId="0">
      <text>
        <r>
          <rPr>
            <sz val="8"/>
            <color indexed="81"/>
            <rFont val="Tahoma"/>
          </rPr>
          <t>tolerance on the root value.
Default in abcd calibration = 1.e-08</t>
        </r>
      </text>
    </comment>
    <comment ref="D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H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L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P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T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X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AB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AF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AJ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AN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AR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AV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AZ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BD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BH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BL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BP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BT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BX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CB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CF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CJ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CN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CR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CV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CZ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DD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DH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DL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DP15" authorId="0">
      <text>
        <r>
          <rPr>
            <sz val="8"/>
            <color indexed="81"/>
            <rFont val="Tahoma"/>
          </rPr>
          <t>tolerance on the function value.
Default in abcd calibration 3.e-04</t>
        </r>
      </text>
    </comment>
    <comment ref="D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H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L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P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T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X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AB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AF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AJ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AN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AR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AV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AZ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BD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BH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BL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BP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BT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BX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CB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CF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CJ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CN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CR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CV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CZ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DD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DH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DL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DP16" authorId="0">
      <text>
        <r>
          <rPr>
            <sz val="8"/>
            <color indexed="81"/>
            <rFont val="Tahoma"/>
          </rPr>
          <t>tolerance on the function gradient norm value.
Default in abcd calibration 3.e-04</t>
        </r>
      </text>
    </comment>
    <comment ref="D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H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L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P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T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X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AB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AF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AJ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AN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AR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AV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AZ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BD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BH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BL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BP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BT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BX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CB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CF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CJ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CN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CR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CV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CZ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DD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DH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DL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DP20" authorId="0">
      <text>
        <r>
          <rPr>
            <sz val="8"/>
            <color indexed="81"/>
            <rFont val="Tahoma"/>
          </rPr>
          <t>lambda (typical scale length of the problem)</t>
        </r>
      </text>
    </comment>
    <comment ref="D23" authorId="1">
      <text>
        <r>
          <rPr>
            <sz val="8"/>
            <color indexed="81"/>
            <rFont val="Tahoma"/>
          </rPr>
          <t>epsfcn.
If omitted, default = 1.0e-8 is used.</t>
        </r>
      </text>
    </comment>
    <comment ref="H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L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P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T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X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AB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AF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AJ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AN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AR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AV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AZ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BD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BH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BL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BP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BT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BX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CB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CF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CJ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CN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CR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CV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CZ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DD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DH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DL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DP23" authorId="1">
      <text>
        <r>
          <rPr>
            <sz val="8"/>
            <color indexed="81"/>
            <rFont val="Tahoma"/>
          </rPr>
          <t>epsfcn. If omitted, default = 1.0e-8 is used.</t>
        </r>
      </text>
    </comment>
    <comment ref="D24" authorId="1">
      <text>
        <r>
          <rPr>
            <sz val="8"/>
            <color indexed="81"/>
            <rFont val="Tahoma"/>
          </rPr>
          <t>xtol.
If omitted, default = 1.0e-8 is used.</t>
        </r>
      </text>
    </comment>
    <comment ref="H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L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P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T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X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AB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AF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AJ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AN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AR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AV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AZ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BD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BH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BL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BP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BT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BX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CB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CF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CJ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CN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CR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CV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CZ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DD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DH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DL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DP24" authorId="1">
      <text>
        <r>
          <rPr>
            <sz val="8"/>
            <color indexed="81"/>
            <rFont val="Tahoma"/>
          </rPr>
          <t>xtol. If omitted, default = 1.0e-8 is used.</t>
        </r>
      </text>
    </comment>
    <comment ref="D25" authorId="1">
      <text>
        <r>
          <rPr>
            <sz val="8"/>
            <color indexed="81"/>
            <rFont val="Tahoma"/>
          </rPr>
          <t>gtol.
If omitted, default = 1.0e-8 is used.</t>
        </r>
      </text>
    </comment>
    <comment ref="H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L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P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T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X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AB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AF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AJ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AN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AR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AV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AZ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BD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BH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BL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BP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BT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BX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CB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CF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CJ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CN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CR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CV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CZ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DD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DH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DL25" authorId="1">
      <text>
        <r>
          <rPr>
            <sz val="8"/>
            <color indexed="81"/>
            <rFont val="Tahoma"/>
          </rPr>
          <t>gtol. If omitted, default = 1.0e-8 is used.</t>
        </r>
      </text>
    </comment>
    <comment ref="DP25" authorId="1">
      <text>
        <r>
          <rPr>
            <sz val="8"/>
            <color indexed="81"/>
            <rFont val="Tahoma"/>
          </rPr>
          <t>gtol. If omitted, default = 1.0e-8 is used.</t>
        </r>
      </text>
    </comment>
  </commentList>
</comments>
</file>

<file path=xl/sharedStrings.xml><?xml version="1.0" encoding="utf-8"?>
<sst xmlns="http://schemas.openxmlformats.org/spreadsheetml/2006/main" count="1518" uniqueCount="85">
  <si>
    <t>Guess</t>
  </si>
  <si>
    <t>isFixed</t>
  </si>
  <si>
    <t>a</t>
  </si>
  <si>
    <t>b</t>
  </si>
  <si>
    <t>c</t>
  </si>
  <si>
    <t>d</t>
  </si>
  <si>
    <t>abcd</t>
  </si>
  <si>
    <t>end criteria</t>
  </si>
  <si>
    <t>error</t>
  </si>
  <si>
    <t>max error</t>
  </si>
  <si>
    <t>short term vol</t>
  </si>
  <si>
    <t>long term vol</t>
  </si>
  <si>
    <t>max vol</t>
  </si>
  <si>
    <t>max vol at t</t>
  </si>
  <si>
    <t>Index</t>
  </si>
  <si>
    <t>K</t>
  </si>
  <si>
    <t>Tenor</t>
  </si>
  <si>
    <t>Vol</t>
  </si>
  <si>
    <t>EURSwaptionATMVol</t>
  </si>
  <si>
    <t>Time To Expiry</t>
  </si>
  <si>
    <t>Model Black Vol</t>
  </si>
  <si>
    <t>1M</t>
  </si>
  <si>
    <t>2M</t>
  </si>
  <si>
    <t>3M</t>
  </si>
  <si>
    <t>6M</t>
  </si>
  <si>
    <t>9M</t>
  </si>
  <si>
    <t>1Y</t>
  </si>
  <si>
    <t>18M</t>
  </si>
  <si>
    <t>2Y</t>
  </si>
  <si>
    <t>3Y</t>
  </si>
  <si>
    <t>4Y</t>
  </si>
  <si>
    <t>5Y</t>
  </si>
  <si>
    <t>7Y</t>
  </si>
  <si>
    <t>10Y</t>
  </si>
  <si>
    <t>15Y</t>
  </si>
  <si>
    <t>20Y</t>
  </si>
  <si>
    <t>25Y</t>
  </si>
  <si>
    <t>30Y</t>
  </si>
  <si>
    <t>Times</t>
  </si>
  <si>
    <t>Market Black Vol</t>
  </si>
  <si>
    <t>MaxIterations</t>
  </si>
  <si>
    <t>MaxStationaryStateIterations</t>
  </si>
  <si>
    <t>RootEpsilon</t>
  </si>
  <si>
    <t>FunctionEpsilon</t>
  </si>
  <si>
    <t>GradientNormEpsilon</t>
  </si>
  <si>
    <t>Trigger</t>
  </si>
  <si>
    <t>EndCriteria</t>
  </si>
  <si>
    <t>Error</t>
  </si>
  <si>
    <t>Lambda</t>
  </si>
  <si>
    <t>Simplex</t>
  </si>
  <si>
    <t>ATM Fwd Swap Rate</t>
  </si>
  <si>
    <t>Displaced Vol</t>
  </si>
  <si>
    <t>Displacement</t>
  </si>
  <si>
    <t>6Y</t>
  </si>
  <si>
    <t>8Y</t>
  </si>
  <si>
    <t>9Y</t>
  </si>
  <si>
    <t>12Y</t>
  </si>
  <si>
    <t>Abcd Black Vol</t>
  </si>
  <si>
    <t>LevenbergMarquardt</t>
  </si>
  <si>
    <t>Epsfcn</t>
  </si>
  <si>
    <t>Xtol</t>
  </si>
  <si>
    <t>Gtol</t>
  </si>
  <si>
    <t>Default</t>
  </si>
  <si>
    <t>optimizationMethod</t>
  </si>
  <si>
    <t>calibration result</t>
  </si>
  <si>
    <t>Customized</t>
  </si>
  <si>
    <t>Undisc. Black Price</t>
  </si>
  <si>
    <t>o/w displacement here</t>
  </si>
  <si>
    <t>End Criteria</t>
  </si>
  <si>
    <t>Optimizers</t>
  </si>
  <si>
    <t>abcdCalibration</t>
  </si>
  <si>
    <t>calibrate flag</t>
  </si>
  <si>
    <t>compute</t>
  </si>
  <si>
    <t>Dates</t>
  </si>
  <si>
    <t>GENERAL SETTINGS</t>
  </si>
  <si>
    <t>Permanent</t>
  </si>
  <si>
    <t>Serialize</t>
  </si>
  <si>
    <t>SerializationPath</t>
  </si>
  <si>
    <t>FileOverwrite</t>
  </si>
  <si>
    <t>Additional Settings</t>
  </si>
  <si>
    <t>Name</t>
  </si>
  <si>
    <t>Currency</t>
  </si>
  <si>
    <t>EUR</t>
  </si>
  <si>
    <t>SwaptionDisplacedAbcdAtmVolCurve</t>
  </si>
  <si>
    <t>ObjectOverwrite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</si>
</sst>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"/>
    <numFmt numFmtId="165" formatCode="0.0000"/>
    <numFmt numFmtId="166" formatCode="0.000"/>
    <numFmt numFmtId="167" formatCode="0.0000%"/>
    <numFmt numFmtId="168" formatCode="0.E+00"/>
    <numFmt numFmtId="169" formatCode="ddd\,\ d\-mmm\-yyyy\,\ hh:mm:ss"/>
  </numFmts>
  <fonts count="17" x14ac:knownFonts="1">
    <font>
      <sz val="10"/>
      <name val="Arial"/>
    </font>
    <font>
      <sz val="10"/>
      <name val="Arial"/>
    </font>
    <font>
      <sz val="8"/>
      <name val="Arial"/>
    </font>
    <font>
      <b/>
      <sz val="8"/>
      <name val="Arial"/>
    </font>
    <font>
      <b/>
      <sz val="8"/>
      <name val="Arial"/>
      <family val="2"/>
    </font>
    <font>
      <b/>
      <sz val="8"/>
      <color indexed="12"/>
      <name val="Arial"/>
      <family val="2"/>
    </font>
    <font>
      <sz val="10"/>
      <name val="MS Sans Serif"/>
    </font>
    <font>
      <sz val="8"/>
      <name val="Arial"/>
      <family val="2"/>
    </font>
    <font>
      <b/>
      <sz val="10"/>
      <name val="Arial"/>
      <family val="2"/>
    </font>
    <font>
      <sz val="8"/>
      <color indexed="81"/>
      <name val="Tahoma"/>
    </font>
    <font>
      <sz val="8"/>
      <color indexed="10"/>
      <name val="Arial"/>
      <family val="2"/>
    </font>
    <font>
      <i/>
      <sz val="8"/>
      <color indexed="10"/>
      <name val="Arial"/>
      <family val="2"/>
    </font>
    <font>
      <b/>
      <i/>
      <sz val="8"/>
      <name val="Arial"/>
      <family val="2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MS Sans Serif"/>
      <family val="2"/>
    </font>
    <font>
      <sz val="8"/>
      <name val="MS Sans Serif"/>
      <family val="2"/>
    </font>
  </fonts>
  <fills count="11">
    <fill>
      <patternFill patternType="none"/>
    </fill>
    <fill>
      <patternFill patternType="gray125"/>
    </fill>
    <fill>
      <patternFill patternType="mediumGray">
        <fgColor indexed="22"/>
        <bgColor indexed="9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6" fillId="0" borderId="0">
      <alignment wrapText="1"/>
    </xf>
    <xf numFmtId="9" fontId="1" fillId="0" borderId="0" applyFont="0" applyFill="0" applyBorder="0" applyAlignment="0" applyProtection="0"/>
  </cellStyleXfs>
  <cellXfs count="131">
    <xf numFmtId="0" fontId="0" fillId="0" borderId="0" xfId="0"/>
    <xf numFmtId="0" fontId="2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0" fillId="0" borderId="0" xfId="0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 applyBorder="1"/>
    <xf numFmtId="0" fontId="4" fillId="0" borderId="0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164" fontId="2" fillId="0" borderId="1" xfId="0" applyNumberFormat="1" applyFont="1" applyFill="1" applyBorder="1" applyAlignment="1">
      <alignment horizontal="right"/>
    </xf>
    <xf numFmtId="0" fontId="5" fillId="0" borderId="1" xfId="0" applyFont="1" applyBorder="1" applyAlignment="1">
      <alignment horizontal="right"/>
    </xf>
    <xf numFmtId="0" fontId="2" fillId="0" borderId="2" xfId="0" applyFont="1" applyBorder="1" applyAlignment="1">
      <alignment horizontal="right"/>
    </xf>
    <xf numFmtId="10" fontId="2" fillId="0" borderId="3" xfId="0" applyNumberFormat="1" applyFont="1" applyBorder="1" applyAlignment="1">
      <alignment horizontal="right"/>
    </xf>
    <xf numFmtId="10" fontId="2" fillId="0" borderId="4" xfId="0" applyNumberFormat="1" applyFont="1" applyBorder="1" applyAlignment="1">
      <alignment horizontal="right"/>
    </xf>
    <xf numFmtId="0" fontId="4" fillId="2" borderId="3" xfId="1" applyFont="1" applyFill="1" applyBorder="1" applyAlignment="1">
      <alignment horizontal="right" wrapText="1"/>
    </xf>
    <xf numFmtId="0" fontId="4" fillId="2" borderId="4" xfId="1" applyFont="1" applyFill="1" applyBorder="1" applyAlignment="1">
      <alignment horizontal="right" wrapText="1"/>
    </xf>
    <xf numFmtId="164" fontId="2" fillId="0" borderId="2" xfId="0" applyNumberFormat="1" applyFont="1" applyFill="1" applyBorder="1" applyAlignment="1">
      <alignment horizontal="right"/>
    </xf>
    <xf numFmtId="10" fontId="2" fillId="0" borderId="2" xfId="0" applyNumberFormat="1" applyFont="1" applyFill="1" applyBorder="1" applyAlignment="1">
      <alignment horizontal="right"/>
    </xf>
    <xf numFmtId="10" fontId="2" fillId="0" borderId="3" xfId="0" applyNumberFormat="1" applyFont="1" applyFill="1" applyBorder="1" applyAlignment="1">
      <alignment horizontal="right"/>
    </xf>
    <xf numFmtId="10" fontId="2" fillId="0" borderId="4" xfId="0" applyNumberFormat="1" applyFont="1" applyFill="1" applyBorder="1" applyAlignment="1">
      <alignment horizontal="right"/>
    </xf>
    <xf numFmtId="10" fontId="2" fillId="0" borderId="5" xfId="0" applyNumberFormat="1" applyFont="1" applyFill="1" applyBorder="1" applyAlignment="1">
      <alignment horizontal="right"/>
    </xf>
    <xf numFmtId="10" fontId="2" fillId="0" borderId="6" xfId="0" applyNumberFormat="1" applyFont="1" applyFill="1" applyBorder="1" applyAlignment="1">
      <alignment horizontal="right"/>
    </xf>
    <xf numFmtId="10" fontId="2" fillId="0" borderId="7" xfId="0" applyNumberFormat="1" applyFont="1" applyFill="1" applyBorder="1" applyAlignment="1">
      <alignment horizontal="right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10" fontId="2" fillId="0" borderId="10" xfId="0" applyNumberFormat="1" applyFont="1" applyBorder="1"/>
    <xf numFmtId="164" fontId="2" fillId="0" borderId="10" xfId="0" applyNumberFormat="1" applyFont="1" applyBorder="1"/>
    <xf numFmtId="10" fontId="2" fillId="0" borderId="6" xfId="0" applyNumberFormat="1" applyFont="1" applyBorder="1" applyAlignment="1">
      <alignment horizontal="center"/>
    </xf>
    <xf numFmtId="164" fontId="2" fillId="0" borderId="6" xfId="0" applyNumberFormat="1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10" fontId="2" fillId="0" borderId="3" xfId="2" applyNumberFormat="1" applyFont="1" applyBorder="1" applyAlignment="1">
      <alignment horizontal="right"/>
    </xf>
    <xf numFmtId="2" fontId="2" fillId="0" borderId="4" xfId="2" applyNumberFormat="1" applyFont="1" applyBorder="1" applyAlignment="1">
      <alignment horizontal="right"/>
    </xf>
    <xf numFmtId="0" fontId="4" fillId="0" borderId="1" xfId="0" applyFont="1" applyBorder="1" applyAlignment="1">
      <alignment horizontal="right"/>
    </xf>
    <xf numFmtId="0" fontId="8" fillId="3" borderId="8" xfId="0" applyFont="1" applyFill="1" applyBorder="1"/>
    <xf numFmtId="0" fontId="0" fillId="3" borderId="12" xfId="0" applyFill="1" applyBorder="1"/>
    <xf numFmtId="0" fontId="0" fillId="3" borderId="9" xfId="0" applyFill="1" applyBorder="1"/>
    <xf numFmtId="0" fontId="4" fillId="2" borderId="3" xfId="1" applyFont="1" applyFill="1" applyBorder="1" applyAlignment="1">
      <alignment horizontal="left" wrapText="1"/>
    </xf>
    <xf numFmtId="0" fontId="4" fillId="2" borderId="4" xfId="1" applyFont="1" applyFill="1" applyBorder="1" applyAlignment="1">
      <alignment horizontal="left" wrapText="1"/>
    </xf>
    <xf numFmtId="0" fontId="0" fillId="0" borderId="0" xfId="0" applyFill="1"/>
    <xf numFmtId="165" fontId="2" fillId="0" borderId="2" xfId="0" applyNumberFormat="1" applyFont="1" applyFill="1" applyBorder="1" applyAlignment="1">
      <alignment horizontal="right"/>
    </xf>
    <xf numFmtId="165" fontId="2" fillId="0" borderId="3" xfId="0" applyNumberFormat="1" applyFont="1" applyFill="1" applyBorder="1" applyAlignment="1">
      <alignment horizontal="right"/>
    </xf>
    <xf numFmtId="165" fontId="2" fillId="0" borderId="4" xfId="0" applyNumberFormat="1" applyFont="1" applyFill="1" applyBorder="1" applyAlignment="1">
      <alignment horizontal="right"/>
    </xf>
    <xf numFmtId="166" fontId="2" fillId="0" borderId="3" xfId="0" applyNumberFormat="1" applyFont="1" applyBorder="1" applyAlignment="1">
      <alignment horizontal="right"/>
    </xf>
    <xf numFmtId="166" fontId="2" fillId="0" borderId="4" xfId="0" applyNumberFormat="1" applyFont="1" applyBorder="1" applyAlignment="1">
      <alignment horizontal="right"/>
    </xf>
    <xf numFmtId="0" fontId="2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3" fillId="0" borderId="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10" fontId="2" fillId="0" borderId="0" xfId="0" applyNumberFormat="1" applyFont="1"/>
    <xf numFmtId="0" fontId="3" fillId="0" borderId="2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10" fontId="2" fillId="0" borderId="2" xfId="0" applyNumberFormat="1" applyFont="1" applyBorder="1"/>
    <xf numFmtId="10" fontId="2" fillId="0" borderId="3" xfId="0" applyNumberFormat="1" applyFont="1" applyBorder="1"/>
    <xf numFmtId="10" fontId="2" fillId="0" borderId="4" xfId="0" applyNumberFormat="1" applyFont="1" applyBorder="1"/>
    <xf numFmtId="10" fontId="4" fillId="0" borderId="2" xfId="0" applyNumberFormat="1" applyFont="1" applyBorder="1" applyAlignment="1">
      <alignment horizontal="right"/>
    </xf>
    <xf numFmtId="2" fontId="2" fillId="0" borderId="4" xfId="0" applyNumberFormat="1" applyFont="1" applyBorder="1"/>
    <xf numFmtId="0" fontId="0" fillId="4" borderId="0" xfId="0" applyFill="1"/>
    <xf numFmtId="10" fontId="2" fillId="4" borderId="0" xfId="0" applyNumberFormat="1" applyFont="1" applyFill="1"/>
    <xf numFmtId="0" fontId="7" fillId="5" borderId="13" xfId="0" applyFont="1" applyFill="1" applyBorder="1" applyAlignment="1">
      <alignment horizontal="center"/>
    </xf>
    <xf numFmtId="0" fontId="10" fillId="5" borderId="14" xfId="0" applyFont="1" applyFill="1" applyBorder="1" applyAlignment="1">
      <alignment horizontal="center"/>
    </xf>
    <xf numFmtId="0" fontId="7" fillId="6" borderId="10" xfId="0" applyFont="1" applyFill="1" applyBorder="1" applyAlignment="1">
      <alignment horizontal="center"/>
    </xf>
    <xf numFmtId="11" fontId="7" fillId="6" borderId="10" xfId="0" applyNumberFormat="1" applyFont="1" applyFill="1" applyBorder="1" applyAlignment="1">
      <alignment horizontal="center"/>
    </xf>
    <xf numFmtId="0" fontId="7" fillId="6" borderId="14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left"/>
    </xf>
    <xf numFmtId="0" fontId="4" fillId="0" borderId="4" xfId="0" applyFont="1" applyFill="1" applyBorder="1" applyAlignment="1">
      <alignment horizontal="left"/>
    </xf>
    <xf numFmtId="0" fontId="4" fillId="0" borderId="3" xfId="0" applyFont="1" applyFill="1" applyBorder="1" applyAlignment="1">
      <alignment horizontal="left"/>
    </xf>
    <xf numFmtId="166" fontId="0" fillId="0" borderId="0" xfId="0" applyNumberFormat="1"/>
    <xf numFmtId="0" fontId="2" fillId="0" borderId="15" xfId="0" applyFont="1" applyBorder="1" applyAlignment="1">
      <alignment horizontal="center"/>
    </xf>
    <xf numFmtId="11" fontId="7" fillId="6" borderId="14" xfId="0" applyNumberFormat="1" applyFont="1" applyFill="1" applyBorder="1" applyAlignment="1">
      <alignment horizontal="center"/>
    </xf>
    <xf numFmtId="0" fontId="7" fillId="0" borderId="2" xfId="0" applyFont="1" applyFill="1" applyBorder="1" applyAlignment="1">
      <alignment horizontal="right"/>
    </xf>
    <xf numFmtId="0" fontId="0" fillId="0" borderId="1" xfId="0" applyBorder="1"/>
    <xf numFmtId="167" fontId="2" fillId="0" borderId="2" xfId="0" applyNumberFormat="1" applyFont="1" applyFill="1" applyBorder="1" applyAlignment="1">
      <alignment horizontal="right"/>
    </xf>
    <xf numFmtId="167" fontId="2" fillId="0" borderId="3" xfId="0" applyNumberFormat="1" applyFont="1" applyFill="1" applyBorder="1" applyAlignment="1">
      <alignment horizontal="right"/>
    </xf>
    <xf numFmtId="167" fontId="2" fillId="0" borderId="4" xfId="0" applyNumberFormat="1" applyFont="1" applyFill="1" applyBorder="1" applyAlignment="1">
      <alignment horizontal="right"/>
    </xf>
    <xf numFmtId="10" fontId="2" fillId="0" borderId="2" xfId="0" applyNumberFormat="1" applyFont="1" applyFill="1" applyBorder="1" applyAlignment="1">
      <alignment horizontal="right" vertical="center"/>
    </xf>
    <xf numFmtId="10" fontId="7" fillId="5" borderId="13" xfId="2" applyNumberFormat="1" applyFont="1" applyFill="1" applyBorder="1" applyAlignment="1">
      <alignment horizontal="center"/>
    </xf>
    <xf numFmtId="10" fontId="7" fillId="6" borderId="16" xfId="2" applyNumberFormat="1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right"/>
    </xf>
    <xf numFmtId="0" fontId="11" fillId="0" borderId="1" xfId="0" applyFont="1" applyBorder="1" applyAlignment="1">
      <alignment horizontal="right"/>
    </xf>
    <xf numFmtId="0" fontId="12" fillId="0" borderId="0" xfId="0" applyFont="1" applyFill="1"/>
    <xf numFmtId="10" fontId="2" fillId="0" borderId="7" xfId="0" applyNumberFormat="1" applyFont="1" applyBorder="1" applyAlignment="1">
      <alignment horizontal="center"/>
    </xf>
    <xf numFmtId="10" fontId="2" fillId="0" borderId="14" xfId="0" applyNumberFormat="1" applyFont="1" applyBorder="1"/>
    <xf numFmtId="10" fontId="2" fillId="0" borderId="0" xfId="0" applyNumberFormat="1" applyFont="1" applyBorder="1"/>
    <xf numFmtId="164" fontId="2" fillId="0" borderId="0" xfId="0" applyNumberFormat="1" applyFont="1" applyBorder="1"/>
    <xf numFmtId="0" fontId="3" fillId="0" borderId="0" xfId="0" applyFont="1" applyBorder="1" applyAlignment="1">
      <alignment horizontal="center"/>
    </xf>
    <xf numFmtId="164" fontId="2" fillId="0" borderId="0" xfId="0" applyNumberFormat="1" applyFont="1" applyFill="1" applyBorder="1" applyAlignment="1">
      <alignment horizontal="right"/>
    </xf>
    <xf numFmtId="165" fontId="2" fillId="0" borderId="0" xfId="0" applyNumberFormat="1" applyFont="1" applyFill="1" applyBorder="1" applyAlignment="1">
      <alignment horizontal="right"/>
    </xf>
    <xf numFmtId="167" fontId="2" fillId="0" borderId="0" xfId="0" applyNumberFormat="1" applyFont="1" applyFill="1" applyBorder="1" applyAlignment="1">
      <alignment horizontal="right"/>
    </xf>
    <xf numFmtId="165" fontId="7" fillId="2" borderId="3" xfId="1" applyNumberFormat="1" applyFont="1" applyFill="1" applyBorder="1" applyAlignment="1">
      <alignment horizontal="right" wrapText="1"/>
    </xf>
    <xf numFmtId="165" fontId="7" fillId="2" borderId="4" xfId="1" applyNumberFormat="1" applyFont="1" applyFill="1" applyBorder="1" applyAlignment="1">
      <alignment horizontal="right" wrapText="1"/>
    </xf>
    <xf numFmtId="0" fontId="2" fillId="0" borderId="3" xfId="0" applyFont="1" applyBorder="1" applyAlignment="1">
      <alignment horizontal="right"/>
    </xf>
    <xf numFmtId="0" fontId="2" fillId="0" borderId="0" xfId="0" applyFont="1"/>
    <xf numFmtId="0" fontId="4" fillId="0" borderId="2" xfId="0" applyFont="1" applyFill="1" applyBorder="1" applyAlignment="1">
      <alignment horizontal="right"/>
    </xf>
    <xf numFmtId="0" fontId="4" fillId="2" borderId="2" xfId="1" applyFont="1" applyFill="1" applyBorder="1" applyAlignment="1">
      <alignment horizontal="right" wrapText="1"/>
    </xf>
    <xf numFmtId="15" fontId="7" fillId="2" borderId="3" xfId="1" applyNumberFormat="1" applyFont="1" applyFill="1" applyBorder="1" applyAlignment="1">
      <alignment horizontal="right" wrapText="1"/>
    </xf>
    <xf numFmtId="15" fontId="7" fillId="2" borderId="4" xfId="1" applyNumberFormat="1" applyFont="1" applyFill="1" applyBorder="1" applyAlignment="1">
      <alignment horizontal="right" wrapText="1"/>
    </xf>
    <xf numFmtId="15" fontId="7" fillId="2" borderId="2" xfId="1" applyNumberFormat="1" applyFont="1" applyFill="1" applyBorder="1" applyAlignment="1">
      <alignment horizontal="right" wrapText="1"/>
    </xf>
    <xf numFmtId="0" fontId="3" fillId="0" borderId="1" xfId="0" applyFont="1" applyFill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3" fillId="7" borderId="4" xfId="0" applyFont="1" applyFill="1" applyBorder="1" applyAlignment="1">
      <alignment horizontal="left"/>
    </xf>
    <xf numFmtId="10" fontId="0" fillId="0" borderId="0" xfId="0" applyNumberFormat="1"/>
    <xf numFmtId="168" fontId="0" fillId="0" borderId="0" xfId="0" applyNumberFormat="1"/>
    <xf numFmtId="0" fontId="0" fillId="8" borderId="0" xfId="0" applyFill="1"/>
    <xf numFmtId="0" fontId="0" fillId="8" borderId="0" xfId="0" applyFill="1" applyAlignment="1">
      <alignment horizontal="left"/>
    </xf>
    <xf numFmtId="0" fontId="15" fillId="4" borderId="6" xfId="0" applyFont="1" applyFill="1" applyBorder="1"/>
    <xf numFmtId="0" fontId="15" fillId="4" borderId="0" xfId="0" applyFont="1" applyFill="1" applyBorder="1"/>
    <xf numFmtId="0" fontId="15" fillId="4" borderId="10" xfId="0" applyFont="1" applyFill="1" applyBorder="1"/>
    <xf numFmtId="0" fontId="13" fillId="9" borderId="1" xfId="0" applyNumberFormat="1" applyFont="1" applyFill="1" applyBorder="1"/>
    <xf numFmtId="169" fontId="13" fillId="5" borderId="9" xfId="0" quotePrefix="1" applyNumberFormat="1" applyFont="1" applyFill="1" applyBorder="1" applyAlignment="1" applyProtection="1">
      <alignment horizontal="center"/>
    </xf>
    <xf numFmtId="0" fontId="16" fillId="4" borderId="10" xfId="0" applyFont="1" applyFill="1" applyBorder="1"/>
    <xf numFmtId="169" fontId="13" fillId="5" borderId="9" xfId="0" applyNumberFormat="1" applyFont="1" applyFill="1" applyBorder="1" applyAlignment="1" applyProtection="1">
      <alignment horizontal="center"/>
    </xf>
    <xf numFmtId="0" fontId="13" fillId="4" borderId="7" xfId="0" applyFont="1" applyFill="1" applyBorder="1"/>
    <xf numFmtId="0" fontId="13" fillId="4" borderId="17" xfId="0" applyFont="1" applyFill="1" applyBorder="1"/>
    <xf numFmtId="0" fontId="13" fillId="4" borderId="14" xfId="0" applyFont="1" applyFill="1" applyBorder="1"/>
    <xf numFmtId="0" fontId="16" fillId="9" borderId="1" xfId="0" applyFont="1" applyFill="1" applyBorder="1"/>
    <xf numFmtId="0" fontId="16" fillId="4" borderId="1" xfId="0" applyFont="1" applyFill="1" applyBorder="1" applyAlignment="1">
      <alignment horizontal="center"/>
    </xf>
    <xf numFmtId="0" fontId="0" fillId="4" borderId="7" xfId="0" applyFill="1" applyBorder="1"/>
    <xf numFmtId="0" fontId="2" fillId="4" borderId="17" xfId="0" applyFont="1" applyFill="1" applyBorder="1"/>
    <xf numFmtId="0" fontId="2" fillId="4" borderId="14" xfId="0" applyFont="1" applyFill="1" applyBorder="1"/>
    <xf numFmtId="165" fontId="2" fillId="0" borderId="3" xfId="2" applyNumberFormat="1" applyFont="1" applyBorder="1" applyAlignment="1">
      <alignment horizontal="right"/>
    </xf>
    <xf numFmtId="0" fontId="14" fillId="10" borderId="8" xfId="0" applyFont="1" applyFill="1" applyBorder="1" applyAlignment="1">
      <alignment horizontal="center"/>
    </xf>
    <xf numFmtId="0" fontId="14" fillId="10" borderId="12" xfId="0" applyFont="1" applyFill="1" applyBorder="1" applyAlignment="1">
      <alignment horizontal="center"/>
    </xf>
    <xf numFmtId="0" fontId="14" fillId="10" borderId="9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</cellXfs>
  <cellStyles count="3">
    <cellStyle name="Normal" xfId="0" builtinId="0"/>
    <cellStyle name="Normal_CMS_PAGE" xfId="1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6650772197840579"/>
          <c:y val="4.166683620945723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22501731765068"/>
          <c:y val="0.14583392673310031"/>
          <c:w val="0.84689094143772126"/>
          <c:h val="0.70416953193982723"/>
        </c:manualLayout>
      </c:layout>
      <c:lineChart>
        <c:grouping val="standard"/>
        <c:varyColors val="0"/>
        <c:ser>
          <c:idx val="0"/>
          <c:order val="0"/>
          <c:tx>
            <c:strRef>
              <c:f>Summary!$A$25</c:f>
              <c:strCache>
                <c:ptCount val="1"/>
                <c:pt idx="0">
                  <c:v>error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Summary!$B$20:$P$20</c:f>
              <c:strCache>
                <c:ptCount val="15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12Y</c:v>
                </c:pt>
                <c:pt idx="11">
                  <c:v>15Y</c:v>
                </c:pt>
                <c:pt idx="12">
                  <c:v>20Y</c:v>
                </c:pt>
                <c:pt idx="13">
                  <c:v>25Y</c:v>
                </c:pt>
                <c:pt idx="14">
                  <c:v>30Y</c:v>
                </c:pt>
              </c:strCache>
            </c:strRef>
          </c:cat>
          <c:val>
            <c:numRef>
              <c:f>Summary!$B$25:$P$25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854400"/>
        <c:axId val="342728704"/>
      </c:lineChart>
      <c:catAx>
        <c:axId val="310854400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728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7287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08544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41527446300716"/>
          <c:y val="4.132231404958677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94510739856802"/>
          <c:y val="0.14462809917355371"/>
          <c:w val="0.847255369928401"/>
          <c:h val="0.70661157024793386"/>
        </c:manualLayout>
      </c:layout>
      <c:lineChart>
        <c:grouping val="standard"/>
        <c:varyColors val="0"/>
        <c:ser>
          <c:idx val="0"/>
          <c:order val="0"/>
          <c:tx>
            <c:strRef>
              <c:f>Summary!$A$26</c:f>
              <c:strCache>
                <c:ptCount val="1"/>
                <c:pt idx="0">
                  <c:v>max error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Summary!$B$20:$P$20</c:f>
              <c:strCache>
                <c:ptCount val="15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12Y</c:v>
                </c:pt>
                <c:pt idx="11">
                  <c:v>15Y</c:v>
                </c:pt>
                <c:pt idx="12">
                  <c:v>20Y</c:v>
                </c:pt>
                <c:pt idx="13">
                  <c:v>25Y</c:v>
                </c:pt>
                <c:pt idx="14">
                  <c:v>30Y</c:v>
                </c:pt>
              </c:strCache>
            </c:strRef>
          </c:cat>
          <c:val>
            <c:numRef>
              <c:f>Summary!$B$26:$P$26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147136"/>
        <c:axId val="371644288"/>
      </c:lineChart>
      <c:catAx>
        <c:axId val="355147136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644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1644288"/>
        <c:scaling>
          <c:orientation val="minMax"/>
          <c:min val="1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1471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666763548092328"/>
          <c:y val="4.14938600027959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80981168576005"/>
          <c:y val="0.1452285100097859"/>
          <c:w val="0.84047814471294813"/>
          <c:h val="0.70539562004753154"/>
        </c:manualLayout>
      </c:layout>
      <c:lineChart>
        <c:grouping val="standard"/>
        <c:varyColors val="0"/>
        <c:ser>
          <c:idx val="0"/>
          <c:order val="0"/>
          <c:tx>
            <c:strRef>
              <c:f>Summary!$A$27</c:f>
              <c:strCache>
                <c:ptCount val="1"/>
                <c:pt idx="0">
                  <c:v>short term vol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Summary!$B$20:$P$20</c:f>
              <c:strCache>
                <c:ptCount val="15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12Y</c:v>
                </c:pt>
                <c:pt idx="11">
                  <c:v>15Y</c:v>
                </c:pt>
                <c:pt idx="12">
                  <c:v>20Y</c:v>
                </c:pt>
                <c:pt idx="13">
                  <c:v>25Y</c:v>
                </c:pt>
                <c:pt idx="14">
                  <c:v>30Y</c:v>
                </c:pt>
              </c:strCache>
            </c:strRef>
          </c:cat>
          <c:val>
            <c:numRef>
              <c:f>Summary!$B$27:$P$27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127040"/>
        <c:axId val="373297920"/>
      </c:lineChart>
      <c:catAx>
        <c:axId val="373127040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297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2979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1270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2517864039609976"/>
          <c:y val="4.184100418410041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38968368384854"/>
          <c:y val="0.14644351464435146"/>
          <c:w val="0.84798198112518219"/>
          <c:h val="0.70292887029288698"/>
        </c:manualLayout>
      </c:layout>
      <c:lineChart>
        <c:grouping val="standard"/>
        <c:varyColors val="0"/>
        <c:ser>
          <c:idx val="0"/>
          <c:order val="0"/>
          <c:tx>
            <c:strRef>
              <c:f>Summary!$A$28</c:f>
              <c:strCache>
                <c:ptCount val="1"/>
                <c:pt idx="0">
                  <c:v>long term vol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Summary!$B$20:$P$20</c:f>
              <c:strCache>
                <c:ptCount val="15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12Y</c:v>
                </c:pt>
                <c:pt idx="11">
                  <c:v>15Y</c:v>
                </c:pt>
                <c:pt idx="12">
                  <c:v>20Y</c:v>
                </c:pt>
                <c:pt idx="13">
                  <c:v>25Y</c:v>
                </c:pt>
                <c:pt idx="14">
                  <c:v>30Y</c:v>
                </c:pt>
              </c:strCache>
            </c:strRef>
          </c:cat>
          <c:val>
            <c:numRef>
              <c:f>Summary!$B$28:$P$28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387456"/>
        <c:axId val="352389376"/>
      </c:lineChart>
      <c:catAx>
        <c:axId val="352387456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2389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2389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23874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5215363822522409"/>
          <c:y val="4.166683620945723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40205919424155"/>
          <c:y val="0.14583392673310031"/>
          <c:w val="0.83971389956113041"/>
          <c:h val="0.70416953193982723"/>
        </c:manualLayout>
      </c:layout>
      <c:lineChart>
        <c:grouping val="standard"/>
        <c:varyColors val="0"/>
        <c:ser>
          <c:idx val="0"/>
          <c:order val="0"/>
          <c:tx>
            <c:strRef>
              <c:f>Summary!$A$29</c:f>
              <c:strCache>
                <c:ptCount val="1"/>
                <c:pt idx="0">
                  <c:v>max vol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Summary!$B$20:$P$20</c:f>
              <c:strCache>
                <c:ptCount val="15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12Y</c:v>
                </c:pt>
                <c:pt idx="11">
                  <c:v>15Y</c:v>
                </c:pt>
                <c:pt idx="12">
                  <c:v>20Y</c:v>
                </c:pt>
                <c:pt idx="13">
                  <c:v>25Y</c:v>
                </c:pt>
                <c:pt idx="14">
                  <c:v>30Y</c:v>
                </c:pt>
              </c:strCache>
            </c:strRef>
          </c:cat>
          <c:val>
            <c:numRef>
              <c:f>Summary!$B$29:$P$29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396800"/>
        <c:axId val="352398720"/>
      </c:lineChart>
      <c:catAx>
        <c:axId val="352396800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2398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23987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23968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095338298312635"/>
          <c:y val="4.14938600027959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00023251542159"/>
          <c:y val="0.1452285100097859"/>
          <c:w val="0.86428772388328656"/>
          <c:h val="0.70539562004753154"/>
        </c:manualLayout>
      </c:layout>
      <c:lineChart>
        <c:grouping val="standard"/>
        <c:varyColors val="0"/>
        <c:ser>
          <c:idx val="0"/>
          <c:order val="0"/>
          <c:tx>
            <c:strRef>
              <c:f>Summary!$A$30</c:f>
              <c:strCache>
                <c:ptCount val="1"/>
                <c:pt idx="0">
                  <c:v>max vol at t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Summary!$B$20:$P$20</c:f>
              <c:strCache>
                <c:ptCount val="15"/>
                <c:pt idx="0">
                  <c:v>1Y</c:v>
                </c:pt>
                <c:pt idx="1">
                  <c:v>2Y</c:v>
                </c:pt>
                <c:pt idx="2">
                  <c:v>3Y</c:v>
                </c:pt>
                <c:pt idx="3">
                  <c:v>4Y</c:v>
                </c:pt>
                <c:pt idx="4">
                  <c:v>5Y</c:v>
                </c:pt>
                <c:pt idx="5">
                  <c:v>6Y</c:v>
                </c:pt>
                <c:pt idx="6">
                  <c:v>7Y</c:v>
                </c:pt>
                <c:pt idx="7">
                  <c:v>8Y</c:v>
                </c:pt>
                <c:pt idx="8">
                  <c:v>9Y</c:v>
                </c:pt>
                <c:pt idx="9">
                  <c:v>10Y</c:v>
                </c:pt>
                <c:pt idx="10">
                  <c:v>12Y</c:v>
                </c:pt>
                <c:pt idx="11">
                  <c:v>15Y</c:v>
                </c:pt>
                <c:pt idx="12">
                  <c:v>20Y</c:v>
                </c:pt>
                <c:pt idx="13">
                  <c:v>25Y</c:v>
                </c:pt>
                <c:pt idx="14">
                  <c:v>30Y</c:v>
                </c:pt>
              </c:strCache>
            </c:strRef>
          </c:cat>
          <c:val>
            <c:numRef>
              <c:f>Summary!$B$30:$P$30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438912"/>
        <c:axId val="352654080"/>
      </c:lineChart>
      <c:catAx>
        <c:axId val="352438912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2654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26540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243891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48086866597725"/>
          <c:y val="4.4067796610169491E-2"/>
          <c:w val="0.76938986556359878"/>
          <c:h val="0.6084745762711864"/>
        </c:manualLayout>
      </c:layout>
      <c:lineChart>
        <c:grouping val="standard"/>
        <c:varyColors val="0"/>
        <c:ser>
          <c:idx val="0"/>
          <c:order val="0"/>
          <c:tx>
            <c:strRef>
              <c:f>Summary!$B$2</c:f>
              <c:strCache>
                <c:ptCount val="1"/>
                <c:pt idx="0">
                  <c:v>1Y_K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Summary!$B$3:$B$19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Summary!$C$2</c:f>
              <c:strCache>
                <c:ptCount val="1"/>
                <c:pt idx="0">
                  <c:v>2Y_K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Summary!$C$3:$C$19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Summary!$D$2</c:f>
              <c:strCache>
                <c:ptCount val="1"/>
                <c:pt idx="0">
                  <c:v>3Y_K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Summary!$D$3:$D$19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Summary!$E$2</c:f>
              <c:strCache>
                <c:ptCount val="1"/>
                <c:pt idx="0">
                  <c:v>4Y_K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Summary!$E$3:$E$19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Summary!$F$2</c:f>
              <c:strCache>
                <c:ptCount val="1"/>
                <c:pt idx="0">
                  <c:v>5Y_K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Summary!$F$3:$F$19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Summary!$G$2</c:f>
              <c:strCache>
                <c:ptCount val="1"/>
                <c:pt idx="0">
                  <c:v>6Y_K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Summary!$G$3:$G$19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Summary!$H$2</c:f>
              <c:strCache>
                <c:ptCount val="1"/>
                <c:pt idx="0">
                  <c:v>7Y_K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Summary!$H$3:$H$19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Summary!$I$2</c:f>
              <c:strCache>
                <c:ptCount val="1"/>
                <c:pt idx="0">
                  <c:v>8Y_K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Summary!$I$3:$I$19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Summary!$J$2</c:f>
              <c:strCache>
                <c:ptCount val="1"/>
                <c:pt idx="0">
                  <c:v>9Y_K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Summary!$J$3:$J$19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Summary!$K$2</c:f>
              <c:strCache>
                <c:ptCount val="1"/>
                <c:pt idx="0">
                  <c:v>10Y_K</c:v>
                </c:pt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Summary!$K$3:$K$19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Summary!$L$2</c:f>
              <c:strCache>
                <c:ptCount val="1"/>
                <c:pt idx="0">
                  <c:v>12Y_K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Summary!$L$3:$L$19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Summary!$M$2</c:f>
              <c:strCache>
                <c:ptCount val="1"/>
                <c:pt idx="0">
                  <c:v>15Y_K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Summary!$M$3:$M$19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Summary!$N$2</c:f>
              <c:strCache>
                <c:ptCount val="1"/>
                <c:pt idx="0">
                  <c:v>20Y_K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Summary!$N$3:$N$19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Summary!$O$2</c:f>
              <c:strCache>
                <c:ptCount val="1"/>
                <c:pt idx="0">
                  <c:v>25Y_K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Summary!$O$3:$O$19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Summary!$P$2</c:f>
              <c:strCache>
                <c:ptCount val="1"/>
                <c:pt idx="0">
                  <c:v>30Y_K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cat>
            <c:strRef>
              <c:f>Summary!$A$3:$A$19</c:f>
              <c:strCache>
                <c:ptCount val="17"/>
                <c:pt idx="0">
                  <c:v>1M</c:v>
                </c:pt>
                <c:pt idx="1">
                  <c:v>2M</c:v>
                </c:pt>
                <c:pt idx="2">
                  <c:v>3M</c:v>
                </c:pt>
                <c:pt idx="3">
                  <c:v>6M</c:v>
                </c:pt>
                <c:pt idx="4">
                  <c:v>9M</c:v>
                </c:pt>
                <c:pt idx="5">
                  <c:v>1Y</c:v>
                </c:pt>
                <c:pt idx="6">
                  <c:v>18M</c:v>
                </c:pt>
                <c:pt idx="7">
                  <c:v>2Y</c:v>
                </c:pt>
                <c:pt idx="8">
                  <c:v>3Y</c:v>
                </c:pt>
                <c:pt idx="9">
                  <c:v>4Y</c:v>
                </c:pt>
                <c:pt idx="10">
                  <c:v>5Y</c:v>
                </c:pt>
                <c:pt idx="11">
                  <c:v>7Y</c:v>
                </c:pt>
                <c:pt idx="12">
                  <c:v>10Y</c:v>
                </c:pt>
                <c:pt idx="13">
                  <c:v>15Y</c:v>
                </c:pt>
                <c:pt idx="14">
                  <c:v>20Y</c:v>
                </c:pt>
                <c:pt idx="15">
                  <c:v>25Y</c:v>
                </c:pt>
                <c:pt idx="16">
                  <c:v>30Y</c:v>
                </c:pt>
              </c:strCache>
            </c:strRef>
          </c:cat>
          <c:val>
            <c:numRef>
              <c:f>Summary!$P$3:$P$19</c:f>
              <c:numCache>
                <c:formatCode>0.000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643904"/>
        <c:axId val="353645696"/>
      </c:lineChart>
      <c:catAx>
        <c:axId val="35364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3645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3645696"/>
        <c:scaling>
          <c:orientation val="minMax"/>
          <c:max val="1.2"/>
          <c:min val="0.8"/>
        </c:scaling>
        <c:delete val="0"/>
        <c:axPos val="l"/>
        <c:majorGridlines>
          <c:spPr>
            <a:ln w="3175">
              <a:solidFill>
                <a:srgbClr val="333333"/>
              </a:solidFill>
              <a:prstDash val="solid"/>
            </a:ln>
          </c:spPr>
        </c:majorGridlines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36439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3340227507755947"/>
          <c:y val="0.75254237288135595"/>
          <c:w val="0.64426059979317474"/>
          <c:h val="0.144067796610169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workbookViewId="0" zoomToFit="1"/>
  </sheetViews>
  <pageMargins left="0.75" right="0.75" top="1" bottom="1" header="0.5" footer="0.5"/>
  <pageSetup paperSize="9" orientation="landscape" r:id="rId1"/>
  <headerFooter alignWithMargins="0"/>
  <drawing r:id="rId2"/>
</chartsheet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31</xdr:row>
          <xdr:rowOff>0</xdr:rowOff>
        </xdr:from>
        <xdr:to>
          <xdr:col>4</xdr:col>
          <xdr:colOff>762000</xdr:colOff>
          <xdr:row>33</xdr:row>
          <xdr:rowOff>0</xdr:rowOff>
        </xdr:to>
        <xdr:sp macro="" textlink="">
          <xdr:nvSpPr>
            <xdr:cNvPr id="6145" name="CommandButton1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31</xdr:row>
          <xdr:rowOff>0</xdr:rowOff>
        </xdr:from>
        <xdr:to>
          <xdr:col>8</xdr:col>
          <xdr:colOff>771525</xdr:colOff>
          <xdr:row>33</xdr:row>
          <xdr:rowOff>0</xdr:rowOff>
        </xdr:to>
        <xdr:sp macro="" textlink="">
          <xdr:nvSpPr>
            <xdr:cNvPr id="6146" name="CommandButton2Y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31</xdr:row>
          <xdr:rowOff>0</xdr:rowOff>
        </xdr:from>
        <xdr:to>
          <xdr:col>12</xdr:col>
          <xdr:colOff>762000</xdr:colOff>
          <xdr:row>33</xdr:row>
          <xdr:rowOff>0</xdr:rowOff>
        </xdr:to>
        <xdr:sp macro="" textlink="">
          <xdr:nvSpPr>
            <xdr:cNvPr id="6147" name="CommandButton3Y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31</xdr:row>
          <xdr:rowOff>0</xdr:rowOff>
        </xdr:from>
        <xdr:to>
          <xdr:col>16</xdr:col>
          <xdr:colOff>752475</xdr:colOff>
          <xdr:row>33</xdr:row>
          <xdr:rowOff>0</xdr:rowOff>
        </xdr:to>
        <xdr:sp macro="" textlink="">
          <xdr:nvSpPr>
            <xdr:cNvPr id="6148" name="CommandButton4Y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31</xdr:row>
          <xdr:rowOff>0</xdr:rowOff>
        </xdr:from>
        <xdr:to>
          <xdr:col>20</xdr:col>
          <xdr:colOff>752475</xdr:colOff>
          <xdr:row>33</xdr:row>
          <xdr:rowOff>0</xdr:rowOff>
        </xdr:to>
        <xdr:sp macro="" textlink="">
          <xdr:nvSpPr>
            <xdr:cNvPr id="6149" name="CommandButton5Y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85725</xdr:colOff>
          <xdr:row>31</xdr:row>
          <xdr:rowOff>0</xdr:rowOff>
        </xdr:from>
        <xdr:to>
          <xdr:col>24</xdr:col>
          <xdr:colOff>762000</xdr:colOff>
          <xdr:row>33</xdr:row>
          <xdr:rowOff>0</xdr:rowOff>
        </xdr:to>
        <xdr:sp macro="" textlink="">
          <xdr:nvSpPr>
            <xdr:cNvPr id="6150" name="CommandButton6Y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57150</xdr:colOff>
          <xdr:row>31</xdr:row>
          <xdr:rowOff>0</xdr:rowOff>
        </xdr:from>
        <xdr:to>
          <xdr:col>28</xdr:col>
          <xdr:colOff>733425</xdr:colOff>
          <xdr:row>33</xdr:row>
          <xdr:rowOff>0</xdr:rowOff>
        </xdr:to>
        <xdr:sp macro="" textlink="">
          <xdr:nvSpPr>
            <xdr:cNvPr id="6151" name="CommandButton7Y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85725</xdr:colOff>
          <xdr:row>31</xdr:row>
          <xdr:rowOff>0</xdr:rowOff>
        </xdr:from>
        <xdr:to>
          <xdr:col>32</xdr:col>
          <xdr:colOff>762000</xdr:colOff>
          <xdr:row>33</xdr:row>
          <xdr:rowOff>0</xdr:rowOff>
        </xdr:to>
        <xdr:sp macro="" textlink="">
          <xdr:nvSpPr>
            <xdr:cNvPr id="6152" name="CommandButton8Y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85725</xdr:colOff>
          <xdr:row>31</xdr:row>
          <xdr:rowOff>0</xdr:rowOff>
        </xdr:from>
        <xdr:to>
          <xdr:col>36</xdr:col>
          <xdr:colOff>762000</xdr:colOff>
          <xdr:row>33</xdr:row>
          <xdr:rowOff>0</xdr:rowOff>
        </xdr:to>
        <xdr:sp macro="" textlink="">
          <xdr:nvSpPr>
            <xdr:cNvPr id="6153" name="CommandButton9Y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31</xdr:row>
          <xdr:rowOff>0</xdr:rowOff>
        </xdr:from>
        <xdr:to>
          <xdr:col>40</xdr:col>
          <xdr:colOff>733425</xdr:colOff>
          <xdr:row>33</xdr:row>
          <xdr:rowOff>0</xdr:rowOff>
        </xdr:to>
        <xdr:sp macro="" textlink="">
          <xdr:nvSpPr>
            <xdr:cNvPr id="6154" name="CommandButton10Y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76200</xdr:colOff>
          <xdr:row>31</xdr:row>
          <xdr:rowOff>0</xdr:rowOff>
        </xdr:from>
        <xdr:to>
          <xdr:col>48</xdr:col>
          <xdr:colOff>752475</xdr:colOff>
          <xdr:row>33</xdr:row>
          <xdr:rowOff>0</xdr:rowOff>
        </xdr:to>
        <xdr:sp macro="" textlink="">
          <xdr:nvSpPr>
            <xdr:cNvPr id="6155" name="CommandButton12Y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76200</xdr:colOff>
          <xdr:row>31</xdr:row>
          <xdr:rowOff>0</xdr:rowOff>
        </xdr:from>
        <xdr:to>
          <xdr:col>60</xdr:col>
          <xdr:colOff>752475</xdr:colOff>
          <xdr:row>33</xdr:row>
          <xdr:rowOff>0</xdr:rowOff>
        </xdr:to>
        <xdr:sp macro="" textlink="">
          <xdr:nvSpPr>
            <xdr:cNvPr id="6156" name="CommandButton15Y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66675</xdr:colOff>
          <xdr:row>31</xdr:row>
          <xdr:rowOff>0</xdr:rowOff>
        </xdr:from>
        <xdr:to>
          <xdr:col>80</xdr:col>
          <xdr:colOff>742950</xdr:colOff>
          <xdr:row>33</xdr:row>
          <xdr:rowOff>0</xdr:rowOff>
        </xdr:to>
        <xdr:sp macro="" textlink="">
          <xdr:nvSpPr>
            <xdr:cNvPr id="6157" name="CommandButton20Y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66675</xdr:colOff>
          <xdr:row>31</xdr:row>
          <xdr:rowOff>0</xdr:rowOff>
        </xdr:from>
        <xdr:to>
          <xdr:col>100</xdr:col>
          <xdr:colOff>742950</xdr:colOff>
          <xdr:row>33</xdr:row>
          <xdr:rowOff>0</xdr:rowOff>
        </xdr:to>
        <xdr:sp macro="" textlink="">
          <xdr:nvSpPr>
            <xdr:cNvPr id="6158" name="CommandButton25Y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76200</xdr:colOff>
          <xdr:row>31</xdr:row>
          <xdr:rowOff>0</xdr:rowOff>
        </xdr:from>
        <xdr:to>
          <xdr:col>120</xdr:col>
          <xdr:colOff>752475</xdr:colOff>
          <xdr:row>33</xdr:row>
          <xdr:rowOff>0</xdr:rowOff>
        </xdr:to>
        <xdr:sp macro="" textlink="">
          <xdr:nvSpPr>
            <xdr:cNvPr id="6159" name="CommandButton30Y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0</xdr:row>
          <xdr:rowOff>0</xdr:rowOff>
        </xdr:from>
        <xdr:to>
          <xdr:col>6</xdr:col>
          <xdr:colOff>257175</xdr:colOff>
          <xdr:row>2</xdr:row>
          <xdr:rowOff>9525</xdr:rowOff>
        </xdr:to>
        <xdr:sp macro="" textlink="">
          <xdr:nvSpPr>
            <xdr:cNvPr id="6432" name="CommandButtonAll" hidden="1">
              <a:extLst>
                <a:ext uri="{63B3BB69-23CF-44E3-9099-C40C66FF867C}">
                  <a14:compatExt spid="_x0000_s6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31</xdr:row>
          <xdr:rowOff>0</xdr:rowOff>
        </xdr:from>
        <xdr:to>
          <xdr:col>44</xdr:col>
          <xdr:colOff>733425</xdr:colOff>
          <xdr:row>33</xdr:row>
          <xdr:rowOff>0</xdr:rowOff>
        </xdr:to>
        <xdr:sp macro="" textlink="">
          <xdr:nvSpPr>
            <xdr:cNvPr id="6581" name="CommandButton11Y" hidden="1">
              <a:extLst>
                <a:ext uri="{63B3BB69-23CF-44E3-9099-C40C66FF867C}">
                  <a14:compatExt spid="_x0000_s6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76200</xdr:colOff>
          <xdr:row>31</xdr:row>
          <xdr:rowOff>0</xdr:rowOff>
        </xdr:from>
        <xdr:to>
          <xdr:col>52</xdr:col>
          <xdr:colOff>752475</xdr:colOff>
          <xdr:row>33</xdr:row>
          <xdr:rowOff>0</xdr:rowOff>
        </xdr:to>
        <xdr:sp macro="" textlink="">
          <xdr:nvSpPr>
            <xdr:cNvPr id="6582" name="CommandButton13Y" hidden="1">
              <a:extLst>
                <a:ext uri="{63B3BB69-23CF-44E3-9099-C40C66FF867C}">
                  <a14:compatExt spid="_x0000_s6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76200</xdr:colOff>
          <xdr:row>31</xdr:row>
          <xdr:rowOff>0</xdr:rowOff>
        </xdr:from>
        <xdr:to>
          <xdr:col>56</xdr:col>
          <xdr:colOff>752475</xdr:colOff>
          <xdr:row>33</xdr:row>
          <xdr:rowOff>0</xdr:rowOff>
        </xdr:to>
        <xdr:sp macro="" textlink="">
          <xdr:nvSpPr>
            <xdr:cNvPr id="6592" name="CommandButton14Y" hidden="1">
              <a:extLst>
                <a:ext uri="{63B3BB69-23CF-44E3-9099-C40C66FF867C}">
                  <a14:compatExt spid="_x0000_s6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76200</xdr:colOff>
          <xdr:row>31</xdr:row>
          <xdr:rowOff>0</xdr:rowOff>
        </xdr:from>
        <xdr:to>
          <xdr:col>64</xdr:col>
          <xdr:colOff>752475</xdr:colOff>
          <xdr:row>33</xdr:row>
          <xdr:rowOff>0</xdr:rowOff>
        </xdr:to>
        <xdr:sp macro="" textlink="">
          <xdr:nvSpPr>
            <xdr:cNvPr id="6602" name="CommandButton16Y" hidden="1">
              <a:extLst>
                <a:ext uri="{63B3BB69-23CF-44E3-9099-C40C66FF867C}">
                  <a14:compatExt spid="_x0000_s6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76200</xdr:colOff>
          <xdr:row>31</xdr:row>
          <xdr:rowOff>0</xdr:rowOff>
        </xdr:from>
        <xdr:to>
          <xdr:col>68</xdr:col>
          <xdr:colOff>752475</xdr:colOff>
          <xdr:row>33</xdr:row>
          <xdr:rowOff>0</xdr:rowOff>
        </xdr:to>
        <xdr:sp macro="" textlink="">
          <xdr:nvSpPr>
            <xdr:cNvPr id="6612" name="CommandButton17Y" hidden="1">
              <a:extLst>
                <a:ext uri="{63B3BB69-23CF-44E3-9099-C40C66FF867C}">
                  <a14:compatExt spid="_x0000_s6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76200</xdr:colOff>
          <xdr:row>31</xdr:row>
          <xdr:rowOff>0</xdr:rowOff>
        </xdr:from>
        <xdr:to>
          <xdr:col>72</xdr:col>
          <xdr:colOff>752475</xdr:colOff>
          <xdr:row>33</xdr:row>
          <xdr:rowOff>0</xdr:rowOff>
        </xdr:to>
        <xdr:sp macro="" textlink="">
          <xdr:nvSpPr>
            <xdr:cNvPr id="6622" name="CommandButton18Y" hidden="1">
              <a:extLst>
                <a:ext uri="{63B3BB69-23CF-44E3-9099-C40C66FF867C}">
                  <a14:compatExt spid="_x0000_s6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76200</xdr:colOff>
          <xdr:row>31</xdr:row>
          <xdr:rowOff>0</xdr:rowOff>
        </xdr:from>
        <xdr:to>
          <xdr:col>76</xdr:col>
          <xdr:colOff>752475</xdr:colOff>
          <xdr:row>33</xdr:row>
          <xdr:rowOff>0</xdr:rowOff>
        </xdr:to>
        <xdr:sp macro="" textlink="">
          <xdr:nvSpPr>
            <xdr:cNvPr id="6632" name="CommandButton19Y" hidden="1">
              <a:extLst>
                <a:ext uri="{63B3BB69-23CF-44E3-9099-C40C66FF867C}">
                  <a14:compatExt spid="_x0000_s6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84</xdr:col>
          <xdr:colOff>76200</xdr:colOff>
          <xdr:row>31</xdr:row>
          <xdr:rowOff>0</xdr:rowOff>
        </xdr:from>
        <xdr:to>
          <xdr:col>84</xdr:col>
          <xdr:colOff>752475</xdr:colOff>
          <xdr:row>33</xdr:row>
          <xdr:rowOff>0</xdr:rowOff>
        </xdr:to>
        <xdr:sp macro="" textlink="">
          <xdr:nvSpPr>
            <xdr:cNvPr id="6642" name="CommandButton21Y" hidden="1">
              <a:extLst>
                <a:ext uri="{63B3BB69-23CF-44E3-9099-C40C66FF867C}">
                  <a14:compatExt spid="_x0000_s6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88</xdr:col>
          <xdr:colOff>76200</xdr:colOff>
          <xdr:row>31</xdr:row>
          <xdr:rowOff>0</xdr:rowOff>
        </xdr:from>
        <xdr:to>
          <xdr:col>88</xdr:col>
          <xdr:colOff>752475</xdr:colOff>
          <xdr:row>33</xdr:row>
          <xdr:rowOff>0</xdr:rowOff>
        </xdr:to>
        <xdr:sp macro="" textlink="">
          <xdr:nvSpPr>
            <xdr:cNvPr id="6652" name="CommandButton22Y" hidden="1">
              <a:extLst>
                <a:ext uri="{63B3BB69-23CF-44E3-9099-C40C66FF867C}">
                  <a14:compatExt spid="_x0000_s6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76200</xdr:colOff>
          <xdr:row>31</xdr:row>
          <xdr:rowOff>0</xdr:rowOff>
        </xdr:from>
        <xdr:to>
          <xdr:col>92</xdr:col>
          <xdr:colOff>752475</xdr:colOff>
          <xdr:row>33</xdr:row>
          <xdr:rowOff>0</xdr:rowOff>
        </xdr:to>
        <xdr:sp macro="" textlink="">
          <xdr:nvSpPr>
            <xdr:cNvPr id="6662" name="CommandButton23Y" hidden="1">
              <a:extLst>
                <a:ext uri="{63B3BB69-23CF-44E3-9099-C40C66FF867C}">
                  <a14:compatExt spid="_x0000_s6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96</xdr:col>
          <xdr:colOff>76200</xdr:colOff>
          <xdr:row>31</xdr:row>
          <xdr:rowOff>0</xdr:rowOff>
        </xdr:from>
        <xdr:to>
          <xdr:col>96</xdr:col>
          <xdr:colOff>752475</xdr:colOff>
          <xdr:row>33</xdr:row>
          <xdr:rowOff>0</xdr:rowOff>
        </xdr:to>
        <xdr:sp macro="" textlink="">
          <xdr:nvSpPr>
            <xdr:cNvPr id="6672" name="CommandButton24Y" hidden="1">
              <a:extLst>
                <a:ext uri="{63B3BB69-23CF-44E3-9099-C40C66FF867C}">
                  <a14:compatExt spid="_x0000_s6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76200</xdr:colOff>
          <xdr:row>31</xdr:row>
          <xdr:rowOff>0</xdr:rowOff>
        </xdr:from>
        <xdr:to>
          <xdr:col>104</xdr:col>
          <xdr:colOff>752475</xdr:colOff>
          <xdr:row>33</xdr:row>
          <xdr:rowOff>0</xdr:rowOff>
        </xdr:to>
        <xdr:sp macro="" textlink="">
          <xdr:nvSpPr>
            <xdr:cNvPr id="6682" name="CommandButton26Y" hidden="1">
              <a:extLst>
                <a:ext uri="{63B3BB69-23CF-44E3-9099-C40C66FF867C}">
                  <a14:compatExt spid="_x0000_s6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108</xdr:col>
          <xdr:colOff>76200</xdr:colOff>
          <xdr:row>31</xdr:row>
          <xdr:rowOff>0</xdr:rowOff>
        </xdr:from>
        <xdr:to>
          <xdr:col>108</xdr:col>
          <xdr:colOff>752475</xdr:colOff>
          <xdr:row>33</xdr:row>
          <xdr:rowOff>0</xdr:rowOff>
        </xdr:to>
        <xdr:sp macro="" textlink="">
          <xdr:nvSpPr>
            <xdr:cNvPr id="6692" name="CommandButton27Y" hidden="1">
              <a:extLst>
                <a:ext uri="{63B3BB69-23CF-44E3-9099-C40C66FF867C}">
                  <a14:compatExt spid="_x0000_s6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112</xdr:col>
          <xdr:colOff>76200</xdr:colOff>
          <xdr:row>31</xdr:row>
          <xdr:rowOff>0</xdr:rowOff>
        </xdr:from>
        <xdr:to>
          <xdr:col>112</xdr:col>
          <xdr:colOff>752475</xdr:colOff>
          <xdr:row>33</xdr:row>
          <xdr:rowOff>0</xdr:rowOff>
        </xdr:to>
        <xdr:sp macro="" textlink="">
          <xdr:nvSpPr>
            <xdr:cNvPr id="6702" name="CommandButton28Y" hidden="1">
              <a:extLst>
                <a:ext uri="{63B3BB69-23CF-44E3-9099-C40C66FF867C}">
                  <a14:compatExt spid="_x0000_s6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76200</xdr:colOff>
          <xdr:row>31</xdr:row>
          <xdr:rowOff>0</xdr:rowOff>
        </xdr:from>
        <xdr:to>
          <xdr:col>116</xdr:col>
          <xdr:colOff>752475</xdr:colOff>
          <xdr:row>33</xdr:row>
          <xdr:rowOff>0</xdr:rowOff>
        </xdr:to>
        <xdr:sp macro="" textlink="">
          <xdr:nvSpPr>
            <xdr:cNvPr id="6712" name="CommandButton29Y" hidden="1">
              <a:extLst>
                <a:ext uri="{63B3BB69-23CF-44E3-9099-C40C66FF867C}">
                  <a14:compatExt spid="_x0000_s6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30</xdr:row>
      <xdr:rowOff>133350</xdr:rowOff>
    </xdr:from>
    <xdr:to>
      <xdr:col>4</xdr:col>
      <xdr:colOff>0</xdr:colOff>
      <xdr:row>44</xdr:row>
      <xdr:rowOff>152400</xdr:rowOff>
    </xdr:to>
    <xdr:graphicFrame macro="">
      <xdr:nvGraphicFramePr>
        <xdr:cNvPr id="71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171450</xdr:colOff>
      <xdr:row>30</xdr:row>
      <xdr:rowOff>133350</xdr:rowOff>
    </xdr:from>
    <xdr:to>
      <xdr:col>7</xdr:col>
      <xdr:colOff>904875</xdr:colOff>
      <xdr:row>45</xdr:row>
      <xdr:rowOff>9525</xdr:rowOff>
    </xdr:to>
    <xdr:graphicFrame macro="">
      <xdr:nvGraphicFramePr>
        <xdr:cNvPr id="717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30</xdr:row>
      <xdr:rowOff>133350</xdr:rowOff>
    </xdr:from>
    <xdr:to>
      <xdr:col>11</xdr:col>
      <xdr:colOff>676275</xdr:colOff>
      <xdr:row>45</xdr:row>
      <xdr:rowOff>0</xdr:rowOff>
    </xdr:to>
    <xdr:graphicFrame macro="">
      <xdr:nvGraphicFramePr>
        <xdr:cNvPr id="717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9525</xdr:colOff>
      <xdr:row>45</xdr:row>
      <xdr:rowOff>76200</xdr:rowOff>
    </xdr:from>
    <xdr:to>
      <xdr:col>11</xdr:col>
      <xdr:colOff>695325</xdr:colOff>
      <xdr:row>59</xdr:row>
      <xdr:rowOff>85725</xdr:rowOff>
    </xdr:to>
    <xdr:graphicFrame macro="">
      <xdr:nvGraphicFramePr>
        <xdr:cNvPr id="717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104775</xdr:colOff>
      <xdr:row>45</xdr:row>
      <xdr:rowOff>57150</xdr:rowOff>
    </xdr:from>
    <xdr:to>
      <xdr:col>3</xdr:col>
      <xdr:colOff>1076325</xdr:colOff>
      <xdr:row>59</xdr:row>
      <xdr:rowOff>76200</xdr:rowOff>
    </xdr:to>
    <xdr:graphicFrame macro="">
      <xdr:nvGraphicFramePr>
        <xdr:cNvPr id="717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161925</xdr:colOff>
      <xdr:row>45</xdr:row>
      <xdr:rowOff>57150</xdr:rowOff>
    </xdr:from>
    <xdr:to>
      <xdr:col>7</xdr:col>
      <xdr:colOff>904875</xdr:colOff>
      <xdr:row>59</xdr:row>
      <xdr:rowOff>85725</xdr:rowOff>
    </xdr:to>
    <xdr:graphicFrame macro="">
      <xdr:nvGraphicFramePr>
        <xdr:cNvPr id="7174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63"/>
  <sheetViews>
    <sheetView tabSelected="1" workbookViewId="0">
      <selection activeCell="D4" sqref="D4"/>
    </sheetView>
  </sheetViews>
  <sheetFormatPr defaultRowHeight="12.75" x14ac:dyDescent="0.2"/>
  <cols>
    <col min="1" max="1" width="3" style="59" customWidth="1"/>
    <col min="2" max="2" width="5.140625" style="59" customWidth="1"/>
    <col min="3" max="3" width="16.85546875" style="59" bestFit="1" customWidth="1"/>
    <col min="4" max="4" width="81.42578125" style="59" bestFit="1" customWidth="1"/>
    <col min="5" max="5" width="5.42578125" style="59" customWidth="1"/>
    <col min="6" max="16384" width="9.140625" style="59"/>
  </cols>
  <sheetData>
    <row r="1" spans="1:33" s="108" customFormat="1" x14ac:dyDescent="0.2">
      <c r="B1" s="109" t="str">
        <f>_xll.qlxlVersion(TRUE,Trigger)</f>
        <v>QuantLibXL 1.2.0 - MS VC++ 9.0 - Multithreaded Dynamic Runtime library - Release Configuration - Jan 18 2013 12:11:06</v>
      </c>
    </row>
    <row r="2" spans="1:33" s="108" customFormat="1" ht="15.75" x14ac:dyDescent="0.25">
      <c r="B2" s="126" t="s">
        <v>74</v>
      </c>
      <c r="C2" s="127"/>
      <c r="D2" s="127"/>
      <c r="E2" s="128"/>
    </row>
    <row r="3" spans="1:33" customFormat="1" x14ac:dyDescent="0.2">
      <c r="A3" s="108"/>
      <c r="B3" s="110"/>
      <c r="C3" s="111"/>
      <c r="D3" s="111"/>
      <c r="E3" s="112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</row>
    <row r="4" spans="1:33" customFormat="1" x14ac:dyDescent="0.2">
      <c r="A4" s="108"/>
      <c r="B4" s="110"/>
      <c r="C4" s="113" t="s">
        <v>45</v>
      </c>
      <c r="D4" s="114"/>
      <c r="E4" s="115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</row>
    <row r="5" spans="1:33" customFormat="1" x14ac:dyDescent="0.2">
      <c r="A5" s="108"/>
      <c r="B5" s="110"/>
      <c r="C5" s="113" t="s">
        <v>75</v>
      </c>
      <c r="D5" s="114" t="b">
        <v>1</v>
      </c>
      <c r="E5" s="115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  <c r="X5" s="108"/>
      <c r="Y5" s="108"/>
      <c r="Z5" s="108"/>
      <c r="AA5" s="108"/>
      <c r="AB5" s="108"/>
      <c r="AC5" s="108"/>
      <c r="AD5" s="108"/>
      <c r="AE5" s="108"/>
      <c r="AF5" s="108"/>
      <c r="AG5" s="108"/>
    </row>
    <row r="6" spans="1:33" customFormat="1" x14ac:dyDescent="0.2">
      <c r="A6" s="108"/>
      <c r="B6" s="110"/>
      <c r="C6" s="113" t="s">
        <v>84</v>
      </c>
      <c r="D6" s="114" t="b">
        <v>0</v>
      </c>
      <c r="E6" s="115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108"/>
      <c r="U6" s="108"/>
      <c r="V6" s="108"/>
      <c r="W6" s="108"/>
      <c r="X6" s="108"/>
      <c r="Y6" s="108"/>
      <c r="Z6" s="108"/>
      <c r="AA6" s="108"/>
      <c r="AB6" s="108"/>
      <c r="AC6" s="108"/>
      <c r="AD6" s="108"/>
      <c r="AE6" s="108"/>
      <c r="AF6" s="108"/>
      <c r="AG6" s="108"/>
    </row>
    <row r="7" spans="1:33" customFormat="1" x14ac:dyDescent="0.2">
      <c r="A7" s="108"/>
      <c r="B7" s="110"/>
      <c r="C7" s="113" t="s">
        <v>76</v>
      </c>
      <c r="D7" s="116" t="b">
        <v>1</v>
      </c>
      <c r="E7" s="115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</row>
    <row r="8" spans="1:33" customFormat="1" x14ac:dyDescent="0.2">
      <c r="A8" s="108"/>
      <c r="B8" s="110"/>
      <c r="C8" s="113" t="s">
        <v>77</v>
      </c>
      <c r="D8" s="114" t="str">
        <f ca="1">SUBSTITUTE(LEFT(CELL("filename",A1),FIND("[",CELL("filename",A1),1)-1),"\XLS\","\XML\")</f>
        <v>C:\Users\erik\Documents\repos\quantlib_nando\QuantLibXL\Data\XML\040_SwaptionVolBootstrap\040_Experimental\</v>
      </c>
      <c r="E8" s="115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8"/>
      <c r="AA8" s="108"/>
      <c r="AB8" s="108"/>
      <c r="AC8" s="108"/>
      <c r="AD8" s="108"/>
      <c r="AE8" s="108"/>
      <c r="AF8" s="108"/>
      <c r="AG8" s="108"/>
    </row>
    <row r="9" spans="1:33" customFormat="1" x14ac:dyDescent="0.2">
      <c r="A9" s="108"/>
      <c r="B9" s="110"/>
      <c r="C9" s="113" t="s">
        <v>78</v>
      </c>
      <c r="D9" s="114" t="b">
        <v>1</v>
      </c>
      <c r="E9" s="115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  <c r="W9" s="108"/>
      <c r="X9" s="108"/>
      <c r="Y9" s="108"/>
      <c r="Z9" s="108"/>
      <c r="AA9" s="108"/>
      <c r="AB9" s="108"/>
      <c r="AC9" s="108"/>
      <c r="AD9" s="108"/>
      <c r="AE9" s="108"/>
      <c r="AF9" s="108"/>
      <c r="AG9" s="108"/>
    </row>
    <row r="10" spans="1:33" s="108" customFormat="1" x14ac:dyDescent="0.2">
      <c r="B10" s="117"/>
      <c r="C10" s="118"/>
      <c r="D10" s="118"/>
      <c r="E10" s="119"/>
    </row>
    <row r="11" spans="1:33" s="108" customFormat="1" x14ac:dyDescent="0.2"/>
    <row r="12" spans="1:33" s="108" customFormat="1" ht="15.75" x14ac:dyDescent="0.25">
      <c r="B12" s="126" t="s">
        <v>79</v>
      </c>
      <c r="C12" s="127"/>
      <c r="D12" s="127"/>
      <c r="E12" s="128"/>
    </row>
    <row r="13" spans="1:33" customFormat="1" x14ac:dyDescent="0.2">
      <c r="A13" s="108"/>
      <c r="B13" s="110"/>
      <c r="C13" s="111"/>
      <c r="D13" s="111"/>
      <c r="E13" s="112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</row>
    <row r="14" spans="1:33" customFormat="1" x14ac:dyDescent="0.2">
      <c r="A14" s="108"/>
      <c r="B14" s="110"/>
      <c r="C14" s="120" t="s">
        <v>81</v>
      </c>
      <c r="D14" s="121" t="s">
        <v>82</v>
      </c>
      <c r="E14" s="112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</row>
    <row r="15" spans="1:33" customFormat="1" x14ac:dyDescent="0.2">
      <c r="A15" s="108"/>
      <c r="B15" s="110"/>
      <c r="C15" s="120" t="s">
        <v>80</v>
      </c>
      <c r="D15" s="121" t="s">
        <v>83</v>
      </c>
      <c r="E15" s="115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</row>
    <row r="16" spans="1:33" customFormat="1" x14ac:dyDescent="0.2">
      <c r="A16" s="108"/>
      <c r="B16" s="122"/>
      <c r="C16" s="123"/>
      <c r="D16" s="123"/>
      <c r="E16" s="124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</row>
    <row r="17" s="108" customFormat="1" x14ac:dyDescent="0.2"/>
    <row r="18" s="108" customFormat="1" x14ac:dyDescent="0.2"/>
    <row r="19" s="108" customFormat="1" x14ac:dyDescent="0.2"/>
    <row r="20" s="108" customFormat="1" x14ac:dyDescent="0.2"/>
    <row r="21" s="108" customFormat="1" x14ac:dyDescent="0.2"/>
    <row r="22" s="108" customFormat="1" x14ac:dyDescent="0.2"/>
    <row r="23" s="108" customFormat="1" x14ac:dyDescent="0.2"/>
    <row r="24" s="108" customFormat="1" x14ac:dyDescent="0.2"/>
    <row r="25" s="108" customFormat="1" x14ac:dyDescent="0.2"/>
    <row r="26" s="108" customFormat="1" x14ac:dyDescent="0.2"/>
    <row r="27" s="108" customFormat="1" x14ac:dyDescent="0.2"/>
    <row r="28" s="108" customFormat="1" x14ac:dyDescent="0.2"/>
    <row r="29" s="108" customFormat="1" x14ac:dyDescent="0.2"/>
    <row r="30" s="108" customFormat="1" x14ac:dyDescent="0.2"/>
    <row r="31" s="108" customFormat="1" x14ac:dyDescent="0.2"/>
    <row r="32" s="108" customFormat="1" x14ac:dyDescent="0.2"/>
    <row r="33" s="108" customFormat="1" x14ac:dyDescent="0.2"/>
    <row r="34" s="108" customFormat="1" x14ac:dyDescent="0.2"/>
    <row r="35" s="108" customFormat="1" x14ac:dyDescent="0.2"/>
    <row r="36" s="108" customFormat="1" x14ac:dyDescent="0.2"/>
    <row r="37" s="108" customFormat="1" x14ac:dyDescent="0.2"/>
    <row r="38" s="108" customFormat="1" x14ac:dyDescent="0.2"/>
    <row r="39" s="108" customFormat="1" x14ac:dyDescent="0.2"/>
    <row r="40" s="108" customFormat="1" x14ac:dyDescent="0.2"/>
    <row r="41" s="108" customFormat="1" x14ac:dyDescent="0.2"/>
    <row r="42" s="108" customFormat="1" x14ac:dyDescent="0.2"/>
    <row r="43" s="108" customFormat="1" x14ac:dyDescent="0.2"/>
    <row r="44" s="108" customFormat="1" x14ac:dyDescent="0.2"/>
    <row r="45" s="108" customFormat="1" x14ac:dyDescent="0.2"/>
    <row r="46" s="108" customFormat="1" x14ac:dyDescent="0.2"/>
    <row r="47" s="108" customFormat="1" x14ac:dyDescent="0.2"/>
    <row r="48" s="108" customFormat="1" x14ac:dyDescent="0.2"/>
    <row r="49" s="108" customFormat="1" x14ac:dyDescent="0.2"/>
    <row r="50" s="108" customFormat="1" x14ac:dyDescent="0.2"/>
    <row r="51" s="108" customFormat="1" x14ac:dyDescent="0.2"/>
    <row r="52" s="108" customFormat="1" x14ac:dyDescent="0.2"/>
    <row r="53" s="108" customFormat="1" x14ac:dyDescent="0.2"/>
    <row r="54" s="108" customFormat="1" x14ac:dyDescent="0.2"/>
    <row r="55" s="108" customFormat="1" x14ac:dyDescent="0.2"/>
    <row r="56" s="108" customFormat="1" x14ac:dyDescent="0.2"/>
    <row r="57" s="108" customFormat="1" x14ac:dyDescent="0.2"/>
    <row r="58" s="108" customFormat="1" x14ac:dyDescent="0.2"/>
    <row r="59" s="108" customFormat="1" x14ac:dyDescent="0.2"/>
    <row r="60" s="108" customFormat="1" x14ac:dyDescent="0.2"/>
    <row r="61" s="108" customFormat="1" x14ac:dyDescent="0.2"/>
    <row r="62" s="108" customFormat="1" x14ac:dyDescent="0.2"/>
    <row r="63" s="108" customFormat="1" x14ac:dyDescent="0.2"/>
  </sheetData>
  <mergeCells count="2">
    <mergeCell ref="B2:E2"/>
    <mergeCell ref="B12:E12"/>
  </mergeCells>
  <phoneticPr fontId="2" type="noConversion"/>
  <dataValidations count="1"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T89"/>
  <sheetViews>
    <sheetView workbookViewId="0">
      <selection activeCell="B29" sqref="B29"/>
    </sheetView>
  </sheetViews>
  <sheetFormatPr defaultRowHeight="12.75" outlineLevelRow="1" x14ac:dyDescent="0.2"/>
  <cols>
    <col min="1" max="1" width="8.140625" bestFit="1" customWidth="1"/>
    <col min="2" max="2" width="12.5703125" bestFit="1" customWidth="1"/>
    <col min="3" max="3" width="24" bestFit="1" customWidth="1"/>
    <col min="4" max="4" width="36.5703125" bestFit="1" customWidth="1"/>
    <col min="5" max="5" width="14.28515625" bestFit="1" customWidth="1"/>
    <col min="6" max="6" width="3.85546875" customWidth="1"/>
    <col min="7" max="7" width="24" bestFit="1" customWidth="1"/>
    <col min="8" max="8" width="36.5703125" bestFit="1" customWidth="1"/>
    <col min="9" max="9" width="14.28515625" bestFit="1" customWidth="1"/>
    <col min="10" max="10" width="5.7109375" customWidth="1"/>
    <col min="11" max="11" width="24" bestFit="1" customWidth="1"/>
    <col min="12" max="12" width="36.5703125" bestFit="1" customWidth="1"/>
    <col min="13" max="13" width="14.28515625" bestFit="1" customWidth="1"/>
    <col min="14" max="14" width="7" customWidth="1"/>
    <col min="15" max="15" width="24" bestFit="1" customWidth="1"/>
    <col min="16" max="16" width="36.5703125" bestFit="1" customWidth="1"/>
    <col min="17" max="17" width="14.28515625" bestFit="1" customWidth="1"/>
    <col min="18" max="18" width="7.140625" customWidth="1"/>
    <col min="19" max="19" width="24" bestFit="1" customWidth="1"/>
    <col min="20" max="20" width="36.5703125" bestFit="1" customWidth="1"/>
    <col min="21" max="21" width="14.28515625" bestFit="1" customWidth="1"/>
    <col min="22" max="22" width="7.5703125" customWidth="1"/>
    <col min="23" max="23" width="24" bestFit="1" customWidth="1"/>
    <col min="24" max="24" width="36.5703125" bestFit="1" customWidth="1"/>
    <col min="25" max="25" width="14.28515625" bestFit="1" customWidth="1"/>
    <col min="26" max="26" width="7.7109375" customWidth="1"/>
    <col min="27" max="27" width="24" bestFit="1" customWidth="1"/>
    <col min="28" max="28" width="36.5703125" bestFit="1" customWidth="1"/>
    <col min="29" max="29" width="14.28515625" bestFit="1" customWidth="1"/>
    <col min="30" max="30" width="9.5703125" customWidth="1"/>
    <col min="31" max="31" width="24" bestFit="1" customWidth="1"/>
    <col min="32" max="32" width="36.5703125" bestFit="1" customWidth="1"/>
    <col min="33" max="33" width="14.28515625" bestFit="1" customWidth="1"/>
    <col min="34" max="34" width="8.140625" customWidth="1"/>
    <col min="35" max="35" width="24" bestFit="1" customWidth="1"/>
    <col min="36" max="36" width="36.5703125" bestFit="1" customWidth="1"/>
    <col min="37" max="37" width="14.28515625" bestFit="1" customWidth="1"/>
    <col min="38" max="38" width="8.28515625" customWidth="1"/>
    <col min="39" max="39" width="24" bestFit="1" customWidth="1"/>
    <col min="40" max="40" width="37.42578125" bestFit="1" customWidth="1"/>
    <col min="41" max="41" width="14.28515625" bestFit="1" customWidth="1"/>
    <col min="42" max="42" width="7.7109375" customWidth="1"/>
    <col min="43" max="43" width="24" bestFit="1" customWidth="1"/>
    <col min="44" max="44" width="37.42578125" bestFit="1" customWidth="1"/>
    <col min="45" max="45" width="14.28515625" bestFit="1" customWidth="1"/>
    <col min="46" max="46" width="8.28515625" customWidth="1"/>
    <col min="47" max="47" width="24" bestFit="1" customWidth="1"/>
    <col min="48" max="48" width="37.42578125" bestFit="1" customWidth="1"/>
    <col min="49" max="49" width="14.28515625" bestFit="1" customWidth="1"/>
    <col min="50" max="50" width="8.7109375" customWidth="1"/>
    <col min="51" max="51" width="24" bestFit="1" customWidth="1"/>
    <col min="52" max="52" width="37.42578125" bestFit="1" customWidth="1"/>
    <col min="53" max="53" width="14.28515625" bestFit="1" customWidth="1"/>
    <col min="54" max="54" width="10" customWidth="1"/>
    <col min="55" max="55" width="24" bestFit="1" customWidth="1"/>
    <col min="56" max="56" width="37.42578125" bestFit="1" customWidth="1"/>
    <col min="57" max="57" width="14.28515625" bestFit="1" customWidth="1"/>
    <col min="58" max="58" width="8.85546875" customWidth="1"/>
    <col min="59" max="59" width="24" bestFit="1" customWidth="1"/>
    <col min="60" max="60" width="37.42578125" bestFit="1" customWidth="1"/>
    <col min="61" max="61" width="14.28515625" bestFit="1" customWidth="1"/>
    <col min="62" max="62" width="14.28515625" customWidth="1"/>
    <col min="63" max="63" width="24" bestFit="1" customWidth="1"/>
    <col min="64" max="64" width="37.42578125" bestFit="1" customWidth="1"/>
    <col min="65" max="65" width="14.28515625" bestFit="1" customWidth="1"/>
    <col min="66" max="66" width="14.28515625" customWidth="1"/>
    <col min="67" max="67" width="24" bestFit="1" customWidth="1"/>
    <col min="68" max="68" width="37.42578125" bestFit="1" customWidth="1"/>
    <col min="69" max="69" width="14.28515625" bestFit="1" customWidth="1"/>
    <col min="70" max="70" width="14.28515625" customWidth="1"/>
    <col min="71" max="71" width="24" bestFit="1" customWidth="1"/>
    <col min="72" max="72" width="37.42578125" bestFit="1" customWidth="1"/>
    <col min="73" max="73" width="14.28515625" bestFit="1" customWidth="1"/>
    <col min="74" max="74" width="14.28515625" customWidth="1"/>
    <col min="75" max="75" width="24" bestFit="1" customWidth="1"/>
    <col min="76" max="76" width="37.42578125" bestFit="1" customWidth="1"/>
    <col min="77" max="77" width="14.28515625" bestFit="1" customWidth="1"/>
    <col min="78" max="78" width="8.85546875" customWidth="1"/>
    <col min="79" max="79" width="24" bestFit="1" customWidth="1"/>
    <col min="80" max="80" width="37.42578125" bestFit="1" customWidth="1"/>
    <col min="81" max="81" width="14.28515625" bestFit="1" customWidth="1"/>
    <col min="82" max="82" width="14.28515625" customWidth="1"/>
    <col min="83" max="83" width="24" bestFit="1" customWidth="1"/>
    <col min="84" max="84" width="37.42578125" bestFit="1" customWidth="1"/>
    <col min="85" max="85" width="14.28515625" bestFit="1" customWidth="1"/>
    <col min="86" max="86" width="14.28515625" customWidth="1"/>
    <col min="87" max="87" width="24" bestFit="1" customWidth="1"/>
    <col min="88" max="88" width="37.42578125" bestFit="1" customWidth="1"/>
    <col min="89" max="89" width="14.28515625" bestFit="1" customWidth="1"/>
    <col min="90" max="90" width="14.28515625" customWidth="1"/>
    <col min="91" max="91" width="24" bestFit="1" customWidth="1"/>
    <col min="92" max="92" width="37.42578125" bestFit="1" customWidth="1"/>
    <col min="93" max="93" width="14.28515625" bestFit="1" customWidth="1"/>
    <col min="94" max="94" width="14.28515625" customWidth="1"/>
    <col min="95" max="95" width="24" bestFit="1" customWidth="1"/>
    <col min="96" max="96" width="37.42578125" bestFit="1" customWidth="1"/>
    <col min="97" max="97" width="14.28515625" bestFit="1" customWidth="1"/>
    <col min="98" max="98" width="8.7109375" customWidth="1"/>
    <col min="99" max="99" width="24" bestFit="1" customWidth="1"/>
    <col min="100" max="100" width="37.42578125" bestFit="1" customWidth="1"/>
    <col min="101" max="101" width="14.28515625" bestFit="1" customWidth="1"/>
    <col min="102" max="102" width="14.28515625" customWidth="1"/>
    <col min="103" max="103" width="24" bestFit="1" customWidth="1"/>
    <col min="104" max="104" width="37.42578125" bestFit="1" customWidth="1"/>
    <col min="105" max="105" width="14.28515625" bestFit="1" customWidth="1"/>
    <col min="106" max="106" width="14.28515625" customWidth="1"/>
    <col min="107" max="107" width="24" bestFit="1" customWidth="1"/>
    <col min="108" max="108" width="37.42578125" bestFit="1" customWidth="1"/>
    <col min="109" max="109" width="14.28515625" bestFit="1" customWidth="1"/>
    <col min="110" max="110" width="14.28515625" customWidth="1"/>
    <col min="111" max="111" width="24" bestFit="1" customWidth="1"/>
    <col min="112" max="112" width="37.42578125" bestFit="1" customWidth="1"/>
    <col min="113" max="113" width="14.28515625" bestFit="1" customWidth="1"/>
    <col min="114" max="114" width="14.28515625" customWidth="1"/>
    <col min="115" max="115" width="24" bestFit="1" customWidth="1"/>
    <col min="116" max="116" width="37.42578125" bestFit="1" customWidth="1"/>
    <col min="117" max="117" width="14.28515625" bestFit="1" customWidth="1"/>
    <col min="118" max="118" width="8.5703125" customWidth="1"/>
    <col min="119" max="119" width="24" bestFit="1" customWidth="1"/>
    <col min="120" max="120" width="37.42578125" bestFit="1" customWidth="1"/>
    <col min="121" max="121" width="14.28515625" bestFit="1" customWidth="1"/>
  </cols>
  <sheetData>
    <row r="1" spans="2:124" ht="13.5" thickBot="1" x14ac:dyDescent="0.25">
      <c r="C1" s="30" t="s">
        <v>52</v>
      </c>
      <c r="D1" s="79">
        <v>0.05</v>
      </c>
    </row>
    <row r="2" spans="2:124" ht="13.5" thickBot="1" x14ac:dyDescent="0.25">
      <c r="C2" s="30" t="s">
        <v>17</v>
      </c>
      <c r="D2" s="70" t="s">
        <v>18</v>
      </c>
      <c r="M2" s="1"/>
      <c r="Q2" s="1"/>
      <c r="U2" s="1"/>
      <c r="Y2" s="1"/>
      <c r="AC2" s="1"/>
      <c r="AG2" s="1"/>
      <c r="AK2" s="1"/>
      <c r="AO2" s="1"/>
      <c r="AP2" s="1"/>
      <c r="AS2" s="1"/>
      <c r="AW2" s="1"/>
      <c r="AX2" s="1"/>
      <c r="BA2" s="1"/>
      <c r="BB2" s="1"/>
      <c r="BE2" s="1"/>
      <c r="BI2" s="1"/>
      <c r="BJ2" s="1"/>
      <c r="BM2" s="1"/>
      <c r="BN2" s="1"/>
      <c r="BQ2" s="1"/>
      <c r="BR2" s="1"/>
      <c r="BU2" s="1"/>
      <c r="BV2" s="1"/>
      <c r="BY2" s="1"/>
      <c r="CC2" s="1"/>
      <c r="CD2" s="1"/>
      <c r="CG2" s="1"/>
      <c r="CH2" s="1"/>
      <c r="CK2" s="1"/>
      <c r="CL2" s="1"/>
      <c r="CO2" s="1"/>
      <c r="CP2" s="1"/>
      <c r="CS2" s="1"/>
      <c r="CW2" s="1"/>
      <c r="CX2" s="1"/>
      <c r="DA2" s="1"/>
      <c r="DB2" s="1"/>
      <c r="DE2" s="1"/>
      <c r="DF2" s="1"/>
      <c r="DI2" s="1"/>
      <c r="DJ2" s="1"/>
      <c r="DM2" s="1"/>
      <c r="DQ2" s="1"/>
    </row>
    <row r="3" spans="2:124" x14ac:dyDescent="0.2">
      <c r="I3" s="1"/>
      <c r="M3" s="1"/>
      <c r="Q3" s="1"/>
      <c r="U3" s="1"/>
      <c r="Y3" s="1"/>
      <c r="AC3" s="1"/>
      <c r="AG3" s="1"/>
      <c r="AK3" s="1"/>
      <c r="AO3" s="1"/>
      <c r="AP3" s="1"/>
      <c r="AS3" s="1"/>
      <c r="AW3" s="1"/>
      <c r="AX3" s="1"/>
      <c r="BA3" s="1"/>
      <c r="BB3" s="1"/>
      <c r="BE3" s="1"/>
      <c r="BI3" s="1"/>
      <c r="BJ3" s="1"/>
      <c r="BM3" s="1"/>
      <c r="BN3" s="1"/>
      <c r="BQ3" s="1"/>
      <c r="BR3" s="1"/>
      <c r="BU3" s="1"/>
      <c r="BV3" s="1"/>
      <c r="BY3" s="1"/>
      <c r="CC3" s="1"/>
      <c r="CD3" s="1"/>
      <c r="CG3" s="1"/>
      <c r="CH3" s="1"/>
      <c r="CK3" s="1"/>
      <c r="CL3" s="1"/>
      <c r="CO3" s="1"/>
      <c r="CP3" s="1"/>
      <c r="CS3" s="1"/>
      <c r="CW3" s="1"/>
      <c r="CX3" s="1"/>
      <c r="DA3" s="1"/>
      <c r="DB3" s="1"/>
      <c r="DE3" s="1"/>
      <c r="DF3" s="1"/>
      <c r="DI3" s="1"/>
      <c r="DJ3" s="1"/>
      <c r="DM3" s="1"/>
      <c r="DQ3" s="1"/>
    </row>
    <row r="4" spans="2:124" hidden="1" outlineLevel="1" x14ac:dyDescent="0.2">
      <c r="C4" s="45"/>
      <c r="D4" s="24" t="s">
        <v>0</v>
      </c>
      <c r="E4" s="25" t="s">
        <v>1</v>
      </c>
      <c r="G4" s="45"/>
      <c r="H4" s="24" t="s">
        <v>0</v>
      </c>
      <c r="I4" s="25" t="s">
        <v>1</v>
      </c>
      <c r="K4" s="45"/>
      <c r="L4" s="24" t="s">
        <v>0</v>
      </c>
      <c r="M4" s="25" t="s">
        <v>1</v>
      </c>
      <c r="O4" s="45"/>
      <c r="P4" s="24" t="s">
        <v>0</v>
      </c>
      <c r="Q4" s="25" t="s">
        <v>1</v>
      </c>
      <c r="S4" s="45"/>
      <c r="T4" s="24" t="s">
        <v>0</v>
      </c>
      <c r="U4" s="25" t="s">
        <v>1</v>
      </c>
      <c r="W4" s="45"/>
      <c r="X4" s="24" t="s">
        <v>0</v>
      </c>
      <c r="Y4" s="25" t="s">
        <v>1</v>
      </c>
      <c r="AA4" s="45"/>
      <c r="AB4" s="24" t="s">
        <v>0</v>
      </c>
      <c r="AC4" s="25" t="s">
        <v>1</v>
      </c>
      <c r="AE4" s="45"/>
      <c r="AF4" s="24" t="s">
        <v>0</v>
      </c>
      <c r="AG4" s="25" t="s">
        <v>1</v>
      </c>
      <c r="AI4" s="45"/>
      <c r="AJ4" s="24" t="s">
        <v>0</v>
      </c>
      <c r="AK4" s="25" t="s">
        <v>1</v>
      </c>
      <c r="AM4" s="45"/>
      <c r="AN4" s="24" t="s">
        <v>0</v>
      </c>
      <c r="AO4" s="25" t="s">
        <v>1</v>
      </c>
      <c r="AP4" s="1"/>
      <c r="AQ4" s="45"/>
      <c r="AR4" s="24" t="s">
        <v>0</v>
      </c>
      <c r="AS4" s="25" t="s">
        <v>1</v>
      </c>
      <c r="AU4" s="45"/>
      <c r="AV4" s="24" t="s">
        <v>0</v>
      </c>
      <c r="AW4" s="25" t="s">
        <v>1</v>
      </c>
      <c r="AX4" s="1"/>
      <c r="AY4" s="45"/>
      <c r="AZ4" s="24" t="s">
        <v>0</v>
      </c>
      <c r="BA4" s="25" t="s">
        <v>1</v>
      </c>
      <c r="BB4" s="1"/>
      <c r="BC4" s="45"/>
      <c r="BD4" s="24" t="s">
        <v>0</v>
      </c>
      <c r="BE4" s="25" t="s">
        <v>1</v>
      </c>
      <c r="BG4" s="45"/>
      <c r="BH4" s="24" t="s">
        <v>0</v>
      </c>
      <c r="BI4" s="25" t="s">
        <v>1</v>
      </c>
      <c r="BJ4" s="1"/>
      <c r="BK4" s="45"/>
      <c r="BL4" s="24" t="s">
        <v>0</v>
      </c>
      <c r="BM4" s="25" t="s">
        <v>1</v>
      </c>
      <c r="BN4" s="1"/>
      <c r="BO4" s="45"/>
      <c r="BP4" s="24" t="s">
        <v>0</v>
      </c>
      <c r="BQ4" s="25" t="s">
        <v>1</v>
      </c>
      <c r="BR4" s="1"/>
      <c r="BS4" s="45"/>
      <c r="BT4" s="24" t="s">
        <v>0</v>
      </c>
      <c r="BU4" s="25" t="s">
        <v>1</v>
      </c>
      <c r="BV4" s="1"/>
      <c r="BW4" s="45"/>
      <c r="BX4" s="24" t="s">
        <v>0</v>
      </c>
      <c r="BY4" s="25" t="s">
        <v>1</v>
      </c>
      <c r="CA4" s="45"/>
      <c r="CB4" s="24" t="s">
        <v>0</v>
      </c>
      <c r="CC4" s="25" t="s">
        <v>1</v>
      </c>
      <c r="CD4" s="1"/>
      <c r="CE4" s="45"/>
      <c r="CF4" s="24" t="s">
        <v>0</v>
      </c>
      <c r="CG4" s="25" t="s">
        <v>1</v>
      </c>
      <c r="CH4" s="1"/>
      <c r="CI4" s="45"/>
      <c r="CJ4" s="24" t="s">
        <v>0</v>
      </c>
      <c r="CK4" s="25" t="s">
        <v>1</v>
      </c>
      <c r="CL4" s="1"/>
      <c r="CM4" s="45"/>
      <c r="CN4" s="24" t="s">
        <v>0</v>
      </c>
      <c r="CO4" s="25" t="s">
        <v>1</v>
      </c>
      <c r="CP4" s="1"/>
      <c r="CQ4" s="45"/>
      <c r="CR4" s="24" t="s">
        <v>0</v>
      </c>
      <c r="CS4" s="25" t="s">
        <v>1</v>
      </c>
      <c r="CU4" s="45"/>
      <c r="CV4" s="24" t="s">
        <v>0</v>
      </c>
      <c r="CW4" s="25" t="s">
        <v>1</v>
      </c>
      <c r="CX4" s="1"/>
      <c r="CY4" s="45"/>
      <c r="CZ4" s="24" t="s">
        <v>0</v>
      </c>
      <c r="DA4" s="25" t="s">
        <v>1</v>
      </c>
      <c r="DB4" s="1"/>
      <c r="DC4" s="45"/>
      <c r="DD4" s="24" t="s">
        <v>0</v>
      </c>
      <c r="DE4" s="25" t="s">
        <v>1</v>
      </c>
      <c r="DF4" s="1"/>
      <c r="DG4" s="45"/>
      <c r="DH4" s="24" t="s">
        <v>0</v>
      </c>
      <c r="DI4" s="25" t="s">
        <v>1</v>
      </c>
      <c r="DJ4" s="1"/>
      <c r="DK4" s="45"/>
      <c r="DL4" s="24" t="s">
        <v>0</v>
      </c>
      <c r="DM4" s="25" t="s">
        <v>1</v>
      </c>
      <c r="DO4" s="45"/>
      <c r="DP4" s="24" t="s">
        <v>0</v>
      </c>
      <c r="DQ4" s="25" t="s">
        <v>1</v>
      </c>
    </row>
    <row r="5" spans="2:124" hidden="1" outlineLevel="1" x14ac:dyDescent="0.2">
      <c r="C5" s="46" t="s">
        <v>2</v>
      </c>
      <c r="D5" s="28" t="e">
        <f>NA()</f>
        <v>#N/A</v>
      </c>
      <c r="E5" s="26" t="b">
        <v>0</v>
      </c>
      <c r="G5" s="46" t="s">
        <v>2</v>
      </c>
      <c r="H5" s="28" t="e">
        <f>NA()</f>
        <v>#N/A</v>
      </c>
      <c r="I5" s="26" t="b">
        <v>0</v>
      </c>
      <c r="K5" s="46" t="s">
        <v>2</v>
      </c>
      <c r="L5" s="28" t="e">
        <f>NA()</f>
        <v>#N/A</v>
      </c>
      <c r="M5" s="26" t="b">
        <v>0</v>
      </c>
      <c r="O5" s="46" t="s">
        <v>2</v>
      </c>
      <c r="P5" s="28" t="e">
        <f>NA()</f>
        <v>#N/A</v>
      </c>
      <c r="Q5" s="26" t="b">
        <v>0</v>
      </c>
      <c r="S5" s="46" t="s">
        <v>2</v>
      </c>
      <c r="T5" s="28" t="e">
        <f>NA()</f>
        <v>#N/A</v>
      </c>
      <c r="U5" s="26" t="b">
        <v>0</v>
      </c>
      <c r="W5" s="46" t="s">
        <v>2</v>
      </c>
      <c r="X5" s="28" t="e">
        <f>NA()</f>
        <v>#N/A</v>
      </c>
      <c r="Y5" s="26" t="b">
        <v>0</v>
      </c>
      <c r="AA5" s="46" t="s">
        <v>2</v>
      </c>
      <c r="AB5" s="28" t="e">
        <f>NA()</f>
        <v>#N/A</v>
      </c>
      <c r="AC5" s="26" t="b">
        <v>0</v>
      </c>
      <c r="AE5" s="46" t="s">
        <v>2</v>
      </c>
      <c r="AF5" s="28" t="e">
        <f>NA()</f>
        <v>#N/A</v>
      </c>
      <c r="AG5" s="26" t="b">
        <v>0</v>
      </c>
      <c r="AI5" s="46" t="s">
        <v>2</v>
      </c>
      <c r="AJ5" s="28" t="e">
        <f>NA()</f>
        <v>#N/A</v>
      </c>
      <c r="AK5" s="26" t="b">
        <v>0</v>
      </c>
      <c r="AM5" s="46" t="s">
        <v>2</v>
      </c>
      <c r="AN5" s="28" t="e">
        <f>NA()</f>
        <v>#N/A</v>
      </c>
      <c r="AO5" s="26" t="b">
        <v>0</v>
      </c>
      <c r="AP5" s="88"/>
      <c r="AQ5" s="46" t="s">
        <v>2</v>
      </c>
      <c r="AR5" s="28" t="e">
        <f>NA()</f>
        <v>#N/A</v>
      </c>
      <c r="AS5" s="26" t="b">
        <v>0</v>
      </c>
      <c r="AU5" s="46" t="s">
        <v>2</v>
      </c>
      <c r="AV5" s="28" t="e">
        <f>NA()</f>
        <v>#N/A</v>
      </c>
      <c r="AW5" s="26" t="b">
        <v>0</v>
      </c>
      <c r="AX5" s="88"/>
      <c r="AY5" s="46" t="s">
        <v>2</v>
      </c>
      <c r="AZ5" s="28" t="e">
        <f>NA()</f>
        <v>#N/A</v>
      </c>
      <c r="BA5" s="26" t="b">
        <v>0</v>
      </c>
      <c r="BB5" s="88"/>
      <c r="BC5" s="46" t="s">
        <v>2</v>
      </c>
      <c r="BD5" s="28" t="e">
        <f>NA()</f>
        <v>#N/A</v>
      </c>
      <c r="BE5" s="26" t="b">
        <v>0</v>
      </c>
      <c r="BG5" s="46" t="s">
        <v>2</v>
      </c>
      <c r="BH5" s="28" t="e">
        <f>NA()</f>
        <v>#N/A</v>
      </c>
      <c r="BI5" s="26" t="b">
        <v>0</v>
      </c>
      <c r="BJ5" s="88"/>
      <c r="BK5" s="46" t="s">
        <v>2</v>
      </c>
      <c r="BL5" s="28" t="e">
        <f>NA()</f>
        <v>#N/A</v>
      </c>
      <c r="BM5" s="26" t="b">
        <v>0</v>
      </c>
      <c r="BN5" s="88"/>
      <c r="BO5" s="46" t="s">
        <v>2</v>
      </c>
      <c r="BP5" s="28" t="e">
        <f>NA()</f>
        <v>#N/A</v>
      </c>
      <c r="BQ5" s="26" t="b">
        <v>0</v>
      </c>
      <c r="BR5" s="88"/>
      <c r="BS5" s="46" t="s">
        <v>2</v>
      </c>
      <c r="BT5" s="28" t="e">
        <f>NA()</f>
        <v>#N/A</v>
      </c>
      <c r="BU5" s="26" t="b">
        <v>0</v>
      </c>
      <c r="BV5" s="88"/>
      <c r="BW5" s="46" t="s">
        <v>2</v>
      </c>
      <c r="BX5" s="28" t="e">
        <f>NA()</f>
        <v>#N/A</v>
      </c>
      <c r="BY5" s="26" t="b">
        <v>0</v>
      </c>
      <c r="CA5" s="46" t="s">
        <v>2</v>
      </c>
      <c r="CB5" s="28" t="e">
        <f>NA()</f>
        <v>#N/A</v>
      </c>
      <c r="CC5" s="26" t="b">
        <v>0</v>
      </c>
      <c r="CD5" s="88"/>
      <c r="CE5" s="46" t="s">
        <v>2</v>
      </c>
      <c r="CF5" s="28" t="e">
        <f>NA()</f>
        <v>#N/A</v>
      </c>
      <c r="CG5" s="26" t="b">
        <v>0</v>
      </c>
      <c r="CH5" s="88"/>
      <c r="CI5" s="46" t="s">
        <v>2</v>
      </c>
      <c r="CJ5" s="28" t="e">
        <f>NA()</f>
        <v>#N/A</v>
      </c>
      <c r="CK5" s="26" t="b">
        <v>0</v>
      </c>
      <c r="CL5" s="88"/>
      <c r="CM5" s="46" t="s">
        <v>2</v>
      </c>
      <c r="CN5" s="28" t="e">
        <f>NA()</f>
        <v>#N/A</v>
      </c>
      <c r="CO5" s="26" t="b">
        <v>0</v>
      </c>
      <c r="CP5" s="88"/>
      <c r="CQ5" s="46" t="s">
        <v>2</v>
      </c>
      <c r="CR5" s="28" t="e">
        <f>NA()</f>
        <v>#N/A</v>
      </c>
      <c r="CS5" s="26" t="b">
        <v>0</v>
      </c>
      <c r="CU5" s="46" t="s">
        <v>2</v>
      </c>
      <c r="CV5" s="28" t="e">
        <f>NA()</f>
        <v>#N/A</v>
      </c>
      <c r="CW5" s="26" t="b">
        <v>0</v>
      </c>
      <c r="CX5" s="88"/>
      <c r="CY5" s="46" t="s">
        <v>2</v>
      </c>
      <c r="CZ5" s="28" t="e">
        <f>NA()</f>
        <v>#N/A</v>
      </c>
      <c r="DA5" s="26" t="b">
        <v>0</v>
      </c>
      <c r="DB5" s="88"/>
      <c r="DC5" s="46" t="s">
        <v>2</v>
      </c>
      <c r="DD5" s="28" t="e">
        <f>NA()</f>
        <v>#N/A</v>
      </c>
      <c r="DE5" s="26" t="b">
        <v>0</v>
      </c>
      <c r="DF5" s="88"/>
      <c r="DG5" s="46" t="s">
        <v>2</v>
      </c>
      <c r="DH5" s="28" t="e">
        <f>NA()</f>
        <v>#N/A</v>
      </c>
      <c r="DI5" s="26" t="b">
        <v>0</v>
      </c>
      <c r="DJ5" s="88"/>
      <c r="DK5" s="46" t="s">
        <v>2</v>
      </c>
      <c r="DL5" s="28" t="e">
        <f>NA()</f>
        <v>#N/A</v>
      </c>
      <c r="DM5" s="26" t="b">
        <v>0</v>
      </c>
      <c r="DO5" s="46" t="s">
        <v>2</v>
      </c>
      <c r="DP5" s="28" t="e">
        <f>NA()</f>
        <v>#N/A</v>
      </c>
      <c r="DQ5" s="26" t="b">
        <v>0</v>
      </c>
    </row>
    <row r="6" spans="2:124" hidden="1" outlineLevel="1" x14ac:dyDescent="0.2">
      <c r="C6" s="46" t="s">
        <v>3</v>
      </c>
      <c r="D6" s="29" t="e">
        <f>NA()</f>
        <v>#N/A</v>
      </c>
      <c r="E6" s="27" t="b">
        <v>0</v>
      </c>
      <c r="G6" s="46" t="s">
        <v>3</v>
      </c>
      <c r="H6" s="29" t="e">
        <f>NA()</f>
        <v>#N/A</v>
      </c>
      <c r="I6" s="27" t="b">
        <v>0</v>
      </c>
      <c r="K6" s="46" t="s">
        <v>3</v>
      </c>
      <c r="L6" s="29" t="e">
        <f>NA()</f>
        <v>#N/A</v>
      </c>
      <c r="M6" s="27" t="b">
        <v>0</v>
      </c>
      <c r="O6" s="46" t="s">
        <v>3</v>
      </c>
      <c r="P6" s="29" t="e">
        <f>NA()</f>
        <v>#N/A</v>
      </c>
      <c r="Q6" s="27" t="b">
        <v>0</v>
      </c>
      <c r="S6" s="46" t="s">
        <v>3</v>
      </c>
      <c r="T6" s="29" t="e">
        <f>NA()</f>
        <v>#N/A</v>
      </c>
      <c r="U6" s="27" t="b">
        <v>0</v>
      </c>
      <c r="W6" s="46" t="s">
        <v>3</v>
      </c>
      <c r="X6" s="29" t="e">
        <f>NA()</f>
        <v>#N/A</v>
      </c>
      <c r="Y6" s="27" t="b">
        <v>0</v>
      </c>
      <c r="AA6" s="46" t="s">
        <v>3</v>
      </c>
      <c r="AB6" s="29" t="e">
        <f>NA()</f>
        <v>#N/A</v>
      </c>
      <c r="AC6" s="27" t="b">
        <v>0</v>
      </c>
      <c r="AE6" s="46" t="s">
        <v>3</v>
      </c>
      <c r="AF6" s="29" t="e">
        <f>NA()</f>
        <v>#N/A</v>
      </c>
      <c r="AG6" s="27" t="b">
        <v>0</v>
      </c>
      <c r="AI6" s="46" t="s">
        <v>3</v>
      </c>
      <c r="AJ6" s="29" t="e">
        <f>NA()</f>
        <v>#N/A</v>
      </c>
      <c r="AK6" s="27" t="b">
        <v>0</v>
      </c>
      <c r="AM6" s="46" t="s">
        <v>3</v>
      </c>
      <c r="AN6" s="29" t="e">
        <f>NA()</f>
        <v>#N/A</v>
      </c>
      <c r="AO6" s="27" t="b">
        <v>0</v>
      </c>
      <c r="AP6" s="89"/>
      <c r="AQ6" s="46" t="s">
        <v>3</v>
      </c>
      <c r="AR6" s="29" t="e">
        <f>NA()</f>
        <v>#N/A</v>
      </c>
      <c r="AS6" s="27" t="b">
        <v>0</v>
      </c>
      <c r="AU6" s="46" t="s">
        <v>3</v>
      </c>
      <c r="AV6" s="29" t="e">
        <f>NA()</f>
        <v>#N/A</v>
      </c>
      <c r="AW6" s="27" t="b">
        <v>0</v>
      </c>
      <c r="AX6" s="89"/>
      <c r="AY6" s="46" t="s">
        <v>3</v>
      </c>
      <c r="AZ6" s="29" t="e">
        <f>NA()</f>
        <v>#N/A</v>
      </c>
      <c r="BA6" s="27" t="b">
        <v>0</v>
      </c>
      <c r="BB6" s="89"/>
      <c r="BC6" s="46" t="s">
        <v>3</v>
      </c>
      <c r="BD6" s="29" t="e">
        <f>NA()</f>
        <v>#N/A</v>
      </c>
      <c r="BE6" s="27" t="b">
        <v>0</v>
      </c>
      <c r="BG6" s="46" t="s">
        <v>3</v>
      </c>
      <c r="BH6" s="29" t="e">
        <f>NA()</f>
        <v>#N/A</v>
      </c>
      <c r="BI6" s="27" t="b">
        <v>0</v>
      </c>
      <c r="BJ6" s="89"/>
      <c r="BK6" s="46" t="s">
        <v>3</v>
      </c>
      <c r="BL6" s="29" t="e">
        <f>NA()</f>
        <v>#N/A</v>
      </c>
      <c r="BM6" s="27" t="b">
        <v>0</v>
      </c>
      <c r="BN6" s="89"/>
      <c r="BO6" s="46" t="s">
        <v>3</v>
      </c>
      <c r="BP6" s="29" t="e">
        <f>NA()</f>
        <v>#N/A</v>
      </c>
      <c r="BQ6" s="27" t="b">
        <v>0</v>
      </c>
      <c r="BR6" s="89"/>
      <c r="BS6" s="46" t="s">
        <v>3</v>
      </c>
      <c r="BT6" s="29" t="e">
        <f>NA()</f>
        <v>#N/A</v>
      </c>
      <c r="BU6" s="27" t="b">
        <v>0</v>
      </c>
      <c r="BV6" s="89"/>
      <c r="BW6" s="46" t="s">
        <v>3</v>
      </c>
      <c r="BX6" s="29" t="e">
        <f>NA()</f>
        <v>#N/A</v>
      </c>
      <c r="BY6" s="27" t="b">
        <v>0</v>
      </c>
      <c r="CA6" s="46" t="s">
        <v>3</v>
      </c>
      <c r="CB6" s="29" t="e">
        <f>NA()</f>
        <v>#N/A</v>
      </c>
      <c r="CC6" s="27" t="b">
        <v>0</v>
      </c>
      <c r="CD6" s="89"/>
      <c r="CE6" s="46" t="s">
        <v>3</v>
      </c>
      <c r="CF6" s="29" t="e">
        <f>NA()</f>
        <v>#N/A</v>
      </c>
      <c r="CG6" s="27" t="b">
        <v>0</v>
      </c>
      <c r="CH6" s="89"/>
      <c r="CI6" s="46" t="s">
        <v>3</v>
      </c>
      <c r="CJ6" s="29" t="e">
        <f>NA()</f>
        <v>#N/A</v>
      </c>
      <c r="CK6" s="27" t="b">
        <v>0</v>
      </c>
      <c r="CL6" s="89"/>
      <c r="CM6" s="46" t="s">
        <v>3</v>
      </c>
      <c r="CN6" s="29" t="e">
        <f>NA()</f>
        <v>#N/A</v>
      </c>
      <c r="CO6" s="27" t="b">
        <v>0</v>
      </c>
      <c r="CP6" s="89"/>
      <c r="CQ6" s="46" t="s">
        <v>3</v>
      </c>
      <c r="CR6" s="29" t="e">
        <f>NA()</f>
        <v>#N/A</v>
      </c>
      <c r="CS6" s="27" t="b">
        <v>0</v>
      </c>
      <c r="CU6" s="46" t="s">
        <v>3</v>
      </c>
      <c r="CV6" s="29" t="e">
        <f>NA()</f>
        <v>#N/A</v>
      </c>
      <c r="CW6" s="27" t="b">
        <v>0</v>
      </c>
      <c r="CX6" s="89"/>
      <c r="CY6" s="46" t="s">
        <v>3</v>
      </c>
      <c r="CZ6" s="29" t="e">
        <f>NA()</f>
        <v>#N/A</v>
      </c>
      <c r="DA6" s="27" t="b">
        <v>0</v>
      </c>
      <c r="DB6" s="89"/>
      <c r="DC6" s="46" t="s">
        <v>3</v>
      </c>
      <c r="DD6" s="29" t="e">
        <f>NA()</f>
        <v>#N/A</v>
      </c>
      <c r="DE6" s="27" t="b">
        <v>0</v>
      </c>
      <c r="DF6" s="89"/>
      <c r="DG6" s="46" t="s">
        <v>3</v>
      </c>
      <c r="DH6" s="29" t="e">
        <f>NA()</f>
        <v>#N/A</v>
      </c>
      <c r="DI6" s="27" t="b">
        <v>0</v>
      </c>
      <c r="DJ6" s="89"/>
      <c r="DK6" s="46" t="s">
        <v>3</v>
      </c>
      <c r="DL6" s="29" t="e">
        <f>NA()</f>
        <v>#N/A</v>
      </c>
      <c r="DM6" s="27" t="b">
        <v>0</v>
      </c>
      <c r="DO6" s="46" t="s">
        <v>3</v>
      </c>
      <c r="DP6" s="29" t="e">
        <f>NA()</f>
        <v>#N/A</v>
      </c>
      <c r="DQ6" s="27" t="b">
        <v>0</v>
      </c>
    </row>
    <row r="7" spans="2:124" hidden="1" outlineLevel="1" x14ac:dyDescent="0.2">
      <c r="C7" s="46" t="s">
        <v>4</v>
      </c>
      <c r="D7" s="29" t="e">
        <f>NA()</f>
        <v>#N/A</v>
      </c>
      <c r="E7" s="27" t="b">
        <v>0</v>
      </c>
      <c r="G7" s="46" t="s">
        <v>4</v>
      </c>
      <c r="H7" s="29" t="e">
        <f>NA()</f>
        <v>#N/A</v>
      </c>
      <c r="I7" s="27" t="b">
        <v>0</v>
      </c>
      <c r="K7" s="46" t="s">
        <v>4</v>
      </c>
      <c r="L7" s="29" t="e">
        <f>NA()</f>
        <v>#N/A</v>
      </c>
      <c r="M7" s="27" t="b">
        <v>0</v>
      </c>
      <c r="O7" s="46" t="s">
        <v>4</v>
      </c>
      <c r="P7" s="29" t="e">
        <f>NA()</f>
        <v>#N/A</v>
      </c>
      <c r="Q7" s="27" t="b">
        <v>0</v>
      </c>
      <c r="S7" s="46" t="s">
        <v>4</v>
      </c>
      <c r="T7" s="29" t="e">
        <f>NA()</f>
        <v>#N/A</v>
      </c>
      <c r="U7" s="27" t="b">
        <v>0</v>
      </c>
      <c r="W7" s="46" t="s">
        <v>4</v>
      </c>
      <c r="X7" s="29" t="e">
        <f>NA()</f>
        <v>#N/A</v>
      </c>
      <c r="Y7" s="27" t="b">
        <v>0</v>
      </c>
      <c r="AA7" s="46" t="s">
        <v>4</v>
      </c>
      <c r="AB7" s="29" t="e">
        <f>NA()</f>
        <v>#N/A</v>
      </c>
      <c r="AC7" s="27" t="b">
        <v>0</v>
      </c>
      <c r="AE7" s="46" t="s">
        <v>4</v>
      </c>
      <c r="AF7" s="29" t="e">
        <f>NA()</f>
        <v>#N/A</v>
      </c>
      <c r="AG7" s="27" t="b">
        <v>0</v>
      </c>
      <c r="AI7" s="46" t="s">
        <v>4</v>
      </c>
      <c r="AJ7" s="29" t="e">
        <f>NA()</f>
        <v>#N/A</v>
      </c>
      <c r="AK7" s="27" t="b">
        <v>0</v>
      </c>
      <c r="AM7" s="46" t="s">
        <v>4</v>
      </c>
      <c r="AN7" s="29" t="e">
        <f>NA()</f>
        <v>#N/A</v>
      </c>
      <c r="AO7" s="27" t="b">
        <v>0</v>
      </c>
      <c r="AP7" s="89"/>
      <c r="AQ7" s="46" t="s">
        <v>4</v>
      </c>
      <c r="AR7" s="29" t="e">
        <f>NA()</f>
        <v>#N/A</v>
      </c>
      <c r="AS7" s="27" t="b">
        <v>0</v>
      </c>
      <c r="AU7" s="46" t="s">
        <v>4</v>
      </c>
      <c r="AV7" s="29" t="e">
        <f>NA()</f>
        <v>#N/A</v>
      </c>
      <c r="AW7" s="27" t="b">
        <v>0</v>
      </c>
      <c r="AX7" s="89"/>
      <c r="AY7" s="46" t="s">
        <v>4</v>
      </c>
      <c r="AZ7" s="29" t="e">
        <f>NA()</f>
        <v>#N/A</v>
      </c>
      <c r="BA7" s="27" t="b">
        <v>0</v>
      </c>
      <c r="BB7" s="89"/>
      <c r="BC7" s="46" t="s">
        <v>4</v>
      </c>
      <c r="BD7" s="29" t="e">
        <f>NA()</f>
        <v>#N/A</v>
      </c>
      <c r="BE7" s="27" t="b">
        <v>0</v>
      </c>
      <c r="BG7" s="46" t="s">
        <v>4</v>
      </c>
      <c r="BH7" s="29" t="e">
        <f>NA()</f>
        <v>#N/A</v>
      </c>
      <c r="BI7" s="27" t="b">
        <v>0</v>
      </c>
      <c r="BJ7" s="89"/>
      <c r="BK7" s="46" t="s">
        <v>4</v>
      </c>
      <c r="BL7" s="29" t="e">
        <f>NA()</f>
        <v>#N/A</v>
      </c>
      <c r="BM7" s="27" t="b">
        <v>0</v>
      </c>
      <c r="BN7" s="89"/>
      <c r="BO7" s="46" t="s">
        <v>4</v>
      </c>
      <c r="BP7" s="29" t="e">
        <f>NA()</f>
        <v>#N/A</v>
      </c>
      <c r="BQ7" s="27" t="b">
        <v>0</v>
      </c>
      <c r="BR7" s="89"/>
      <c r="BS7" s="46" t="s">
        <v>4</v>
      </c>
      <c r="BT7" s="29" t="e">
        <f>NA()</f>
        <v>#N/A</v>
      </c>
      <c r="BU7" s="27" t="b">
        <v>0</v>
      </c>
      <c r="BV7" s="89"/>
      <c r="BW7" s="46" t="s">
        <v>4</v>
      </c>
      <c r="BX7" s="29" t="e">
        <f>NA()</f>
        <v>#N/A</v>
      </c>
      <c r="BY7" s="27" t="b">
        <v>0</v>
      </c>
      <c r="CA7" s="46" t="s">
        <v>4</v>
      </c>
      <c r="CB7" s="29" t="e">
        <f>NA()</f>
        <v>#N/A</v>
      </c>
      <c r="CC7" s="27" t="b">
        <v>0</v>
      </c>
      <c r="CD7" s="89"/>
      <c r="CE7" s="46" t="s">
        <v>4</v>
      </c>
      <c r="CF7" s="29" t="e">
        <f>NA()</f>
        <v>#N/A</v>
      </c>
      <c r="CG7" s="27" t="b">
        <v>0</v>
      </c>
      <c r="CH7" s="89"/>
      <c r="CI7" s="46" t="s">
        <v>4</v>
      </c>
      <c r="CJ7" s="29" t="e">
        <f>NA()</f>
        <v>#N/A</v>
      </c>
      <c r="CK7" s="27" t="b">
        <v>0</v>
      </c>
      <c r="CL7" s="89"/>
      <c r="CM7" s="46" t="s">
        <v>4</v>
      </c>
      <c r="CN7" s="29" t="e">
        <f>NA()</f>
        <v>#N/A</v>
      </c>
      <c r="CO7" s="27" t="b">
        <v>0</v>
      </c>
      <c r="CP7" s="89"/>
      <c r="CQ7" s="46" t="s">
        <v>4</v>
      </c>
      <c r="CR7" s="29" t="e">
        <f>NA()</f>
        <v>#N/A</v>
      </c>
      <c r="CS7" s="27" t="b">
        <v>0</v>
      </c>
      <c r="CU7" s="46" t="s">
        <v>4</v>
      </c>
      <c r="CV7" s="29" t="e">
        <f>NA()</f>
        <v>#N/A</v>
      </c>
      <c r="CW7" s="27" t="b">
        <v>0</v>
      </c>
      <c r="CX7" s="89"/>
      <c r="CY7" s="46" t="s">
        <v>4</v>
      </c>
      <c r="CZ7" s="29" t="e">
        <f>NA()</f>
        <v>#N/A</v>
      </c>
      <c r="DA7" s="27" t="b">
        <v>0</v>
      </c>
      <c r="DB7" s="89"/>
      <c r="DC7" s="46" t="s">
        <v>4</v>
      </c>
      <c r="DD7" s="29" t="e">
        <f>NA()</f>
        <v>#N/A</v>
      </c>
      <c r="DE7" s="27" t="b">
        <v>0</v>
      </c>
      <c r="DF7" s="89"/>
      <c r="DG7" s="46" t="s">
        <v>4</v>
      </c>
      <c r="DH7" s="29" t="e">
        <f>NA()</f>
        <v>#N/A</v>
      </c>
      <c r="DI7" s="27" t="b">
        <v>0</v>
      </c>
      <c r="DJ7" s="89"/>
      <c r="DK7" s="46" t="s">
        <v>4</v>
      </c>
      <c r="DL7" s="29" t="e">
        <f>NA()</f>
        <v>#N/A</v>
      </c>
      <c r="DM7" s="27" t="b">
        <v>0</v>
      </c>
      <c r="DO7" s="46" t="s">
        <v>4</v>
      </c>
      <c r="DP7" s="29" t="e">
        <f>NA()</f>
        <v>#N/A</v>
      </c>
      <c r="DQ7" s="27" t="b">
        <v>0</v>
      </c>
    </row>
    <row r="8" spans="2:124" hidden="1" outlineLevel="1" x14ac:dyDescent="0.2">
      <c r="C8" s="53" t="s">
        <v>5</v>
      </c>
      <c r="D8" s="86" t="e">
        <f>NA()</f>
        <v>#N/A</v>
      </c>
      <c r="E8" s="87" t="b">
        <v>0</v>
      </c>
      <c r="G8" s="53" t="s">
        <v>5</v>
      </c>
      <c r="H8" s="86" t="e">
        <f>NA()</f>
        <v>#N/A</v>
      </c>
      <c r="I8" s="87" t="b">
        <v>0</v>
      </c>
      <c r="K8" s="53" t="s">
        <v>5</v>
      </c>
      <c r="L8" s="86" t="e">
        <f>NA()</f>
        <v>#N/A</v>
      </c>
      <c r="M8" s="87" t="b">
        <v>0</v>
      </c>
      <c r="O8" s="53" t="s">
        <v>5</v>
      </c>
      <c r="P8" s="86" t="e">
        <f>NA()</f>
        <v>#N/A</v>
      </c>
      <c r="Q8" s="87" t="b">
        <v>0</v>
      </c>
      <c r="S8" s="53" t="s">
        <v>5</v>
      </c>
      <c r="T8" s="86" t="e">
        <f>NA()</f>
        <v>#N/A</v>
      </c>
      <c r="U8" s="87" t="b">
        <v>0</v>
      </c>
      <c r="W8" s="53" t="s">
        <v>5</v>
      </c>
      <c r="X8" s="86" t="e">
        <f>NA()</f>
        <v>#N/A</v>
      </c>
      <c r="Y8" s="87" t="b">
        <v>0</v>
      </c>
      <c r="AA8" s="53" t="s">
        <v>5</v>
      </c>
      <c r="AB8" s="86" t="e">
        <f>NA()</f>
        <v>#N/A</v>
      </c>
      <c r="AC8" s="87" t="b">
        <v>0</v>
      </c>
      <c r="AE8" s="53" t="s">
        <v>5</v>
      </c>
      <c r="AF8" s="86" t="e">
        <f>NA()</f>
        <v>#N/A</v>
      </c>
      <c r="AG8" s="87" t="b">
        <v>0</v>
      </c>
      <c r="AI8" s="53" t="s">
        <v>5</v>
      </c>
      <c r="AJ8" s="86" t="e">
        <f>NA()</f>
        <v>#N/A</v>
      </c>
      <c r="AK8" s="87" t="b">
        <v>0</v>
      </c>
      <c r="AM8" s="53" t="s">
        <v>5</v>
      </c>
      <c r="AN8" s="86" t="e">
        <f>NA()</f>
        <v>#N/A</v>
      </c>
      <c r="AO8" s="87" t="b">
        <v>0</v>
      </c>
      <c r="AP8" s="88"/>
      <c r="AQ8" s="53" t="s">
        <v>5</v>
      </c>
      <c r="AR8" s="86" t="e">
        <f>NA()</f>
        <v>#N/A</v>
      </c>
      <c r="AS8" s="87" t="b">
        <v>0</v>
      </c>
      <c r="AU8" s="53" t="s">
        <v>5</v>
      </c>
      <c r="AV8" s="86" t="e">
        <f>NA()</f>
        <v>#N/A</v>
      </c>
      <c r="AW8" s="87" t="b">
        <v>0</v>
      </c>
      <c r="AX8" s="88"/>
      <c r="AY8" s="53" t="s">
        <v>5</v>
      </c>
      <c r="AZ8" s="86" t="e">
        <f>NA()</f>
        <v>#N/A</v>
      </c>
      <c r="BA8" s="87" t="b">
        <v>0</v>
      </c>
      <c r="BB8" s="88"/>
      <c r="BC8" s="53" t="s">
        <v>5</v>
      </c>
      <c r="BD8" s="86" t="e">
        <f>NA()</f>
        <v>#N/A</v>
      </c>
      <c r="BE8" s="87" t="b">
        <v>0</v>
      </c>
      <c r="BG8" s="53" t="s">
        <v>5</v>
      </c>
      <c r="BH8" s="86" t="e">
        <f>NA()</f>
        <v>#N/A</v>
      </c>
      <c r="BI8" s="87" t="b">
        <v>0</v>
      </c>
      <c r="BJ8" s="88"/>
      <c r="BK8" s="53" t="s">
        <v>5</v>
      </c>
      <c r="BL8" s="86" t="e">
        <f>NA()</f>
        <v>#N/A</v>
      </c>
      <c r="BM8" s="87" t="b">
        <v>0</v>
      </c>
      <c r="BN8" s="88"/>
      <c r="BO8" s="53" t="s">
        <v>5</v>
      </c>
      <c r="BP8" s="86" t="e">
        <f>NA()</f>
        <v>#N/A</v>
      </c>
      <c r="BQ8" s="87" t="b">
        <v>0</v>
      </c>
      <c r="BR8" s="88"/>
      <c r="BS8" s="53" t="s">
        <v>5</v>
      </c>
      <c r="BT8" s="86" t="e">
        <f>NA()</f>
        <v>#N/A</v>
      </c>
      <c r="BU8" s="87" t="b">
        <v>0</v>
      </c>
      <c r="BV8" s="88"/>
      <c r="BW8" s="53" t="s">
        <v>5</v>
      </c>
      <c r="BX8" s="86" t="e">
        <f>NA()</f>
        <v>#N/A</v>
      </c>
      <c r="BY8" s="87" t="b">
        <v>0</v>
      </c>
      <c r="CA8" s="53" t="s">
        <v>5</v>
      </c>
      <c r="CB8" s="86" t="e">
        <f>NA()</f>
        <v>#N/A</v>
      </c>
      <c r="CC8" s="87" t="b">
        <v>0</v>
      </c>
      <c r="CD8" s="88"/>
      <c r="CE8" s="53" t="s">
        <v>5</v>
      </c>
      <c r="CF8" s="86" t="e">
        <f>NA()</f>
        <v>#N/A</v>
      </c>
      <c r="CG8" s="87" t="b">
        <v>0</v>
      </c>
      <c r="CH8" s="88"/>
      <c r="CI8" s="53" t="s">
        <v>5</v>
      </c>
      <c r="CJ8" s="86" t="e">
        <f>NA()</f>
        <v>#N/A</v>
      </c>
      <c r="CK8" s="87" t="b">
        <v>0</v>
      </c>
      <c r="CL8" s="88"/>
      <c r="CM8" s="53" t="s">
        <v>5</v>
      </c>
      <c r="CN8" s="86" t="e">
        <f>NA()</f>
        <v>#N/A</v>
      </c>
      <c r="CO8" s="87" t="b">
        <v>0</v>
      </c>
      <c r="CP8" s="88"/>
      <c r="CQ8" s="53" t="s">
        <v>5</v>
      </c>
      <c r="CR8" s="86" t="e">
        <f>NA()</f>
        <v>#N/A</v>
      </c>
      <c r="CS8" s="87" t="b">
        <v>0</v>
      </c>
      <c r="CU8" s="53" t="s">
        <v>5</v>
      </c>
      <c r="CV8" s="86" t="e">
        <f>NA()</f>
        <v>#N/A</v>
      </c>
      <c r="CW8" s="87" t="b">
        <v>0</v>
      </c>
      <c r="CX8" s="88"/>
      <c r="CY8" s="53" t="s">
        <v>5</v>
      </c>
      <c r="CZ8" s="86" t="e">
        <f>NA()</f>
        <v>#N/A</v>
      </c>
      <c r="DA8" s="87" t="b">
        <v>0</v>
      </c>
      <c r="DB8" s="88"/>
      <c r="DC8" s="53" t="s">
        <v>5</v>
      </c>
      <c r="DD8" s="86" t="e">
        <f>NA()</f>
        <v>#N/A</v>
      </c>
      <c r="DE8" s="87" t="b">
        <v>0</v>
      </c>
      <c r="DF8" s="88"/>
      <c r="DG8" s="53" t="s">
        <v>5</v>
      </c>
      <c r="DH8" s="86" t="e">
        <f>NA()</f>
        <v>#N/A</v>
      </c>
      <c r="DI8" s="87" t="b">
        <v>0</v>
      </c>
      <c r="DJ8" s="88"/>
      <c r="DK8" s="53" t="s">
        <v>5</v>
      </c>
      <c r="DL8" s="86" t="e">
        <f>NA()</f>
        <v>#N/A</v>
      </c>
      <c r="DM8" s="87" t="b">
        <v>0</v>
      </c>
      <c r="DO8" s="53" t="s">
        <v>5</v>
      </c>
      <c r="DP8" s="86" t="e">
        <f>NA()</f>
        <v>#N/A</v>
      </c>
      <c r="DQ8" s="87" t="b">
        <v>0</v>
      </c>
    </row>
    <row r="9" spans="2:124" s="39" customFormat="1" hidden="1" outlineLevel="1" x14ac:dyDescent="0.2">
      <c r="C9" s="47"/>
      <c r="D9" s="6"/>
      <c r="E9" s="5"/>
      <c r="G9" s="47"/>
      <c r="H9" s="6"/>
      <c r="I9" s="5"/>
      <c r="K9" s="47"/>
      <c r="L9" s="6"/>
      <c r="M9" s="5"/>
      <c r="O9" s="47"/>
      <c r="P9" s="6"/>
      <c r="Q9" s="5"/>
      <c r="S9" s="47"/>
      <c r="T9" s="6"/>
      <c r="U9" s="5"/>
      <c r="W9" s="47"/>
      <c r="X9" s="6"/>
      <c r="Y9" s="5"/>
      <c r="AA9" s="47"/>
      <c r="AB9" s="6"/>
      <c r="AC9" s="5"/>
      <c r="AE9" s="47"/>
      <c r="AF9" s="6"/>
      <c r="AG9" s="5"/>
      <c r="AI9" s="47"/>
      <c r="AJ9" s="6"/>
      <c r="AK9" s="5"/>
      <c r="AM9" s="47"/>
      <c r="AN9" s="6"/>
      <c r="AO9" s="5"/>
      <c r="AP9" s="5"/>
      <c r="AQ9" s="47"/>
      <c r="AR9" s="6"/>
      <c r="AS9" s="5"/>
      <c r="AU9" s="47"/>
      <c r="AV9" s="6"/>
      <c r="AW9" s="5"/>
      <c r="AX9" s="5"/>
      <c r="AY9" s="47"/>
      <c r="AZ9" s="6"/>
      <c r="BA9" s="5"/>
      <c r="BB9" s="5"/>
      <c r="BC9" s="47"/>
      <c r="BD9" s="6"/>
      <c r="BE9" s="5"/>
      <c r="BG9" s="47"/>
      <c r="BH9" s="6"/>
      <c r="BI9" s="5"/>
      <c r="BJ9" s="5"/>
      <c r="BK9" s="47"/>
      <c r="BL9" s="6"/>
      <c r="BM9" s="5"/>
      <c r="BN9" s="5"/>
      <c r="BO9" s="47"/>
      <c r="BP9" s="6"/>
      <c r="BQ9" s="5"/>
      <c r="BR9" s="5"/>
      <c r="BS9" s="47"/>
      <c r="BT9" s="6"/>
      <c r="BU9" s="5"/>
      <c r="BV9" s="5"/>
      <c r="BW9" s="47"/>
      <c r="BX9" s="6"/>
      <c r="BY9" s="5"/>
      <c r="CA9" s="47"/>
      <c r="CB9" s="6"/>
      <c r="CC9" s="5"/>
      <c r="CD9" s="5"/>
      <c r="CE9" s="47"/>
      <c r="CF9" s="6"/>
      <c r="CG9" s="5"/>
      <c r="CH9" s="5"/>
      <c r="CI9" s="47"/>
      <c r="CJ9" s="6"/>
      <c r="CK9" s="5"/>
      <c r="CL9" s="5"/>
      <c r="CM9" s="47"/>
      <c r="CN9" s="6"/>
      <c r="CO9" s="5"/>
      <c r="CP9" s="5"/>
      <c r="CQ9" s="47"/>
      <c r="CR9" s="6"/>
      <c r="CS9" s="5"/>
      <c r="CU9" s="47"/>
      <c r="CV9" s="6"/>
      <c r="CW9" s="5"/>
      <c r="CX9" s="5"/>
      <c r="CY9" s="47"/>
      <c r="CZ9" s="6"/>
      <c r="DA9" s="5"/>
      <c r="DB9" s="5"/>
      <c r="DC9" s="47"/>
      <c r="DD9" s="6"/>
      <c r="DE9" s="5"/>
      <c r="DF9" s="5"/>
      <c r="DG9" s="47"/>
      <c r="DH9" s="6"/>
      <c r="DI9" s="5"/>
      <c r="DJ9" s="5"/>
      <c r="DK9" s="47"/>
      <c r="DL9" s="6"/>
      <c r="DM9" s="5"/>
      <c r="DO9" s="47"/>
      <c r="DP9" s="6"/>
      <c r="DQ9" s="5"/>
    </row>
    <row r="10" spans="2:124" s="39" customFormat="1" hidden="1" outlineLevel="1" x14ac:dyDescent="0.2">
      <c r="B10" s="85" t="s">
        <v>65</v>
      </c>
      <c r="C10" s="66" t="s">
        <v>46</v>
      </c>
      <c r="D10" s="61" t="str">
        <f>_xll.qlEndCriteria(,D12,D13,D14,D15,D16,FALSE,Trigger)</f>
        <v>obj_0339b#0001</v>
      </c>
      <c r="E10" s="1"/>
      <c r="G10" s="66" t="s">
        <v>46</v>
      </c>
      <c r="H10" s="61" t="str">
        <f>_xll.qlEndCriteria(,H12,H13,H14,H15,H16,FALSE,Trigger)</f>
        <v>obj_03390#0001</v>
      </c>
      <c r="I10" s="5"/>
      <c r="K10" s="66" t="s">
        <v>46</v>
      </c>
      <c r="L10" s="61" t="str">
        <f>_xll.qlEndCriteria(,L12,L13,L14,L15,L16,FALSE,Trigger)</f>
        <v>obj_03379#0001</v>
      </c>
      <c r="M10" s="1"/>
      <c r="O10" s="66" t="s">
        <v>46</v>
      </c>
      <c r="P10" s="61" t="str">
        <f>_xll.qlEndCriteria(,P12,P13,P14,P15,P16,FALSE,Trigger)</f>
        <v>obj_033b6#0001</v>
      </c>
      <c r="Q10" s="1"/>
      <c r="S10" s="66" t="s">
        <v>46</v>
      </c>
      <c r="T10" s="61" t="str">
        <f>_xll.qlEndCriteria(,T12,T13,T14,T15,T16,FALSE,Trigger)</f>
        <v>obj_033b0#0001</v>
      </c>
      <c r="U10" s="1"/>
      <c r="W10" s="66" t="s">
        <v>46</v>
      </c>
      <c r="X10" s="61" t="str">
        <f>_xll.qlEndCriteria(,X12,X13,X14,X15,X16,FALSE,Trigger)</f>
        <v>obj_0338f#0001</v>
      </c>
      <c r="Y10" s="1"/>
      <c r="AA10" s="66" t="s">
        <v>46</v>
      </c>
      <c r="AB10" s="61" t="str">
        <f>_xll.qlEndCriteria(,AB12,AB13,AB14,AB15,AB16,FALSE,Trigger)</f>
        <v>obj_03378#0001</v>
      </c>
      <c r="AC10" s="1"/>
      <c r="AE10" s="66" t="s">
        <v>46</v>
      </c>
      <c r="AF10" s="61" t="str">
        <f>_xll.qlEndCriteria(,AF12,AF13,AF14,AF15,AF16,FALSE,Trigger)</f>
        <v>obj_0339a#0001</v>
      </c>
      <c r="AG10" s="1"/>
      <c r="AI10" s="66" t="s">
        <v>46</v>
      </c>
      <c r="AJ10" s="61" t="str">
        <f>_xll.qlEndCriteria(,AJ12,AJ13,AJ14,AJ15,AJ16,FALSE,Trigger)</f>
        <v>obj_033ad#0001</v>
      </c>
      <c r="AK10" s="1"/>
      <c r="AM10" s="66" t="s">
        <v>46</v>
      </c>
      <c r="AN10" s="61" t="str">
        <f>_xll.qlEndCriteria(,AN12,AN13,AN14,AN15,AN16,FALSE,Trigger)</f>
        <v>obj_0338e#0001</v>
      </c>
      <c r="AO10" s="1"/>
      <c r="AP10" s="1"/>
      <c r="AQ10" s="66" t="s">
        <v>46</v>
      </c>
      <c r="AR10" s="61" t="str">
        <f>_xll.qlEndCriteria(,AR12,AR13,AR14,AR15,AR16,FALSE,Trigger)</f>
        <v>obj_03377#0001</v>
      </c>
      <c r="AS10" s="1"/>
      <c r="AU10" s="66" t="s">
        <v>46</v>
      </c>
      <c r="AV10" s="61" t="str">
        <f>_xll.qlEndCriteria(,AV12,AV13,AV14,AV15,AV16,FALSE,Trigger)</f>
        <v>obj_033bb#0001</v>
      </c>
      <c r="AW10" s="1"/>
      <c r="AX10" s="1"/>
      <c r="AY10" s="66" t="s">
        <v>46</v>
      </c>
      <c r="AZ10" s="61" t="str">
        <f>_xll.qlEndCriteria(,AZ12,AZ13,AZ14,AZ15,AZ16,FALSE,Trigger)</f>
        <v>obj_033a1#0001</v>
      </c>
      <c r="BA10" s="1"/>
      <c r="BB10" s="1"/>
      <c r="BC10" s="66" t="s">
        <v>46</v>
      </c>
      <c r="BD10" s="61" t="str">
        <f>_xll.qlEndCriteria(,BD12,BD13,BD14,BD15,BD16,FALSE,Trigger)</f>
        <v>obj_0338d#0001</v>
      </c>
      <c r="BE10" s="1"/>
      <c r="BG10" s="66" t="s">
        <v>46</v>
      </c>
      <c r="BH10" s="61" t="str">
        <f>_xll.qlEndCriteria(,BH12,BH13,BH14,BH15,BH16,FALSE,Trigger)</f>
        <v>obj_03376#0001</v>
      </c>
      <c r="BI10" s="1"/>
      <c r="BJ10" s="1"/>
      <c r="BK10" s="66" t="s">
        <v>46</v>
      </c>
      <c r="BL10" s="61" t="str">
        <f>_xll.qlEndCriteria(,BL12,BL13,BL14,BL15,BL16,FALSE,Trigger)</f>
        <v>obj_033b8#0001</v>
      </c>
      <c r="BM10" s="1"/>
      <c r="BN10" s="1"/>
      <c r="BO10" s="66" t="s">
        <v>46</v>
      </c>
      <c r="BP10" s="61" t="str">
        <f>_xll.qlEndCriteria(,BP12,BP13,BP14,BP15,BP16,FALSE,Trigger)</f>
        <v>obj_033b2#0001</v>
      </c>
      <c r="BQ10" s="1"/>
      <c r="BR10" s="1"/>
      <c r="BS10" s="66" t="s">
        <v>46</v>
      </c>
      <c r="BT10" s="61" t="str">
        <f>_xll.qlEndCriteria(,BT12,BT13,BT14,BT15,BT16,FALSE,Trigger)</f>
        <v>obj_0338c#0001</v>
      </c>
      <c r="BU10" s="1"/>
      <c r="BV10" s="1"/>
      <c r="BW10" s="66" t="s">
        <v>46</v>
      </c>
      <c r="BX10" s="61" t="str">
        <f>_xll.qlEndCriteria(,BX12,BX13,BX14,BX15,BX16,FALSE,Trigger)</f>
        <v>obj_03375#0001</v>
      </c>
      <c r="BY10" s="1"/>
      <c r="CA10" s="66" t="s">
        <v>46</v>
      </c>
      <c r="CB10" s="61" t="str">
        <f>_xll.qlEndCriteria(,CB12,CB13,CB14,CB15,CB16,FALSE,Trigger)</f>
        <v>obj_033a0#0001</v>
      </c>
      <c r="CC10" s="1"/>
      <c r="CD10" s="1"/>
      <c r="CE10" s="66" t="s">
        <v>46</v>
      </c>
      <c r="CF10" s="61" t="str">
        <f>_xll.qlEndCriteria(,CF12,CF13,CF14,CF15,CF16,FALSE,Trigger)</f>
        <v>obj_03395#0001</v>
      </c>
      <c r="CG10" s="1"/>
      <c r="CH10" s="1"/>
      <c r="CI10" s="66" t="s">
        <v>46</v>
      </c>
      <c r="CJ10" s="61" t="str">
        <f>_xll.qlEndCriteria(,CJ12,CJ13,CJ14,CJ15,CJ16,FALSE,Trigger)</f>
        <v>obj_0338b#0001</v>
      </c>
      <c r="CK10" s="1"/>
      <c r="CL10" s="1"/>
      <c r="CM10" s="66" t="s">
        <v>46</v>
      </c>
      <c r="CN10" s="61" t="str">
        <f>_xll.qlEndCriteria(,CN12,CN13,CN14,CN15,CN16,FALSE,Trigger)</f>
        <v>obj_03374#0001</v>
      </c>
      <c r="CO10" s="1"/>
      <c r="CP10" s="1"/>
      <c r="CQ10" s="66" t="s">
        <v>46</v>
      </c>
      <c r="CR10" s="61" t="str">
        <f>_xll.qlEndCriteria(,CR12,CR13,CR14,CR15,CR16,FALSE,Trigger)</f>
        <v>obj_033bd#0001</v>
      </c>
      <c r="CS10" s="1"/>
      <c r="CU10" s="66" t="s">
        <v>46</v>
      </c>
      <c r="CV10" s="61" t="str">
        <f>_xll.qlEndCriteria(,CV12,CV13,CV14,CV15,CV16,FALSE,Trigger)</f>
        <v>obj_033a6#0001</v>
      </c>
      <c r="CW10" s="1"/>
      <c r="CX10" s="1"/>
      <c r="CY10" s="66" t="s">
        <v>46</v>
      </c>
      <c r="CZ10" s="61" t="str">
        <f>_xll.qlEndCriteria(,CZ12,CZ13,CZ14,CZ15,CZ16,FALSE,Trigger)</f>
        <v>obj_0338a#0001</v>
      </c>
      <c r="DA10" s="1"/>
      <c r="DB10" s="1"/>
      <c r="DC10" s="66" t="s">
        <v>46</v>
      </c>
      <c r="DD10" s="61" t="str">
        <f>_xll.qlEndCriteria(,DD12,DD13,DD14,DD15,DD16,FALSE,Trigger)</f>
        <v>obj_03373#0001</v>
      </c>
      <c r="DE10" s="1"/>
      <c r="DF10" s="1"/>
      <c r="DG10" s="66" t="s">
        <v>46</v>
      </c>
      <c r="DH10" s="61" t="str">
        <f>_xll.qlEndCriteria(,DH12,DH13,DH14,DH15,DH16,FALSE,Trigger)</f>
        <v>obj_03394#0001</v>
      </c>
      <c r="DI10" s="1"/>
      <c r="DJ10" s="1"/>
      <c r="DK10" s="66" t="s">
        <v>46</v>
      </c>
      <c r="DL10" s="61" t="str">
        <f>_xll.qlEndCriteria(,DL12,DL13,DL14,DL15,DL16,FALSE,Trigger)</f>
        <v>obj_033b5#0001</v>
      </c>
      <c r="DM10" s="1"/>
      <c r="DO10" s="66" t="s">
        <v>46</v>
      </c>
      <c r="DP10" s="61" t="str">
        <f>_xll.qlEndCriteria(,DP12,DP13,DP14,DP15,DP16,FALSE,Trigger)</f>
        <v>obj_03389#0001</v>
      </c>
      <c r="DQ10" s="1"/>
    </row>
    <row r="11" spans="2:124" s="39" customFormat="1" hidden="1" outlineLevel="1" x14ac:dyDescent="0.2">
      <c r="B11" s="85" t="s">
        <v>68</v>
      </c>
      <c r="C11" s="67" t="s">
        <v>47</v>
      </c>
      <c r="D11" s="62" t="str">
        <f>_xll.ohRangeRetrieveError(D10)</f>
        <v/>
      </c>
      <c r="E11" s="1"/>
      <c r="G11" s="67" t="s">
        <v>47</v>
      </c>
      <c r="H11" s="62" t="str">
        <f>_xll.ohRangeRetrieveError(H10)</f>
        <v/>
      </c>
      <c r="I11" s="5"/>
      <c r="K11" s="67" t="s">
        <v>47</v>
      </c>
      <c r="L11" s="62" t="str">
        <f>_xll.ohRangeRetrieveError(L10)</f>
        <v/>
      </c>
      <c r="M11" s="1"/>
      <c r="O11" s="67" t="s">
        <v>47</v>
      </c>
      <c r="P11" s="62" t="str">
        <f>_xll.ohRangeRetrieveError(P10)</f>
        <v/>
      </c>
      <c r="Q11" s="1"/>
      <c r="S11" s="67" t="s">
        <v>47</v>
      </c>
      <c r="T11" s="62" t="str">
        <f>_xll.ohRangeRetrieveError(T10)</f>
        <v/>
      </c>
      <c r="U11" s="1"/>
      <c r="W11" s="67" t="s">
        <v>47</v>
      </c>
      <c r="X11" s="62" t="str">
        <f>_xll.ohRangeRetrieveError(X10)</f>
        <v/>
      </c>
      <c r="Y11" s="1"/>
      <c r="AA11" s="67" t="s">
        <v>47</v>
      </c>
      <c r="AB11" s="62" t="str">
        <f>_xll.ohRangeRetrieveError(AB10)</f>
        <v/>
      </c>
      <c r="AC11" s="1"/>
      <c r="AE11" s="67" t="s">
        <v>47</v>
      </c>
      <c r="AF11" s="62" t="str">
        <f>_xll.ohRangeRetrieveError(AF10)</f>
        <v/>
      </c>
      <c r="AG11" s="1"/>
      <c r="AI11" s="67" t="s">
        <v>47</v>
      </c>
      <c r="AJ11" s="62" t="str">
        <f>_xll.ohRangeRetrieveError(AJ10)</f>
        <v/>
      </c>
      <c r="AK11" s="1"/>
      <c r="AM11" s="67" t="s">
        <v>47</v>
      </c>
      <c r="AN11" s="62" t="str">
        <f>_xll.ohRangeRetrieveError(AN10)</f>
        <v/>
      </c>
      <c r="AO11" s="1"/>
      <c r="AP11" s="1"/>
      <c r="AQ11" s="67" t="s">
        <v>47</v>
      </c>
      <c r="AR11" s="62" t="str">
        <f>_xll.ohRangeRetrieveError(AR10)</f>
        <v/>
      </c>
      <c r="AS11" s="1"/>
      <c r="AU11" s="67" t="s">
        <v>47</v>
      </c>
      <c r="AV11" s="62" t="str">
        <f>_xll.ohRangeRetrieveError(AV10)</f>
        <v/>
      </c>
      <c r="AW11" s="1"/>
      <c r="AX11" s="1"/>
      <c r="AY11" s="67" t="s">
        <v>47</v>
      </c>
      <c r="AZ11" s="62" t="str">
        <f>_xll.ohRangeRetrieveError(AZ10)</f>
        <v/>
      </c>
      <c r="BA11" s="1"/>
      <c r="BB11" s="1"/>
      <c r="BC11" s="67" t="s">
        <v>47</v>
      </c>
      <c r="BD11" s="62" t="str">
        <f>_xll.ohRangeRetrieveError(BD10)</f>
        <v/>
      </c>
      <c r="BE11" s="1"/>
      <c r="BG11" s="67" t="s">
        <v>47</v>
      </c>
      <c r="BH11" s="62" t="str">
        <f>_xll.ohRangeRetrieveError(BH10)</f>
        <v/>
      </c>
      <c r="BI11" s="1"/>
      <c r="BJ11" s="1"/>
      <c r="BK11" s="67" t="s">
        <v>47</v>
      </c>
      <c r="BL11" s="62" t="str">
        <f>_xll.ohRangeRetrieveError(BL10)</f>
        <v/>
      </c>
      <c r="BM11" s="1"/>
      <c r="BN11" s="1"/>
      <c r="BO11" s="67" t="s">
        <v>47</v>
      </c>
      <c r="BP11" s="62" t="str">
        <f>_xll.ohRangeRetrieveError(BP10)</f>
        <v/>
      </c>
      <c r="BQ11" s="1"/>
      <c r="BR11" s="1"/>
      <c r="BS11" s="67" t="s">
        <v>47</v>
      </c>
      <c r="BT11" s="62" t="str">
        <f>_xll.ohRangeRetrieveError(BT10)</f>
        <v/>
      </c>
      <c r="BU11" s="1"/>
      <c r="BV11" s="1"/>
      <c r="BW11" s="67" t="s">
        <v>47</v>
      </c>
      <c r="BX11" s="62" t="str">
        <f>_xll.ohRangeRetrieveError(BX10)</f>
        <v/>
      </c>
      <c r="BY11" s="1"/>
      <c r="CA11" s="67" t="s">
        <v>47</v>
      </c>
      <c r="CB11" s="62" t="str">
        <f>_xll.ohRangeRetrieveError(CB10)</f>
        <v/>
      </c>
      <c r="CC11" s="1"/>
      <c r="CD11" s="1"/>
      <c r="CE11" s="67" t="s">
        <v>47</v>
      </c>
      <c r="CF11" s="62" t="str">
        <f>_xll.ohRangeRetrieveError(CF10)</f>
        <v/>
      </c>
      <c r="CG11" s="1"/>
      <c r="CH11" s="1"/>
      <c r="CI11" s="67" t="s">
        <v>47</v>
      </c>
      <c r="CJ11" s="62" t="str">
        <f>_xll.ohRangeRetrieveError(CJ10)</f>
        <v/>
      </c>
      <c r="CK11" s="1"/>
      <c r="CL11" s="1"/>
      <c r="CM11" s="67" t="s">
        <v>47</v>
      </c>
      <c r="CN11" s="62" t="str">
        <f>_xll.ohRangeRetrieveError(CN10)</f>
        <v/>
      </c>
      <c r="CO11" s="1"/>
      <c r="CP11" s="1"/>
      <c r="CQ11" s="67" t="s">
        <v>47</v>
      </c>
      <c r="CR11" s="62" t="str">
        <f>_xll.ohRangeRetrieveError(CR10)</f>
        <v/>
      </c>
      <c r="CS11" s="1"/>
      <c r="CU11" s="67" t="s">
        <v>47</v>
      </c>
      <c r="CV11" s="62" t="str">
        <f>_xll.ohRangeRetrieveError(CV10)</f>
        <v/>
      </c>
      <c r="CW11" s="1"/>
      <c r="CX11" s="1"/>
      <c r="CY11" s="67" t="s">
        <v>47</v>
      </c>
      <c r="CZ11" s="62" t="str">
        <f>_xll.ohRangeRetrieveError(CZ10)</f>
        <v/>
      </c>
      <c r="DA11" s="1"/>
      <c r="DB11" s="1"/>
      <c r="DC11" s="67" t="s">
        <v>47</v>
      </c>
      <c r="DD11" s="62" t="str">
        <f>_xll.ohRangeRetrieveError(DD10)</f>
        <v/>
      </c>
      <c r="DE11" s="1"/>
      <c r="DF11" s="1"/>
      <c r="DG11" s="67" t="s">
        <v>47</v>
      </c>
      <c r="DH11" s="62" t="str">
        <f>_xll.ohRangeRetrieveError(DH10)</f>
        <v/>
      </c>
      <c r="DI11" s="1"/>
      <c r="DJ11" s="1"/>
      <c r="DK11" s="67" t="s">
        <v>47</v>
      </c>
      <c r="DL11" s="62" t="str">
        <f>_xll.ohRangeRetrieveError(DL10)</f>
        <v/>
      </c>
      <c r="DM11" s="1"/>
      <c r="DO11" s="67" t="s">
        <v>47</v>
      </c>
      <c r="DP11" s="62" t="str">
        <f>_xll.ohRangeRetrieveError(DP10)</f>
        <v/>
      </c>
      <c r="DQ11" s="1"/>
    </row>
    <row r="12" spans="2:124" s="39" customFormat="1" hidden="1" outlineLevel="1" x14ac:dyDescent="0.2">
      <c r="C12" s="68" t="s">
        <v>40</v>
      </c>
      <c r="D12" s="63">
        <v>1000</v>
      </c>
      <c r="E12" s="1"/>
      <c r="G12" s="68" t="s">
        <v>40</v>
      </c>
      <c r="H12" s="63">
        <v>1000</v>
      </c>
      <c r="I12" s="5"/>
      <c r="K12" s="68" t="s">
        <v>40</v>
      </c>
      <c r="L12" s="63">
        <v>1000</v>
      </c>
      <c r="M12" s="1"/>
      <c r="O12" s="68" t="s">
        <v>40</v>
      </c>
      <c r="P12" s="63">
        <v>1000</v>
      </c>
      <c r="Q12" s="1"/>
      <c r="S12" s="68" t="s">
        <v>40</v>
      </c>
      <c r="T12" s="63">
        <v>1000</v>
      </c>
      <c r="U12" s="1"/>
      <c r="W12" s="68" t="s">
        <v>40</v>
      </c>
      <c r="X12" s="63">
        <v>1000</v>
      </c>
      <c r="Y12" s="1"/>
      <c r="AA12" s="68" t="s">
        <v>40</v>
      </c>
      <c r="AB12" s="63">
        <v>1000</v>
      </c>
      <c r="AC12" s="1"/>
      <c r="AE12" s="68" t="s">
        <v>40</v>
      </c>
      <c r="AF12" s="63">
        <v>1000</v>
      </c>
      <c r="AG12" s="1"/>
      <c r="AI12" s="68" t="s">
        <v>40</v>
      </c>
      <c r="AJ12" s="63">
        <v>1000</v>
      </c>
      <c r="AK12" s="1"/>
      <c r="AM12" s="68" t="s">
        <v>40</v>
      </c>
      <c r="AN12" s="63">
        <v>1000</v>
      </c>
      <c r="AO12" s="1"/>
      <c r="AP12" s="1"/>
      <c r="AQ12" s="68" t="s">
        <v>40</v>
      </c>
      <c r="AR12" s="63">
        <v>1000</v>
      </c>
      <c r="AS12" s="1"/>
      <c r="AU12" s="68" t="s">
        <v>40</v>
      </c>
      <c r="AV12" s="63">
        <v>1000</v>
      </c>
      <c r="AW12" s="1"/>
      <c r="AX12" s="1"/>
      <c r="AY12" s="68" t="s">
        <v>40</v>
      </c>
      <c r="AZ12" s="63">
        <v>1000</v>
      </c>
      <c r="BA12" s="1"/>
      <c r="BB12" s="1"/>
      <c r="BC12" s="68" t="s">
        <v>40</v>
      </c>
      <c r="BD12" s="63">
        <v>1000</v>
      </c>
      <c r="BE12" s="1"/>
      <c r="BG12" s="68" t="s">
        <v>40</v>
      </c>
      <c r="BH12" s="63">
        <v>1000</v>
      </c>
      <c r="BI12" s="1"/>
      <c r="BJ12" s="1"/>
      <c r="BK12" s="68" t="s">
        <v>40</v>
      </c>
      <c r="BL12" s="63">
        <v>1000</v>
      </c>
      <c r="BM12" s="1"/>
      <c r="BN12" s="1"/>
      <c r="BO12" s="68" t="s">
        <v>40</v>
      </c>
      <c r="BP12" s="63">
        <v>1000</v>
      </c>
      <c r="BQ12" s="1"/>
      <c r="BR12" s="1"/>
      <c r="BS12" s="68" t="s">
        <v>40</v>
      </c>
      <c r="BT12" s="63">
        <v>1000</v>
      </c>
      <c r="BU12" s="1"/>
      <c r="BV12" s="1"/>
      <c r="BW12" s="68" t="s">
        <v>40</v>
      </c>
      <c r="BX12" s="63">
        <v>1000</v>
      </c>
      <c r="BY12" s="1"/>
      <c r="CA12" s="68" t="s">
        <v>40</v>
      </c>
      <c r="CB12" s="63">
        <v>1000</v>
      </c>
      <c r="CC12" s="1"/>
      <c r="CD12" s="1"/>
      <c r="CE12" s="68" t="s">
        <v>40</v>
      </c>
      <c r="CF12" s="63">
        <v>1000</v>
      </c>
      <c r="CG12" s="1"/>
      <c r="CH12" s="1"/>
      <c r="CI12" s="68" t="s">
        <v>40</v>
      </c>
      <c r="CJ12" s="63">
        <v>1000</v>
      </c>
      <c r="CK12" s="1"/>
      <c r="CL12" s="1"/>
      <c r="CM12" s="68" t="s">
        <v>40</v>
      </c>
      <c r="CN12" s="63">
        <v>1000</v>
      </c>
      <c r="CO12" s="1"/>
      <c r="CP12" s="1"/>
      <c r="CQ12" s="68" t="s">
        <v>40</v>
      </c>
      <c r="CR12" s="63">
        <v>1000</v>
      </c>
      <c r="CS12" s="1"/>
      <c r="CU12" s="68" t="s">
        <v>40</v>
      </c>
      <c r="CV12" s="63">
        <v>1000</v>
      </c>
      <c r="CW12" s="1"/>
      <c r="CX12" s="1"/>
      <c r="CY12" s="68" t="s">
        <v>40</v>
      </c>
      <c r="CZ12" s="63">
        <v>1000</v>
      </c>
      <c r="DA12" s="1"/>
      <c r="DB12" s="1"/>
      <c r="DC12" s="68" t="s">
        <v>40</v>
      </c>
      <c r="DD12" s="63">
        <v>1000</v>
      </c>
      <c r="DE12" s="1"/>
      <c r="DF12" s="1"/>
      <c r="DG12" s="68" t="s">
        <v>40</v>
      </c>
      <c r="DH12" s="63">
        <v>1000</v>
      </c>
      <c r="DI12" s="1"/>
      <c r="DJ12" s="1"/>
      <c r="DK12" s="68" t="s">
        <v>40</v>
      </c>
      <c r="DL12" s="63">
        <v>1000</v>
      </c>
      <c r="DM12" s="1"/>
      <c r="DO12" s="68" t="s">
        <v>40</v>
      </c>
      <c r="DP12" s="63">
        <v>1000</v>
      </c>
      <c r="DQ12" s="1"/>
    </row>
    <row r="13" spans="2:124" s="39" customFormat="1" hidden="1" outlineLevel="1" x14ac:dyDescent="0.2">
      <c r="C13" s="68" t="s">
        <v>41</v>
      </c>
      <c r="D13" s="63">
        <v>50</v>
      </c>
      <c r="E13" s="1"/>
      <c r="G13" s="68" t="s">
        <v>41</v>
      </c>
      <c r="H13" s="63">
        <v>50</v>
      </c>
      <c r="I13" s="5"/>
      <c r="K13" s="68" t="s">
        <v>41</v>
      </c>
      <c r="L13" s="63">
        <v>50</v>
      </c>
      <c r="M13" s="1"/>
      <c r="O13" s="68" t="s">
        <v>41</v>
      </c>
      <c r="P13" s="63">
        <v>50</v>
      </c>
      <c r="Q13" s="1"/>
      <c r="S13" s="68" t="s">
        <v>41</v>
      </c>
      <c r="T13" s="63">
        <v>50</v>
      </c>
      <c r="U13" s="1"/>
      <c r="W13" s="68" t="s">
        <v>41</v>
      </c>
      <c r="X13" s="63">
        <v>50</v>
      </c>
      <c r="Y13" s="1"/>
      <c r="AA13" s="68" t="s">
        <v>41</v>
      </c>
      <c r="AB13" s="63">
        <v>50</v>
      </c>
      <c r="AC13" s="1"/>
      <c r="AE13" s="68" t="s">
        <v>41</v>
      </c>
      <c r="AF13" s="63">
        <v>50</v>
      </c>
      <c r="AG13" s="1"/>
      <c r="AI13" s="68" t="s">
        <v>41</v>
      </c>
      <c r="AJ13" s="63">
        <v>50</v>
      </c>
      <c r="AK13" s="1"/>
      <c r="AM13" s="68" t="s">
        <v>41</v>
      </c>
      <c r="AN13" s="63">
        <v>50</v>
      </c>
      <c r="AO13" s="1"/>
      <c r="AP13" s="1"/>
      <c r="AQ13" s="68" t="s">
        <v>41</v>
      </c>
      <c r="AR13" s="63">
        <v>50</v>
      </c>
      <c r="AS13" s="1"/>
      <c r="AU13" s="68" t="s">
        <v>41</v>
      </c>
      <c r="AV13" s="63">
        <v>50</v>
      </c>
      <c r="AW13" s="1"/>
      <c r="AX13" s="1"/>
      <c r="AY13" s="68" t="s">
        <v>41</v>
      </c>
      <c r="AZ13" s="63">
        <v>50</v>
      </c>
      <c r="BA13" s="1"/>
      <c r="BB13" s="1"/>
      <c r="BC13" s="68" t="s">
        <v>41</v>
      </c>
      <c r="BD13" s="63">
        <v>50</v>
      </c>
      <c r="BE13" s="1"/>
      <c r="BG13" s="68" t="s">
        <v>41</v>
      </c>
      <c r="BH13" s="63">
        <v>50</v>
      </c>
      <c r="BI13" s="1"/>
      <c r="BJ13" s="1"/>
      <c r="BK13" s="68" t="s">
        <v>41</v>
      </c>
      <c r="BL13" s="63">
        <v>50</v>
      </c>
      <c r="BM13" s="1"/>
      <c r="BN13" s="1"/>
      <c r="BO13" s="68" t="s">
        <v>41</v>
      </c>
      <c r="BP13" s="63">
        <v>50</v>
      </c>
      <c r="BQ13" s="1"/>
      <c r="BR13" s="1"/>
      <c r="BS13" s="68" t="s">
        <v>41</v>
      </c>
      <c r="BT13" s="63">
        <v>50</v>
      </c>
      <c r="BU13" s="1"/>
      <c r="BV13" s="1"/>
      <c r="BW13" s="68" t="s">
        <v>41</v>
      </c>
      <c r="BX13" s="63">
        <v>50</v>
      </c>
      <c r="BY13" s="1"/>
      <c r="CA13" s="68" t="s">
        <v>41</v>
      </c>
      <c r="CB13" s="63">
        <v>50</v>
      </c>
      <c r="CC13" s="1"/>
      <c r="CD13" s="1"/>
      <c r="CE13" s="68" t="s">
        <v>41</v>
      </c>
      <c r="CF13" s="63">
        <v>50</v>
      </c>
      <c r="CG13" s="1"/>
      <c r="CH13" s="1"/>
      <c r="CI13" s="68" t="s">
        <v>41</v>
      </c>
      <c r="CJ13" s="63">
        <v>50</v>
      </c>
      <c r="CK13" s="1"/>
      <c r="CL13" s="1"/>
      <c r="CM13" s="68" t="s">
        <v>41</v>
      </c>
      <c r="CN13" s="63">
        <v>50</v>
      </c>
      <c r="CO13" s="1"/>
      <c r="CP13" s="1"/>
      <c r="CQ13" s="68" t="s">
        <v>41</v>
      </c>
      <c r="CR13" s="63">
        <v>50</v>
      </c>
      <c r="CS13" s="1"/>
      <c r="CU13" s="68" t="s">
        <v>41</v>
      </c>
      <c r="CV13" s="63">
        <v>50</v>
      </c>
      <c r="CW13" s="1"/>
      <c r="CX13" s="1"/>
      <c r="CY13" s="68" t="s">
        <v>41</v>
      </c>
      <c r="CZ13" s="63">
        <v>50</v>
      </c>
      <c r="DA13" s="1"/>
      <c r="DB13" s="1"/>
      <c r="DC13" s="68" t="s">
        <v>41</v>
      </c>
      <c r="DD13" s="63">
        <v>50</v>
      </c>
      <c r="DE13" s="1"/>
      <c r="DF13" s="1"/>
      <c r="DG13" s="68" t="s">
        <v>41</v>
      </c>
      <c r="DH13" s="63">
        <v>50</v>
      </c>
      <c r="DI13" s="1"/>
      <c r="DJ13" s="1"/>
      <c r="DK13" s="68" t="s">
        <v>41</v>
      </c>
      <c r="DL13" s="63">
        <v>50</v>
      </c>
      <c r="DM13" s="1"/>
      <c r="DO13" s="68" t="s">
        <v>41</v>
      </c>
      <c r="DP13" s="63">
        <v>50</v>
      </c>
      <c r="DQ13" s="1"/>
    </row>
    <row r="14" spans="2:124" s="39" customFormat="1" hidden="1" outlineLevel="1" x14ac:dyDescent="0.2">
      <c r="C14" s="68" t="s">
        <v>42</v>
      </c>
      <c r="D14" s="64">
        <v>1E-8</v>
      </c>
      <c r="E14" s="1"/>
      <c r="G14" s="68" t="s">
        <v>42</v>
      </c>
      <c r="H14" s="64">
        <v>1E-8</v>
      </c>
      <c r="I14" s="5"/>
      <c r="K14" s="68" t="s">
        <v>42</v>
      </c>
      <c r="L14" s="64">
        <v>1E-8</v>
      </c>
      <c r="M14" s="1"/>
      <c r="O14" s="68" t="s">
        <v>42</v>
      </c>
      <c r="P14" s="64">
        <v>1E-8</v>
      </c>
      <c r="Q14" s="1"/>
      <c r="S14" s="68" t="s">
        <v>42</v>
      </c>
      <c r="T14" s="64">
        <v>1E-8</v>
      </c>
      <c r="U14" s="1"/>
      <c r="W14" s="68" t="s">
        <v>42</v>
      </c>
      <c r="X14" s="64">
        <v>1E-8</v>
      </c>
      <c r="Y14" s="1"/>
      <c r="AA14" s="68" t="s">
        <v>42</v>
      </c>
      <c r="AB14" s="64">
        <v>1E-8</v>
      </c>
      <c r="AC14" s="1"/>
      <c r="AE14" s="68" t="s">
        <v>42</v>
      </c>
      <c r="AF14" s="64">
        <v>1E-8</v>
      </c>
      <c r="AG14" s="1"/>
      <c r="AI14" s="68" t="s">
        <v>42</v>
      </c>
      <c r="AJ14" s="64">
        <v>1E-8</v>
      </c>
      <c r="AK14" s="1"/>
      <c r="AM14" s="68" t="s">
        <v>42</v>
      </c>
      <c r="AN14" s="64">
        <v>1E-8</v>
      </c>
      <c r="AO14" s="1"/>
      <c r="AP14" s="1"/>
      <c r="AQ14" s="68" t="s">
        <v>42</v>
      </c>
      <c r="AR14" s="64">
        <v>1E-8</v>
      </c>
      <c r="AS14" s="1"/>
      <c r="AU14" s="68" t="s">
        <v>42</v>
      </c>
      <c r="AV14" s="64">
        <v>1E-8</v>
      </c>
      <c r="AW14" s="1"/>
      <c r="AX14" s="1"/>
      <c r="AY14" s="68" t="s">
        <v>42</v>
      </c>
      <c r="AZ14" s="64">
        <v>1E-8</v>
      </c>
      <c r="BA14" s="1"/>
      <c r="BB14" s="1"/>
      <c r="BC14" s="68" t="s">
        <v>42</v>
      </c>
      <c r="BD14" s="64">
        <v>1E-8</v>
      </c>
      <c r="BE14" s="1"/>
      <c r="BG14" s="68" t="s">
        <v>42</v>
      </c>
      <c r="BH14" s="64">
        <v>1E-8</v>
      </c>
      <c r="BI14" s="1"/>
      <c r="BJ14" s="1"/>
      <c r="BK14" s="68" t="s">
        <v>42</v>
      </c>
      <c r="BL14" s="64">
        <v>1E-8</v>
      </c>
      <c r="BM14" s="1"/>
      <c r="BN14" s="1"/>
      <c r="BO14" s="68" t="s">
        <v>42</v>
      </c>
      <c r="BP14" s="64">
        <v>1E-8</v>
      </c>
      <c r="BQ14" s="1"/>
      <c r="BR14" s="1"/>
      <c r="BS14" s="68" t="s">
        <v>42</v>
      </c>
      <c r="BT14" s="64">
        <v>1E-8</v>
      </c>
      <c r="BU14" s="1"/>
      <c r="BV14" s="1"/>
      <c r="BW14" s="68" t="s">
        <v>42</v>
      </c>
      <c r="BX14" s="64">
        <v>1E-8</v>
      </c>
      <c r="BY14" s="1"/>
      <c r="CA14" s="68" t="s">
        <v>42</v>
      </c>
      <c r="CB14" s="64">
        <v>1E-8</v>
      </c>
      <c r="CC14" s="1"/>
      <c r="CD14" s="1"/>
      <c r="CE14" s="68" t="s">
        <v>42</v>
      </c>
      <c r="CF14" s="64">
        <v>1E-8</v>
      </c>
      <c r="CG14" s="1"/>
      <c r="CH14" s="1"/>
      <c r="CI14" s="68" t="s">
        <v>42</v>
      </c>
      <c r="CJ14" s="64">
        <v>1E-8</v>
      </c>
      <c r="CK14" s="1"/>
      <c r="CL14" s="1"/>
      <c r="CM14" s="68" t="s">
        <v>42</v>
      </c>
      <c r="CN14" s="64">
        <v>1E-8</v>
      </c>
      <c r="CO14" s="1"/>
      <c r="CP14" s="1"/>
      <c r="CQ14" s="68" t="s">
        <v>42</v>
      </c>
      <c r="CR14" s="64">
        <v>1E-8</v>
      </c>
      <c r="CS14" s="1"/>
      <c r="CU14" s="68" t="s">
        <v>42</v>
      </c>
      <c r="CV14" s="64">
        <v>1E-8</v>
      </c>
      <c r="CW14" s="1"/>
      <c r="CX14" s="1"/>
      <c r="CY14" s="68" t="s">
        <v>42</v>
      </c>
      <c r="CZ14" s="64">
        <v>1E-8</v>
      </c>
      <c r="DA14" s="1"/>
      <c r="DB14" s="1"/>
      <c r="DC14" s="68" t="s">
        <v>42</v>
      </c>
      <c r="DD14" s="64">
        <v>1E-8</v>
      </c>
      <c r="DE14" s="1"/>
      <c r="DF14" s="1"/>
      <c r="DG14" s="68" t="s">
        <v>42</v>
      </c>
      <c r="DH14" s="64">
        <v>1E-8</v>
      </c>
      <c r="DI14" s="1"/>
      <c r="DJ14" s="1"/>
      <c r="DK14" s="68" t="s">
        <v>42</v>
      </c>
      <c r="DL14" s="64">
        <v>1E-8</v>
      </c>
      <c r="DM14" s="1"/>
      <c r="DO14" s="68" t="s">
        <v>42</v>
      </c>
      <c r="DP14" s="64">
        <v>1E-8</v>
      </c>
      <c r="DQ14" s="1"/>
    </row>
    <row r="15" spans="2:124" s="39" customFormat="1" hidden="1" outlineLevel="1" x14ac:dyDescent="0.2">
      <c r="C15" s="68" t="s">
        <v>43</v>
      </c>
      <c r="D15" s="64">
        <v>1E-8</v>
      </c>
      <c r="E15" s="1"/>
      <c r="G15" s="68" t="s">
        <v>43</v>
      </c>
      <c r="H15" s="64">
        <v>1E-8</v>
      </c>
      <c r="I15" s="5"/>
      <c r="K15" s="68" t="s">
        <v>43</v>
      </c>
      <c r="L15" s="64">
        <v>1E-8</v>
      </c>
      <c r="M15" s="1"/>
      <c r="O15" s="68" t="s">
        <v>43</v>
      </c>
      <c r="P15" s="64">
        <v>1E-8</v>
      </c>
      <c r="Q15" s="1"/>
      <c r="S15" s="68" t="s">
        <v>43</v>
      </c>
      <c r="T15" s="64">
        <v>1E-8</v>
      </c>
      <c r="U15" s="1"/>
      <c r="W15" s="68" t="s">
        <v>43</v>
      </c>
      <c r="X15" s="64">
        <v>1E-8</v>
      </c>
      <c r="Y15" s="1"/>
      <c r="AA15" s="68" t="s">
        <v>43</v>
      </c>
      <c r="AB15" s="64">
        <v>1E-8</v>
      </c>
      <c r="AC15" s="1"/>
      <c r="AE15" s="68" t="s">
        <v>43</v>
      </c>
      <c r="AF15" s="64">
        <v>1E-8</v>
      </c>
      <c r="AG15" s="1"/>
      <c r="AI15" s="68" t="s">
        <v>43</v>
      </c>
      <c r="AJ15" s="64">
        <v>1E-8</v>
      </c>
      <c r="AK15" s="1"/>
      <c r="AM15" s="68" t="s">
        <v>43</v>
      </c>
      <c r="AN15" s="64">
        <v>1E-8</v>
      </c>
      <c r="AO15" s="1"/>
      <c r="AP15" s="1"/>
      <c r="AQ15" s="68" t="s">
        <v>43</v>
      </c>
      <c r="AR15" s="64">
        <v>1E-8</v>
      </c>
      <c r="AS15" s="1"/>
      <c r="AU15" s="68" t="s">
        <v>43</v>
      </c>
      <c r="AV15" s="64">
        <v>1E-8</v>
      </c>
      <c r="AW15" s="1"/>
      <c r="AX15" s="1"/>
      <c r="AY15" s="68" t="s">
        <v>43</v>
      </c>
      <c r="AZ15" s="64">
        <v>1E-8</v>
      </c>
      <c r="BA15" s="1"/>
      <c r="BB15" s="1"/>
      <c r="BC15" s="68" t="s">
        <v>43</v>
      </c>
      <c r="BD15" s="64">
        <v>1E-8</v>
      </c>
      <c r="BE15" s="1"/>
      <c r="BG15" s="68" t="s">
        <v>43</v>
      </c>
      <c r="BH15" s="64">
        <v>1E-8</v>
      </c>
      <c r="BI15" s="1"/>
      <c r="BJ15" s="1"/>
      <c r="BK15" s="68" t="s">
        <v>43</v>
      </c>
      <c r="BL15" s="64">
        <v>1E-8</v>
      </c>
      <c r="BM15" s="1"/>
      <c r="BN15" s="1"/>
      <c r="BO15" s="68" t="s">
        <v>43</v>
      </c>
      <c r="BP15" s="64">
        <v>1E-8</v>
      </c>
      <c r="BQ15" s="1"/>
      <c r="BR15" s="1"/>
      <c r="BS15" s="68" t="s">
        <v>43</v>
      </c>
      <c r="BT15" s="64">
        <v>1E-8</v>
      </c>
      <c r="BU15" s="1"/>
      <c r="BV15" s="1"/>
      <c r="BW15" s="68" t="s">
        <v>43</v>
      </c>
      <c r="BX15" s="64">
        <v>1E-8</v>
      </c>
      <c r="BY15" s="1"/>
      <c r="CA15" s="68" t="s">
        <v>43</v>
      </c>
      <c r="CB15" s="64">
        <v>1E-8</v>
      </c>
      <c r="CC15" s="1"/>
      <c r="CD15" s="1"/>
      <c r="CE15" s="68" t="s">
        <v>43</v>
      </c>
      <c r="CF15" s="64">
        <v>1E-8</v>
      </c>
      <c r="CG15" s="1"/>
      <c r="CH15" s="1"/>
      <c r="CI15" s="68" t="s">
        <v>43</v>
      </c>
      <c r="CJ15" s="64">
        <v>1E-8</v>
      </c>
      <c r="CK15" s="1"/>
      <c r="CL15" s="1"/>
      <c r="CM15" s="68" t="s">
        <v>43</v>
      </c>
      <c r="CN15" s="64">
        <v>1E-8</v>
      </c>
      <c r="CO15" s="1"/>
      <c r="CP15" s="1"/>
      <c r="CQ15" s="68" t="s">
        <v>43</v>
      </c>
      <c r="CR15" s="64">
        <v>1E-8</v>
      </c>
      <c r="CS15" s="1"/>
      <c r="CU15" s="68" t="s">
        <v>43</v>
      </c>
      <c r="CV15" s="64">
        <v>1E-8</v>
      </c>
      <c r="CW15" s="1"/>
      <c r="CX15" s="1"/>
      <c r="CY15" s="68" t="s">
        <v>43</v>
      </c>
      <c r="CZ15" s="64">
        <v>1E-8</v>
      </c>
      <c r="DA15" s="1"/>
      <c r="DB15" s="1"/>
      <c r="DC15" s="68" t="s">
        <v>43</v>
      </c>
      <c r="DD15" s="64">
        <v>1E-8</v>
      </c>
      <c r="DE15" s="1"/>
      <c r="DF15" s="1"/>
      <c r="DG15" s="68" t="s">
        <v>43</v>
      </c>
      <c r="DH15" s="64">
        <v>1E-8</v>
      </c>
      <c r="DI15" s="1"/>
      <c r="DJ15" s="1"/>
      <c r="DK15" s="68" t="s">
        <v>43</v>
      </c>
      <c r="DL15" s="64">
        <v>1E-8</v>
      </c>
      <c r="DM15" s="1"/>
      <c r="DO15" s="68" t="s">
        <v>43</v>
      </c>
      <c r="DP15" s="64">
        <v>1E-8</v>
      </c>
      <c r="DQ15" s="1"/>
    </row>
    <row r="16" spans="2:124" hidden="1" outlineLevel="1" x14ac:dyDescent="0.2">
      <c r="C16" s="67" t="s">
        <v>44</v>
      </c>
      <c r="D16" s="71">
        <v>1E-8</v>
      </c>
      <c r="E16" s="1"/>
      <c r="F16" s="39"/>
      <c r="G16" s="67" t="s">
        <v>44</v>
      </c>
      <c r="H16" s="71">
        <v>1E-8</v>
      </c>
      <c r="I16" s="5"/>
      <c r="J16" s="39"/>
      <c r="K16" s="67" t="s">
        <v>44</v>
      </c>
      <c r="L16" s="71">
        <v>1E-8</v>
      </c>
      <c r="M16" s="1"/>
      <c r="N16" s="39"/>
      <c r="O16" s="67" t="s">
        <v>44</v>
      </c>
      <c r="P16" s="71">
        <v>1E-8</v>
      </c>
      <c r="Q16" s="1"/>
      <c r="R16" s="39"/>
      <c r="S16" s="67" t="s">
        <v>44</v>
      </c>
      <c r="T16" s="71">
        <v>1E-8</v>
      </c>
      <c r="U16" s="1"/>
      <c r="V16" s="39"/>
      <c r="W16" s="67" t="s">
        <v>44</v>
      </c>
      <c r="X16" s="71">
        <v>1E-8</v>
      </c>
      <c r="Y16" s="1"/>
      <c r="Z16" s="39"/>
      <c r="AA16" s="67" t="s">
        <v>44</v>
      </c>
      <c r="AB16" s="71">
        <v>1E-8</v>
      </c>
      <c r="AC16" s="1"/>
      <c r="AD16" s="39"/>
      <c r="AE16" s="67" t="s">
        <v>44</v>
      </c>
      <c r="AF16" s="71">
        <v>1E-8</v>
      </c>
      <c r="AG16" s="1"/>
      <c r="AH16" s="39"/>
      <c r="AI16" s="67" t="s">
        <v>44</v>
      </c>
      <c r="AJ16" s="71">
        <v>1E-8</v>
      </c>
      <c r="AK16" s="1"/>
      <c r="AL16" s="39"/>
      <c r="AM16" s="67" t="s">
        <v>44</v>
      </c>
      <c r="AN16" s="71">
        <v>1E-8</v>
      </c>
      <c r="AO16" s="1"/>
      <c r="AP16" s="1"/>
      <c r="AQ16" s="67" t="s">
        <v>44</v>
      </c>
      <c r="AR16" s="71">
        <v>1E-8</v>
      </c>
      <c r="AS16" s="1"/>
      <c r="AT16" s="39"/>
      <c r="AU16" s="67" t="s">
        <v>44</v>
      </c>
      <c r="AV16" s="71">
        <v>1E-8</v>
      </c>
      <c r="AW16" s="1"/>
      <c r="AX16" s="1"/>
      <c r="AY16" s="67" t="s">
        <v>44</v>
      </c>
      <c r="AZ16" s="71">
        <v>1E-8</v>
      </c>
      <c r="BA16" s="1"/>
      <c r="BB16" s="1"/>
      <c r="BC16" s="67" t="s">
        <v>44</v>
      </c>
      <c r="BD16" s="71">
        <v>1E-8</v>
      </c>
      <c r="BE16" s="1"/>
      <c r="BF16" s="39"/>
      <c r="BG16" s="67" t="s">
        <v>44</v>
      </c>
      <c r="BH16" s="71">
        <v>1E-8</v>
      </c>
      <c r="BI16" s="1"/>
      <c r="BJ16" s="1"/>
      <c r="BK16" s="67" t="s">
        <v>44</v>
      </c>
      <c r="BL16" s="71">
        <v>1E-8</v>
      </c>
      <c r="BM16" s="1"/>
      <c r="BN16" s="1"/>
      <c r="BO16" s="67" t="s">
        <v>44</v>
      </c>
      <c r="BP16" s="71">
        <v>1E-8</v>
      </c>
      <c r="BQ16" s="1"/>
      <c r="BR16" s="1"/>
      <c r="BS16" s="67" t="s">
        <v>44</v>
      </c>
      <c r="BT16" s="71">
        <v>1E-8</v>
      </c>
      <c r="BU16" s="1"/>
      <c r="BV16" s="1"/>
      <c r="BW16" s="67" t="s">
        <v>44</v>
      </c>
      <c r="BX16" s="71">
        <v>1E-8</v>
      </c>
      <c r="BY16" s="1"/>
      <c r="BZ16" s="39"/>
      <c r="CA16" s="67" t="s">
        <v>44</v>
      </c>
      <c r="CB16" s="71">
        <v>1E-8</v>
      </c>
      <c r="CC16" s="1"/>
      <c r="CD16" s="1"/>
      <c r="CE16" s="67" t="s">
        <v>44</v>
      </c>
      <c r="CF16" s="71">
        <v>1E-8</v>
      </c>
      <c r="CG16" s="1"/>
      <c r="CH16" s="1"/>
      <c r="CI16" s="67" t="s">
        <v>44</v>
      </c>
      <c r="CJ16" s="71">
        <v>1E-8</v>
      </c>
      <c r="CK16" s="1"/>
      <c r="CL16" s="1"/>
      <c r="CM16" s="67" t="s">
        <v>44</v>
      </c>
      <c r="CN16" s="71">
        <v>1E-8</v>
      </c>
      <c r="CO16" s="1"/>
      <c r="CP16" s="1"/>
      <c r="CQ16" s="67" t="s">
        <v>44</v>
      </c>
      <c r="CR16" s="71">
        <v>1E-8</v>
      </c>
      <c r="CS16" s="1"/>
      <c r="CT16" s="39"/>
      <c r="CU16" s="67" t="s">
        <v>44</v>
      </c>
      <c r="CV16" s="71">
        <v>1E-8</v>
      </c>
      <c r="CW16" s="1"/>
      <c r="CX16" s="1"/>
      <c r="CY16" s="67" t="s">
        <v>44</v>
      </c>
      <c r="CZ16" s="71">
        <v>1E-8</v>
      </c>
      <c r="DA16" s="1"/>
      <c r="DB16" s="1"/>
      <c r="DC16" s="67" t="s">
        <v>44</v>
      </c>
      <c r="DD16" s="71">
        <v>1E-8</v>
      </c>
      <c r="DE16" s="1"/>
      <c r="DF16" s="1"/>
      <c r="DG16" s="67" t="s">
        <v>44</v>
      </c>
      <c r="DH16" s="71">
        <v>1E-8</v>
      </c>
      <c r="DI16" s="1"/>
      <c r="DJ16" s="1"/>
      <c r="DK16" s="67" t="s">
        <v>44</v>
      </c>
      <c r="DL16" s="71">
        <v>1E-8</v>
      </c>
      <c r="DM16" s="1"/>
      <c r="DN16" s="39"/>
      <c r="DO16" s="67" t="s">
        <v>44</v>
      </c>
      <c r="DP16" s="71">
        <v>1E-8</v>
      </c>
      <c r="DQ16" s="1"/>
      <c r="DR16" s="39"/>
      <c r="DS16" s="39"/>
      <c r="DT16" s="39"/>
    </row>
    <row r="17" spans="2:121" hidden="1" outlineLevel="1" x14ac:dyDescent="0.2">
      <c r="C17" s="47"/>
      <c r="E17" s="1"/>
      <c r="F17" s="1"/>
      <c r="G17" s="47"/>
      <c r="I17" s="5"/>
      <c r="J17" s="1"/>
      <c r="K17" s="47"/>
      <c r="M17" s="1"/>
      <c r="N17" s="1"/>
      <c r="O17" s="47"/>
      <c r="Q17" s="1"/>
      <c r="R17" s="1"/>
      <c r="S17" s="47"/>
      <c r="U17" s="1"/>
      <c r="V17" s="1"/>
      <c r="W17" s="47"/>
      <c r="Y17" s="1"/>
      <c r="Z17" s="1"/>
      <c r="AA17" s="47"/>
      <c r="AC17" s="1"/>
      <c r="AD17" s="1"/>
      <c r="AE17" s="47"/>
      <c r="AG17" s="1"/>
      <c r="AH17" s="1"/>
      <c r="AI17" s="47"/>
      <c r="AK17" s="1"/>
      <c r="AL17" s="1"/>
      <c r="AM17" s="47"/>
      <c r="AO17" s="1"/>
      <c r="AP17" s="1"/>
      <c r="AQ17" s="47"/>
      <c r="AS17" s="1"/>
      <c r="AT17" s="1"/>
      <c r="AU17" s="47"/>
      <c r="AW17" s="1"/>
      <c r="AX17" s="1"/>
      <c r="AY17" s="47"/>
      <c r="BA17" s="1"/>
      <c r="BB17" s="1"/>
      <c r="BC17" s="47"/>
      <c r="BE17" s="1"/>
      <c r="BF17" s="1"/>
      <c r="BG17" s="47"/>
      <c r="BI17" s="1"/>
      <c r="BJ17" s="1"/>
      <c r="BK17" s="47"/>
      <c r="BM17" s="1"/>
      <c r="BN17" s="1"/>
      <c r="BO17" s="47"/>
      <c r="BQ17" s="1"/>
      <c r="BR17" s="1"/>
      <c r="BS17" s="47"/>
      <c r="BU17" s="1"/>
      <c r="BV17" s="1"/>
      <c r="BW17" s="47"/>
      <c r="BY17" s="1"/>
      <c r="BZ17" s="1"/>
      <c r="CA17" s="47"/>
      <c r="CC17" s="1"/>
      <c r="CD17" s="1"/>
      <c r="CE17" s="47"/>
      <c r="CG17" s="1"/>
      <c r="CH17" s="1"/>
      <c r="CI17" s="47"/>
      <c r="CK17" s="1"/>
      <c r="CL17" s="1"/>
      <c r="CM17" s="47"/>
      <c r="CO17" s="1"/>
      <c r="CP17" s="1"/>
      <c r="CQ17" s="47"/>
      <c r="CS17" s="1"/>
      <c r="CT17" s="1"/>
      <c r="CU17" s="47"/>
      <c r="CW17" s="1"/>
      <c r="CX17" s="1"/>
      <c r="CY17" s="47"/>
      <c r="DA17" s="1"/>
      <c r="DB17" s="1"/>
      <c r="DC17" s="47"/>
      <c r="DE17" s="1"/>
      <c r="DF17" s="1"/>
      <c r="DG17" s="47"/>
      <c r="DI17" s="1"/>
      <c r="DJ17" s="1"/>
      <c r="DK17" s="47"/>
      <c r="DM17" s="1"/>
      <c r="DN17" s="1"/>
      <c r="DO17" s="47"/>
      <c r="DQ17" s="1"/>
    </row>
    <row r="18" spans="2:121" hidden="1" outlineLevel="1" x14ac:dyDescent="0.2">
      <c r="B18" s="85" t="s">
        <v>65</v>
      </c>
      <c r="C18" s="66" t="s">
        <v>49</v>
      </c>
      <c r="D18" s="61" t="str">
        <f>_xll.qlSimplex(,D20,FALSE,Trigger)</f>
        <v>obj_03372#0001</v>
      </c>
      <c r="E18" s="1"/>
      <c r="F18" s="1"/>
      <c r="G18" s="66" t="s">
        <v>49</v>
      </c>
      <c r="H18" s="61" t="str">
        <f>_xll.qlSimplex(,H20,FALSE,Trigger)</f>
        <v>obj_033a5#0001</v>
      </c>
      <c r="I18" s="5"/>
      <c r="J18" s="1"/>
      <c r="K18" s="66" t="s">
        <v>49</v>
      </c>
      <c r="L18" s="61" t="str">
        <f>_xll.qlSimplex(,L20,FALSE,Trigger)</f>
        <v>obj_03399#0001</v>
      </c>
      <c r="M18" s="1"/>
      <c r="N18" s="1"/>
      <c r="O18" s="66" t="s">
        <v>49</v>
      </c>
      <c r="P18" s="61" t="str">
        <f>_xll.qlSimplex(,P20,FALSE,Trigger)</f>
        <v>obj_03388#0001</v>
      </c>
      <c r="Q18" s="1"/>
      <c r="R18" s="1"/>
      <c r="S18" s="66" t="s">
        <v>49</v>
      </c>
      <c r="T18" s="61" t="str">
        <f>_xll.qlSimplex(,T20,FALSE,Trigger)</f>
        <v>obj_03371#0001</v>
      </c>
      <c r="U18" s="1"/>
      <c r="V18" s="1"/>
      <c r="W18" s="66" t="s">
        <v>49</v>
      </c>
      <c r="X18" s="61" t="str">
        <f>_xll.qlSimplex(,X20,FALSE,Trigger)</f>
        <v>obj_033a9#0001</v>
      </c>
      <c r="Y18" s="1"/>
      <c r="Z18" s="1"/>
      <c r="AA18" s="66" t="s">
        <v>49</v>
      </c>
      <c r="AB18" s="61" t="str">
        <f>_xll.qlSimplex(,AB20,FALSE,Trigger)</f>
        <v>obj_033ba#0001</v>
      </c>
      <c r="AC18" s="1"/>
      <c r="AD18" s="1"/>
      <c r="AE18" s="66" t="s">
        <v>49</v>
      </c>
      <c r="AF18" s="61" t="str">
        <f>_xll.qlSimplex(,AF20,FALSE,Trigger)</f>
        <v>obj_03387#0001</v>
      </c>
      <c r="AG18" s="1"/>
      <c r="AH18" s="1"/>
      <c r="AI18" s="66" t="s">
        <v>49</v>
      </c>
      <c r="AJ18" s="61" t="str">
        <f>_xll.qlSimplex(,AJ20,FALSE,Trigger)</f>
        <v>obj_03370#0001</v>
      </c>
      <c r="AK18" s="1"/>
      <c r="AL18" s="1"/>
      <c r="AM18" s="66" t="s">
        <v>49</v>
      </c>
      <c r="AN18" s="61" t="str">
        <f>_xll.qlSimplex(,AN20,FALSE,Trigger)</f>
        <v>obj_03398#0001</v>
      </c>
      <c r="AO18" s="1"/>
      <c r="AP18" s="1"/>
      <c r="AQ18" s="66" t="s">
        <v>49</v>
      </c>
      <c r="AR18" s="61" t="str">
        <f>_xll.qlSimplex(,AR20,FALSE,Trigger)</f>
        <v>obj_033b7#0001</v>
      </c>
      <c r="AS18" s="1"/>
      <c r="AT18" s="1"/>
      <c r="AU18" s="66" t="s">
        <v>49</v>
      </c>
      <c r="AV18" s="61" t="str">
        <f>_xll.qlSimplex(,AV20,FALSE,Trigger)</f>
        <v>obj_03386#0001</v>
      </c>
      <c r="AW18" s="1"/>
      <c r="AX18" s="1"/>
      <c r="AY18" s="66" t="s">
        <v>49</v>
      </c>
      <c r="AZ18" s="61" t="str">
        <f>_xll.qlSimplex(,AZ20,FALSE,Trigger)</f>
        <v>obj_0336f#0001</v>
      </c>
      <c r="BA18" s="1"/>
      <c r="BB18" s="1"/>
      <c r="BC18" s="66" t="s">
        <v>49</v>
      </c>
      <c r="BD18" s="61" t="str">
        <f>_xll.qlSimplex(,BD20,FALSE,Trigger)</f>
        <v>obj_033af#0001</v>
      </c>
      <c r="BE18" s="1"/>
      <c r="BF18" s="1"/>
      <c r="BG18" s="66" t="s">
        <v>49</v>
      </c>
      <c r="BH18" s="61" t="str">
        <f>_xll.qlSimplex(,BH20,FALSE,Trigger)</f>
        <v>obj_0339f#0001</v>
      </c>
      <c r="BI18" s="1"/>
      <c r="BJ18" s="1"/>
      <c r="BK18" s="66" t="s">
        <v>49</v>
      </c>
      <c r="BL18" s="61" t="str">
        <f>_xll.qlSimplex(,BL20,FALSE,Trigger)</f>
        <v>obj_03385#0001</v>
      </c>
      <c r="BM18" s="1"/>
      <c r="BN18" s="1"/>
      <c r="BO18" s="66" t="s">
        <v>49</v>
      </c>
      <c r="BP18" s="61" t="str">
        <f>_xll.qlSimplex(,BP20,FALSE,Trigger)</f>
        <v>obj_0336e#0001</v>
      </c>
      <c r="BQ18" s="1"/>
      <c r="BR18" s="1"/>
      <c r="BS18" s="66" t="s">
        <v>49</v>
      </c>
      <c r="BT18" s="61" t="str">
        <f>_xll.qlSimplex(,BT20,FALSE,Trigger)</f>
        <v>obj_033ac#0001</v>
      </c>
      <c r="BU18" s="1"/>
      <c r="BV18" s="1"/>
      <c r="BW18" s="66" t="s">
        <v>49</v>
      </c>
      <c r="BX18" s="61" t="str">
        <f>_xll.qlSimplex(,BX20,FALSE,Trigger)</f>
        <v>obj_033bc#0001</v>
      </c>
      <c r="BY18" s="1"/>
      <c r="BZ18" s="1"/>
      <c r="CA18" s="66" t="s">
        <v>49</v>
      </c>
      <c r="CB18" s="61" t="str">
        <f>_xll.qlSimplex(,CB20,FALSE,Trigger)</f>
        <v>obj_03384#0001</v>
      </c>
      <c r="CC18" s="1"/>
      <c r="CD18" s="1"/>
      <c r="CE18" s="66" t="s">
        <v>49</v>
      </c>
      <c r="CF18" s="61" t="str">
        <f>_xll.qlSimplex(,CF20,FALSE,Trigger)</f>
        <v>obj_0336d#0001</v>
      </c>
      <c r="CG18" s="1"/>
      <c r="CH18" s="1"/>
      <c r="CI18" s="66" t="s">
        <v>49</v>
      </c>
      <c r="CJ18" s="61" t="str">
        <f>_xll.qlSimplex(,CJ20,FALSE,Trigger)</f>
        <v>obj_0339e#0001</v>
      </c>
      <c r="CK18" s="1"/>
      <c r="CL18" s="1"/>
      <c r="CM18" s="66" t="s">
        <v>49</v>
      </c>
      <c r="CN18" s="61" t="str">
        <f>_xll.qlSimplex(,CN20,FALSE,Trigger)</f>
        <v>obj_03393#0001</v>
      </c>
      <c r="CO18" s="1"/>
      <c r="CP18" s="1"/>
      <c r="CQ18" s="66" t="s">
        <v>49</v>
      </c>
      <c r="CR18" s="61" t="str">
        <f>_xll.qlSimplex(,CR20,FALSE,Trigger)</f>
        <v>obj_03383#0001</v>
      </c>
      <c r="CS18" s="1"/>
      <c r="CT18" s="1"/>
      <c r="CU18" s="66" t="s">
        <v>49</v>
      </c>
      <c r="CV18" s="61" t="str">
        <f>_xll.qlSimplex(,CV20,FALSE,Trigger)</f>
        <v>obj_0336c#0001</v>
      </c>
      <c r="CW18" s="1"/>
      <c r="CX18" s="1"/>
      <c r="CY18" s="66" t="s">
        <v>49</v>
      </c>
      <c r="CZ18" s="61" t="str">
        <f>_xll.qlSimplex(,CZ20,FALSE,Trigger)</f>
        <v>obj_033b1#0001</v>
      </c>
      <c r="DA18" s="1"/>
      <c r="DB18" s="1"/>
      <c r="DC18" s="66" t="s">
        <v>49</v>
      </c>
      <c r="DD18" s="61" t="str">
        <f>_xll.qlSimplex(,DD20,FALSE,Trigger)</f>
        <v>obj_033a4#0001</v>
      </c>
      <c r="DE18" s="1"/>
      <c r="DF18" s="1"/>
      <c r="DG18" s="66" t="s">
        <v>49</v>
      </c>
      <c r="DH18" s="61" t="str">
        <f>_xll.qlSimplex(,DH20,FALSE,Trigger)</f>
        <v>obj_03382#0001</v>
      </c>
      <c r="DI18" s="1"/>
      <c r="DJ18" s="1"/>
      <c r="DK18" s="66" t="s">
        <v>49</v>
      </c>
      <c r="DL18" s="61" t="str">
        <f>_xll.qlSimplex(,DL20,FALSE,Trigger)</f>
        <v>obj_0336b#0001</v>
      </c>
      <c r="DM18" s="1"/>
      <c r="DN18" s="1"/>
      <c r="DO18" s="66" t="s">
        <v>49</v>
      </c>
      <c r="DP18" s="61" t="str">
        <f>_xll.qlSimplex(,DP20,FALSE,Trigger)</f>
        <v>obj_03392#0001</v>
      </c>
      <c r="DQ18" s="1"/>
    </row>
    <row r="19" spans="2:121" hidden="1" outlineLevel="1" x14ac:dyDescent="0.2">
      <c r="B19" s="85" t="s">
        <v>69</v>
      </c>
      <c r="C19" s="67" t="s">
        <v>47</v>
      </c>
      <c r="D19" s="62" t="str">
        <f>_xll.ohRangeRetrieveError(D18)</f>
        <v/>
      </c>
      <c r="E19" s="1"/>
      <c r="F19" s="1"/>
      <c r="G19" s="67" t="s">
        <v>47</v>
      </c>
      <c r="H19" s="62" t="str">
        <f>_xll.ohRangeRetrieveError(H18)</f>
        <v/>
      </c>
      <c r="I19" s="1"/>
      <c r="J19" s="1"/>
      <c r="K19" s="67" t="s">
        <v>47</v>
      </c>
      <c r="L19" s="62" t="str">
        <f>_xll.ohRangeRetrieveError(L18)</f>
        <v/>
      </c>
      <c r="M19" s="1"/>
      <c r="N19" s="1"/>
      <c r="O19" s="67" t="s">
        <v>47</v>
      </c>
      <c r="P19" s="62" t="str">
        <f>_xll.ohRangeRetrieveError(P18)</f>
        <v/>
      </c>
      <c r="Q19" s="1"/>
      <c r="R19" s="1"/>
      <c r="S19" s="67" t="s">
        <v>47</v>
      </c>
      <c r="T19" s="62" t="str">
        <f>_xll.ohRangeRetrieveError(T18)</f>
        <v/>
      </c>
      <c r="U19" s="1"/>
      <c r="V19" s="1"/>
      <c r="W19" s="67" t="s">
        <v>47</v>
      </c>
      <c r="X19" s="62" t="str">
        <f>_xll.ohRangeRetrieveError(X18)</f>
        <v/>
      </c>
      <c r="Y19" s="1"/>
      <c r="Z19" s="1"/>
      <c r="AA19" s="67" t="s">
        <v>47</v>
      </c>
      <c r="AB19" s="62" t="str">
        <f>_xll.ohRangeRetrieveError(AB18)</f>
        <v/>
      </c>
      <c r="AC19" s="1"/>
      <c r="AD19" s="1"/>
      <c r="AE19" s="67" t="s">
        <v>47</v>
      </c>
      <c r="AF19" s="62" t="str">
        <f>_xll.ohRangeRetrieveError(AF18)</f>
        <v/>
      </c>
      <c r="AG19" s="1"/>
      <c r="AH19" s="1"/>
      <c r="AI19" s="67" t="s">
        <v>47</v>
      </c>
      <c r="AJ19" s="62" t="str">
        <f>_xll.ohRangeRetrieveError(AJ18)</f>
        <v/>
      </c>
      <c r="AK19" s="1"/>
      <c r="AL19" s="1"/>
      <c r="AM19" s="67" t="s">
        <v>47</v>
      </c>
      <c r="AN19" s="62" t="str">
        <f>_xll.ohRangeRetrieveError(AN18)</f>
        <v/>
      </c>
      <c r="AO19" s="1"/>
      <c r="AP19" s="1"/>
      <c r="AQ19" s="67" t="s">
        <v>47</v>
      </c>
      <c r="AR19" s="62" t="str">
        <f>_xll.ohRangeRetrieveError(AR18)</f>
        <v/>
      </c>
      <c r="AS19" s="1"/>
      <c r="AT19" s="1"/>
      <c r="AU19" s="67" t="s">
        <v>47</v>
      </c>
      <c r="AV19" s="62" t="str">
        <f>_xll.ohRangeRetrieveError(AV18)</f>
        <v/>
      </c>
      <c r="AW19" s="1"/>
      <c r="AX19" s="1"/>
      <c r="AY19" s="67" t="s">
        <v>47</v>
      </c>
      <c r="AZ19" s="62" t="str">
        <f>_xll.ohRangeRetrieveError(AZ18)</f>
        <v/>
      </c>
      <c r="BA19" s="1"/>
      <c r="BB19" s="1"/>
      <c r="BC19" s="67" t="s">
        <v>47</v>
      </c>
      <c r="BD19" s="62" t="str">
        <f>_xll.ohRangeRetrieveError(BD18)</f>
        <v/>
      </c>
      <c r="BE19" s="1"/>
      <c r="BF19" s="1"/>
      <c r="BG19" s="67" t="s">
        <v>47</v>
      </c>
      <c r="BH19" s="62" t="str">
        <f>_xll.ohRangeRetrieveError(BH18)</f>
        <v/>
      </c>
      <c r="BI19" s="1"/>
      <c r="BJ19" s="1"/>
      <c r="BK19" s="67" t="s">
        <v>47</v>
      </c>
      <c r="BL19" s="62" t="str">
        <f>_xll.ohRangeRetrieveError(BL18)</f>
        <v/>
      </c>
      <c r="BM19" s="1"/>
      <c r="BN19" s="1"/>
      <c r="BO19" s="67" t="s">
        <v>47</v>
      </c>
      <c r="BP19" s="62" t="str">
        <f>_xll.ohRangeRetrieveError(BP18)</f>
        <v/>
      </c>
      <c r="BQ19" s="1"/>
      <c r="BR19" s="1"/>
      <c r="BS19" s="67" t="s">
        <v>47</v>
      </c>
      <c r="BT19" s="62" t="str">
        <f>_xll.ohRangeRetrieveError(BT18)</f>
        <v/>
      </c>
      <c r="BU19" s="1"/>
      <c r="BV19" s="1"/>
      <c r="BW19" s="67" t="s">
        <v>47</v>
      </c>
      <c r="BX19" s="62" t="str">
        <f>_xll.ohRangeRetrieveError(BX18)</f>
        <v/>
      </c>
      <c r="BY19" s="1"/>
      <c r="BZ19" s="1"/>
      <c r="CA19" s="67" t="s">
        <v>47</v>
      </c>
      <c r="CB19" s="62" t="str">
        <f>_xll.ohRangeRetrieveError(CB18)</f>
        <v/>
      </c>
      <c r="CC19" s="1"/>
      <c r="CD19" s="1"/>
      <c r="CE19" s="67" t="s">
        <v>47</v>
      </c>
      <c r="CF19" s="62" t="str">
        <f>_xll.ohRangeRetrieveError(CF18)</f>
        <v/>
      </c>
      <c r="CG19" s="1"/>
      <c r="CH19" s="1"/>
      <c r="CI19" s="67" t="s">
        <v>47</v>
      </c>
      <c r="CJ19" s="62" t="str">
        <f>_xll.ohRangeRetrieveError(CJ18)</f>
        <v/>
      </c>
      <c r="CK19" s="1"/>
      <c r="CL19" s="1"/>
      <c r="CM19" s="67" t="s">
        <v>47</v>
      </c>
      <c r="CN19" s="62" t="str">
        <f>_xll.ohRangeRetrieveError(CN18)</f>
        <v/>
      </c>
      <c r="CO19" s="1"/>
      <c r="CP19" s="1"/>
      <c r="CQ19" s="67" t="s">
        <v>47</v>
      </c>
      <c r="CR19" s="62" t="str">
        <f>_xll.ohRangeRetrieveError(CR18)</f>
        <v/>
      </c>
      <c r="CS19" s="1"/>
      <c r="CT19" s="1"/>
      <c r="CU19" s="67" t="s">
        <v>47</v>
      </c>
      <c r="CV19" s="62" t="str">
        <f>_xll.ohRangeRetrieveError(CV18)</f>
        <v/>
      </c>
      <c r="CW19" s="1"/>
      <c r="CX19" s="1"/>
      <c r="CY19" s="67" t="s">
        <v>47</v>
      </c>
      <c r="CZ19" s="62" t="str">
        <f>_xll.ohRangeRetrieveError(CZ18)</f>
        <v/>
      </c>
      <c r="DA19" s="1"/>
      <c r="DB19" s="1"/>
      <c r="DC19" s="67" t="s">
        <v>47</v>
      </c>
      <c r="DD19" s="62" t="str">
        <f>_xll.ohRangeRetrieveError(DD18)</f>
        <v/>
      </c>
      <c r="DE19" s="1"/>
      <c r="DF19" s="1"/>
      <c r="DG19" s="67" t="s">
        <v>47</v>
      </c>
      <c r="DH19" s="62" t="str">
        <f>_xll.ohRangeRetrieveError(DH18)</f>
        <v/>
      </c>
      <c r="DI19" s="1"/>
      <c r="DJ19" s="1"/>
      <c r="DK19" s="67" t="s">
        <v>47</v>
      </c>
      <c r="DL19" s="62" t="str">
        <f>_xll.ohRangeRetrieveError(DL18)</f>
        <v/>
      </c>
      <c r="DM19" s="1"/>
      <c r="DN19" s="1"/>
      <c r="DO19" s="67" t="s">
        <v>47</v>
      </c>
      <c r="DP19" s="62" t="str">
        <f>_xll.ohRangeRetrieveError(DP18)</f>
        <v/>
      </c>
      <c r="DQ19" s="1"/>
    </row>
    <row r="20" spans="2:121" hidden="1" outlineLevel="1" x14ac:dyDescent="0.2">
      <c r="C20" s="67" t="s">
        <v>48</v>
      </c>
      <c r="D20" s="65">
        <v>0.1</v>
      </c>
      <c r="E20" s="1"/>
      <c r="F20" s="1"/>
      <c r="G20" s="67" t="s">
        <v>48</v>
      </c>
      <c r="H20" s="65">
        <v>0.1</v>
      </c>
      <c r="I20" s="1"/>
      <c r="J20" s="1"/>
      <c r="K20" s="67" t="s">
        <v>48</v>
      </c>
      <c r="L20" s="65">
        <v>0.1</v>
      </c>
      <c r="M20" s="1"/>
      <c r="N20" s="1"/>
      <c r="O20" s="67" t="s">
        <v>48</v>
      </c>
      <c r="P20" s="65">
        <v>0.1</v>
      </c>
      <c r="Q20" s="1"/>
      <c r="R20" s="1"/>
      <c r="S20" s="67" t="s">
        <v>48</v>
      </c>
      <c r="T20" s="65">
        <v>0.1</v>
      </c>
      <c r="U20" s="1"/>
      <c r="V20" s="1"/>
      <c r="W20" s="67" t="s">
        <v>48</v>
      </c>
      <c r="X20" s="65">
        <v>0.1</v>
      </c>
      <c r="Y20" s="1"/>
      <c r="Z20" s="1"/>
      <c r="AA20" s="67" t="s">
        <v>48</v>
      </c>
      <c r="AB20" s="65">
        <v>0.1</v>
      </c>
      <c r="AC20" s="1"/>
      <c r="AD20" s="1"/>
      <c r="AE20" s="67" t="s">
        <v>48</v>
      </c>
      <c r="AF20" s="65">
        <v>0.1</v>
      </c>
      <c r="AG20" s="1"/>
      <c r="AH20" s="1"/>
      <c r="AI20" s="67" t="s">
        <v>48</v>
      </c>
      <c r="AJ20" s="65">
        <v>0.1</v>
      </c>
      <c r="AK20" s="1"/>
      <c r="AL20" s="1"/>
      <c r="AM20" s="67" t="s">
        <v>48</v>
      </c>
      <c r="AN20" s="65">
        <v>0.1</v>
      </c>
      <c r="AO20" s="1"/>
      <c r="AP20" s="1"/>
      <c r="AQ20" s="67" t="s">
        <v>48</v>
      </c>
      <c r="AR20" s="65">
        <v>0.1</v>
      </c>
      <c r="AS20" s="1"/>
      <c r="AT20" s="1"/>
      <c r="AU20" s="67" t="s">
        <v>48</v>
      </c>
      <c r="AV20" s="65">
        <v>0.1</v>
      </c>
      <c r="AW20" s="1"/>
      <c r="AX20" s="1"/>
      <c r="AY20" s="67" t="s">
        <v>48</v>
      </c>
      <c r="AZ20" s="65">
        <v>0.1</v>
      </c>
      <c r="BA20" s="1"/>
      <c r="BB20" s="1"/>
      <c r="BC20" s="67" t="s">
        <v>48</v>
      </c>
      <c r="BD20" s="65">
        <v>0.1</v>
      </c>
      <c r="BE20" s="1"/>
      <c r="BF20" s="1"/>
      <c r="BG20" s="67" t="s">
        <v>48</v>
      </c>
      <c r="BH20" s="65">
        <v>0.1</v>
      </c>
      <c r="BI20" s="1"/>
      <c r="BJ20" s="1"/>
      <c r="BK20" s="67" t="s">
        <v>48</v>
      </c>
      <c r="BL20" s="65">
        <v>0.1</v>
      </c>
      <c r="BM20" s="1"/>
      <c r="BN20" s="1"/>
      <c r="BO20" s="67" t="s">
        <v>48</v>
      </c>
      <c r="BP20" s="65">
        <v>0.1</v>
      </c>
      <c r="BQ20" s="1"/>
      <c r="BR20" s="1"/>
      <c r="BS20" s="67" t="s">
        <v>48</v>
      </c>
      <c r="BT20" s="65">
        <v>0.1</v>
      </c>
      <c r="BU20" s="1"/>
      <c r="BV20" s="1"/>
      <c r="BW20" s="67" t="s">
        <v>48</v>
      </c>
      <c r="BX20" s="65">
        <v>0.1</v>
      </c>
      <c r="BY20" s="1"/>
      <c r="BZ20" s="1"/>
      <c r="CA20" s="67" t="s">
        <v>48</v>
      </c>
      <c r="CB20" s="65">
        <v>0.1</v>
      </c>
      <c r="CC20" s="1"/>
      <c r="CD20" s="1"/>
      <c r="CE20" s="67" t="s">
        <v>48</v>
      </c>
      <c r="CF20" s="65">
        <v>0.1</v>
      </c>
      <c r="CG20" s="1"/>
      <c r="CH20" s="1"/>
      <c r="CI20" s="67" t="s">
        <v>48</v>
      </c>
      <c r="CJ20" s="65">
        <v>0.1</v>
      </c>
      <c r="CK20" s="1"/>
      <c r="CL20" s="1"/>
      <c r="CM20" s="67" t="s">
        <v>48</v>
      </c>
      <c r="CN20" s="65">
        <v>0.1</v>
      </c>
      <c r="CO20" s="1"/>
      <c r="CP20" s="1"/>
      <c r="CQ20" s="67" t="s">
        <v>48</v>
      </c>
      <c r="CR20" s="65">
        <v>0.1</v>
      </c>
      <c r="CS20" s="1"/>
      <c r="CT20" s="1"/>
      <c r="CU20" s="67" t="s">
        <v>48</v>
      </c>
      <c r="CV20" s="65">
        <v>0.1</v>
      </c>
      <c r="CW20" s="1"/>
      <c r="CX20" s="1"/>
      <c r="CY20" s="67" t="s">
        <v>48</v>
      </c>
      <c r="CZ20" s="65">
        <v>0.1</v>
      </c>
      <c r="DA20" s="1"/>
      <c r="DB20" s="1"/>
      <c r="DC20" s="67" t="s">
        <v>48</v>
      </c>
      <c r="DD20" s="65">
        <v>0.1</v>
      </c>
      <c r="DE20" s="1"/>
      <c r="DF20" s="1"/>
      <c r="DG20" s="67" t="s">
        <v>48</v>
      </c>
      <c r="DH20" s="65">
        <v>0.1</v>
      </c>
      <c r="DI20" s="1"/>
      <c r="DJ20" s="1"/>
      <c r="DK20" s="67" t="s">
        <v>48</v>
      </c>
      <c r="DL20" s="65">
        <v>0.1</v>
      </c>
      <c r="DM20" s="1"/>
      <c r="DN20" s="1"/>
      <c r="DO20" s="67" t="s">
        <v>48</v>
      </c>
      <c r="DP20" s="65">
        <v>0.1</v>
      </c>
      <c r="DQ20" s="1"/>
    </row>
    <row r="21" spans="2:121" hidden="1" outlineLevel="1" x14ac:dyDescent="0.2">
      <c r="C21" s="66" t="s">
        <v>58</v>
      </c>
      <c r="D21" s="61" t="str">
        <f>_xll.qlLevenbergMarquardt(D23,D23,D24,D25,,Trigger)</f>
        <v>obj_033a8#0001</v>
      </c>
      <c r="E21" s="1"/>
      <c r="F21" s="1"/>
      <c r="G21" s="66" t="s">
        <v>58</v>
      </c>
      <c r="H21" s="61" t="str">
        <f>_xll.qlLevenbergMarquardt(H23,H23,H24,H25,,Trigger)</f>
        <v>obj_03381#0001</v>
      </c>
      <c r="I21" s="1"/>
      <c r="J21" s="1"/>
      <c r="K21" s="66" t="s">
        <v>58</v>
      </c>
      <c r="L21" s="61" t="str">
        <f>_xll.qlLevenbergMarquardt(L23,L23,L24,L25,,Trigger)</f>
        <v>obj_0336a#0001</v>
      </c>
      <c r="M21" s="1"/>
      <c r="N21" s="1"/>
      <c r="O21" s="66" t="s">
        <v>58</v>
      </c>
      <c r="P21" s="61" t="str">
        <f>_xll.qlLevenbergMarquardt(P23,P23,P24,P25,,Trigger)</f>
        <v>obj_033a3#0001</v>
      </c>
      <c r="Q21" s="1"/>
      <c r="R21" s="1"/>
      <c r="S21" s="66" t="s">
        <v>58</v>
      </c>
      <c r="T21" s="61" t="str">
        <f>_xll.qlLevenbergMarquardt(T23,T23,T24,T25,,Trigger)</f>
        <v>obj_03397#0001</v>
      </c>
      <c r="U21" s="1"/>
      <c r="V21" s="1"/>
      <c r="W21" s="66" t="s">
        <v>58</v>
      </c>
      <c r="X21" s="61" t="str">
        <f>_xll.qlLevenbergMarquardt(X23,X23,X24,X25,,Trigger)</f>
        <v>obj_03380#0001</v>
      </c>
      <c r="Y21" s="1"/>
      <c r="Z21" s="1"/>
      <c r="AA21" s="66" t="s">
        <v>58</v>
      </c>
      <c r="AB21" s="61" t="str">
        <f>_xll.qlLevenbergMarquardt(AB23,AB23,AB24,AB25,,Trigger)</f>
        <v>obj_03369#0001</v>
      </c>
      <c r="AC21" s="1"/>
      <c r="AD21" s="1"/>
      <c r="AE21" s="66" t="s">
        <v>58</v>
      </c>
      <c r="AF21" s="61" t="str">
        <f>_xll.qlLevenbergMarquardt(AF23,AF23,AF24,AF25,,Trigger)</f>
        <v>obj_033b4#0001</v>
      </c>
      <c r="AG21" s="1"/>
      <c r="AH21" s="1"/>
      <c r="AI21" s="66" t="s">
        <v>58</v>
      </c>
      <c r="AJ21" s="61" t="str">
        <f>_xll.qlLevenbergMarquardt(AJ23,AJ23,AJ24,AJ25,,Trigger)</f>
        <v>obj_033ae#0001</v>
      </c>
      <c r="AK21" s="1"/>
      <c r="AL21" s="1"/>
      <c r="AM21" s="66" t="s">
        <v>58</v>
      </c>
      <c r="AN21" s="61" t="str">
        <f>_xll.qlLevenbergMarquardt(AN23,AN23,AN24,AN25,,Trigger)</f>
        <v>obj_0337f#0001</v>
      </c>
      <c r="AO21" s="1"/>
      <c r="AP21" s="1"/>
      <c r="AQ21" s="66" t="s">
        <v>58</v>
      </c>
      <c r="AR21" s="61" t="str">
        <f>_xll.qlLevenbergMarquardt(AR23,AR23,AR24,AR25,,Trigger)</f>
        <v>obj_03368#0001</v>
      </c>
      <c r="AS21" s="1"/>
      <c r="AT21" s="1"/>
      <c r="AU21" s="66" t="s">
        <v>58</v>
      </c>
      <c r="AV21" s="61" t="str">
        <f>_xll.qlLevenbergMarquardt(AV23,AV23,AV24,AV25,,Trigger)</f>
        <v>obj_03396#0001</v>
      </c>
      <c r="AW21" s="1"/>
      <c r="AX21" s="1"/>
      <c r="AY21" s="66" t="s">
        <v>58</v>
      </c>
      <c r="AZ21" s="61" t="str">
        <f>_xll.qlLevenbergMarquardt(AZ23,AZ23,AZ24,AZ25,,Trigger)</f>
        <v>obj_033ab#0001</v>
      </c>
      <c r="BA21" s="1"/>
      <c r="BB21" s="1"/>
      <c r="BC21" s="66" t="s">
        <v>58</v>
      </c>
      <c r="BD21" s="61" t="str">
        <f>_xll.qlLevenbergMarquardt(BD23,BD23,BD24,BD25,,Trigger)</f>
        <v>obj_0337e#0001</v>
      </c>
      <c r="BE21" s="1"/>
      <c r="BF21" s="1"/>
      <c r="BG21" s="66" t="s">
        <v>58</v>
      </c>
      <c r="BH21" s="61" t="str">
        <f>_xll.qlLevenbergMarquardt(BH23,BH23,BH24,BH25,,Trigger)</f>
        <v>obj_03367#0001</v>
      </c>
      <c r="BI21" s="1"/>
      <c r="BJ21" s="1"/>
      <c r="BK21" s="66" t="s">
        <v>58</v>
      </c>
      <c r="BL21" s="61" t="str">
        <f>_xll.qlLevenbergMarquardt(BL23,BL23,BL24,BL25,,Trigger)</f>
        <v>obj_033a7#0001</v>
      </c>
      <c r="BM21" s="1"/>
      <c r="BN21" s="1"/>
      <c r="BO21" s="66" t="s">
        <v>58</v>
      </c>
      <c r="BP21" s="61" t="str">
        <f>_xll.qlLevenbergMarquardt(BP23,BP23,BP24,BP25,,Trigger)</f>
        <v>obj_0339d#0001</v>
      </c>
      <c r="BQ21" s="1"/>
      <c r="BR21" s="1"/>
      <c r="BS21" s="66" t="s">
        <v>58</v>
      </c>
      <c r="BT21" s="61" t="str">
        <f>_xll.qlLevenbergMarquardt(BT23,BT23,BT24,BT25,,Trigger)</f>
        <v>obj_0337d#0001</v>
      </c>
      <c r="BU21" s="1"/>
      <c r="BV21" s="1"/>
      <c r="BW21" s="66" t="s">
        <v>58</v>
      </c>
      <c r="BX21" s="61" t="str">
        <f>_xll.qlLevenbergMarquardt(BX23,BX23,BX24,BX25,,Trigger)</f>
        <v>obj_03366#0001</v>
      </c>
      <c r="BY21" s="1"/>
      <c r="BZ21" s="1"/>
      <c r="CA21" s="66" t="s">
        <v>58</v>
      </c>
      <c r="CB21" s="61" t="str">
        <f>_xll.qlLevenbergMarquardt(CB23,CB23,CB24,CB25,,Trigger)</f>
        <v>obj_033b9#0001</v>
      </c>
      <c r="CC21" s="1"/>
      <c r="CD21" s="1"/>
      <c r="CE21" s="66" t="s">
        <v>58</v>
      </c>
      <c r="CF21" s="61" t="str">
        <f>_xll.qlLevenbergMarquardt(CF23,CF23,CF24,CF25,,Trigger)</f>
        <v>obj_033b3#0001</v>
      </c>
      <c r="CG21" s="1"/>
      <c r="CH21" s="1"/>
      <c r="CI21" s="66" t="s">
        <v>58</v>
      </c>
      <c r="CJ21" s="61" t="str">
        <f>_xll.qlLevenbergMarquardt(CJ23,CJ23,CJ24,CJ25,,Trigger)</f>
        <v>obj_0337c#0001</v>
      </c>
      <c r="CK21" s="1"/>
      <c r="CL21" s="1"/>
      <c r="CM21" s="66" t="s">
        <v>58</v>
      </c>
      <c r="CN21" s="61" t="str">
        <f>_xll.qlLevenbergMarquardt(CN23,CN23,CN24,CN25,,Trigger)</f>
        <v>obj_03365#0001</v>
      </c>
      <c r="CO21" s="1"/>
      <c r="CP21" s="1"/>
      <c r="CQ21" s="66" t="s">
        <v>58</v>
      </c>
      <c r="CR21" s="61" t="str">
        <f>_xll.qlLevenbergMarquardt(CR23,CR23,CR24,CR25,,Trigger)</f>
        <v>obj_0339c#0001</v>
      </c>
      <c r="CS21" s="1"/>
      <c r="CT21" s="1"/>
      <c r="CU21" s="66" t="s">
        <v>58</v>
      </c>
      <c r="CV21" s="61" t="str">
        <f>_xll.qlLevenbergMarquardt(CV23,CV23,CV24,CV25,,Trigger)</f>
        <v>obj_03391#0001</v>
      </c>
      <c r="CW21" s="1"/>
      <c r="CX21" s="1"/>
      <c r="CY21" s="66" t="s">
        <v>58</v>
      </c>
      <c r="CZ21" s="61" t="str">
        <f>_xll.qlLevenbergMarquardt(CZ23,CZ23,CZ24,CZ25,,Trigger)</f>
        <v>obj_0337b#0001</v>
      </c>
      <c r="DA21" s="1"/>
      <c r="DB21" s="1"/>
      <c r="DC21" s="66" t="s">
        <v>58</v>
      </c>
      <c r="DD21" s="61" t="str">
        <f>_xll.qlLevenbergMarquardt(DD23,DD23,DD24,DD25,,Trigger)</f>
        <v>obj_03364#0001</v>
      </c>
      <c r="DE21" s="1"/>
      <c r="DF21" s="1"/>
      <c r="DG21" s="66" t="s">
        <v>58</v>
      </c>
      <c r="DH21" s="61" t="str">
        <f>_xll.qlLevenbergMarquardt(DH23,DH23,DH24,DH25,,Trigger)</f>
        <v>obj_033aa#0001</v>
      </c>
      <c r="DI21" s="1"/>
      <c r="DJ21" s="1"/>
      <c r="DK21" s="66" t="s">
        <v>58</v>
      </c>
      <c r="DL21" s="61" t="str">
        <f>_xll.qlLevenbergMarquardt(DL23,DL23,DL24,DL25,,Trigger)</f>
        <v>obj_033a2#0001</v>
      </c>
      <c r="DM21" s="1"/>
      <c r="DN21" s="1"/>
      <c r="DO21" s="66" t="s">
        <v>58</v>
      </c>
      <c r="DP21" s="61" t="str">
        <f>_xll.qlLevenbergMarquardt(DP23,DP23,DP24,DP25,,Trigger)</f>
        <v>obj_0337a#0001</v>
      </c>
      <c r="DQ21" s="1"/>
    </row>
    <row r="22" spans="2:121" hidden="1" outlineLevel="1" x14ac:dyDescent="0.2">
      <c r="C22" s="67" t="s">
        <v>47</v>
      </c>
      <c r="D22" s="62" t="str">
        <f>_xll.ohRangeRetrieveError(D21)</f>
        <v/>
      </c>
      <c r="E22" s="1"/>
      <c r="F22" s="1"/>
      <c r="G22" s="67" t="s">
        <v>47</v>
      </c>
      <c r="H22" s="62" t="str">
        <f>_xll.ohRangeRetrieveError(H21)</f>
        <v/>
      </c>
      <c r="I22" s="1"/>
      <c r="J22" s="1"/>
      <c r="K22" s="67" t="s">
        <v>47</v>
      </c>
      <c r="L22" s="62" t="str">
        <f>_xll.ohRangeRetrieveError(L21)</f>
        <v/>
      </c>
      <c r="M22" s="1"/>
      <c r="N22" s="1"/>
      <c r="O22" s="67" t="s">
        <v>47</v>
      </c>
      <c r="P22" s="62" t="str">
        <f>_xll.ohRangeRetrieveError(P21)</f>
        <v/>
      </c>
      <c r="Q22" s="1"/>
      <c r="R22" s="1"/>
      <c r="S22" s="67" t="s">
        <v>47</v>
      </c>
      <c r="T22" s="62" t="str">
        <f>_xll.ohRangeRetrieveError(T21)</f>
        <v/>
      </c>
      <c r="U22" s="1"/>
      <c r="V22" s="1"/>
      <c r="W22" s="67" t="s">
        <v>47</v>
      </c>
      <c r="X22" s="62" t="str">
        <f>_xll.ohRangeRetrieveError(X21)</f>
        <v/>
      </c>
      <c r="Y22" s="1"/>
      <c r="Z22" s="1"/>
      <c r="AA22" s="67" t="s">
        <v>47</v>
      </c>
      <c r="AB22" s="62" t="str">
        <f>_xll.ohRangeRetrieveError(AB21)</f>
        <v/>
      </c>
      <c r="AC22" s="1"/>
      <c r="AD22" s="1"/>
      <c r="AE22" s="67" t="s">
        <v>47</v>
      </c>
      <c r="AF22" s="62" t="str">
        <f>_xll.ohRangeRetrieveError(AF21)</f>
        <v/>
      </c>
      <c r="AG22" s="1"/>
      <c r="AH22" s="1"/>
      <c r="AI22" s="67" t="s">
        <v>47</v>
      </c>
      <c r="AJ22" s="62" t="str">
        <f>_xll.ohRangeRetrieveError(AJ21)</f>
        <v/>
      </c>
      <c r="AK22" s="1"/>
      <c r="AL22" s="1"/>
      <c r="AM22" s="67" t="s">
        <v>47</v>
      </c>
      <c r="AN22" s="62" t="str">
        <f>_xll.ohRangeRetrieveError(AN21)</f>
        <v/>
      </c>
      <c r="AO22" s="1"/>
      <c r="AP22" s="1"/>
      <c r="AQ22" s="67" t="s">
        <v>47</v>
      </c>
      <c r="AR22" s="62" t="str">
        <f>_xll.ohRangeRetrieveError(AR21)</f>
        <v/>
      </c>
      <c r="AS22" s="1"/>
      <c r="AT22" s="1"/>
      <c r="AU22" s="67" t="s">
        <v>47</v>
      </c>
      <c r="AV22" s="62" t="str">
        <f>_xll.ohRangeRetrieveError(AV21)</f>
        <v/>
      </c>
      <c r="AW22" s="1"/>
      <c r="AX22" s="1"/>
      <c r="AY22" s="67" t="s">
        <v>47</v>
      </c>
      <c r="AZ22" s="62" t="str">
        <f>_xll.ohRangeRetrieveError(AZ21)</f>
        <v/>
      </c>
      <c r="BA22" s="1"/>
      <c r="BB22" s="1"/>
      <c r="BC22" s="67" t="s">
        <v>47</v>
      </c>
      <c r="BD22" s="62" t="str">
        <f>_xll.ohRangeRetrieveError(BD21)</f>
        <v/>
      </c>
      <c r="BE22" s="1"/>
      <c r="BF22" s="1"/>
      <c r="BG22" s="67" t="s">
        <v>47</v>
      </c>
      <c r="BH22" s="62" t="str">
        <f>_xll.ohRangeRetrieveError(BH21)</f>
        <v/>
      </c>
      <c r="BI22" s="1"/>
      <c r="BJ22" s="1"/>
      <c r="BK22" s="67" t="s">
        <v>47</v>
      </c>
      <c r="BL22" s="62" t="str">
        <f>_xll.ohRangeRetrieveError(BL21)</f>
        <v/>
      </c>
      <c r="BM22" s="1"/>
      <c r="BN22" s="1"/>
      <c r="BO22" s="67" t="s">
        <v>47</v>
      </c>
      <c r="BP22" s="62" t="str">
        <f>_xll.ohRangeRetrieveError(BP21)</f>
        <v/>
      </c>
      <c r="BQ22" s="1"/>
      <c r="BR22" s="1"/>
      <c r="BS22" s="67" t="s">
        <v>47</v>
      </c>
      <c r="BT22" s="62" t="str">
        <f>_xll.ohRangeRetrieveError(BT21)</f>
        <v/>
      </c>
      <c r="BU22" s="1"/>
      <c r="BV22" s="1"/>
      <c r="BW22" s="67" t="s">
        <v>47</v>
      </c>
      <c r="BX22" s="62" t="str">
        <f>_xll.ohRangeRetrieveError(BX21)</f>
        <v/>
      </c>
      <c r="BY22" s="1"/>
      <c r="BZ22" s="1"/>
      <c r="CA22" s="67" t="s">
        <v>47</v>
      </c>
      <c r="CB22" s="62" t="str">
        <f>_xll.ohRangeRetrieveError(CB21)</f>
        <v/>
      </c>
      <c r="CC22" s="1"/>
      <c r="CD22" s="1"/>
      <c r="CE22" s="67" t="s">
        <v>47</v>
      </c>
      <c r="CF22" s="62" t="str">
        <f>_xll.ohRangeRetrieveError(CF21)</f>
        <v/>
      </c>
      <c r="CG22" s="1"/>
      <c r="CH22" s="1"/>
      <c r="CI22" s="67" t="s">
        <v>47</v>
      </c>
      <c r="CJ22" s="62" t="str">
        <f>_xll.ohRangeRetrieveError(CJ21)</f>
        <v/>
      </c>
      <c r="CK22" s="1"/>
      <c r="CL22" s="1"/>
      <c r="CM22" s="67" t="s">
        <v>47</v>
      </c>
      <c r="CN22" s="62" t="str">
        <f>_xll.ohRangeRetrieveError(CN21)</f>
        <v/>
      </c>
      <c r="CO22" s="1"/>
      <c r="CP22" s="1"/>
      <c r="CQ22" s="67" t="s">
        <v>47</v>
      </c>
      <c r="CR22" s="62" t="str">
        <f>_xll.ohRangeRetrieveError(CR21)</f>
        <v/>
      </c>
      <c r="CS22" s="1"/>
      <c r="CT22" s="1"/>
      <c r="CU22" s="67" t="s">
        <v>47</v>
      </c>
      <c r="CV22" s="62" t="str">
        <f>_xll.ohRangeRetrieveError(CV21)</f>
        <v/>
      </c>
      <c r="CW22" s="1"/>
      <c r="CX22" s="1"/>
      <c r="CY22" s="67" t="s">
        <v>47</v>
      </c>
      <c r="CZ22" s="62" t="str">
        <f>_xll.ohRangeRetrieveError(CZ21)</f>
        <v/>
      </c>
      <c r="DA22" s="1"/>
      <c r="DB22" s="1"/>
      <c r="DC22" s="67" t="s">
        <v>47</v>
      </c>
      <c r="DD22" s="62" t="str">
        <f>_xll.ohRangeRetrieveError(DD21)</f>
        <v/>
      </c>
      <c r="DE22" s="1"/>
      <c r="DF22" s="1"/>
      <c r="DG22" s="67" t="s">
        <v>47</v>
      </c>
      <c r="DH22" s="62" t="str">
        <f>_xll.ohRangeRetrieveError(DH21)</f>
        <v/>
      </c>
      <c r="DI22" s="1"/>
      <c r="DJ22" s="1"/>
      <c r="DK22" s="67" t="s">
        <v>47</v>
      </c>
      <c r="DL22" s="62" t="str">
        <f>_xll.ohRangeRetrieveError(DL21)</f>
        <v/>
      </c>
      <c r="DM22" s="1"/>
      <c r="DN22" s="1"/>
      <c r="DO22" s="67" t="s">
        <v>47</v>
      </c>
      <c r="DP22" s="62" t="str">
        <f>_xll.ohRangeRetrieveError(DP21)</f>
        <v/>
      </c>
      <c r="DQ22" s="1"/>
    </row>
    <row r="23" spans="2:121" hidden="1" outlineLevel="1" x14ac:dyDescent="0.2">
      <c r="C23" s="48" t="s">
        <v>59</v>
      </c>
      <c r="D23" s="80"/>
      <c r="E23" s="1"/>
      <c r="F23" s="1"/>
      <c r="G23" s="48" t="s">
        <v>59</v>
      </c>
      <c r="H23" s="80"/>
      <c r="I23" s="1"/>
      <c r="J23" s="1"/>
      <c r="K23" s="48" t="s">
        <v>59</v>
      </c>
      <c r="L23" s="80"/>
      <c r="M23" s="1"/>
      <c r="N23" s="1"/>
      <c r="O23" s="48" t="s">
        <v>59</v>
      </c>
      <c r="P23" s="80"/>
      <c r="Q23" s="1"/>
      <c r="R23" s="1"/>
      <c r="S23" s="48" t="s">
        <v>59</v>
      </c>
      <c r="T23" s="80"/>
      <c r="U23" s="1"/>
      <c r="V23" s="1"/>
      <c r="W23" s="48" t="s">
        <v>59</v>
      </c>
      <c r="X23" s="80"/>
      <c r="Y23" s="1"/>
      <c r="Z23" s="1"/>
      <c r="AA23" s="48" t="s">
        <v>59</v>
      </c>
      <c r="AB23" s="80"/>
      <c r="AC23" s="1"/>
      <c r="AD23" s="1"/>
      <c r="AE23" s="48" t="s">
        <v>59</v>
      </c>
      <c r="AF23" s="80"/>
      <c r="AG23" s="1"/>
      <c r="AH23" s="1"/>
      <c r="AI23" s="48" t="s">
        <v>59</v>
      </c>
      <c r="AJ23" s="80"/>
      <c r="AK23" s="1"/>
      <c r="AL23" s="1"/>
      <c r="AM23" s="48" t="s">
        <v>59</v>
      </c>
      <c r="AN23" s="80"/>
      <c r="AO23" s="1"/>
      <c r="AP23" s="1"/>
      <c r="AQ23" s="48" t="s">
        <v>59</v>
      </c>
      <c r="AR23" s="80"/>
      <c r="AS23" s="1"/>
      <c r="AT23" s="1"/>
      <c r="AU23" s="48" t="s">
        <v>59</v>
      </c>
      <c r="AV23" s="80"/>
      <c r="AW23" s="1"/>
      <c r="AX23" s="1"/>
      <c r="AY23" s="48" t="s">
        <v>59</v>
      </c>
      <c r="AZ23" s="80"/>
      <c r="BA23" s="1"/>
      <c r="BB23" s="1"/>
      <c r="BC23" s="48" t="s">
        <v>59</v>
      </c>
      <c r="BD23" s="80"/>
      <c r="BE23" s="1"/>
      <c r="BF23" s="1"/>
      <c r="BG23" s="48" t="s">
        <v>59</v>
      </c>
      <c r="BH23" s="80"/>
      <c r="BI23" s="1"/>
      <c r="BJ23" s="1"/>
      <c r="BK23" s="48" t="s">
        <v>59</v>
      </c>
      <c r="BL23" s="80"/>
      <c r="BM23" s="1"/>
      <c r="BN23" s="1"/>
      <c r="BO23" s="48" t="s">
        <v>59</v>
      </c>
      <c r="BP23" s="80"/>
      <c r="BQ23" s="1"/>
      <c r="BR23" s="1"/>
      <c r="BS23" s="48" t="s">
        <v>59</v>
      </c>
      <c r="BT23" s="80"/>
      <c r="BU23" s="1"/>
      <c r="BV23" s="1"/>
      <c r="BW23" s="48" t="s">
        <v>59</v>
      </c>
      <c r="BX23" s="80"/>
      <c r="BY23" s="1"/>
      <c r="BZ23" s="1"/>
      <c r="CA23" s="48" t="s">
        <v>59</v>
      </c>
      <c r="CB23" s="80"/>
      <c r="CC23" s="1"/>
      <c r="CD23" s="1"/>
      <c r="CE23" s="48" t="s">
        <v>59</v>
      </c>
      <c r="CF23" s="80"/>
      <c r="CG23" s="1"/>
      <c r="CH23" s="1"/>
      <c r="CI23" s="48" t="s">
        <v>59</v>
      </c>
      <c r="CJ23" s="80"/>
      <c r="CK23" s="1"/>
      <c r="CL23" s="1"/>
      <c r="CM23" s="48" t="s">
        <v>59</v>
      </c>
      <c r="CN23" s="80"/>
      <c r="CO23" s="1"/>
      <c r="CP23" s="1"/>
      <c r="CQ23" s="48" t="s">
        <v>59</v>
      </c>
      <c r="CR23" s="80"/>
      <c r="CS23" s="1"/>
      <c r="CT23" s="1"/>
      <c r="CU23" s="48" t="s">
        <v>59</v>
      </c>
      <c r="CV23" s="80"/>
      <c r="CW23" s="1"/>
      <c r="CX23" s="1"/>
      <c r="CY23" s="48" t="s">
        <v>59</v>
      </c>
      <c r="CZ23" s="80"/>
      <c r="DA23" s="1"/>
      <c r="DB23" s="1"/>
      <c r="DC23" s="48" t="s">
        <v>59</v>
      </c>
      <c r="DD23" s="80"/>
      <c r="DE23" s="1"/>
      <c r="DF23" s="1"/>
      <c r="DG23" s="48" t="s">
        <v>59</v>
      </c>
      <c r="DH23" s="80"/>
      <c r="DI23" s="1"/>
      <c r="DJ23" s="1"/>
      <c r="DK23" s="48" t="s">
        <v>59</v>
      </c>
      <c r="DL23" s="80"/>
      <c r="DM23" s="1"/>
      <c r="DN23" s="1"/>
      <c r="DO23" s="48" t="s">
        <v>59</v>
      </c>
      <c r="DP23" s="80"/>
      <c r="DQ23" s="1"/>
    </row>
    <row r="24" spans="2:121" hidden="1" outlineLevel="1" x14ac:dyDescent="0.2">
      <c r="C24" s="49" t="s">
        <v>60</v>
      </c>
      <c r="D24" s="81"/>
      <c r="E24" s="1"/>
      <c r="F24" s="1"/>
      <c r="G24" s="49" t="s">
        <v>60</v>
      </c>
      <c r="H24" s="81"/>
      <c r="I24" s="1"/>
      <c r="J24" s="1"/>
      <c r="K24" s="49" t="s">
        <v>60</v>
      </c>
      <c r="L24" s="81"/>
      <c r="M24" s="1"/>
      <c r="N24" s="1"/>
      <c r="O24" s="49" t="s">
        <v>60</v>
      </c>
      <c r="P24" s="81"/>
      <c r="Q24" s="1"/>
      <c r="R24" s="1"/>
      <c r="S24" s="49" t="s">
        <v>60</v>
      </c>
      <c r="T24" s="81"/>
      <c r="U24" s="1"/>
      <c r="V24" s="1"/>
      <c r="W24" s="49" t="s">
        <v>60</v>
      </c>
      <c r="X24" s="81"/>
      <c r="Y24" s="1"/>
      <c r="Z24" s="1"/>
      <c r="AA24" s="49" t="s">
        <v>60</v>
      </c>
      <c r="AB24" s="81"/>
      <c r="AC24" s="1"/>
      <c r="AD24" s="1"/>
      <c r="AE24" s="49" t="s">
        <v>60</v>
      </c>
      <c r="AF24" s="81"/>
      <c r="AG24" s="1"/>
      <c r="AH24" s="1"/>
      <c r="AI24" s="49" t="s">
        <v>60</v>
      </c>
      <c r="AJ24" s="81"/>
      <c r="AK24" s="1"/>
      <c r="AL24" s="1"/>
      <c r="AM24" s="49" t="s">
        <v>60</v>
      </c>
      <c r="AN24" s="81"/>
      <c r="AO24" s="1"/>
      <c r="AP24" s="1"/>
      <c r="AQ24" s="49" t="s">
        <v>60</v>
      </c>
      <c r="AR24" s="81"/>
      <c r="AS24" s="1"/>
      <c r="AT24" s="1"/>
      <c r="AU24" s="49" t="s">
        <v>60</v>
      </c>
      <c r="AV24" s="81"/>
      <c r="AW24" s="1"/>
      <c r="AX24" s="1"/>
      <c r="AY24" s="49" t="s">
        <v>60</v>
      </c>
      <c r="AZ24" s="81"/>
      <c r="BA24" s="1"/>
      <c r="BB24" s="1"/>
      <c r="BC24" s="49" t="s">
        <v>60</v>
      </c>
      <c r="BD24" s="81"/>
      <c r="BE24" s="1"/>
      <c r="BF24" s="1"/>
      <c r="BG24" s="49" t="s">
        <v>60</v>
      </c>
      <c r="BH24" s="81"/>
      <c r="BI24" s="1"/>
      <c r="BJ24" s="1"/>
      <c r="BK24" s="49" t="s">
        <v>60</v>
      </c>
      <c r="BL24" s="81"/>
      <c r="BM24" s="1"/>
      <c r="BN24" s="1"/>
      <c r="BO24" s="49" t="s">
        <v>60</v>
      </c>
      <c r="BP24" s="81"/>
      <c r="BQ24" s="1"/>
      <c r="BR24" s="1"/>
      <c r="BS24" s="49" t="s">
        <v>60</v>
      </c>
      <c r="BT24" s="81"/>
      <c r="BU24" s="1"/>
      <c r="BV24" s="1"/>
      <c r="BW24" s="49" t="s">
        <v>60</v>
      </c>
      <c r="BX24" s="81"/>
      <c r="BY24" s="1"/>
      <c r="BZ24" s="1"/>
      <c r="CA24" s="49" t="s">
        <v>60</v>
      </c>
      <c r="CB24" s="81"/>
      <c r="CC24" s="1"/>
      <c r="CD24" s="1"/>
      <c r="CE24" s="49" t="s">
        <v>60</v>
      </c>
      <c r="CF24" s="81"/>
      <c r="CG24" s="1"/>
      <c r="CH24" s="1"/>
      <c r="CI24" s="49" t="s">
        <v>60</v>
      </c>
      <c r="CJ24" s="81"/>
      <c r="CK24" s="1"/>
      <c r="CL24" s="1"/>
      <c r="CM24" s="49" t="s">
        <v>60</v>
      </c>
      <c r="CN24" s="81"/>
      <c r="CO24" s="1"/>
      <c r="CP24" s="1"/>
      <c r="CQ24" s="49" t="s">
        <v>60</v>
      </c>
      <c r="CR24" s="81"/>
      <c r="CS24" s="1"/>
      <c r="CT24" s="1"/>
      <c r="CU24" s="49" t="s">
        <v>60</v>
      </c>
      <c r="CV24" s="81"/>
      <c r="CW24" s="1"/>
      <c r="CX24" s="1"/>
      <c r="CY24" s="49" t="s">
        <v>60</v>
      </c>
      <c r="CZ24" s="81"/>
      <c r="DA24" s="1"/>
      <c r="DB24" s="1"/>
      <c r="DC24" s="49" t="s">
        <v>60</v>
      </c>
      <c r="DD24" s="81"/>
      <c r="DE24" s="1"/>
      <c r="DF24" s="1"/>
      <c r="DG24" s="49" t="s">
        <v>60</v>
      </c>
      <c r="DH24" s="81"/>
      <c r="DI24" s="1"/>
      <c r="DJ24" s="1"/>
      <c r="DK24" s="49" t="s">
        <v>60</v>
      </c>
      <c r="DL24" s="81"/>
      <c r="DM24" s="1"/>
      <c r="DN24" s="1"/>
      <c r="DO24" s="49" t="s">
        <v>60</v>
      </c>
      <c r="DP24" s="81"/>
      <c r="DQ24" s="1"/>
    </row>
    <row r="25" spans="2:121" hidden="1" outlineLevel="1" x14ac:dyDescent="0.2">
      <c r="C25" s="50" t="s">
        <v>61</v>
      </c>
      <c r="D25" s="82"/>
      <c r="E25" s="1"/>
      <c r="F25" s="1"/>
      <c r="G25" s="50" t="s">
        <v>61</v>
      </c>
      <c r="H25" s="82"/>
      <c r="I25" s="1"/>
      <c r="J25" s="1"/>
      <c r="K25" s="50" t="s">
        <v>61</v>
      </c>
      <c r="L25" s="82"/>
      <c r="M25" s="1"/>
      <c r="N25" s="1"/>
      <c r="O25" s="50" t="s">
        <v>61</v>
      </c>
      <c r="P25" s="82"/>
      <c r="Q25" s="1"/>
      <c r="R25" s="1"/>
      <c r="S25" s="50" t="s">
        <v>61</v>
      </c>
      <c r="T25" s="82"/>
      <c r="U25" s="1"/>
      <c r="V25" s="1"/>
      <c r="W25" s="50" t="s">
        <v>61</v>
      </c>
      <c r="X25" s="82"/>
      <c r="Y25" s="1"/>
      <c r="Z25" s="1"/>
      <c r="AA25" s="50" t="s">
        <v>61</v>
      </c>
      <c r="AB25" s="82"/>
      <c r="AC25" s="1"/>
      <c r="AD25" s="1"/>
      <c r="AE25" s="50" t="s">
        <v>61</v>
      </c>
      <c r="AF25" s="82"/>
      <c r="AG25" s="1"/>
      <c r="AH25" s="1"/>
      <c r="AI25" s="50" t="s">
        <v>61</v>
      </c>
      <c r="AJ25" s="82"/>
      <c r="AK25" s="1"/>
      <c r="AL25" s="1"/>
      <c r="AM25" s="50" t="s">
        <v>61</v>
      </c>
      <c r="AN25" s="82"/>
      <c r="AO25" s="1"/>
      <c r="AP25" s="1"/>
      <c r="AQ25" s="50" t="s">
        <v>61</v>
      </c>
      <c r="AR25" s="82"/>
      <c r="AS25" s="1"/>
      <c r="AT25" s="1"/>
      <c r="AU25" s="50" t="s">
        <v>61</v>
      </c>
      <c r="AV25" s="82"/>
      <c r="AW25" s="1"/>
      <c r="AX25" s="1"/>
      <c r="AY25" s="50" t="s">
        <v>61</v>
      </c>
      <c r="AZ25" s="82"/>
      <c r="BA25" s="1"/>
      <c r="BB25" s="1"/>
      <c r="BC25" s="50" t="s">
        <v>61</v>
      </c>
      <c r="BD25" s="82"/>
      <c r="BE25" s="1"/>
      <c r="BF25" s="1"/>
      <c r="BG25" s="50" t="s">
        <v>61</v>
      </c>
      <c r="BH25" s="82"/>
      <c r="BI25" s="1"/>
      <c r="BJ25" s="1"/>
      <c r="BK25" s="50" t="s">
        <v>61</v>
      </c>
      <c r="BL25" s="82"/>
      <c r="BM25" s="1"/>
      <c r="BN25" s="1"/>
      <c r="BO25" s="50" t="s">
        <v>61</v>
      </c>
      <c r="BP25" s="82"/>
      <c r="BQ25" s="1"/>
      <c r="BR25" s="1"/>
      <c r="BS25" s="50" t="s">
        <v>61</v>
      </c>
      <c r="BT25" s="82"/>
      <c r="BU25" s="1"/>
      <c r="BV25" s="1"/>
      <c r="BW25" s="50" t="s">
        <v>61</v>
      </c>
      <c r="BX25" s="82"/>
      <c r="BY25" s="1"/>
      <c r="BZ25" s="1"/>
      <c r="CA25" s="50" t="s">
        <v>61</v>
      </c>
      <c r="CB25" s="82"/>
      <c r="CC25" s="1"/>
      <c r="CD25" s="1"/>
      <c r="CE25" s="50" t="s">
        <v>61</v>
      </c>
      <c r="CF25" s="82"/>
      <c r="CG25" s="1"/>
      <c r="CH25" s="1"/>
      <c r="CI25" s="50" t="s">
        <v>61</v>
      </c>
      <c r="CJ25" s="82"/>
      <c r="CK25" s="1"/>
      <c r="CL25" s="1"/>
      <c r="CM25" s="50" t="s">
        <v>61</v>
      </c>
      <c r="CN25" s="82"/>
      <c r="CO25" s="1"/>
      <c r="CP25" s="1"/>
      <c r="CQ25" s="50" t="s">
        <v>61</v>
      </c>
      <c r="CR25" s="82"/>
      <c r="CS25" s="1"/>
      <c r="CT25" s="1"/>
      <c r="CU25" s="50" t="s">
        <v>61</v>
      </c>
      <c r="CV25" s="82"/>
      <c r="CW25" s="1"/>
      <c r="CX25" s="1"/>
      <c r="CY25" s="50" t="s">
        <v>61</v>
      </c>
      <c r="CZ25" s="82"/>
      <c r="DA25" s="1"/>
      <c r="DB25" s="1"/>
      <c r="DC25" s="50" t="s">
        <v>61</v>
      </c>
      <c r="DD25" s="82"/>
      <c r="DE25" s="1"/>
      <c r="DF25" s="1"/>
      <c r="DG25" s="50" t="s">
        <v>61</v>
      </c>
      <c r="DH25" s="82"/>
      <c r="DI25" s="1"/>
      <c r="DJ25" s="1"/>
      <c r="DK25" s="50" t="s">
        <v>61</v>
      </c>
      <c r="DL25" s="82"/>
      <c r="DM25" s="1"/>
      <c r="DN25" s="1"/>
      <c r="DO25" s="50" t="s">
        <v>61</v>
      </c>
      <c r="DP25" s="82"/>
      <c r="DQ25" s="1"/>
    </row>
    <row r="26" spans="2:121" hidden="1" outlineLevel="1" x14ac:dyDescent="0.2">
      <c r="C26" s="47"/>
      <c r="E26" s="1"/>
      <c r="F26" s="1"/>
      <c r="G26" s="47"/>
      <c r="I26" s="1"/>
      <c r="J26" s="1"/>
      <c r="K26" s="47"/>
      <c r="M26" s="1"/>
      <c r="N26" s="1"/>
      <c r="O26" s="47"/>
      <c r="Q26" s="1"/>
      <c r="R26" s="1"/>
      <c r="S26" s="47"/>
      <c r="U26" s="1"/>
      <c r="V26" s="1"/>
      <c r="W26" s="47"/>
      <c r="Y26" s="1"/>
      <c r="Z26" s="1"/>
      <c r="AA26" s="47"/>
      <c r="AC26" s="1"/>
      <c r="AD26" s="1"/>
      <c r="AE26" s="47"/>
      <c r="AG26" s="1"/>
      <c r="AH26" s="1"/>
      <c r="AI26" s="47"/>
      <c r="AK26" s="1"/>
      <c r="AL26" s="1"/>
      <c r="AM26" s="47"/>
      <c r="AO26" s="1"/>
      <c r="AP26" s="1"/>
      <c r="AQ26" s="47"/>
      <c r="AS26" s="1"/>
      <c r="AT26" s="1"/>
      <c r="AU26" s="47"/>
      <c r="AW26" s="1"/>
      <c r="AX26" s="1"/>
      <c r="AY26" s="47"/>
      <c r="BA26" s="1"/>
      <c r="BB26" s="1"/>
      <c r="BC26" s="47"/>
      <c r="BE26" s="1"/>
      <c r="BF26" s="1"/>
      <c r="BG26" s="47"/>
      <c r="BI26" s="1"/>
      <c r="BJ26" s="1"/>
      <c r="BK26" s="47"/>
      <c r="BM26" s="1"/>
      <c r="BN26" s="1"/>
      <c r="BO26" s="47"/>
      <c r="BQ26" s="1"/>
      <c r="BR26" s="1"/>
      <c r="BS26" s="47"/>
      <c r="BU26" s="1"/>
      <c r="BV26" s="1"/>
      <c r="BW26" s="47"/>
      <c r="BY26" s="1"/>
      <c r="BZ26" s="1"/>
      <c r="CA26" s="47"/>
      <c r="CC26" s="1"/>
      <c r="CD26" s="1"/>
      <c r="CE26" s="47"/>
      <c r="CG26" s="1"/>
      <c r="CH26" s="1"/>
      <c r="CI26" s="47"/>
      <c r="CK26" s="1"/>
      <c r="CL26" s="1"/>
      <c r="CM26" s="47"/>
      <c r="CO26" s="1"/>
      <c r="CP26" s="1"/>
      <c r="CQ26" s="47"/>
      <c r="CS26" s="1"/>
      <c r="CT26" s="1"/>
      <c r="CU26" s="47"/>
      <c r="CW26" s="1"/>
      <c r="CX26" s="1"/>
      <c r="CY26" s="47"/>
      <c r="DA26" s="1"/>
      <c r="DB26" s="1"/>
      <c r="DC26" s="47"/>
      <c r="DE26" s="1"/>
      <c r="DF26" s="1"/>
      <c r="DG26" s="47"/>
      <c r="DI26" s="1"/>
      <c r="DJ26" s="1"/>
      <c r="DK26" s="47"/>
      <c r="DM26" s="1"/>
      <c r="DN26" s="1"/>
      <c r="DO26" s="47"/>
      <c r="DQ26" s="1"/>
    </row>
    <row r="27" spans="2:121" hidden="1" outlineLevel="1" x14ac:dyDescent="0.2">
      <c r="C27" s="48" t="s">
        <v>63</v>
      </c>
      <c r="D27" s="12" t="s">
        <v>62</v>
      </c>
      <c r="E27" s="1"/>
      <c r="F27" s="1"/>
      <c r="G27" s="48" t="s">
        <v>63</v>
      </c>
      <c r="H27" s="12" t="s">
        <v>62</v>
      </c>
      <c r="I27" s="1"/>
      <c r="J27" s="1"/>
      <c r="K27" s="48" t="s">
        <v>63</v>
      </c>
      <c r="L27" s="12" t="s">
        <v>62</v>
      </c>
      <c r="M27" s="1"/>
      <c r="N27" s="1"/>
      <c r="O27" s="48" t="s">
        <v>63</v>
      </c>
      <c r="P27" s="12" t="s">
        <v>62</v>
      </c>
      <c r="Q27" s="1"/>
      <c r="R27" s="1"/>
      <c r="S27" s="48" t="s">
        <v>63</v>
      </c>
      <c r="T27" s="12" t="s">
        <v>62</v>
      </c>
      <c r="U27" s="1"/>
      <c r="V27" s="1"/>
      <c r="W27" s="48" t="s">
        <v>63</v>
      </c>
      <c r="X27" s="12" t="s">
        <v>62</v>
      </c>
      <c r="Y27" s="1"/>
      <c r="Z27" s="1"/>
      <c r="AA27" s="48" t="s">
        <v>63</v>
      </c>
      <c r="AB27" s="12" t="s">
        <v>62</v>
      </c>
      <c r="AC27" s="1"/>
      <c r="AD27" s="1"/>
      <c r="AE27" s="48" t="s">
        <v>63</v>
      </c>
      <c r="AF27" s="12" t="s">
        <v>62</v>
      </c>
      <c r="AG27" s="1"/>
      <c r="AH27" s="1"/>
      <c r="AI27" s="48" t="s">
        <v>63</v>
      </c>
      <c r="AJ27" s="12" t="s">
        <v>62</v>
      </c>
      <c r="AK27" s="1"/>
      <c r="AL27" s="1"/>
      <c r="AM27" s="48" t="s">
        <v>63</v>
      </c>
      <c r="AN27" s="12" t="s">
        <v>62</v>
      </c>
      <c r="AO27" s="1"/>
      <c r="AP27" s="1"/>
      <c r="AQ27" s="48" t="s">
        <v>63</v>
      </c>
      <c r="AR27" s="12" t="s">
        <v>62</v>
      </c>
      <c r="AS27" s="1"/>
      <c r="AT27" s="1"/>
      <c r="AU27" s="48" t="s">
        <v>63</v>
      </c>
      <c r="AV27" s="12" t="s">
        <v>62</v>
      </c>
      <c r="AW27" s="1"/>
      <c r="AX27" s="1"/>
      <c r="AY27" s="48" t="s">
        <v>63</v>
      </c>
      <c r="AZ27" s="12" t="s">
        <v>62</v>
      </c>
      <c r="BA27" s="1"/>
      <c r="BB27" s="1"/>
      <c r="BC27" s="48" t="s">
        <v>63</v>
      </c>
      <c r="BD27" s="12" t="s">
        <v>62</v>
      </c>
      <c r="BE27" s="1"/>
      <c r="BF27" s="1"/>
      <c r="BG27" s="48" t="s">
        <v>63</v>
      </c>
      <c r="BH27" s="12" t="s">
        <v>62</v>
      </c>
      <c r="BI27" s="1"/>
      <c r="BJ27" s="1"/>
      <c r="BK27" s="48" t="s">
        <v>63</v>
      </c>
      <c r="BL27" s="12" t="s">
        <v>62</v>
      </c>
      <c r="BM27" s="1"/>
      <c r="BN27" s="1"/>
      <c r="BO27" s="48" t="s">
        <v>63</v>
      </c>
      <c r="BP27" s="12" t="s">
        <v>62</v>
      </c>
      <c r="BQ27" s="1"/>
      <c r="BR27" s="1"/>
      <c r="BS27" s="48" t="s">
        <v>63</v>
      </c>
      <c r="BT27" s="12" t="s">
        <v>62</v>
      </c>
      <c r="BU27" s="1"/>
      <c r="BV27" s="1"/>
      <c r="BW27" s="48" t="s">
        <v>63</v>
      </c>
      <c r="BX27" s="12" t="s">
        <v>62</v>
      </c>
      <c r="BY27" s="1"/>
      <c r="BZ27" s="1"/>
      <c r="CA27" s="48" t="s">
        <v>63</v>
      </c>
      <c r="CB27" s="12" t="s">
        <v>62</v>
      </c>
      <c r="CC27" s="1"/>
      <c r="CD27" s="1"/>
      <c r="CE27" s="48" t="s">
        <v>63</v>
      </c>
      <c r="CF27" s="12" t="s">
        <v>62</v>
      </c>
      <c r="CG27" s="1"/>
      <c r="CH27" s="1"/>
      <c r="CI27" s="48" t="s">
        <v>63</v>
      </c>
      <c r="CJ27" s="12" t="s">
        <v>62</v>
      </c>
      <c r="CK27" s="1"/>
      <c r="CL27" s="1"/>
      <c r="CM27" s="48" t="s">
        <v>63</v>
      </c>
      <c r="CN27" s="12" t="s">
        <v>62</v>
      </c>
      <c r="CO27" s="1"/>
      <c r="CP27" s="1"/>
      <c r="CQ27" s="48" t="s">
        <v>63</v>
      </c>
      <c r="CR27" s="12" t="s">
        <v>62</v>
      </c>
      <c r="CS27" s="1"/>
      <c r="CT27" s="1"/>
      <c r="CU27" s="48" t="s">
        <v>63</v>
      </c>
      <c r="CV27" s="12" t="s">
        <v>62</v>
      </c>
      <c r="CW27" s="1"/>
      <c r="CX27" s="1"/>
      <c r="CY27" s="48" t="s">
        <v>63</v>
      </c>
      <c r="CZ27" s="12" t="s">
        <v>62</v>
      </c>
      <c r="DA27" s="1"/>
      <c r="DB27" s="1"/>
      <c r="DC27" s="48" t="s">
        <v>63</v>
      </c>
      <c r="DD27" s="12" t="s">
        <v>62</v>
      </c>
      <c r="DE27" s="1"/>
      <c r="DF27" s="1"/>
      <c r="DG27" s="48" t="s">
        <v>63</v>
      </c>
      <c r="DH27" s="12" t="s">
        <v>62</v>
      </c>
      <c r="DI27" s="1"/>
      <c r="DJ27" s="1"/>
      <c r="DK27" s="48" t="s">
        <v>63</v>
      </c>
      <c r="DL27" s="12" t="s">
        <v>62</v>
      </c>
      <c r="DM27" s="1"/>
      <c r="DN27" s="1"/>
      <c r="DO27" s="48" t="s">
        <v>63</v>
      </c>
      <c r="DP27" s="12" t="s">
        <v>62</v>
      </c>
      <c r="DQ27" s="1"/>
    </row>
    <row r="28" spans="2:121" hidden="1" outlineLevel="1" x14ac:dyDescent="0.2">
      <c r="C28" s="50" t="s">
        <v>7</v>
      </c>
      <c r="D28" s="14" t="s">
        <v>62</v>
      </c>
      <c r="E28" s="1"/>
      <c r="F28" s="1"/>
      <c r="G28" s="49" t="s">
        <v>7</v>
      </c>
      <c r="H28" s="13" t="s">
        <v>62</v>
      </c>
      <c r="I28" s="1"/>
      <c r="J28" s="1"/>
      <c r="K28" s="49" t="s">
        <v>7</v>
      </c>
      <c r="L28" s="13" t="s">
        <v>62</v>
      </c>
      <c r="M28" s="1"/>
      <c r="N28" s="1"/>
      <c r="O28" s="49" t="s">
        <v>7</v>
      </c>
      <c r="P28" s="13" t="s">
        <v>62</v>
      </c>
      <c r="Q28" s="1"/>
      <c r="R28" s="1"/>
      <c r="S28" s="49" t="s">
        <v>7</v>
      </c>
      <c r="T28" s="13" t="s">
        <v>62</v>
      </c>
      <c r="U28" s="1"/>
      <c r="V28" s="1"/>
      <c r="W28" s="49" t="s">
        <v>7</v>
      </c>
      <c r="X28" s="13" t="s">
        <v>62</v>
      </c>
      <c r="Y28" s="1"/>
      <c r="Z28" s="1"/>
      <c r="AA28" s="49" t="s">
        <v>7</v>
      </c>
      <c r="AB28" s="13" t="s">
        <v>62</v>
      </c>
      <c r="AC28" s="1"/>
      <c r="AD28" s="1"/>
      <c r="AE28" s="49" t="s">
        <v>7</v>
      </c>
      <c r="AF28" s="13" t="s">
        <v>62</v>
      </c>
      <c r="AG28" s="1"/>
      <c r="AH28" s="1"/>
      <c r="AI28" s="49" t="s">
        <v>7</v>
      </c>
      <c r="AJ28" s="13" t="s">
        <v>62</v>
      </c>
      <c r="AK28" s="1"/>
      <c r="AL28" s="1"/>
      <c r="AM28" s="49" t="s">
        <v>7</v>
      </c>
      <c r="AN28" s="13" t="s">
        <v>62</v>
      </c>
      <c r="AO28" s="1"/>
      <c r="AP28" s="1"/>
      <c r="AQ28" s="49" t="s">
        <v>7</v>
      </c>
      <c r="AR28" s="13" t="s">
        <v>62</v>
      </c>
      <c r="AS28" s="1"/>
      <c r="AT28" s="1"/>
      <c r="AU28" s="49" t="s">
        <v>7</v>
      </c>
      <c r="AV28" s="13" t="s">
        <v>62</v>
      </c>
      <c r="AW28" s="1"/>
      <c r="AX28" s="1"/>
      <c r="AY28" s="49" t="s">
        <v>7</v>
      </c>
      <c r="AZ28" s="13" t="s">
        <v>62</v>
      </c>
      <c r="BA28" s="1"/>
      <c r="BB28" s="1"/>
      <c r="BC28" s="49" t="s">
        <v>7</v>
      </c>
      <c r="BD28" s="13" t="s">
        <v>62</v>
      </c>
      <c r="BE28" s="1"/>
      <c r="BF28" s="1"/>
      <c r="BG28" s="49" t="s">
        <v>7</v>
      </c>
      <c r="BH28" s="13" t="s">
        <v>62</v>
      </c>
      <c r="BI28" s="1"/>
      <c r="BJ28" s="1"/>
      <c r="BK28" s="49" t="s">
        <v>7</v>
      </c>
      <c r="BL28" s="13" t="s">
        <v>62</v>
      </c>
      <c r="BM28" s="1"/>
      <c r="BN28" s="1"/>
      <c r="BO28" s="49" t="s">
        <v>7</v>
      </c>
      <c r="BP28" s="13" t="s">
        <v>62</v>
      </c>
      <c r="BQ28" s="1"/>
      <c r="BR28" s="1"/>
      <c r="BS28" s="49" t="s">
        <v>7</v>
      </c>
      <c r="BT28" s="13" t="s">
        <v>62</v>
      </c>
      <c r="BU28" s="1"/>
      <c r="BV28" s="1"/>
      <c r="BW28" s="49" t="s">
        <v>7</v>
      </c>
      <c r="BX28" s="13" t="s">
        <v>62</v>
      </c>
      <c r="BY28" s="1"/>
      <c r="BZ28" s="1"/>
      <c r="CA28" s="49" t="s">
        <v>7</v>
      </c>
      <c r="CB28" s="13" t="s">
        <v>62</v>
      </c>
      <c r="CC28" s="1"/>
      <c r="CD28" s="1"/>
      <c r="CE28" s="49" t="s">
        <v>7</v>
      </c>
      <c r="CF28" s="13" t="s">
        <v>62</v>
      </c>
      <c r="CG28" s="1"/>
      <c r="CH28" s="1"/>
      <c r="CI28" s="49" t="s">
        <v>7</v>
      </c>
      <c r="CJ28" s="13" t="s">
        <v>62</v>
      </c>
      <c r="CK28" s="1"/>
      <c r="CL28" s="1"/>
      <c r="CM28" s="49" t="s">
        <v>7</v>
      </c>
      <c r="CN28" s="13" t="s">
        <v>62</v>
      </c>
      <c r="CO28" s="1"/>
      <c r="CP28" s="1"/>
      <c r="CQ28" s="49" t="s">
        <v>7</v>
      </c>
      <c r="CR28" s="13" t="s">
        <v>62</v>
      </c>
      <c r="CS28" s="1"/>
      <c r="CT28" s="1"/>
      <c r="CU28" s="49" t="s">
        <v>7</v>
      </c>
      <c r="CV28" s="13" t="s">
        <v>62</v>
      </c>
      <c r="CW28" s="1"/>
      <c r="CX28" s="1"/>
      <c r="CY28" s="49" t="s">
        <v>7</v>
      </c>
      <c r="CZ28" s="13" t="s">
        <v>62</v>
      </c>
      <c r="DA28" s="1"/>
      <c r="DB28" s="1"/>
      <c r="DC28" s="49" t="s">
        <v>7</v>
      </c>
      <c r="DD28" s="13" t="s">
        <v>62</v>
      </c>
      <c r="DE28" s="1"/>
      <c r="DF28" s="1"/>
      <c r="DG28" s="49" t="s">
        <v>7</v>
      </c>
      <c r="DH28" s="13" t="s">
        <v>62</v>
      </c>
      <c r="DI28" s="1"/>
      <c r="DJ28" s="1"/>
      <c r="DK28" s="49" t="s">
        <v>7</v>
      </c>
      <c r="DL28" s="13" t="s">
        <v>62</v>
      </c>
      <c r="DM28" s="1"/>
      <c r="DN28" s="1"/>
      <c r="DO28" s="49" t="s">
        <v>7</v>
      </c>
      <c r="DP28" s="13" t="s">
        <v>62</v>
      </c>
      <c r="DQ28" s="1"/>
    </row>
    <row r="29" spans="2:121" collapsed="1" x14ac:dyDescent="0.2">
      <c r="C29" s="103" t="s">
        <v>70</v>
      </c>
      <c r="D29" s="104" t="e">
        <f>_xll.qlAbcdCalibration(,$A$52:$A$68,C52:C68,D5,D6,D7,D8,E5,E6,E7,E8,,IF(D28="Customized",D10,""),IF(D27="Simplex",D18,IF(D27="Default","",D21)),,Trigger)</f>
        <v>#NUM!</v>
      </c>
      <c r="E29" s="1"/>
      <c r="G29" s="103" t="s">
        <v>70</v>
      </c>
      <c r="H29" s="104" t="e">
        <f>_xll.qlAbcdCalibration(,$A$52:$A$68,G52:G68,H5,H6,H7,H8,I5,I6,I7,I8,,IF(H28="Customized",H10,""),IF(H27="Simplex",H18,IF(H27="Default","",H21)),,Trigger)</f>
        <v>#NUM!</v>
      </c>
      <c r="I29" s="1"/>
      <c r="K29" s="103" t="s">
        <v>70</v>
      </c>
      <c r="L29" s="104" t="e">
        <f>_xll.qlAbcdCalibration(,$A$52:$A$68,K52:K68,L5,L6,L7,L8,M5,M6,M7,M8,,IF(L28="Customized",L10,""),IF(L27="Simplex",L18,IF(L27="Default","",L21)),,Trigger)</f>
        <v>#NUM!</v>
      </c>
      <c r="M29" s="1"/>
      <c r="O29" s="103" t="s">
        <v>70</v>
      </c>
      <c r="P29" s="104" t="e">
        <f>_xll.qlAbcdCalibration(,$A$52:$A$68,O52:O68,P5,P6,P7,P8,Q5,Q6,Q7,Q8,,IF(P28="Customized",P10,""),IF(P27="Simplex",P18,IF(P27="Default","",P21)),,Trigger)</f>
        <v>#NUM!</v>
      </c>
      <c r="Q29" s="1"/>
      <c r="S29" s="103" t="s">
        <v>70</v>
      </c>
      <c r="T29" s="104" t="e">
        <f>_xll.qlAbcdCalibration(,$A$52:$A$68,S52:S68,T5,T6,T7,T8,U5,U6,U7,U8,,IF(T28="Customized",T10,""),IF(T27="Simplex",T18,IF(T27="Default","",T21)),,Trigger)</f>
        <v>#NUM!</v>
      </c>
      <c r="U29" s="1"/>
      <c r="W29" s="103" t="s">
        <v>70</v>
      </c>
      <c r="X29" s="104" t="e">
        <f>_xll.qlAbcdCalibration(,$A$52:$A$68,W52:W68,X5,X6,X7,X8,Y5,Y6,Y7,Y8,,IF(X28="Customized",X10,""),IF(X27="Simplex",X18,IF(X27="Default","",X21)),,Trigger)</f>
        <v>#NUM!</v>
      </c>
      <c r="Y29" s="1"/>
      <c r="AA29" s="103" t="s">
        <v>70</v>
      </c>
      <c r="AB29" s="104" t="e">
        <f>_xll.qlAbcdCalibration(,$A$52:$A$68,AA52:AA68,AB5,AB6,AB7,AB8,AC5,AC6,AC7,AC8,,IF(AB28="Customized",AB10,""),IF(AB27="Simplex",AB18,IF(AB27="Default","",AB21)),,Trigger)</f>
        <v>#NUM!</v>
      </c>
      <c r="AC29" s="1"/>
      <c r="AE29" s="103" t="s">
        <v>70</v>
      </c>
      <c r="AF29" s="104" t="e">
        <f>_xll.qlAbcdCalibration(,$A$52:$A$68,AE52:AE68,AF5,AF6,AF7,AF8,AG5,AG6,AG7,AG8,,IF(AF28="Customized",AF10,""),IF(AF27="Simplex",AF18,IF(AF27="Default","",AF21)),,Trigger)</f>
        <v>#NUM!</v>
      </c>
      <c r="AG29" s="1"/>
      <c r="AI29" s="103" t="s">
        <v>70</v>
      </c>
      <c r="AJ29" s="104" t="e">
        <f>_xll.qlAbcdCalibration(,$A$52:$A$68,AI52:AI68,AJ5,AJ6,AJ7,AJ8,AK5,AK6,AK7,AK8,,IF(AJ28="Customized",AJ10,""),IF(AJ27="Simplex",AJ18,IF(AJ27="Default","",AJ21)),,Trigger)</f>
        <v>#NUM!</v>
      </c>
      <c r="AK29" s="1"/>
      <c r="AM29" s="103" t="s">
        <v>70</v>
      </c>
      <c r="AN29" s="104" t="e">
        <f>_xll.qlAbcdCalibration(,$A$52:$A$68,AM52:AM68,AN5,AN6,AN7,AN8,AO5,AO6,AO7,AO8,,IF(AN28="Customized",AN10,""),IF(AN27="Simplex",AN18,IF(AN27="Default","",AN21)),,Trigger)</f>
        <v>#NUM!</v>
      </c>
      <c r="AO29" s="1"/>
      <c r="AP29" s="1"/>
      <c r="AQ29" s="103" t="s">
        <v>70</v>
      </c>
      <c r="AR29" s="104" t="e">
        <f>_xll.qlAbcdCalibration(,$A$52:$A$68,AQ52:AQ68,AR5,AR6,AR7,AR8,AS5,AS6,AS7,AS8,,IF(AR28="Customized",AR10,""),IF(AR27="Simplex",AR18,IF(AR27="Default","",AR21)),,Trigger)</f>
        <v>#NUM!</v>
      </c>
      <c r="AS29" s="1"/>
      <c r="AU29" s="103" t="s">
        <v>70</v>
      </c>
      <c r="AV29" s="104" t="e">
        <f>_xll.qlAbcdCalibration(,$A$52:$A$68,AU52:AU68,AV5,AV6,AV7,AV8,AW5,AW6,AW7,AW8,,IF(AV28="Customized",AV10,""),IF(AV27="Simplex",AV18,IF(AV27="Default","",AV21)),,Trigger)</f>
        <v>#NUM!</v>
      </c>
      <c r="AW29" s="1"/>
      <c r="AX29" s="1"/>
      <c r="AY29" s="103" t="s">
        <v>70</v>
      </c>
      <c r="AZ29" s="104" t="e">
        <f>_xll.qlAbcdCalibration(,$A$52:$A$68,AY52:AY68,AZ5,AZ6,AZ7,AZ8,BA5,BA6,BA7,BA8,,IF(AZ28="Customized",AZ10,""),IF(AZ27="Simplex",AZ18,IF(AZ27="Default","",AZ21)),,Trigger)</f>
        <v>#NUM!</v>
      </c>
      <c r="BA29" s="1"/>
      <c r="BB29" s="1"/>
      <c r="BC29" s="103" t="s">
        <v>70</v>
      </c>
      <c r="BD29" s="104" t="e">
        <f>_xll.qlAbcdCalibration(,$A$52:$A$68,BC52:BC68,BD5,BD6,BD7,BD8,BE5,BE6,BE7,BE8,,IF(BD28="Customized",BD10,""),IF(BD27="Simplex",BD18,IF(BD27="Default","",BD21)),,Trigger)</f>
        <v>#NUM!</v>
      </c>
      <c r="BE29" s="1"/>
      <c r="BG29" s="103" t="s">
        <v>70</v>
      </c>
      <c r="BH29" s="104" t="e">
        <f>_xll.qlAbcdCalibration(,$A$52:$A$68,BG52:BG68,BH5,BH6,BH7,BH8,BI5,BI6,BI7,BI8,,IF(BH28="Customized",BH10,""),IF(BH27="Simplex",BH18,IF(BH27="Default","",BH21)),,Trigger)</f>
        <v>#NUM!</v>
      </c>
      <c r="BI29" s="1"/>
      <c r="BJ29" s="1"/>
      <c r="BK29" s="103" t="s">
        <v>70</v>
      </c>
      <c r="BL29" s="104" t="e">
        <f>_xll.qlAbcdCalibration(,$A$52:$A$68,BK52:BK68,BL5,BL6,BL7,BL8,BM5,BM6,BM7,BM8,,IF(BL28="Customized",BL10,""),IF(BL27="Simplex",BL18,IF(BL27="Default","",BL21)),,Trigger)</f>
        <v>#NUM!</v>
      </c>
      <c r="BM29" s="1"/>
      <c r="BN29" s="1"/>
      <c r="BO29" s="103" t="s">
        <v>70</v>
      </c>
      <c r="BP29" s="104" t="e">
        <f>_xll.qlAbcdCalibration(,$A$52:$A$68,BO52:BO68,BP5,BP6,BP7,BP8,BQ5,BQ6,BQ7,BQ8,,IF(BP28="Customized",BP10,""),IF(BP27="Simplex",BP18,IF(BP27="Default","",BP21)),,Trigger)</f>
        <v>#NUM!</v>
      </c>
      <c r="BQ29" s="1"/>
      <c r="BR29" s="1"/>
      <c r="BS29" s="103" t="s">
        <v>70</v>
      </c>
      <c r="BT29" s="104" t="e">
        <f>_xll.qlAbcdCalibration(,$A$52:$A$68,BS52:BS68,BT5,BT6,BT7,BT8,BU5,BU6,BU7,BU8,,IF(BT28="Customized",BT10,""),IF(BT27="Simplex",BT18,IF(BT27="Default","",BT21)),,Trigger)</f>
        <v>#NUM!</v>
      </c>
      <c r="BU29" s="1"/>
      <c r="BV29" s="1"/>
      <c r="BW29" s="103" t="s">
        <v>70</v>
      </c>
      <c r="BX29" s="104" t="e">
        <f>_xll.qlAbcdCalibration(,$A$52:$A$68,BW52:BW68,BX5,BX6,BX7,BX8,BY5,BY6,BY7,BY8,,IF(BX28="Customized",BX10,""),IF(BX27="Simplex",BX18,IF(BX27="Default","",BX21)),,Trigger)</f>
        <v>#NUM!</v>
      </c>
      <c r="BY29" s="1"/>
      <c r="CA29" s="103" t="s">
        <v>70</v>
      </c>
      <c r="CB29" s="104" t="e">
        <f>_xll.qlAbcdCalibration(,$A$52:$A$68,CA52:CA68,CB5,CB6,CB7,CB8,CC5,CC6,CC7,CC8,,IF(CB28="Customized",CB10,""),IF(CB27="Simplex",CB18,IF(CB27="Default","",CB21)),,Trigger)</f>
        <v>#NUM!</v>
      </c>
      <c r="CC29" s="1"/>
      <c r="CD29" s="1"/>
      <c r="CE29" s="103" t="s">
        <v>70</v>
      </c>
      <c r="CF29" s="104" t="e">
        <f>_xll.qlAbcdCalibration(,$A$52:$A$68,CE52:CE68,CF5,CF6,CF7,CF8,CG5,CG6,CG7,CG8,,IF(CF28="Customized",CF10,""),IF(CF27="Simplex",CF18,IF(CF27="Default","",CF21)),,Trigger)</f>
        <v>#NUM!</v>
      </c>
      <c r="CG29" s="1"/>
      <c r="CH29" s="1"/>
      <c r="CI29" s="103" t="s">
        <v>70</v>
      </c>
      <c r="CJ29" s="104" t="e">
        <f>_xll.qlAbcdCalibration(,$A$52:$A$68,CI52:CI68,CJ5,CJ6,CJ7,CJ8,CK5,CK6,CK7,CK8,,IF(CJ28="Customized",CJ10,""),IF(CJ27="Simplex",CJ18,IF(CJ27="Default","",CJ21)),,Trigger)</f>
        <v>#NUM!</v>
      </c>
      <c r="CK29" s="1"/>
      <c r="CL29" s="1"/>
      <c r="CM29" s="103" t="s">
        <v>70</v>
      </c>
      <c r="CN29" s="104" t="e">
        <f>_xll.qlAbcdCalibration(,$A$52:$A$68,CM52:CM68,CN5,CN6,CN7,CN8,CO5,CO6,CO7,CO8,,IF(CN28="Customized",CN10,""),IF(CN27="Simplex",CN18,IF(CN27="Default","",CN21)),,Trigger)</f>
        <v>#NUM!</v>
      </c>
      <c r="CO29" s="1"/>
      <c r="CP29" s="1"/>
      <c r="CQ29" s="103" t="s">
        <v>70</v>
      </c>
      <c r="CR29" s="104" t="e">
        <f>_xll.qlAbcdCalibration(,$A$52:$A$68,CQ52:CQ68,CR5,CR6,CR7,CR8,CS5,CS6,CS7,CS8,,IF(CR28="Customized",CR10,""),IF(CR27="Simplex",CR18,IF(CR27="Default","",CR21)),,Trigger)</f>
        <v>#NUM!</v>
      </c>
      <c r="CS29" s="1"/>
      <c r="CU29" s="103" t="s">
        <v>70</v>
      </c>
      <c r="CV29" s="104" t="e">
        <f>_xll.qlAbcdCalibration(,$A$52:$A$68,CU52:CU68,CV5,CV6,CV7,CV8,CW5,CW6,CW7,CW8,,IF(CV28="Customized",CV10,""),IF(CV27="Simplex",CV18,IF(CV27="Default","",CV21)),,Trigger)</f>
        <v>#NUM!</v>
      </c>
      <c r="CW29" s="1"/>
      <c r="CX29" s="1"/>
      <c r="CY29" s="103" t="s">
        <v>70</v>
      </c>
      <c r="CZ29" s="104" t="e">
        <f>_xll.qlAbcdCalibration(,$A$52:$A$68,CY52:CY68,CZ5,CZ6,CZ7,CZ8,DA5,DA6,DA7,DA8,,IF(CZ28="Customized",CZ10,""),IF(CZ27="Simplex",CZ18,IF(CZ27="Default","",CZ21)),,Trigger)</f>
        <v>#NUM!</v>
      </c>
      <c r="DA29" s="1"/>
      <c r="DB29" s="1"/>
      <c r="DC29" s="103" t="s">
        <v>70</v>
      </c>
      <c r="DD29" s="104" t="e">
        <f>_xll.qlAbcdCalibration(,$A$52:$A$68,DC52:DC68,DD5,DD6,DD7,DD8,DE5,DE6,DE7,DE8,,IF(DD28="Customized",DD10,""),IF(DD27="Simplex",DD18,IF(DD27="Default","",DD21)),,Trigger)</f>
        <v>#NUM!</v>
      </c>
      <c r="DE29" s="1"/>
      <c r="DF29" s="1"/>
      <c r="DG29" s="103" t="s">
        <v>70</v>
      </c>
      <c r="DH29" s="104" t="e">
        <f>_xll.qlAbcdCalibration(,$A$52:$A$68,DG52:DG68,DH5,DH6,DH7,DH8,DI5,DI6,DI7,DI8,,IF(DH28="Customized",DH10,""),IF(DH27="Simplex",DH18,IF(DH27="Default","",DH21)),,Trigger)</f>
        <v>#NUM!</v>
      </c>
      <c r="DI29" s="1"/>
      <c r="DJ29" s="1"/>
      <c r="DK29" s="103" t="s">
        <v>70</v>
      </c>
      <c r="DL29" s="104" t="e">
        <f>_xll.qlAbcdCalibration(,$A$52:$A$68,DK52:DK68,DL5,DL6,DL7,DL8,DM5,DM6,DM7,DM8,,IF(DL28="Customized",DL10,""),IF(DL27="Simplex",DL18,IF(DL27="Default","",DL21)),,Trigger)</f>
        <v>#NUM!</v>
      </c>
      <c r="DM29" s="1"/>
      <c r="DO29" s="103" t="s">
        <v>70</v>
      </c>
      <c r="DP29" s="104" t="e">
        <f>_xll.qlAbcdCalibration(,$A$52:$A$68,DO52:DO68,DP5,DP6,DP7,DP8,DQ5,DQ6,DQ7,DQ8,,IF(DP28="Customized",DP10,""),IF(DP27="Simplex",DP18,IF(DP27="Default","",DP21)),,Trigger)</f>
        <v>#NUM!</v>
      </c>
      <c r="DQ29" s="1"/>
    </row>
    <row r="30" spans="2:121" x14ac:dyDescent="0.2">
      <c r="B30" s="97"/>
      <c r="C30" s="48" t="s">
        <v>71</v>
      </c>
      <c r="D30" s="12" t="b">
        <v>1</v>
      </c>
      <c r="E30" s="1"/>
      <c r="F30" s="1"/>
      <c r="G30" s="48" t="s">
        <v>71</v>
      </c>
      <c r="H30" s="12" t="b">
        <v>1</v>
      </c>
      <c r="I30" s="1"/>
      <c r="J30" s="1"/>
      <c r="K30" s="48" t="s">
        <v>71</v>
      </c>
      <c r="L30" s="12" t="b">
        <v>1</v>
      </c>
      <c r="M30" s="1"/>
      <c r="N30" s="1"/>
      <c r="O30" s="48" t="s">
        <v>71</v>
      </c>
      <c r="P30" s="12" t="b">
        <v>1</v>
      </c>
      <c r="Q30" s="1"/>
      <c r="R30" s="1"/>
      <c r="S30" s="48" t="s">
        <v>71</v>
      </c>
      <c r="T30" s="12" t="b">
        <v>1</v>
      </c>
      <c r="U30" s="1"/>
      <c r="V30" s="1"/>
      <c r="W30" s="48" t="s">
        <v>71</v>
      </c>
      <c r="X30" s="12" t="b">
        <v>1</v>
      </c>
      <c r="Y30" s="1"/>
      <c r="Z30" s="1"/>
      <c r="AA30" s="48" t="s">
        <v>71</v>
      </c>
      <c r="AB30" s="12" t="b">
        <v>1</v>
      </c>
      <c r="AC30" s="1"/>
      <c r="AD30" s="1"/>
      <c r="AE30" s="48" t="s">
        <v>71</v>
      </c>
      <c r="AF30" s="12" t="b">
        <v>1</v>
      </c>
      <c r="AG30" s="1"/>
      <c r="AH30" s="1"/>
      <c r="AI30" s="48" t="s">
        <v>71</v>
      </c>
      <c r="AJ30" s="12" t="b">
        <v>1</v>
      </c>
      <c r="AK30" s="1"/>
      <c r="AL30" s="1"/>
      <c r="AM30" s="48" t="s">
        <v>71</v>
      </c>
      <c r="AN30" s="12" t="b">
        <v>1</v>
      </c>
      <c r="AO30" s="1"/>
      <c r="AP30" s="1"/>
      <c r="AQ30" s="48" t="s">
        <v>71</v>
      </c>
      <c r="AR30" s="12" t="b">
        <v>1</v>
      </c>
      <c r="AS30" s="1"/>
      <c r="AT30" s="1"/>
      <c r="AU30" s="48" t="s">
        <v>71</v>
      </c>
      <c r="AV30" s="12" t="b">
        <v>1</v>
      </c>
      <c r="AW30" s="1"/>
      <c r="AX30" s="1"/>
      <c r="AY30" s="48" t="s">
        <v>71</v>
      </c>
      <c r="AZ30" s="12" t="b">
        <v>1</v>
      </c>
      <c r="BA30" s="1"/>
      <c r="BB30" s="1"/>
      <c r="BC30" s="48" t="s">
        <v>71</v>
      </c>
      <c r="BD30" s="12" t="b">
        <v>1</v>
      </c>
      <c r="BE30" s="1"/>
      <c r="BF30" s="1"/>
      <c r="BG30" s="48" t="s">
        <v>71</v>
      </c>
      <c r="BH30" s="12" t="b">
        <v>1</v>
      </c>
      <c r="BI30" s="1"/>
      <c r="BJ30" s="1"/>
      <c r="BK30" s="48" t="s">
        <v>71</v>
      </c>
      <c r="BL30" s="12" t="b">
        <v>1</v>
      </c>
      <c r="BM30" s="1"/>
      <c r="BN30" s="1"/>
      <c r="BO30" s="48" t="s">
        <v>71</v>
      </c>
      <c r="BP30" s="12" t="b">
        <v>1</v>
      </c>
      <c r="BQ30" s="1"/>
      <c r="BR30" s="1"/>
      <c r="BS30" s="48" t="s">
        <v>71</v>
      </c>
      <c r="BT30" s="12" t="b">
        <v>1</v>
      </c>
      <c r="BU30" s="1"/>
      <c r="BV30" s="1"/>
      <c r="BW30" s="48" t="s">
        <v>71</v>
      </c>
      <c r="BX30" s="12" t="b">
        <v>1</v>
      </c>
      <c r="BY30" s="1"/>
      <c r="BZ30" s="1"/>
      <c r="CA30" s="48" t="s">
        <v>71</v>
      </c>
      <c r="CB30" s="12" t="b">
        <v>1</v>
      </c>
      <c r="CC30" s="1"/>
      <c r="CD30" s="1"/>
      <c r="CE30" s="48" t="s">
        <v>71</v>
      </c>
      <c r="CF30" s="12" t="b">
        <v>1</v>
      </c>
      <c r="CG30" s="1"/>
      <c r="CH30" s="1"/>
      <c r="CI30" s="48" t="s">
        <v>71</v>
      </c>
      <c r="CJ30" s="12" t="b">
        <v>1</v>
      </c>
      <c r="CK30" s="1"/>
      <c r="CL30" s="1"/>
      <c r="CM30" s="48" t="s">
        <v>71</v>
      </c>
      <c r="CN30" s="12" t="b">
        <v>1</v>
      </c>
      <c r="CO30" s="1"/>
      <c r="CP30" s="1"/>
      <c r="CQ30" s="48" t="s">
        <v>71</v>
      </c>
      <c r="CR30" s="12" t="b">
        <v>1</v>
      </c>
      <c r="CS30" s="1"/>
      <c r="CT30" s="1"/>
      <c r="CU30" s="48" t="s">
        <v>71</v>
      </c>
      <c r="CV30" s="12" t="b">
        <v>1</v>
      </c>
      <c r="CW30" s="1"/>
      <c r="CX30" s="1"/>
      <c r="CY30" s="48" t="s">
        <v>71</v>
      </c>
      <c r="CZ30" s="12" t="b">
        <v>1</v>
      </c>
      <c r="DA30" s="1"/>
      <c r="DB30" s="1"/>
      <c r="DC30" s="48" t="s">
        <v>71</v>
      </c>
      <c r="DD30" s="12" t="b">
        <v>1</v>
      </c>
      <c r="DE30" s="1"/>
      <c r="DF30" s="1"/>
      <c r="DG30" s="48" t="s">
        <v>71</v>
      </c>
      <c r="DH30" s="12" t="b">
        <v>1</v>
      </c>
      <c r="DI30" s="1"/>
      <c r="DJ30" s="1"/>
      <c r="DK30" s="48" t="s">
        <v>71</v>
      </c>
      <c r="DL30" s="12" t="b">
        <v>1</v>
      </c>
      <c r="DM30" s="1"/>
      <c r="DN30" s="1"/>
      <c r="DO30" s="48" t="s">
        <v>71</v>
      </c>
      <c r="DP30" s="12" t="b">
        <v>1</v>
      </c>
      <c r="DQ30" s="1"/>
    </row>
    <row r="31" spans="2:121" x14ac:dyDescent="0.2">
      <c r="B31" s="97"/>
      <c r="C31" s="49" t="s">
        <v>72</v>
      </c>
      <c r="D31" s="96" t="e">
        <f>IF(D30,_xll.qlAbcdCalibrationCompute(D$29,D29),"---")</f>
        <v>#VALUE!</v>
      </c>
      <c r="E31" s="1"/>
      <c r="F31" s="1"/>
      <c r="G31" s="49" t="s">
        <v>72</v>
      </c>
      <c r="H31" s="96" t="e">
        <f>IF(H30,_xll.qlAbcdCalibrationCompute(H$29,H29),"---")</f>
        <v>#VALUE!</v>
      </c>
      <c r="I31" s="1"/>
      <c r="J31" s="1"/>
      <c r="K31" s="49" t="s">
        <v>72</v>
      </c>
      <c r="L31" s="96" t="e">
        <f>IF(L30,_xll.qlAbcdCalibrationCompute(L$29,L29),"---")</f>
        <v>#VALUE!</v>
      </c>
      <c r="M31" s="1"/>
      <c r="N31" s="1"/>
      <c r="O31" s="49" t="s">
        <v>72</v>
      </c>
      <c r="P31" s="96" t="e">
        <f>IF(P30,_xll.qlAbcdCalibrationCompute(P$29,P29),"---")</f>
        <v>#VALUE!</v>
      </c>
      <c r="Q31" s="1"/>
      <c r="R31" s="1"/>
      <c r="S31" s="49" t="s">
        <v>72</v>
      </c>
      <c r="T31" s="96" t="e">
        <f>IF(T30,_xll.qlAbcdCalibrationCompute(T$29,T29),"---")</f>
        <v>#VALUE!</v>
      </c>
      <c r="U31" s="1"/>
      <c r="V31" s="1"/>
      <c r="W31" s="49" t="s">
        <v>72</v>
      </c>
      <c r="X31" s="96" t="e">
        <f>IF(X30,_xll.qlAbcdCalibrationCompute(X$29,X29),"---")</f>
        <v>#VALUE!</v>
      </c>
      <c r="Y31" s="1"/>
      <c r="Z31" s="1"/>
      <c r="AA31" s="49" t="s">
        <v>72</v>
      </c>
      <c r="AB31" s="96" t="e">
        <f>IF(AB30,_xll.qlAbcdCalibrationCompute(AB$29,AB29),"---")</f>
        <v>#VALUE!</v>
      </c>
      <c r="AC31" s="1"/>
      <c r="AD31" s="1"/>
      <c r="AE31" s="49" t="s">
        <v>72</v>
      </c>
      <c r="AF31" s="96" t="e">
        <f>IF(AF30,_xll.qlAbcdCalibrationCompute(AF$29,AF29),"---")</f>
        <v>#VALUE!</v>
      </c>
      <c r="AG31" s="1"/>
      <c r="AH31" s="1"/>
      <c r="AI31" s="49" t="s">
        <v>72</v>
      </c>
      <c r="AJ31" s="96" t="e">
        <f>IF(AJ30,_xll.qlAbcdCalibrationCompute(AJ$29,AJ29),"---")</f>
        <v>#VALUE!</v>
      </c>
      <c r="AK31" s="1"/>
      <c r="AL31" s="1"/>
      <c r="AM31" s="49" t="s">
        <v>72</v>
      </c>
      <c r="AN31" s="96" t="e">
        <f>IF(AN30,_xll.qlAbcdCalibrationCompute(AN$29,AN29),"---")</f>
        <v>#VALUE!</v>
      </c>
      <c r="AO31" s="1"/>
      <c r="AP31" s="1"/>
      <c r="AQ31" s="49" t="s">
        <v>72</v>
      </c>
      <c r="AR31" s="96" t="e">
        <f>IF(AR30,_xll.qlAbcdCalibrationCompute(AR$29,AR29),"---")</f>
        <v>#VALUE!</v>
      </c>
      <c r="AS31" s="1"/>
      <c r="AT31" s="1"/>
      <c r="AU31" s="49" t="s">
        <v>72</v>
      </c>
      <c r="AV31" s="96" t="e">
        <f>IF(AV30,_xll.qlAbcdCalibrationCompute(AV$29,AV29),"---")</f>
        <v>#VALUE!</v>
      </c>
      <c r="AW31" s="1"/>
      <c r="AX31" s="1"/>
      <c r="AY31" s="49" t="s">
        <v>72</v>
      </c>
      <c r="AZ31" s="96" t="e">
        <f>IF(AZ30,_xll.qlAbcdCalibrationCompute(AZ$29,AZ29),"---")</f>
        <v>#VALUE!</v>
      </c>
      <c r="BA31" s="1"/>
      <c r="BB31" s="1"/>
      <c r="BC31" s="49" t="s">
        <v>72</v>
      </c>
      <c r="BD31" s="96" t="e">
        <f>IF(BD30,_xll.qlAbcdCalibrationCompute(BD$29,BD29),"---")</f>
        <v>#VALUE!</v>
      </c>
      <c r="BE31" s="1"/>
      <c r="BF31" s="1"/>
      <c r="BG31" s="49" t="s">
        <v>72</v>
      </c>
      <c r="BH31" s="96" t="e">
        <f>IF(BH30,_xll.qlAbcdCalibrationCompute(BH$29,BH29),"---")</f>
        <v>#VALUE!</v>
      </c>
      <c r="BI31" s="1"/>
      <c r="BJ31" s="1"/>
      <c r="BK31" s="49" t="s">
        <v>72</v>
      </c>
      <c r="BL31" s="96" t="e">
        <f>IF(BL30,_xll.qlAbcdCalibrationCompute(BL$29,BL29),"---")</f>
        <v>#VALUE!</v>
      </c>
      <c r="BM31" s="1"/>
      <c r="BN31" s="1"/>
      <c r="BO31" s="49" t="s">
        <v>72</v>
      </c>
      <c r="BP31" s="96" t="e">
        <f>IF(BP30,_xll.qlAbcdCalibrationCompute(BP$29,BP29),"---")</f>
        <v>#VALUE!</v>
      </c>
      <c r="BQ31" s="1"/>
      <c r="BR31" s="1"/>
      <c r="BS31" s="49" t="s">
        <v>72</v>
      </c>
      <c r="BT31" s="96" t="e">
        <f>IF(BT30,_xll.qlAbcdCalibrationCompute(BT$29,BT29),"---")</f>
        <v>#VALUE!</v>
      </c>
      <c r="BU31" s="1"/>
      <c r="BV31" s="1"/>
      <c r="BW31" s="49" t="s">
        <v>72</v>
      </c>
      <c r="BX31" s="96" t="e">
        <f>IF(BX30,_xll.qlAbcdCalibrationCompute(BX$29,BX29),"---")</f>
        <v>#VALUE!</v>
      </c>
      <c r="BY31" s="1"/>
      <c r="BZ31" s="1"/>
      <c r="CA31" s="49" t="s">
        <v>72</v>
      </c>
      <c r="CB31" s="96" t="e">
        <f>IF(CB30,_xll.qlAbcdCalibrationCompute(CB$29,CB29),"---")</f>
        <v>#VALUE!</v>
      </c>
      <c r="CC31" s="1"/>
      <c r="CD31" s="1"/>
      <c r="CE31" s="49" t="s">
        <v>72</v>
      </c>
      <c r="CF31" s="96" t="e">
        <f>IF(CF30,_xll.qlAbcdCalibrationCompute(CF$29,CF29),"---")</f>
        <v>#VALUE!</v>
      </c>
      <c r="CG31" s="1"/>
      <c r="CH31" s="1"/>
      <c r="CI31" s="49" t="s">
        <v>72</v>
      </c>
      <c r="CJ31" s="96" t="e">
        <f>IF(CJ30,_xll.qlAbcdCalibrationCompute(CJ$29,CJ29),"---")</f>
        <v>#VALUE!</v>
      </c>
      <c r="CK31" s="1"/>
      <c r="CL31" s="1"/>
      <c r="CM31" s="49" t="s">
        <v>72</v>
      </c>
      <c r="CN31" s="96" t="e">
        <f>IF(CN30,_xll.qlAbcdCalibrationCompute(CN$29,CN29),"---")</f>
        <v>#VALUE!</v>
      </c>
      <c r="CO31" s="1"/>
      <c r="CP31" s="1"/>
      <c r="CQ31" s="49" t="s">
        <v>72</v>
      </c>
      <c r="CR31" s="96" t="e">
        <f>IF(CR30,_xll.qlAbcdCalibrationCompute(CR$29,CR29),"---")</f>
        <v>#VALUE!</v>
      </c>
      <c r="CS31" s="1"/>
      <c r="CT31" s="1"/>
      <c r="CU31" s="49" t="s">
        <v>72</v>
      </c>
      <c r="CV31" s="96" t="e">
        <f>IF(CV30,_xll.qlAbcdCalibrationCompute(CV$29,CV29),"---")</f>
        <v>#VALUE!</v>
      </c>
      <c r="CW31" s="1"/>
      <c r="CX31" s="1"/>
      <c r="CY31" s="49" t="s">
        <v>72</v>
      </c>
      <c r="CZ31" s="96" t="e">
        <f>IF(CZ30,_xll.qlAbcdCalibrationCompute(CZ$29,CZ29),"---")</f>
        <v>#VALUE!</v>
      </c>
      <c r="DA31" s="1"/>
      <c r="DB31" s="1"/>
      <c r="DC31" s="49" t="s">
        <v>72</v>
      </c>
      <c r="DD31" s="96" t="e">
        <f>IF(DD30,_xll.qlAbcdCalibrationCompute(DD$29,DD29),"---")</f>
        <v>#VALUE!</v>
      </c>
      <c r="DE31" s="1"/>
      <c r="DF31" s="1"/>
      <c r="DG31" s="49" t="s">
        <v>72</v>
      </c>
      <c r="DH31" s="96" t="e">
        <f>IF(DH30,_xll.qlAbcdCalibrationCompute(DH$29,DH29),"---")</f>
        <v>#VALUE!</v>
      </c>
      <c r="DI31" s="1"/>
      <c r="DJ31" s="1"/>
      <c r="DK31" s="49" t="s">
        <v>72</v>
      </c>
      <c r="DL31" s="96" t="e">
        <f>IF(DL30,_xll.qlAbcdCalibrationCompute(DL$29,DL29),"---")</f>
        <v>#VALUE!</v>
      </c>
      <c r="DM31" s="1"/>
      <c r="DN31" s="1"/>
      <c r="DO31" s="49" t="s">
        <v>72</v>
      </c>
      <c r="DP31" s="96" t="e">
        <f>IF(DP30,_xll.qlAbcdCalibrationCompute(DP$29,DP29),"---")</f>
        <v>#VALUE!</v>
      </c>
      <c r="DQ31" s="1"/>
    </row>
    <row r="32" spans="2:121" x14ac:dyDescent="0.2">
      <c r="B32" s="97"/>
      <c r="C32" s="49" t="s">
        <v>64</v>
      </c>
      <c r="D32" s="13" t="e">
        <f>_xll.qlAbcdCalibrationEndCriteria(D$29,D31)</f>
        <v>#VALUE!</v>
      </c>
      <c r="E32" s="6"/>
      <c r="F32" s="1"/>
      <c r="G32" s="49" t="s">
        <v>64</v>
      </c>
      <c r="H32" s="13" t="e">
        <f>_xll.qlAbcdCalibrationEndCriteria(H$29,H31)</f>
        <v>#VALUE!</v>
      </c>
      <c r="I32" s="1"/>
      <c r="J32" s="1"/>
      <c r="K32" s="49" t="s">
        <v>64</v>
      </c>
      <c r="L32" s="13" t="e">
        <f>_xll.qlAbcdCalibrationEndCriteria(L$29,L31)</f>
        <v>#VALUE!</v>
      </c>
      <c r="M32" s="1"/>
      <c r="N32" s="1"/>
      <c r="O32" s="49" t="s">
        <v>64</v>
      </c>
      <c r="P32" s="13" t="e">
        <f>_xll.qlAbcdCalibrationEndCriteria(P$29,P31)</f>
        <v>#VALUE!</v>
      </c>
      <c r="Q32" s="1"/>
      <c r="R32" s="1"/>
      <c r="S32" s="49" t="s">
        <v>64</v>
      </c>
      <c r="T32" s="13" t="e">
        <f>_xll.qlAbcdCalibrationEndCriteria(T$29,T31)</f>
        <v>#VALUE!</v>
      </c>
      <c r="U32" s="1"/>
      <c r="V32" s="1"/>
      <c r="W32" s="49" t="s">
        <v>64</v>
      </c>
      <c r="X32" s="13" t="e">
        <f>_xll.qlAbcdCalibrationEndCriteria(X$29,X31)</f>
        <v>#VALUE!</v>
      </c>
      <c r="Y32" s="1"/>
      <c r="Z32" s="1"/>
      <c r="AA32" s="49" t="s">
        <v>64</v>
      </c>
      <c r="AB32" s="13" t="e">
        <f>_xll.qlAbcdCalibrationEndCriteria(AB$29,AB31)</f>
        <v>#VALUE!</v>
      </c>
      <c r="AC32" s="1"/>
      <c r="AD32" s="1"/>
      <c r="AE32" s="49" t="s">
        <v>64</v>
      </c>
      <c r="AF32" s="13" t="e">
        <f>_xll.qlAbcdCalibrationEndCriteria(AF$29,AF31)</f>
        <v>#VALUE!</v>
      </c>
      <c r="AG32" s="1"/>
      <c r="AH32" s="1"/>
      <c r="AI32" s="49" t="s">
        <v>64</v>
      </c>
      <c r="AJ32" s="13" t="e">
        <f>_xll.qlAbcdCalibrationEndCriteria(AJ$29,AJ31)</f>
        <v>#VALUE!</v>
      </c>
      <c r="AK32" s="1"/>
      <c r="AL32" s="1"/>
      <c r="AM32" s="49" t="s">
        <v>64</v>
      </c>
      <c r="AN32" s="13" t="e">
        <f>_xll.qlAbcdCalibrationEndCriteria(AN$29,AN31)</f>
        <v>#VALUE!</v>
      </c>
      <c r="AO32" s="1"/>
      <c r="AP32" s="1"/>
      <c r="AQ32" s="49" t="s">
        <v>64</v>
      </c>
      <c r="AR32" s="13" t="e">
        <f>_xll.qlAbcdCalibrationEndCriteria(AR$29,AR31)</f>
        <v>#VALUE!</v>
      </c>
      <c r="AS32" s="1"/>
      <c r="AT32" s="1"/>
      <c r="AU32" s="49" t="s">
        <v>64</v>
      </c>
      <c r="AV32" s="13" t="e">
        <f>_xll.qlAbcdCalibrationEndCriteria(AV$29,AV31)</f>
        <v>#VALUE!</v>
      </c>
      <c r="AW32" s="1"/>
      <c r="AX32" s="1"/>
      <c r="AY32" s="49" t="s">
        <v>64</v>
      </c>
      <c r="AZ32" s="13" t="e">
        <f>_xll.qlAbcdCalibrationEndCriteria(AZ$29,AZ31)</f>
        <v>#VALUE!</v>
      </c>
      <c r="BA32" s="1"/>
      <c r="BB32" s="1"/>
      <c r="BC32" s="49" t="s">
        <v>64</v>
      </c>
      <c r="BD32" s="13" t="e">
        <f>_xll.qlAbcdCalibrationEndCriteria(BD$29,BD31)</f>
        <v>#VALUE!</v>
      </c>
      <c r="BE32" s="1"/>
      <c r="BF32" s="1"/>
      <c r="BG32" s="49" t="s">
        <v>64</v>
      </c>
      <c r="BH32" s="13" t="e">
        <f>_xll.qlAbcdCalibrationEndCriteria(BH$29,BH31)</f>
        <v>#VALUE!</v>
      </c>
      <c r="BI32" s="1"/>
      <c r="BJ32" s="1"/>
      <c r="BK32" s="49" t="s">
        <v>64</v>
      </c>
      <c r="BL32" s="13" t="e">
        <f>_xll.qlAbcdCalibrationEndCriteria(BL$29,BL31)</f>
        <v>#VALUE!</v>
      </c>
      <c r="BM32" s="1"/>
      <c r="BN32" s="1"/>
      <c r="BO32" s="49" t="s">
        <v>64</v>
      </c>
      <c r="BP32" s="13" t="e">
        <f>_xll.qlAbcdCalibrationEndCriteria(BP$29,BP31)</f>
        <v>#VALUE!</v>
      </c>
      <c r="BQ32" s="1"/>
      <c r="BR32" s="1"/>
      <c r="BS32" s="49" t="s">
        <v>64</v>
      </c>
      <c r="BT32" s="13" t="e">
        <f>_xll.qlAbcdCalibrationEndCriteria(BT$29,BT31)</f>
        <v>#VALUE!</v>
      </c>
      <c r="BU32" s="1"/>
      <c r="BV32" s="1"/>
      <c r="BW32" s="49" t="s">
        <v>64</v>
      </c>
      <c r="BX32" s="13" t="e">
        <f>_xll.qlAbcdCalibrationEndCriteria(BX$29,BX31)</f>
        <v>#VALUE!</v>
      </c>
      <c r="BY32" s="1"/>
      <c r="BZ32" s="1"/>
      <c r="CA32" s="49" t="s">
        <v>64</v>
      </c>
      <c r="CB32" s="13" t="e">
        <f>_xll.qlAbcdCalibrationEndCriteria(CB$29,CB31)</f>
        <v>#VALUE!</v>
      </c>
      <c r="CC32" s="1"/>
      <c r="CD32" s="1"/>
      <c r="CE32" s="49" t="s">
        <v>64</v>
      </c>
      <c r="CF32" s="13" t="e">
        <f>_xll.qlAbcdCalibrationEndCriteria(CF$29,CF31)</f>
        <v>#VALUE!</v>
      </c>
      <c r="CG32" s="1"/>
      <c r="CH32" s="1"/>
      <c r="CI32" s="49" t="s">
        <v>64</v>
      </c>
      <c r="CJ32" s="13" t="e">
        <f>_xll.qlAbcdCalibrationEndCriteria(CJ$29,CJ31)</f>
        <v>#VALUE!</v>
      </c>
      <c r="CK32" s="1"/>
      <c r="CL32" s="1"/>
      <c r="CM32" s="49" t="s">
        <v>64</v>
      </c>
      <c r="CN32" s="13" t="e">
        <f>_xll.qlAbcdCalibrationEndCriteria(CN$29,CN31)</f>
        <v>#VALUE!</v>
      </c>
      <c r="CO32" s="1"/>
      <c r="CP32" s="1"/>
      <c r="CQ32" s="49" t="s">
        <v>64</v>
      </c>
      <c r="CR32" s="13" t="e">
        <f>_xll.qlAbcdCalibrationEndCriteria(CR$29,CR31)</f>
        <v>#VALUE!</v>
      </c>
      <c r="CS32" s="1"/>
      <c r="CT32" s="1"/>
      <c r="CU32" s="49" t="s">
        <v>64</v>
      </c>
      <c r="CV32" s="13" t="e">
        <f>_xll.qlAbcdCalibrationEndCriteria(CV$29,CV31)</f>
        <v>#VALUE!</v>
      </c>
      <c r="CW32" s="1"/>
      <c r="CX32" s="1"/>
      <c r="CY32" s="49" t="s">
        <v>64</v>
      </c>
      <c r="CZ32" s="13" t="e">
        <f>_xll.qlAbcdCalibrationEndCriteria(CZ$29,CZ31)</f>
        <v>#VALUE!</v>
      </c>
      <c r="DA32" s="1"/>
      <c r="DB32" s="1"/>
      <c r="DC32" s="49" t="s">
        <v>64</v>
      </c>
      <c r="DD32" s="13" t="e">
        <f>_xll.qlAbcdCalibrationEndCriteria(DD$29,DD31)</f>
        <v>#VALUE!</v>
      </c>
      <c r="DE32" s="1"/>
      <c r="DF32" s="1"/>
      <c r="DG32" s="49" t="s">
        <v>64</v>
      </c>
      <c r="DH32" s="13" t="e">
        <f>_xll.qlAbcdCalibrationEndCriteria(DH$29,DH31)</f>
        <v>#VALUE!</v>
      </c>
      <c r="DI32" s="1"/>
      <c r="DJ32" s="1"/>
      <c r="DK32" s="49" t="s">
        <v>64</v>
      </c>
      <c r="DL32" s="13" t="e">
        <f>_xll.qlAbcdCalibrationEndCriteria(DL$29,DL31)</f>
        <v>#VALUE!</v>
      </c>
      <c r="DM32" s="1"/>
      <c r="DN32" s="1"/>
      <c r="DO32" s="49" t="s">
        <v>64</v>
      </c>
      <c r="DP32" s="13" t="e">
        <f>_xll.qlAbcdCalibrationEndCriteria(DP$29,DP31)</f>
        <v>#VALUE!</v>
      </c>
      <c r="DQ32" s="1"/>
    </row>
    <row r="33" spans="1:121" x14ac:dyDescent="0.2">
      <c r="C33" s="49" t="s">
        <v>2</v>
      </c>
      <c r="D33" s="13" t="e">
        <f>_xll.qlAbcdCalibrationA(D$29,D$32)</f>
        <v>#VALUE!</v>
      </c>
      <c r="E33" s="6"/>
      <c r="F33" s="1"/>
      <c r="G33" s="49" t="s">
        <v>2</v>
      </c>
      <c r="H33" s="13" t="e">
        <f>_xll.qlAbcdCalibrationA(H$29,H$32)</f>
        <v>#VALUE!</v>
      </c>
      <c r="I33" s="1"/>
      <c r="J33" s="1"/>
      <c r="K33" s="49" t="s">
        <v>2</v>
      </c>
      <c r="L33" s="13" t="e">
        <f>_xll.qlAbcdCalibrationA(L$29,L$32)</f>
        <v>#VALUE!</v>
      </c>
      <c r="M33" s="1"/>
      <c r="N33" s="1"/>
      <c r="O33" s="49" t="s">
        <v>2</v>
      </c>
      <c r="P33" s="13" t="e">
        <f>_xll.qlAbcdCalibrationA(P$29,P$32)</f>
        <v>#VALUE!</v>
      </c>
      <c r="Q33" s="1"/>
      <c r="R33" s="1"/>
      <c r="S33" s="49" t="s">
        <v>2</v>
      </c>
      <c r="T33" s="13" t="e">
        <f>_xll.qlAbcdCalibrationA(T$29,T$32)</f>
        <v>#VALUE!</v>
      </c>
      <c r="U33" s="1"/>
      <c r="V33" s="1"/>
      <c r="W33" s="49" t="s">
        <v>2</v>
      </c>
      <c r="X33" s="13" t="e">
        <f>_xll.qlAbcdCalibrationA(X$29,X$32)</f>
        <v>#VALUE!</v>
      </c>
      <c r="Y33" s="1"/>
      <c r="Z33" s="1"/>
      <c r="AA33" s="49" t="s">
        <v>2</v>
      </c>
      <c r="AB33" s="13" t="e">
        <f>_xll.qlAbcdCalibrationA(AB$29,AB$32)</f>
        <v>#VALUE!</v>
      </c>
      <c r="AC33" s="1"/>
      <c r="AD33" s="1"/>
      <c r="AE33" s="49" t="s">
        <v>2</v>
      </c>
      <c r="AF33" s="13" t="e">
        <f>_xll.qlAbcdCalibrationA(AF$29,AF$32)</f>
        <v>#VALUE!</v>
      </c>
      <c r="AG33" s="1"/>
      <c r="AH33" s="1"/>
      <c r="AI33" s="49" t="s">
        <v>2</v>
      </c>
      <c r="AJ33" s="13" t="e">
        <f>_xll.qlAbcdCalibrationA(AJ$29,AJ$32)</f>
        <v>#VALUE!</v>
      </c>
      <c r="AK33" s="1"/>
      <c r="AL33" s="1"/>
      <c r="AM33" s="49" t="s">
        <v>2</v>
      </c>
      <c r="AN33" s="13" t="e">
        <f>_xll.qlAbcdCalibrationA(AN$29,AN$32)</f>
        <v>#VALUE!</v>
      </c>
      <c r="AO33" s="1"/>
      <c r="AP33" s="1"/>
      <c r="AQ33" s="49" t="s">
        <v>2</v>
      </c>
      <c r="AR33" s="13" t="e">
        <f>_xll.qlAbcdCalibrationA(AR$29,AR$32)</f>
        <v>#VALUE!</v>
      </c>
      <c r="AS33" s="1"/>
      <c r="AT33" s="1"/>
      <c r="AU33" s="49" t="s">
        <v>2</v>
      </c>
      <c r="AV33" s="13" t="e">
        <f>_xll.qlAbcdCalibrationA(AV$29,AV$32)</f>
        <v>#VALUE!</v>
      </c>
      <c r="AW33" s="1"/>
      <c r="AX33" s="1"/>
      <c r="AY33" s="49" t="s">
        <v>2</v>
      </c>
      <c r="AZ33" s="13" t="e">
        <f>_xll.qlAbcdCalibrationA(AZ$29,AZ$32)</f>
        <v>#VALUE!</v>
      </c>
      <c r="BA33" s="1"/>
      <c r="BB33" s="1"/>
      <c r="BC33" s="49" t="s">
        <v>2</v>
      </c>
      <c r="BD33" s="13" t="e">
        <f>_xll.qlAbcdCalibrationA(BD$29,BD$32)</f>
        <v>#VALUE!</v>
      </c>
      <c r="BE33" s="1"/>
      <c r="BF33" s="1"/>
      <c r="BG33" s="49" t="s">
        <v>2</v>
      </c>
      <c r="BH33" s="13" t="e">
        <f>_xll.qlAbcdCalibrationA(BH$29,BH$32)</f>
        <v>#VALUE!</v>
      </c>
      <c r="BI33" s="1"/>
      <c r="BJ33" s="1"/>
      <c r="BK33" s="49" t="s">
        <v>2</v>
      </c>
      <c r="BL33" s="13" t="e">
        <f>_xll.qlAbcdCalibrationA(BL$29,BL$32)</f>
        <v>#VALUE!</v>
      </c>
      <c r="BM33" s="1"/>
      <c r="BN33" s="1"/>
      <c r="BO33" s="49" t="s">
        <v>2</v>
      </c>
      <c r="BP33" s="13" t="e">
        <f>_xll.qlAbcdCalibrationA(BP$29,BP$32)</f>
        <v>#VALUE!</v>
      </c>
      <c r="BQ33" s="1"/>
      <c r="BR33" s="1"/>
      <c r="BS33" s="49" t="s">
        <v>2</v>
      </c>
      <c r="BT33" s="13" t="e">
        <f>_xll.qlAbcdCalibrationA(BT$29,BT$32)</f>
        <v>#VALUE!</v>
      </c>
      <c r="BU33" s="1"/>
      <c r="BV33" s="1"/>
      <c r="BW33" s="49" t="s">
        <v>2</v>
      </c>
      <c r="BX33" s="13" t="e">
        <f>_xll.qlAbcdCalibrationA(BX$29,BX$32)</f>
        <v>#VALUE!</v>
      </c>
      <c r="BY33" s="1"/>
      <c r="BZ33" s="1"/>
      <c r="CA33" s="49" t="s">
        <v>2</v>
      </c>
      <c r="CB33" s="13" t="e">
        <f>_xll.qlAbcdCalibrationA(CB$29,CB$32)</f>
        <v>#VALUE!</v>
      </c>
      <c r="CC33" s="1"/>
      <c r="CD33" s="1"/>
      <c r="CE33" s="49" t="s">
        <v>2</v>
      </c>
      <c r="CF33" s="13" t="e">
        <f>_xll.qlAbcdCalibrationA(CF$29,CF$32)</f>
        <v>#VALUE!</v>
      </c>
      <c r="CG33" s="1"/>
      <c r="CH33" s="1"/>
      <c r="CI33" s="49" t="s">
        <v>2</v>
      </c>
      <c r="CJ33" s="13" t="e">
        <f>_xll.qlAbcdCalibrationA(CJ$29,CJ$32)</f>
        <v>#VALUE!</v>
      </c>
      <c r="CK33" s="1"/>
      <c r="CL33" s="1"/>
      <c r="CM33" s="49" t="s">
        <v>2</v>
      </c>
      <c r="CN33" s="13" t="e">
        <f>_xll.qlAbcdCalibrationA(CN$29,CN$32)</f>
        <v>#VALUE!</v>
      </c>
      <c r="CO33" s="1"/>
      <c r="CP33" s="1"/>
      <c r="CQ33" s="49" t="s">
        <v>2</v>
      </c>
      <c r="CR33" s="13" t="e">
        <f>_xll.qlAbcdCalibrationA(CR$29,CR$32)</f>
        <v>#VALUE!</v>
      </c>
      <c r="CS33" s="1"/>
      <c r="CT33" s="1"/>
      <c r="CU33" s="49" t="s">
        <v>2</v>
      </c>
      <c r="CV33" s="13" t="e">
        <f>_xll.qlAbcdCalibrationA(CV$29,CV$32)</f>
        <v>#VALUE!</v>
      </c>
      <c r="CW33" s="1"/>
      <c r="CX33" s="1"/>
      <c r="CY33" s="49" t="s">
        <v>2</v>
      </c>
      <c r="CZ33" s="13" t="e">
        <f>_xll.qlAbcdCalibrationA(CZ$29,CZ$32)</f>
        <v>#VALUE!</v>
      </c>
      <c r="DA33" s="1"/>
      <c r="DB33" s="1"/>
      <c r="DC33" s="49" t="s">
        <v>2</v>
      </c>
      <c r="DD33" s="13" t="e">
        <f>_xll.qlAbcdCalibrationA(DD$29,DD$32)</f>
        <v>#VALUE!</v>
      </c>
      <c r="DE33" s="1"/>
      <c r="DF33" s="1"/>
      <c r="DG33" s="49" t="s">
        <v>2</v>
      </c>
      <c r="DH33" s="13" t="e">
        <f>_xll.qlAbcdCalibrationA(DH$29,DH$32)</f>
        <v>#VALUE!</v>
      </c>
      <c r="DI33" s="1"/>
      <c r="DJ33" s="1"/>
      <c r="DK33" s="49" t="s">
        <v>2</v>
      </c>
      <c r="DL33" s="13" t="e">
        <f>_xll.qlAbcdCalibrationA(DL$29,DL$32)</f>
        <v>#VALUE!</v>
      </c>
      <c r="DM33" s="1"/>
      <c r="DN33" s="1"/>
      <c r="DO33" s="49" t="s">
        <v>2</v>
      </c>
      <c r="DP33" s="13" t="e">
        <f>_xll.qlAbcdCalibrationA(DP$29,DP$32)</f>
        <v>#VALUE!</v>
      </c>
      <c r="DQ33" s="1"/>
    </row>
    <row r="34" spans="1:121" x14ac:dyDescent="0.2">
      <c r="C34" s="49" t="s">
        <v>3</v>
      </c>
      <c r="D34" s="125" t="e">
        <f>_xll.qlAbcdCalibrationB(D$29,D$32)</f>
        <v>#VALUE!</v>
      </c>
      <c r="E34" s="6"/>
      <c r="F34" s="1"/>
      <c r="G34" s="49" t="s">
        <v>3</v>
      </c>
      <c r="H34" s="125" t="e">
        <f>_xll.qlAbcdCalibrationB(H$29,H$32)</f>
        <v>#VALUE!</v>
      </c>
      <c r="I34" s="1"/>
      <c r="J34" s="1"/>
      <c r="K34" s="49" t="s">
        <v>3</v>
      </c>
      <c r="L34" s="125" t="e">
        <f>_xll.qlAbcdCalibrationB(L$29,L$32)</f>
        <v>#VALUE!</v>
      </c>
      <c r="M34" s="1"/>
      <c r="N34" s="1"/>
      <c r="O34" s="49" t="s">
        <v>3</v>
      </c>
      <c r="P34" s="125" t="e">
        <f>_xll.qlAbcdCalibrationB(P$29,P$32)</f>
        <v>#VALUE!</v>
      </c>
      <c r="Q34" s="1"/>
      <c r="R34" s="1"/>
      <c r="S34" s="49" t="s">
        <v>3</v>
      </c>
      <c r="T34" s="125" t="e">
        <f>_xll.qlAbcdCalibrationB(T$29,T$32)</f>
        <v>#VALUE!</v>
      </c>
      <c r="U34" s="1"/>
      <c r="V34" s="1"/>
      <c r="W34" s="49" t="s">
        <v>3</v>
      </c>
      <c r="X34" s="125" t="e">
        <f>_xll.qlAbcdCalibrationB(X$29,X$32)</f>
        <v>#VALUE!</v>
      </c>
      <c r="Y34" s="1"/>
      <c r="Z34" s="1"/>
      <c r="AA34" s="49" t="s">
        <v>3</v>
      </c>
      <c r="AB34" s="125" t="e">
        <f>_xll.qlAbcdCalibrationB(AB$29,AB$32)</f>
        <v>#VALUE!</v>
      </c>
      <c r="AC34" s="1"/>
      <c r="AD34" s="1"/>
      <c r="AE34" s="49" t="s">
        <v>3</v>
      </c>
      <c r="AF34" s="125" t="e">
        <f>_xll.qlAbcdCalibrationB(AF$29,AF$32)</f>
        <v>#VALUE!</v>
      </c>
      <c r="AG34" s="1"/>
      <c r="AH34" s="1"/>
      <c r="AI34" s="49" t="s">
        <v>3</v>
      </c>
      <c r="AJ34" s="125" t="e">
        <f>_xll.qlAbcdCalibrationB(AJ$29,AJ$32)</f>
        <v>#VALUE!</v>
      </c>
      <c r="AK34" s="1"/>
      <c r="AL34" s="1"/>
      <c r="AM34" s="49" t="s">
        <v>3</v>
      </c>
      <c r="AN34" s="125" t="e">
        <f>_xll.qlAbcdCalibrationB(AN$29,AN$32)</f>
        <v>#VALUE!</v>
      </c>
      <c r="AO34" s="1"/>
      <c r="AP34" s="1"/>
      <c r="AQ34" s="49" t="s">
        <v>3</v>
      </c>
      <c r="AR34" s="125" t="e">
        <f>_xll.qlAbcdCalibrationB(AR$29,AR$32)</f>
        <v>#VALUE!</v>
      </c>
      <c r="AS34" s="1"/>
      <c r="AT34" s="1"/>
      <c r="AU34" s="49" t="s">
        <v>3</v>
      </c>
      <c r="AV34" s="125" t="e">
        <f>_xll.qlAbcdCalibrationB(AV$29,AV$32)</f>
        <v>#VALUE!</v>
      </c>
      <c r="AW34" s="1"/>
      <c r="AX34" s="1"/>
      <c r="AY34" s="49" t="s">
        <v>3</v>
      </c>
      <c r="AZ34" s="125" t="e">
        <f>_xll.qlAbcdCalibrationB(AZ$29,AZ$32)</f>
        <v>#VALUE!</v>
      </c>
      <c r="BA34" s="1"/>
      <c r="BB34" s="1"/>
      <c r="BC34" s="49" t="s">
        <v>3</v>
      </c>
      <c r="BD34" s="125" t="e">
        <f>_xll.qlAbcdCalibrationB(BD$29,BD$32)</f>
        <v>#VALUE!</v>
      </c>
      <c r="BE34" s="1"/>
      <c r="BF34" s="1"/>
      <c r="BG34" s="49" t="s">
        <v>3</v>
      </c>
      <c r="BH34" s="125" t="e">
        <f>_xll.qlAbcdCalibrationB(BH$29,BH$32)</f>
        <v>#VALUE!</v>
      </c>
      <c r="BI34" s="1"/>
      <c r="BJ34" s="1"/>
      <c r="BK34" s="49" t="s">
        <v>3</v>
      </c>
      <c r="BL34" s="125" t="e">
        <f>_xll.qlAbcdCalibrationB(BL$29,BL$32)</f>
        <v>#VALUE!</v>
      </c>
      <c r="BM34" s="1"/>
      <c r="BN34" s="1"/>
      <c r="BO34" s="49" t="s">
        <v>3</v>
      </c>
      <c r="BP34" s="125" t="e">
        <f>_xll.qlAbcdCalibrationB(BP$29,BP$32)</f>
        <v>#VALUE!</v>
      </c>
      <c r="BQ34" s="1"/>
      <c r="BR34" s="1"/>
      <c r="BS34" s="49" t="s">
        <v>3</v>
      </c>
      <c r="BT34" s="125" t="e">
        <f>_xll.qlAbcdCalibrationB(BT$29,BT$32)</f>
        <v>#VALUE!</v>
      </c>
      <c r="BU34" s="1"/>
      <c r="BV34" s="1"/>
      <c r="BW34" s="49" t="s">
        <v>3</v>
      </c>
      <c r="BX34" s="125" t="e">
        <f>_xll.qlAbcdCalibrationB(BX$29,BX$32)</f>
        <v>#VALUE!</v>
      </c>
      <c r="BY34" s="1"/>
      <c r="BZ34" s="1"/>
      <c r="CA34" s="49" t="s">
        <v>3</v>
      </c>
      <c r="CB34" s="125" t="e">
        <f>_xll.qlAbcdCalibrationB(CB$29,CB$32)</f>
        <v>#VALUE!</v>
      </c>
      <c r="CC34" s="1"/>
      <c r="CD34" s="1"/>
      <c r="CE34" s="49" t="s">
        <v>3</v>
      </c>
      <c r="CF34" s="125" t="e">
        <f>_xll.qlAbcdCalibrationB(CF$29,CF$32)</f>
        <v>#VALUE!</v>
      </c>
      <c r="CG34" s="1"/>
      <c r="CH34" s="1"/>
      <c r="CI34" s="49" t="s">
        <v>3</v>
      </c>
      <c r="CJ34" s="125" t="e">
        <f>_xll.qlAbcdCalibrationB(CJ$29,CJ$32)</f>
        <v>#VALUE!</v>
      </c>
      <c r="CK34" s="1"/>
      <c r="CL34" s="1"/>
      <c r="CM34" s="49" t="s">
        <v>3</v>
      </c>
      <c r="CN34" s="125" t="e">
        <f>_xll.qlAbcdCalibrationB(CN$29,CN$32)</f>
        <v>#VALUE!</v>
      </c>
      <c r="CO34" s="1"/>
      <c r="CP34" s="1"/>
      <c r="CQ34" s="49" t="s">
        <v>3</v>
      </c>
      <c r="CR34" s="125" t="e">
        <f>_xll.qlAbcdCalibrationB(CR$29,CR$32)</f>
        <v>#VALUE!</v>
      </c>
      <c r="CS34" s="1"/>
      <c r="CT34" s="1"/>
      <c r="CU34" s="49" t="s">
        <v>3</v>
      </c>
      <c r="CV34" s="125" t="e">
        <f>_xll.qlAbcdCalibrationB(CV$29,CV$32)</f>
        <v>#VALUE!</v>
      </c>
      <c r="CW34" s="1"/>
      <c r="CX34" s="1"/>
      <c r="CY34" s="49" t="s">
        <v>3</v>
      </c>
      <c r="CZ34" s="125" t="e">
        <f>_xll.qlAbcdCalibrationB(CZ$29,CZ$32)</f>
        <v>#VALUE!</v>
      </c>
      <c r="DA34" s="1"/>
      <c r="DB34" s="1"/>
      <c r="DC34" s="49" t="s">
        <v>3</v>
      </c>
      <c r="DD34" s="125" t="e">
        <f>_xll.qlAbcdCalibrationB(DD$29,DD$32)</f>
        <v>#VALUE!</v>
      </c>
      <c r="DE34" s="1"/>
      <c r="DF34" s="1"/>
      <c r="DG34" s="49" t="s">
        <v>3</v>
      </c>
      <c r="DH34" s="125" t="e">
        <f>_xll.qlAbcdCalibrationB(DH$29,DH$32)</f>
        <v>#VALUE!</v>
      </c>
      <c r="DI34" s="1"/>
      <c r="DJ34" s="1"/>
      <c r="DK34" s="49" t="s">
        <v>3</v>
      </c>
      <c r="DL34" s="125" t="e">
        <f>_xll.qlAbcdCalibrationB(DL$29,DL$32)</f>
        <v>#VALUE!</v>
      </c>
      <c r="DM34" s="1"/>
      <c r="DN34" s="1"/>
      <c r="DO34" s="49" t="s">
        <v>3</v>
      </c>
      <c r="DP34" s="125" t="e">
        <f>_xll.qlAbcdCalibrationB(DP$29,DP$32)</f>
        <v>#VALUE!</v>
      </c>
      <c r="DQ34" s="1"/>
    </row>
    <row r="35" spans="1:121" x14ac:dyDescent="0.2">
      <c r="C35" s="49" t="s">
        <v>4</v>
      </c>
      <c r="D35" s="125" t="e">
        <f>_xll.qlAbcdCalibrationC(D$29,D$32)</f>
        <v>#VALUE!</v>
      </c>
      <c r="E35" s="6"/>
      <c r="F35" s="1"/>
      <c r="G35" s="49" t="s">
        <v>4</v>
      </c>
      <c r="H35" s="125" t="e">
        <f>_xll.qlAbcdCalibrationC(H$29,H$32)</f>
        <v>#VALUE!</v>
      </c>
      <c r="I35" s="1"/>
      <c r="J35" s="1"/>
      <c r="K35" s="49" t="s">
        <v>4</v>
      </c>
      <c r="L35" s="125" t="e">
        <f>_xll.qlAbcdCalibrationC(L$29,L$32)</f>
        <v>#VALUE!</v>
      </c>
      <c r="M35" s="1"/>
      <c r="N35" s="1"/>
      <c r="O35" s="49" t="s">
        <v>4</v>
      </c>
      <c r="P35" s="125" t="e">
        <f>_xll.qlAbcdCalibrationC(P$29,P$32)</f>
        <v>#VALUE!</v>
      </c>
      <c r="Q35" s="1"/>
      <c r="R35" s="1"/>
      <c r="S35" s="49" t="s">
        <v>4</v>
      </c>
      <c r="T35" s="125" t="e">
        <f>_xll.qlAbcdCalibrationC(T$29,T$32)</f>
        <v>#VALUE!</v>
      </c>
      <c r="U35" s="1"/>
      <c r="V35" s="1"/>
      <c r="W35" s="49" t="s">
        <v>4</v>
      </c>
      <c r="X35" s="125" t="e">
        <f>_xll.qlAbcdCalibrationC(X$29,X$32)</f>
        <v>#VALUE!</v>
      </c>
      <c r="Y35" s="1"/>
      <c r="Z35" s="1"/>
      <c r="AA35" s="49" t="s">
        <v>4</v>
      </c>
      <c r="AB35" s="125" t="e">
        <f>_xll.qlAbcdCalibrationC(AB$29,AB$32)</f>
        <v>#VALUE!</v>
      </c>
      <c r="AC35" s="1"/>
      <c r="AD35" s="1"/>
      <c r="AE35" s="49" t="s">
        <v>4</v>
      </c>
      <c r="AF35" s="125" t="e">
        <f>_xll.qlAbcdCalibrationC(AF$29,AF$32)</f>
        <v>#VALUE!</v>
      </c>
      <c r="AG35" s="1"/>
      <c r="AH35" s="1"/>
      <c r="AI35" s="49" t="s">
        <v>4</v>
      </c>
      <c r="AJ35" s="125" t="e">
        <f>_xll.qlAbcdCalibrationC(AJ$29,AJ$32)</f>
        <v>#VALUE!</v>
      </c>
      <c r="AK35" s="1"/>
      <c r="AL35" s="1"/>
      <c r="AM35" s="49" t="s">
        <v>4</v>
      </c>
      <c r="AN35" s="125" t="e">
        <f>_xll.qlAbcdCalibrationC(AN$29,AN$32)</f>
        <v>#VALUE!</v>
      </c>
      <c r="AO35" s="1"/>
      <c r="AP35" s="1"/>
      <c r="AQ35" s="49" t="s">
        <v>4</v>
      </c>
      <c r="AR35" s="125" t="e">
        <f>_xll.qlAbcdCalibrationC(AR$29,AR$32)</f>
        <v>#VALUE!</v>
      </c>
      <c r="AS35" s="1"/>
      <c r="AT35" s="1"/>
      <c r="AU35" s="49" t="s">
        <v>4</v>
      </c>
      <c r="AV35" s="125" t="e">
        <f>_xll.qlAbcdCalibrationC(AV$29,AV$32)</f>
        <v>#VALUE!</v>
      </c>
      <c r="AW35" s="1"/>
      <c r="AX35" s="1"/>
      <c r="AY35" s="49" t="s">
        <v>4</v>
      </c>
      <c r="AZ35" s="125" t="e">
        <f>_xll.qlAbcdCalibrationC(AZ$29,AZ$32)</f>
        <v>#VALUE!</v>
      </c>
      <c r="BA35" s="1"/>
      <c r="BB35" s="1"/>
      <c r="BC35" s="49" t="s">
        <v>4</v>
      </c>
      <c r="BD35" s="125" t="e">
        <f>_xll.qlAbcdCalibrationC(BD$29,BD$32)</f>
        <v>#VALUE!</v>
      </c>
      <c r="BE35" s="1"/>
      <c r="BF35" s="1"/>
      <c r="BG35" s="49" t="s">
        <v>4</v>
      </c>
      <c r="BH35" s="125" t="e">
        <f>_xll.qlAbcdCalibrationC(BH$29,BH$32)</f>
        <v>#VALUE!</v>
      </c>
      <c r="BI35" s="1"/>
      <c r="BJ35" s="1"/>
      <c r="BK35" s="49" t="s">
        <v>4</v>
      </c>
      <c r="BL35" s="125" t="e">
        <f>_xll.qlAbcdCalibrationC(BL$29,BL$32)</f>
        <v>#VALUE!</v>
      </c>
      <c r="BM35" s="1"/>
      <c r="BN35" s="1"/>
      <c r="BO35" s="49" t="s">
        <v>4</v>
      </c>
      <c r="BP35" s="125" t="e">
        <f>_xll.qlAbcdCalibrationC(BP$29,BP$32)</f>
        <v>#VALUE!</v>
      </c>
      <c r="BQ35" s="1"/>
      <c r="BR35" s="1"/>
      <c r="BS35" s="49" t="s">
        <v>4</v>
      </c>
      <c r="BT35" s="125" t="e">
        <f>_xll.qlAbcdCalibrationC(BT$29,BT$32)</f>
        <v>#VALUE!</v>
      </c>
      <c r="BU35" s="1"/>
      <c r="BV35" s="1"/>
      <c r="BW35" s="49" t="s">
        <v>4</v>
      </c>
      <c r="BX35" s="125" t="e">
        <f>_xll.qlAbcdCalibrationC(BX$29,BX$32)</f>
        <v>#VALUE!</v>
      </c>
      <c r="BY35" s="1"/>
      <c r="BZ35" s="1"/>
      <c r="CA35" s="49" t="s">
        <v>4</v>
      </c>
      <c r="CB35" s="125" t="e">
        <f>_xll.qlAbcdCalibrationC(CB$29,CB$32)</f>
        <v>#VALUE!</v>
      </c>
      <c r="CC35" s="1"/>
      <c r="CD35" s="1"/>
      <c r="CE35" s="49" t="s">
        <v>4</v>
      </c>
      <c r="CF35" s="125" t="e">
        <f>_xll.qlAbcdCalibrationC(CF$29,CF$32)</f>
        <v>#VALUE!</v>
      </c>
      <c r="CG35" s="1"/>
      <c r="CH35" s="1"/>
      <c r="CI35" s="49" t="s">
        <v>4</v>
      </c>
      <c r="CJ35" s="125" t="e">
        <f>_xll.qlAbcdCalibrationC(CJ$29,CJ$32)</f>
        <v>#VALUE!</v>
      </c>
      <c r="CK35" s="1"/>
      <c r="CL35" s="1"/>
      <c r="CM35" s="49" t="s">
        <v>4</v>
      </c>
      <c r="CN35" s="125" t="e">
        <f>_xll.qlAbcdCalibrationC(CN$29,CN$32)</f>
        <v>#VALUE!</v>
      </c>
      <c r="CO35" s="1"/>
      <c r="CP35" s="1"/>
      <c r="CQ35" s="49" t="s">
        <v>4</v>
      </c>
      <c r="CR35" s="125" t="e">
        <f>_xll.qlAbcdCalibrationC(CR$29,CR$32)</f>
        <v>#VALUE!</v>
      </c>
      <c r="CS35" s="1"/>
      <c r="CT35" s="1"/>
      <c r="CU35" s="49" t="s">
        <v>4</v>
      </c>
      <c r="CV35" s="125" t="e">
        <f>_xll.qlAbcdCalibrationC(CV$29,CV$32)</f>
        <v>#VALUE!</v>
      </c>
      <c r="CW35" s="1"/>
      <c r="CX35" s="1"/>
      <c r="CY35" s="49" t="s">
        <v>4</v>
      </c>
      <c r="CZ35" s="125" t="e">
        <f>_xll.qlAbcdCalibrationC(CZ$29,CZ$32)</f>
        <v>#VALUE!</v>
      </c>
      <c r="DA35" s="1"/>
      <c r="DB35" s="1"/>
      <c r="DC35" s="49" t="s">
        <v>4</v>
      </c>
      <c r="DD35" s="125" t="e">
        <f>_xll.qlAbcdCalibrationC(DD$29,DD$32)</f>
        <v>#VALUE!</v>
      </c>
      <c r="DE35" s="1"/>
      <c r="DF35" s="1"/>
      <c r="DG35" s="49" t="s">
        <v>4</v>
      </c>
      <c r="DH35" s="125" t="e">
        <f>_xll.qlAbcdCalibrationC(DH$29,DH$32)</f>
        <v>#VALUE!</v>
      </c>
      <c r="DI35" s="1"/>
      <c r="DJ35" s="1"/>
      <c r="DK35" s="49" t="s">
        <v>4</v>
      </c>
      <c r="DL35" s="125" t="e">
        <f>_xll.qlAbcdCalibrationC(DL$29,DL$32)</f>
        <v>#VALUE!</v>
      </c>
      <c r="DM35" s="1"/>
      <c r="DN35" s="1"/>
      <c r="DO35" s="49" t="s">
        <v>4</v>
      </c>
      <c r="DP35" s="125" t="e">
        <f>_xll.qlAbcdCalibrationC(DP$29,DP$32)</f>
        <v>#VALUE!</v>
      </c>
      <c r="DQ35" s="1"/>
    </row>
    <row r="36" spans="1:121" x14ac:dyDescent="0.2">
      <c r="C36" s="50" t="s">
        <v>5</v>
      </c>
      <c r="D36" s="14" t="e">
        <f>_xll.qlAbcdCalibrationD(D$29,D$32)</f>
        <v>#VALUE!</v>
      </c>
      <c r="E36" s="6"/>
      <c r="F36" s="1"/>
      <c r="G36" s="50" t="s">
        <v>5</v>
      </c>
      <c r="H36" s="14" t="e">
        <f>_xll.qlAbcdCalibrationD(H$29,H$32)</f>
        <v>#VALUE!</v>
      </c>
      <c r="I36" s="1"/>
      <c r="J36" s="1"/>
      <c r="K36" s="50" t="s">
        <v>5</v>
      </c>
      <c r="L36" s="14" t="e">
        <f>_xll.qlAbcdCalibrationD(L$29,L$32)</f>
        <v>#VALUE!</v>
      </c>
      <c r="M36" s="1"/>
      <c r="N36" s="1"/>
      <c r="O36" s="50" t="s">
        <v>5</v>
      </c>
      <c r="P36" s="14" t="e">
        <f>_xll.qlAbcdCalibrationD(P$29,P$32)</f>
        <v>#VALUE!</v>
      </c>
      <c r="Q36" s="1"/>
      <c r="R36" s="1"/>
      <c r="S36" s="50" t="s">
        <v>5</v>
      </c>
      <c r="T36" s="14" t="e">
        <f>_xll.qlAbcdCalibrationD(T$29,T$32)</f>
        <v>#VALUE!</v>
      </c>
      <c r="U36" s="1"/>
      <c r="V36" s="1"/>
      <c r="W36" s="50" t="s">
        <v>5</v>
      </c>
      <c r="X36" s="14" t="e">
        <f>_xll.qlAbcdCalibrationD(X$29,X$32)</f>
        <v>#VALUE!</v>
      </c>
      <c r="Y36" s="1"/>
      <c r="Z36" s="1"/>
      <c r="AA36" s="50" t="s">
        <v>5</v>
      </c>
      <c r="AB36" s="14" t="e">
        <f>_xll.qlAbcdCalibrationD(AB$29,AB$32)</f>
        <v>#VALUE!</v>
      </c>
      <c r="AC36" s="1"/>
      <c r="AD36" s="1"/>
      <c r="AE36" s="50" t="s">
        <v>5</v>
      </c>
      <c r="AF36" s="14" t="e">
        <f>_xll.qlAbcdCalibrationD(AF$29,AF$32)</f>
        <v>#VALUE!</v>
      </c>
      <c r="AG36" s="1"/>
      <c r="AH36" s="1"/>
      <c r="AI36" s="50" t="s">
        <v>5</v>
      </c>
      <c r="AJ36" s="14" t="e">
        <f>_xll.qlAbcdCalibrationD(AJ$29,AJ$32)</f>
        <v>#VALUE!</v>
      </c>
      <c r="AK36" s="1"/>
      <c r="AL36" s="1"/>
      <c r="AM36" s="50" t="s">
        <v>5</v>
      </c>
      <c r="AN36" s="14" t="e">
        <f>_xll.qlAbcdCalibrationD(AN$29,AN$32)</f>
        <v>#VALUE!</v>
      </c>
      <c r="AO36" s="1"/>
      <c r="AP36" s="1"/>
      <c r="AQ36" s="50" t="s">
        <v>5</v>
      </c>
      <c r="AR36" s="14" t="e">
        <f>_xll.qlAbcdCalibrationD(AR$29,AR$32)</f>
        <v>#VALUE!</v>
      </c>
      <c r="AS36" s="1"/>
      <c r="AT36" s="1"/>
      <c r="AU36" s="50" t="s">
        <v>5</v>
      </c>
      <c r="AV36" s="14" t="e">
        <f>_xll.qlAbcdCalibrationD(AV$29,AV$32)</f>
        <v>#VALUE!</v>
      </c>
      <c r="AW36" s="1"/>
      <c r="AX36" s="1"/>
      <c r="AY36" s="50" t="s">
        <v>5</v>
      </c>
      <c r="AZ36" s="14" t="e">
        <f>_xll.qlAbcdCalibrationD(AZ$29,AZ$32)</f>
        <v>#VALUE!</v>
      </c>
      <c r="BA36" s="1"/>
      <c r="BB36" s="1"/>
      <c r="BC36" s="50" t="s">
        <v>5</v>
      </c>
      <c r="BD36" s="14" t="e">
        <f>_xll.qlAbcdCalibrationD(BD$29,BD$32)</f>
        <v>#VALUE!</v>
      </c>
      <c r="BE36" s="1"/>
      <c r="BF36" s="1"/>
      <c r="BG36" s="50" t="s">
        <v>5</v>
      </c>
      <c r="BH36" s="14" t="e">
        <f>_xll.qlAbcdCalibrationD(BH$29,BH$32)</f>
        <v>#VALUE!</v>
      </c>
      <c r="BI36" s="1"/>
      <c r="BJ36" s="1"/>
      <c r="BK36" s="50" t="s">
        <v>5</v>
      </c>
      <c r="BL36" s="14" t="e">
        <f>_xll.qlAbcdCalibrationD(BL$29,BL$32)</f>
        <v>#VALUE!</v>
      </c>
      <c r="BM36" s="1"/>
      <c r="BN36" s="1"/>
      <c r="BO36" s="50" t="s">
        <v>5</v>
      </c>
      <c r="BP36" s="14" t="e">
        <f>_xll.qlAbcdCalibrationD(BP$29,BP$32)</f>
        <v>#VALUE!</v>
      </c>
      <c r="BQ36" s="1"/>
      <c r="BR36" s="1"/>
      <c r="BS36" s="50" t="s">
        <v>5</v>
      </c>
      <c r="BT36" s="14" t="e">
        <f>_xll.qlAbcdCalibrationD(BT$29,BT$32)</f>
        <v>#VALUE!</v>
      </c>
      <c r="BU36" s="1"/>
      <c r="BV36" s="1"/>
      <c r="BW36" s="50" t="s">
        <v>5</v>
      </c>
      <c r="BX36" s="14" t="e">
        <f>_xll.qlAbcdCalibrationD(BX$29,BX$32)</f>
        <v>#VALUE!</v>
      </c>
      <c r="BY36" s="1"/>
      <c r="BZ36" s="1"/>
      <c r="CA36" s="50" t="s">
        <v>5</v>
      </c>
      <c r="CB36" s="14" t="e">
        <f>_xll.qlAbcdCalibrationD(CB$29,CB$32)</f>
        <v>#VALUE!</v>
      </c>
      <c r="CC36" s="1"/>
      <c r="CD36" s="1"/>
      <c r="CE36" s="50" t="s">
        <v>5</v>
      </c>
      <c r="CF36" s="14" t="e">
        <f>_xll.qlAbcdCalibrationD(CF$29,CF$32)</f>
        <v>#VALUE!</v>
      </c>
      <c r="CG36" s="1"/>
      <c r="CH36" s="1"/>
      <c r="CI36" s="50" t="s">
        <v>5</v>
      </c>
      <c r="CJ36" s="14" t="e">
        <f>_xll.qlAbcdCalibrationD(CJ$29,CJ$32)</f>
        <v>#VALUE!</v>
      </c>
      <c r="CK36" s="1"/>
      <c r="CL36" s="1"/>
      <c r="CM36" s="50" t="s">
        <v>5</v>
      </c>
      <c r="CN36" s="14" t="e">
        <f>_xll.qlAbcdCalibrationD(CN$29,CN$32)</f>
        <v>#VALUE!</v>
      </c>
      <c r="CO36" s="1"/>
      <c r="CP36" s="1"/>
      <c r="CQ36" s="50" t="s">
        <v>5</v>
      </c>
      <c r="CR36" s="14" t="e">
        <f>_xll.qlAbcdCalibrationD(CR$29,CR$32)</f>
        <v>#VALUE!</v>
      </c>
      <c r="CS36" s="1"/>
      <c r="CT36" s="1"/>
      <c r="CU36" s="50" t="s">
        <v>5</v>
      </c>
      <c r="CV36" s="14" t="e">
        <f>_xll.qlAbcdCalibrationD(CV$29,CV$32)</f>
        <v>#VALUE!</v>
      </c>
      <c r="CW36" s="1"/>
      <c r="CX36" s="1"/>
      <c r="CY36" s="50" t="s">
        <v>5</v>
      </c>
      <c r="CZ36" s="14" t="e">
        <f>_xll.qlAbcdCalibrationD(CZ$29,CZ$32)</f>
        <v>#VALUE!</v>
      </c>
      <c r="DA36" s="1"/>
      <c r="DB36" s="1"/>
      <c r="DC36" s="50" t="s">
        <v>5</v>
      </c>
      <c r="DD36" s="14" t="e">
        <f>_xll.qlAbcdCalibrationD(DD$29,DD$32)</f>
        <v>#VALUE!</v>
      </c>
      <c r="DE36" s="1"/>
      <c r="DF36" s="1"/>
      <c r="DG36" s="50" t="s">
        <v>5</v>
      </c>
      <c r="DH36" s="14" t="e">
        <f>_xll.qlAbcdCalibrationD(DH$29,DH$32)</f>
        <v>#VALUE!</v>
      </c>
      <c r="DI36" s="1"/>
      <c r="DJ36" s="1"/>
      <c r="DK36" s="50" t="s">
        <v>5</v>
      </c>
      <c r="DL36" s="14" t="e">
        <f>_xll.qlAbcdCalibrationD(DL$29,DL$32)</f>
        <v>#VALUE!</v>
      </c>
      <c r="DM36" s="1"/>
      <c r="DN36" s="1"/>
      <c r="DO36" s="50" t="s">
        <v>5</v>
      </c>
      <c r="DP36" s="14" t="e">
        <f>_xll.qlAbcdCalibrationD(DP$29,DP$32)</f>
        <v>#VALUE!</v>
      </c>
      <c r="DQ36" s="1"/>
    </row>
    <row r="37" spans="1:121" x14ac:dyDescent="0.2">
      <c r="C37" s="49" t="s">
        <v>6</v>
      </c>
      <c r="D37" s="13" t="e">
        <f>_xll.qlAbcdFunction(C37&amp;"_"&amp;C47,D33,D34,D35,D36,Permanent,D31,ObjectOverwrite)</f>
        <v>#NUM!</v>
      </c>
      <c r="E37" s="6"/>
      <c r="F37" s="1"/>
      <c r="G37" s="49" t="s">
        <v>6</v>
      </c>
      <c r="H37" s="13" t="e">
        <f>_xll.qlAbcdFunction(G37&amp;"_"&amp;G47,H33,H34,H35,H36,Permanent,H31,ObjectOverwrite)</f>
        <v>#NUM!</v>
      </c>
      <c r="I37" s="1"/>
      <c r="J37" s="1"/>
      <c r="K37" s="49" t="s">
        <v>6</v>
      </c>
      <c r="L37" s="13" t="e">
        <f>_xll.qlAbcdFunction(K37&amp;"_"&amp;K47,L33,L34,L35,L36,Permanent,L31,ObjectOverwrite)</f>
        <v>#NUM!</v>
      </c>
      <c r="M37" s="1"/>
      <c r="N37" s="1"/>
      <c r="O37" s="49" t="s">
        <v>6</v>
      </c>
      <c r="P37" s="13" t="e">
        <f>_xll.qlAbcdFunction(O37&amp;"_"&amp;O47,P33,P34,P35,P36,Permanent,P31,ObjectOverwrite)</f>
        <v>#NUM!</v>
      </c>
      <c r="Q37" s="1"/>
      <c r="R37" s="1"/>
      <c r="S37" s="49" t="s">
        <v>6</v>
      </c>
      <c r="T37" s="13" t="e">
        <f>_xll.qlAbcdFunction(S37&amp;"_"&amp;S47,T33,T34,T35,T36,Permanent,T31,ObjectOverwrite)</f>
        <v>#NUM!</v>
      </c>
      <c r="U37" s="1"/>
      <c r="V37" s="1"/>
      <c r="W37" s="49" t="s">
        <v>6</v>
      </c>
      <c r="X37" s="13" t="e">
        <f>_xll.qlAbcdFunction(W37&amp;"_"&amp;W47,X33,X34,X35,X36,Permanent,X31,ObjectOverwrite)</f>
        <v>#NUM!</v>
      </c>
      <c r="Y37" s="1"/>
      <c r="Z37" s="1"/>
      <c r="AA37" s="49" t="s">
        <v>6</v>
      </c>
      <c r="AB37" s="13" t="e">
        <f>_xll.qlAbcdFunction(AA37&amp;"_"&amp;AA47,AB33,AB34,AB35,AB36,Permanent,AB31,ObjectOverwrite)</f>
        <v>#NUM!</v>
      </c>
      <c r="AC37" s="1"/>
      <c r="AD37" s="1"/>
      <c r="AE37" s="49" t="s">
        <v>6</v>
      </c>
      <c r="AF37" s="13" t="e">
        <f>_xll.qlAbcdFunction(AE37&amp;"_"&amp;AE47,AF33,AF34,AF35,AF36,Permanent,AF31,ObjectOverwrite)</f>
        <v>#NUM!</v>
      </c>
      <c r="AG37" s="1"/>
      <c r="AH37" s="1"/>
      <c r="AI37" s="49" t="s">
        <v>6</v>
      </c>
      <c r="AJ37" s="13" t="e">
        <f>_xll.qlAbcdFunction(AI37&amp;"_"&amp;AI47,AJ33,AJ34,AJ35,AJ36,Permanent,AJ31,ObjectOverwrite)</f>
        <v>#NUM!</v>
      </c>
      <c r="AK37" s="1"/>
      <c r="AL37" s="1"/>
      <c r="AM37" s="49" t="s">
        <v>6</v>
      </c>
      <c r="AN37" s="13" t="e">
        <f>_xll.qlAbcdFunction(AM37&amp;"_"&amp;AM47,AN33,AN34,AN35,AN36,Permanent,AN31,ObjectOverwrite)</f>
        <v>#NUM!</v>
      </c>
      <c r="AO37" s="1"/>
      <c r="AP37" s="1"/>
      <c r="AQ37" s="49" t="s">
        <v>6</v>
      </c>
      <c r="AR37" s="13" t="e">
        <f>_xll.qlAbcdFunction(AQ37&amp;"_"&amp;AQ47,AR33,AR34,AR35,AR36,Permanent,AR31,ObjectOverwrite)</f>
        <v>#NUM!</v>
      </c>
      <c r="AS37" s="1"/>
      <c r="AT37" s="1"/>
      <c r="AU37" s="49" t="s">
        <v>6</v>
      </c>
      <c r="AV37" s="13" t="e">
        <f>_xll.qlAbcdFunction(AU37&amp;"_"&amp;AU47,AV33,AV34,AV35,AV36,Permanent,AV31,ObjectOverwrite)</f>
        <v>#NUM!</v>
      </c>
      <c r="AW37" s="1"/>
      <c r="AX37" s="1"/>
      <c r="AY37" s="49" t="s">
        <v>6</v>
      </c>
      <c r="AZ37" s="13" t="e">
        <f>_xll.qlAbcdFunction(AY37&amp;"_"&amp;AY47,AZ33,AZ34,AZ35,AZ36,Permanent,AZ31,ObjectOverwrite)</f>
        <v>#NUM!</v>
      </c>
      <c r="BA37" s="1"/>
      <c r="BB37" s="1"/>
      <c r="BC37" s="49" t="s">
        <v>6</v>
      </c>
      <c r="BD37" s="13" t="e">
        <f>_xll.qlAbcdFunction(BC37&amp;"_"&amp;BC47,BD33,BD34,BD35,BD36,Permanent,BD31,ObjectOverwrite)</f>
        <v>#NUM!</v>
      </c>
      <c r="BE37" s="1"/>
      <c r="BF37" s="1"/>
      <c r="BG37" s="49" t="s">
        <v>6</v>
      </c>
      <c r="BH37" s="13" t="e">
        <f>_xll.qlAbcdFunction(BG37&amp;"_"&amp;BG47,BH33,BH34,BH35,BH36,Permanent,BH31,ObjectOverwrite)</f>
        <v>#NUM!</v>
      </c>
      <c r="BI37" s="1"/>
      <c r="BJ37" s="1"/>
      <c r="BK37" s="49" t="s">
        <v>6</v>
      </c>
      <c r="BL37" s="13" t="e">
        <f>_xll.qlAbcdFunction(BK37&amp;"_"&amp;BK47,BL33,BL34,BL35,BL36,Permanent,BL31,ObjectOverwrite)</f>
        <v>#NUM!</v>
      </c>
      <c r="BM37" s="1"/>
      <c r="BN37" s="1"/>
      <c r="BO37" s="49" t="s">
        <v>6</v>
      </c>
      <c r="BP37" s="13" t="e">
        <f>_xll.qlAbcdFunction(BO37&amp;"_"&amp;BO47,BP33,BP34,BP35,BP36,Permanent,BP31,ObjectOverwrite)</f>
        <v>#NUM!</v>
      </c>
      <c r="BQ37" s="1"/>
      <c r="BR37" s="1"/>
      <c r="BS37" s="49" t="s">
        <v>6</v>
      </c>
      <c r="BT37" s="13" t="e">
        <f>_xll.qlAbcdFunction(BS37&amp;"_"&amp;BS47,BT33,BT34,BT35,BT36,Permanent,BT31,ObjectOverwrite)</f>
        <v>#NUM!</v>
      </c>
      <c r="BU37" s="1"/>
      <c r="BV37" s="1"/>
      <c r="BW37" s="49" t="s">
        <v>6</v>
      </c>
      <c r="BX37" s="13" t="e">
        <f>_xll.qlAbcdFunction(BW37&amp;"_"&amp;BW47,BX33,BX34,BX35,BX36,Permanent,BX31,ObjectOverwrite)</f>
        <v>#NUM!</v>
      </c>
      <c r="BY37" s="1"/>
      <c r="BZ37" s="1"/>
      <c r="CA37" s="49" t="s">
        <v>6</v>
      </c>
      <c r="CB37" s="13" t="e">
        <f>_xll.qlAbcdFunction(CA37&amp;"_"&amp;CA47,CB33,CB34,CB35,CB36,Permanent,CB31,ObjectOverwrite)</f>
        <v>#NUM!</v>
      </c>
      <c r="CC37" s="1"/>
      <c r="CD37" s="1"/>
      <c r="CE37" s="49" t="s">
        <v>6</v>
      </c>
      <c r="CF37" s="13" t="e">
        <f>_xll.qlAbcdFunction(CE37&amp;"_"&amp;CE47,CF33,CF34,CF35,CF36,Permanent,CF31,ObjectOverwrite)</f>
        <v>#NUM!</v>
      </c>
      <c r="CG37" s="1"/>
      <c r="CH37" s="1"/>
      <c r="CI37" s="49" t="s">
        <v>6</v>
      </c>
      <c r="CJ37" s="13" t="e">
        <f>_xll.qlAbcdFunction(CI37&amp;"_"&amp;CI47,CJ33,CJ34,CJ35,CJ36,Permanent,CJ31,ObjectOverwrite)</f>
        <v>#NUM!</v>
      </c>
      <c r="CK37" s="1"/>
      <c r="CL37" s="1"/>
      <c r="CM37" s="49" t="s">
        <v>6</v>
      </c>
      <c r="CN37" s="13" t="e">
        <f>_xll.qlAbcdFunction(CM37&amp;"_"&amp;CM47,CN33,CN34,CN35,CN36,Permanent,CN31,ObjectOverwrite)</f>
        <v>#NUM!</v>
      </c>
      <c r="CO37" s="1"/>
      <c r="CP37" s="1"/>
      <c r="CQ37" s="49" t="s">
        <v>6</v>
      </c>
      <c r="CR37" s="13" t="e">
        <f>_xll.qlAbcdFunction(CQ37&amp;"_"&amp;CQ47,CR33,CR34,CR35,CR36,Permanent,CR31,ObjectOverwrite)</f>
        <v>#NUM!</v>
      </c>
      <c r="CS37" s="1"/>
      <c r="CT37" s="1"/>
      <c r="CU37" s="49" t="s">
        <v>6</v>
      </c>
      <c r="CV37" s="13" t="e">
        <f>_xll.qlAbcdFunction(CU37&amp;"_"&amp;CU47,CV33,CV34,CV35,CV36,Permanent,CV31,ObjectOverwrite)</f>
        <v>#NUM!</v>
      </c>
      <c r="CW37" s="1"/>
      <c r="CX37" s="1"/>
      <c r="CY37" s="49" t="s">
        <v>6</v>
      </c>
      <c r="CZ37" s="13" t="e">
        <f>_xll.qlAbcdFunction(CY37&amp;"_"&amp;CY47,CZ33,CZ34,CZ35,CZ36,Permanent,CZ31,ObjectOverwrite)</f>
        <v>#NUM!</v>
      </c>
      <c r="DA37" s="1"/>
      <c r="DB37" s="1"/>
      <c r="DC37" s="49" t="s">
        <v>6</v>
      </c>
      <c r="DD37" s="13" t="e">
        <f>_xll.qlAbcdFunction(DC37&amp;"_"&amp;DC47,DD33,DD34,DD35,DD36,Permanent,DD31,ObjectOverwrite)</f>
        <v>#NUM!</v>
      </c>
      <c r="DE37" s="1"/>
      <c r="DF37" s="1"/>
      <c r="DG37" s="49" t="s">
        <v>6</v>
      </c>
      <c r="DH37" s="13" t="e">
        <f>_xll.qlAbcdFunction(DG37&amp;"_"&amp;DG47,DH33,DH34,DH35,DH36,Permanent,DH31,ObjectOverwrite)</f>
        <v>#NUM!</v>
      </c>
      <c r="DI37" s="1"/>
      <c r="DJ37" s="1"/>
      <c r="DK37" s="49" t="s">
        <v>6</v>
      </c>
      <c r="DL37" s="13" t="e">
        <f>_xll.qlAbcdFunction(DK37&amp;"_"&amp;DK47,DL33,DL34,DL35,DL36,Permanent,DL31,ObjectOverwrite)</f>
        <v>#NUM!</v>
      </c>
      <c r="DM37" s="1"/>
      <c r="DN37" s="1"/>
      <c r="DO37" s="49" t="s">
        <v>6</v>
      </c>
      <c r="DP37" s="13" t="e">
        <f>_xll.qlAbcdFunction(DO37&amp;"_"&amp;DO47,DP33,DP34,DP35,DP36,Permanent,DP31,ObjectOverwrite)</f>
        <v>#NUM!</v>
      </c>
      <c r="DQ37" s="1"/>
    </row>
    <row r="38" spans="1:121" x14ac:dyDescent="0.2">
      <c r="C38" s="49" t="s">
        <v>8</v>
      </c>
      <c r="D38" s="31" t="e">
        <f>_xll.qlAbcdCalibrationError(D$29,D$32)</f>
        <v>#VALUE!</v>
      </c>
      <c r="E38" s="6"/>
      <c r="F38" s="1"/>
      <c r="G38" s="49" t="s">
        <v>8</v>
      </c>
      <c r="H38" s="31" t="e">
        <f>_xll.qlAbcdCalibrationError(H$29,H$32)</f>
        <v>#VALUE!</v>
      </c>
      <c r="I38" s="1"/>
      <c r="J38" s="1"/>
      <c r="K38" s="49" t="s">
        <v>8</v>
      </c>
      <c r="L38" s="31" t="e">
        <f>_xll.qlAbcdCalibrationError(L$29,L$32)</f>
        <v>#VALUE!</v>
      </c>
      <c r="M38" s="1"/>
      <c r="N38" s="1"/>
      <c r="O38" s="49" t="s">
        <v>8</v>
      </c>
      <c r="P38" s="31" t="e">
        <f>_xll.qlAbcdCalibrationError(P$29,P$32)</f>
        <v>#VALUE!</v>
      </c>
      <c r="Q38" s="1"/>
      <c r="R38" s="1"/>
      <c r="S38" s="49" t="s">
        <v>8</v>
      </c>
      <c r="T38" s="31" t="e">
        <f>_xll.qlAbcdCalibrationError(T$29,T$32)</f>
        <v>#VALUE!</v>
      </c>
      <c r="U38" s="1"/>
      <c r="V38" s="1"/>
      <c r="W38" s="49" t="s">
        <v>8</v>
      </c>
      <c r="X38" s="31" t="e">
        <f>_xll.qlAbcdCalibrationError(X$29,X$32)</f>
        <v>#VALUE!</v>
      </c>
      <c r="Y38" s="1"/>
      <c r="Z38" s="1"/>
      <c r="AA38" s="49" t="s">
        <v>8</v>
      </c>
      <c r="AB38" s="31" t="e">
        <f>_xll.qlAbcdCalibrationError(AB$29,AB$32)</f>
        <v>#VALUE!</v>
      </c>
      <c r="AC38" s="1"/>
      <c r="AD38" s="1"/>
      <c r="AE38" s="49" t="s">
        <v>8</v>
      </c>
      <c r="AF38" s="31" t="e">
        <f>_xll.qlAbcdCalibrationError(AF$29,AF$32)</f>
        <v>#VALUE!</v>
      </c>
      <c r="AG38" s="1"/>
      <c r="AH38" s="1"/>
      <c r="AI38" s="49" t="s">
        <v>8</v>
      </c>
      <c r="AJ38" s="31" t="e">
        <f>_xll.qlAbcdCalibrationError(AJ$29,AJ$32)</f>
        <v>#VALUE!</v>
      </c>
      <c r="AK38" s="1"/>
      <c r="AL38" s="1"/>
      <c r="AM38" s="49" t="s">
        <v>8</v>
      </c>
      <c r="AN38" s="31" t="e">
        <f>_xll.qlAbcdCalibrationError(AN$29,AN$32)</f>
        <v>#VALUE!</v>
      </c>
      <c r="AO38" s="1"/>
      <c r="AP38" s="1"/>
      <c r="AQ38" s="49" t="s">
        <v>8</v>
      </c>
      <c r="AR38" s="31" t="e">
        <f>_xll.qlAbcdCalibrationError(AR$29,AR$32)</f>
        <v>#VALUE!</v>
      </c>
      <c r="AS38" s="1"/>
      <c r="AT38" s="1"/>
      <c r="AU38" s="49" t="s">
        <v>8</v>
      </c>
      <c r="AV38" s="31" t="e">
        <f>_xll.qlAbcdCalibrationError(AV$29,AV$32)</f>
        <v>#VALUE!</v>
      </c>
      <c r="AW38" s="1"/>
      <c r="AX38" s="1"/>
      <c r="AY38" s="49" t="s">
        <v>8</v>
      </c>
      <c r="AZ38" s="31" t="e">
        <f>_xll.qlAbcdCalibrationError(AZ$29,AZ$32)</f>
        <v>#VALUE!</v>
      </c>
      <c r="BA38" s="1"/>
      <c r="BB38" s="1"/>
      <c r="BC38" s="49" t="s">
        <v>8</v>
      </c>
      <c r="BD38" s="31" t="e">
        <f>_xll.qlAbcdCalibrationError(BD$29,BD$32)</f>
        <v>#VALUE!</v>
      </c>
      <c r="BE38" s="1"/>
      <c r="BF38" s="1"/>
      <c r="BG38" s="49" t="s">
        <v>8</v>
      </c>
      <c r="BH38" s="31" t="e">
        <f>_xll.qlAbcdCalibrationError(BH$29,BH$32)</f>
        <v>#VALUE!</v>
      </c>
      <c r="BI38" s="1"/>
      <c r="BJ38" s="1"/>
      <c r="BK38" s="49" t="s">
        <v>8</v>
      </c>
      <c r="BL38" s="31" t="e">
        <f>_xll.qlAbcdCalibrationError(BL$29,BL$32)</f>
        <v>#VALUE!</v>
      </c>
      <c r="BM38" s="1"/>
      <c r="BN38" s="1"/>
      <c r="BO38" s="49" t="s">
        <v>8</v>
      </c>
      <c r="BP38" s="31" t="e">
        <f>_xll.qlAbcdCalibrationError(BP$29,BP$32)</f>
        <v>#VALUE!</v>
      </c>
      <c r="BQ38" s="1"/>
      <c r="BR38" s="1"/>
      <c r="BS38" s="49" t="s">
        <v>8</v>
      </c>
      <c r="BT38" s="31" t="e">
        <f>_xll.qlAbcdCalibrationError(BT$29,BT$32)</f>
        <v>#VALUE!</v>
      </c>
      <c r="BU38" s="1"/>
      <c r="BV38" s="1"/>
      <c r="BW38" s="49" t="s">
        <v>8</v>
      </c>
      <c r="BX38" s="31" t="e">
        <f>_xll.qlAbcdCalibrationError(BX$29,BX$32)</f>
        <v>#VALUE!</v>
      </c>
      <c r="BY38" s="1"/>
      <c r="BZ38" s="1"/>
      <c r="CA38" s="49" t="s">
        <v>8</v>
      </c>
      <c r="CB38" s="31" t="e">
        <f>_xll.qlAbcdCalibrationError(CB$29,CB$32)</f>
        <v>#VALUE!</v>
      </c>
      <c r="CC38" s="1"/>
      <c r="CD38" s="1"/>
      <c r="CE38" s="49" t="s">
        <v>8</v>
      </c>
      <c r="CF38" s="31" t="e">
        <f>_xll.qlAbcdCalibrationError(CF$29,CF$32)</f>
        <v>#VALUE!</v>
      </c>
      <c r="CG38" s="1"/>
      <c r="CH38" s="1"/>
      <c r="CI38" s="49" t="s">
        <v>8</v>
      </c>
      <c r="CJ38" s="31" t="e">
        <f>_xll.qlAbcdCalibrationError(CJ$29,CJ$32)</f>
        <v>#VALUE!</v>
      </c>
      <c r="CK38" s="1"/>
      <c r="CL38" s="1"/>
      <c r="CM38" s="49" t="s">
        <v>8</v>
      </c>
      <c r="CN38" s="31" t="e">
        <f>_xll.qlAbcdCalibrationError(CN$29,CN$32)</f>
        <v>#VALUE!</v>
      </c>
      <c r="CO38" s="1"/>
      <c r="CP38" s="1"/>
      <c r="CQ38" s="49" t="s">
        <v>8</v>
      </c>
      <c r="CR38" s="31" t="e">
        <f>_xll.qlAbcdCalibrationError(CR$29,CR$32)</f>
        <v>#VALUE!</v>
      </c>
      <c r="CS38" s="1"/>
      <c r="CT38" s="1"/>
      <c r="CU38" s="49" t="s">
        <v>8</v>
      </c>
      <c r="CV38" s="31" t="e">
        <f>_xll.qlAbcdCalibrationError(CV$29,CV$32)</f>
        <v>#VALUE!</v>
      </c>
      <c r="CW38" s="1"/>
      <c r="CX38" s="1"/>
      <c r="CY38" s="49" t="s">
        <v>8</v>
      </c>
      <c r="CZ38" s="31" t="e">
        <f>_xll.qlAbcdCalibrationError(CZ$29,CZ$32)</f>
        <v>#VALUE!</v>
      </c>
      <c r="DA38" s="1"/>
      <c r="DB38" s="1"/>
      <c r="DC38" s="49" t="s">
        <v>8</v>
      </c>
      <c r="DD38" s="31" t="e">
        <f>_xll.qlAbcdCalibrationError(DD$29,DD$32)</f>
        <v>#VALUE!</v>
      </c>
      <c r="DE38" s="1"/>
      <c r="DF38" s="1"/>
      <c r="DG38" s="49" t="s">
        <v>8</v>
      </c>
      <c r="DH38" s="31" t="e">
        <f>_xll.qlAbcdCalibrationError(DH$29,DH$32)</f>
        <v>#VALUE!</v>
      </c>
      <c r="DI38" s="1"/>
      <c r="DJ38" s="1"/>
      <c r="DK38" s="49" t="s">
        <v>8</v>
      </c>
      <c r="DL38" s="31" t="e">
        <f>_xll.qlAbcdCalibrationError(DL$29,DL$32)</f>
        <v>#VALUE!</v>
      </c>
      <c r="DM38" s="1"/>
      <c r="DN38" s="1"/>
      <c r="DO38" s="49" t="s">
        <v>8</v>
      </c>
      <c r="DP38" s="31" t="e">
        <f>_xll.qlAbcdCalibrationError(DP$29,DP$32)</f>
        <v>#VALUE!</v>
      </c>
      <c r="DQ38" s="1"/>
    </row>
    <row r="39" spans="1:121" x14ac:dyDescent="0.2">
      <c r="C39" s="49" t="s">
        <v>9</v>
      </c>
      <c r="D39" s="31" t="e">
        <f>_xll.qlAbcdCalibrationMaxError(D$29,D$32)</f>
        <v>#VALUE!</v>
      </c>
      <c r="E39" s="6"/>
      <c r="F39" s="1"/>
      <c r="G39" s="49" t="s">
        <v>9</v>
      </c>
      <c r="H39" s="31" t="e">
        <f>_xll.qlAbcdCalibrationMaxError(H$29,H$32)</f>
        <v>#VALUE!</v>
      </c>
      <c r="I39" s="1"/>
      <c r="J39" s="1"/>
      <c r="K39" s="49" t="s">
        <v>9</v>
      </c>
      <c r="L39" s="31" t="e">
        <f>_xll.qlAbcdCalibrationMaxError(L$29,L$32)</f>
        <v>#VALUE!</v>
      </c>
      <c r="M39" s="1"/>
      <c r="N39" s="1"/>
      <c r="O39" s="49" t="s">
        <v>9</v>
      </c>
      <c r="P39" s="31" t="e">
        <f>_xll.qlAbcdCalibrationMaxError(P$29,P$32)</f>
        <v>#VALUE!</v>
      </c>
      <c r="Q39" s="1"/>
      <c r="R39" s="1"/>
      <c r="S39" s="49" t="s">
        <v>9</v>
      </c>
      <c r="T39" s="31" t="e">
        <f>_xll.qlAbcdCalibrationMaxError(T$29,T$32)</f>
        <v>#VALUE!</v>
      </c>
      <c r="U39" s="1"/>
      <c r="V39" s="1"/>
      <c r="W39" s="49" t="s">
        <v>9</v>
      </c>
      <c r="X39" s="31" t="e">
        <f>_xll.qlAbcdCalibrationMaxError(X$29,X$32)</f>
        <v>#VALUE!</v>
      </c>
      <c r="Y39" s="1"/>
      <c r="Z39" s="1"/>
      <c r="AA39" s="49" t="s">
        <v>9</v>
      </c>
      <c r="AB39" s="31" t="e">
        <f>_xll.qlAbcdCalibrationMaxError(AB$29,AB$32)</f>
        <v>#VALUE!</v>
      </c>
      <c r="AC39" s="1"/>
      <c r="AD39" s="1"/>
      <c r="AE39" s="49" t="s">
        <v>9</v>
      </c>
      <c r="AF39" s="31" t="e">
        <f>_xll.qlAbcdCalibrationMaxError(AF$29,AF$32)</f>
        <v>#VALUE!</v>
      </c>
      <c r="AG39" s="1"/>
      <c r="AH39" s="1"/>
      <c r="AI39" s="49" t="s">
        <v>9</v>
      </c>
      <c r="AJ39" s="31" t="e">
        <f>_xll.qlAbcdCalibrationMaxError(AJ$29,AJ$32)</f>
        <v>#VALUE!</v>
      </c>
      <c r="AK39" s="1"/>
      <c r="AL39" s="1"/>
      <c r="AM39" s="49" t="s">
        <v>9</v>
      </c>
      <c r="AN39" s="31" t="e">
        <f>_xll.qlAbcdCalibrationMaxError(AN$29,AN$32)</f>
        <v>#VALUE!</v>
      </c>
      <c r="AO39" s="1"/>
      <c r="AP39" s="1"/>
      <c r="AQ39" s="49" t="s">
        <v>9</v>
      </c>
      <c r="AR39" s="31" t="e">
        <f>_xll.qlAbcdCalibrationMaxError(AR$29,AR$32)</f>
        <v>#VALUE!</v>
      </c>
      <c r="AS39" s="1"/>
      <c r="AT39" s="1"/>
      <c r="AU39" s="49" t="s">
        <v>9</v>
      </c>
      <c r="AV39" s="31" t="e">
        <f>_xll.qlAbcdCalibrationMaxError(AV$29,AV$32)</f>
        <v>#VALUE!</v>
      </c>
      <c r="AW39" s="1"/>
      <c r="AX39" s="1"/>
      <c r="AY39" s="49" t="s">
        <v>9</v>
      </c>
      <c r="AZ39" s="31" t="e">
        <f>_xll.qlAbcdCalibrationMaxError(AZ$29,AZ$32)</f>
        <v>#VALUE!</v>
      </c>
      <c r="BA39" s="1"/>
      <c r="BB39" s="1"/>
      <c r="BC39" s="49" t="s">
        <v>9</v>
      </c>
      <c r="BD39" s="31" t="e">
        <f>_xll.qlAbcdCalibrationMaxError(BD$29,BD$32)</f>
        <v>#VALUE!</v>
      </c>
      <c r="BE39" s="1"/>
      <c r="BF39" s="1"/>
      <c r="BG39" s="49" t="s">
        <v>9</v>
      </c>
      <c r="BH39" s="31" t="e">
        <f>_xll.qlAbcdCalibrationMaxError(BH$29,BH$32)</f>
        <v>#VALUE!</v>
      </c>
      <c r="BI39" s="1"/>
      <c r="BJ39" s="1"/>
      <c r="BK39" s="49" t="s">
        <v>9</v>
      </c>
      <c r="BL39" s="31" t="e">
        <f>_xll.qlAbcdCalibrationMaxError(BL$29,BL$32)</f>
        <v>#VALUE!</v>
      </c>
      <c r="BM39" s="1"/>
      <c r="BN39" s="1"/>
      <c r="BO39" s="49" t="s">
        <v>9</v>
      </c>
      <c r="BP39" s="31" t="e">
        <f>_xll.qlAbcdCalibrationMaxError(BP$29,BP$32)</f>
        <v>#VALUE!</v>
      </c>
      <c r="BQ39" s="1"/>
      <c r="BR39" s="1"/>
      <c r="BS39" s="49" t="s">
        <v>9</v>
      </c>
      <c r="BT39" s="31" t="e">
        <f>_xll.qlAbcdCalibrationMaxError(BT$29,BT$32)</f>
        <v>#VALUE!</v>
      </c>
      <c r="BU39" s="1"/>
      <c r="BV39" s="1"/>
      <c r="BW39" s="49" t="s">
        <v>9</v>
      </c>
      <c r="BX39" s="31" t="e">
        <f>_xll.qlAbcdCalibrationMaxError(BX$29,BX$32)</f>
        <v>#VALUE!</v>
      </c>
      <c r="BY39" s="1"/>
      <c r="BZ39" s="1"/>
      <c r="CA39" s="49" t="s">
        <v>9</v>
      </c>
      <c r="CB39" s="31" t="e">
        <f>_xll.qlAbcdCalibrationMaxError(CB$29,CB$32)</f>
        <v>#VALUE!</v>
      </c>
      <c r="CC39" s="1"/>
      <c r="CD39" s="1"/>
      <c r="CE39" s="49" t="s">
        <v>9</v>
      </c>
      <c r="CF39" s="31" t="e">
        <f>_xll.qlAbcdCalibrationMaxError(CF$29,CF$32)</f>
        <v>#VALUE!</v>
      </c>
      <c r="CG39" s="1"/>
      <c r="CH39" s="1"/>
      <c r="CI39" s="49" t="s">
        <v>9</v>
      </c>
      <c r="CJ39" s="31" t="e">
        <f>_xll.qlAbcdCalibrationMaxError(CJ$29,CJ$32)</f>
        <v>#VALUE!</v>
      </c>
      <c r="CK39" s="1"/>
      <c r="CL39" s="1"/>
      <c r="CM39" s="49" t="s">
        <v>9</v>
      </c>
      <c r="CN39" s="31" t="e">
        <f>_xll.qlAbcdCalibrationMaxError(CN$29,CN$32)</f>
        <v>#VALUE!</v>
      </c>
      <c r="CO39" s="1"/>
      <c r="CP39" s="1"/>
      <c r="CQ39" s="49" t="s">
        <v>9</v>
      </c>
      <c r="CR39" s="31" t="e">
        <f>_xll.qlAbcdCalibrationMaxError(CR$29,CR$32)</f>
        <v>#VALUE!</v>
      </c>
      <c r="CS39" s="1"/>
      <c r="CT39" s="1"/>
      <c r="CU39" s="49" t="s">
        <v>9</v>
      </c>
      <c r="CV39" s="31" t="e">
        <f>_xll.qlAbcdCalibrationMaxError(CV$29,CV$32)</f>
        <v>#VALUE!</v>
      </c>
      <c r="CW39" s="1"/>
      <c r="CX39" s="1"/>
      <c r="CY39" s="49" t="s">
        <v>9</v>
      </c>
      <c r="CZ39" s="31" t="e">
        <f>_xll.qlAbcdCalibrationMaxError(CZ$29,CZ$32)</f>
        <v>#VALUE!</v>
      </c>
      <c r="DA39" s="1"/>
      <c r="DB39" s="1"/>
      <c r="DC39" s="49" t="s">
        <v>9</v>
      </c>
      <c r="DD39" s="31" t="e">
        <f>_xll.qlAbcdCalibrationMaxError(DD$29,DD$32)</f>
        <v>#VALUE!</v>
      </c>
      <c r="DE39" s="1"/>
      <c r="DF39" s="1"/>
      <c r="DG39" s="49" t="s">
        <v>9</v>
      </c>
      <c r="DH39" s="31" t="e">
        <f>_xll.qlAbcdCalibrationMaxError(DH$29,DH$32)</f>
        <v>#VALUE!</v>
      </c>
      <c r="DI39" s="1"/>
      <c r="DJ39" s="1"/>
      <c r="DK39" s="49" t="s">
        <v>9</v>
      </c>
      <c r="DL39" s="31" t="e">
        <f>_xll.qlAbcdCalibrationMaxError(DL$29,DL$32)</f>
        <v>#VALUE!</v>
      </c>
      <c r="DM39" s="1"/>
      <c r="DN39" s="1"/>
      <c r="DO39" s="49" t="s">
        <v>9</v>
      </c>
      <c r="DP39" s="31" t="e">
        <f>_xll.qlAbcdCalibrationMaxError(DP$29,DP$32)</f>
        <v>#VALUE!</v>
      </c>
      <c r="DQ39" s="1"/>
    </row>
    <row r="40" spans="1:121" x14ac:dyDescent="0.2">
      <c r="C40" s="49" t="s">
        <v>10</v>
      </c>
      <c r="D40" s="31" t="e">
        <f>_xll.qlAbcdFunctionShortTermVolatility(D37,D$32)</f>
        <v>#VALUE!</v>
      </c>
      <c r="E40" s="6"/>
      <c r="F40" s="1"/>
      <c r="G40" s="49" t="s">
        <v>10</v>
      </c>
      <c r="H40" s="31" t="e">
        <f>_xll.qlAbcdFunctionShortTermVolatility(H37,H$32)</f>
        <v>#VALUE!</v>
      </c>
      <c r="I40" s="1"/>
      <c r="J40" s="1"/>
      <c r="K40" s="49" t="s">
        <v>10</v>
      </c>
      <c r="L40" s="31" t="e">
        <f>_xll.qlAbcdFunctionShortTermVolatility(L37,L$32)</f>
        <v>#VALUE!</v>
      </c>
      <c r="M40" s="1"/>
      <c r="N40" s="1"/>
      <c r="O40" s="49" t="s">
        <v>10</v>
      </c>
      <c r="P40" s="31" t="e">
        <f>_xll.qlAbcdFunctionShortTermVolatility(P37,P$32)</f>
        <v>#VALUE!</v>
      </c>
      <c r="Q40" s="1"/>
      <c r="R40" s="1"/>
      <c r="S40" s="49" t="s">
        <v>10</v>
      </c>
      <c r="T40" s="31" t="e">
        <f>_xll.qlAbcdFunctionShortTermVolatility(T37,T$32)</f>
        <v>#VALUE!</v>
      </c>
      <c r="U40" s="1"/>
      <c r="V40" s="1"/>
      <c r="W40" s="49" t="s">
        <v>10</v>
      </c>
      <c r="X40" s="31" t="e">
        <f>_xll.qlAbcdFunctionShortTermVolatility(X37,X$32)</f>
        <v>#VALUE!</v>
      </c>
      <c r="Y40" s="1"/>
      <c r="Z40" s="1"/>
      <c r="AA40" s="49" t="s">
        <v>10</v>
      </c>
      <c r="AB40" s="31" t="e">
        <f>_xll.qlAbcdFunctionShortTermVolatility(AB37,AB$32)</f>
        <v>#VALUE!</v>
      </c>
      <c r="AC40" s="1"/>
      <c r="AD40" s="1"/>
      <c r="AE40" s="49" t="s">
        <v>10</v>
      </c>
      <c r="AF40" s="31" t="e">
        <f>_xll.qlAbcdFunctionShortTermVolatility(AF37,AF$32)</f>
        <v>#VALUE!</v>
      </c>
      <c r="AG40" s="1"/>
      <c r="AH40" s="1"/>
      <c r="AI40" s="49" t="s">
        <v>10</v>
      </c>
      <c r="AJ40" s="31" t="e">
        <f>_xll.qlAbcdFunctionShortTermVolatility(AJ37,AJ$32)</f>
        <v>#VALUE!</v>
      </c>
      <c r="AK40" s="1"/>
      <c r="AL40" s="1"/>
      <c r="AM40" s="49" t="s">
        <v>10</v>
      </c>
      <c r="AN40" s="31" t="e">
        <f>_xll.qlAbcdFunctionShortTermVolatility(AN37,AN$32)</f>
        <v>#VALUE!</v>
      </c>
      <c r="AO40" s="1"/>
      <c r="AP40" s="1"/>
      <c r="AQ40" s="49" t="s">
        <v>10</v>
      </c>
      <c r="AR40" s="31" t="e">
        <f>_xll.qlAbcdFunctionShortTermVolatility(AR37,AR$32)</f>
        <v>#VALUE!</v>
      </c>
      <c r="AS40" s="1"/>
      <c r="AT40" s="1"/>
      <c r="AU40" s="49" t="s">
        <v>10</v>
      </c>
      <c r="AV40" s="31" t="e">
        <f>_xll.qlAbcdFunctionShortTermVolatility(AV37,AV$32)</f>
        <v>#VALUE!</v>
      </c>
      <c r="AW40" s="1"/>
      <c r="AX40" s="1"/>
      <c r="AY40" s="49" t="s">
        <v>10</v>
      </c>
      <c r="AZ40" s="31" t="e">
        <f>_xll.qlAbcdFunctionShortTermVolatility(AZ37,AZ$32)</f>
        <v>#VALUE!</v>
      </c>
      <c r="BA40" s="1"/>
      <c r="BB40" s="1"/>
      <c r="BC40" s="49" t="s">
        <v>10</v>
      </c>
      <c r="BD40" s="31" t="e">
        <f>_xll.qlAbcdFunctionShortTermVolatility(BD37,BD$32)</f>
        <v>#VALUE!</v>
      </c>
      <c r="BE40" s="1"/>
      <c r="BF40" s="1"/>
      <c r="BG40" s="49" t="s">
        <v>10</v>
      </c>
      <c r="BH40" s="31" t="e">
        <f>_xll.qlAbcdFunctionShortTermVolatility(BH37,BH$32)</f>
        <v>#VALUE!</v>
      </c>
      <c r="BI40" s="1"/>
      <c r="BJ40" s="1"/>
      <c r="BK40" s="49" t="s">
        <v>10</v>
      </c>
      <c r="BL40" s="31" t="e">
        <f>_xll.qlAbcdFunctionShortTermVolatility(BL37,BL$32)</f>
        <v>#VALUE!</v>
      </c>
      <c r="BM40" s="1"/>
      <c r="BN40" s="1"/>
      <c r="BO40" s="49" t="s">
        <v>10</v>
      </c>
      <c r="BP40" s="31" t="e">
        <f>_xll.qlAbcdFunctionShortTermVolatility(BP37,BP$32)</f>
        <v>#VALUE!</v>
      </c>
      <c r="BQ40" s="1"/>
      <c r="BR40" s="1"/>
      <c r="BS40" s="49" t="s">
        <v>10</v>
      </c>
      <c r="BT40" s="31" t="e">
        <f>_xll.qlAbcdFunctionShortTermVolatility(BT37,BT$32)</f>
        <v>#VALUE!</v>
      </c>
      <c r="BU40" s="1"/>
      <c r="BV40" s="1"/>
      <c r="BW40" s="49" t="s">
        <v>10</v>
      </c>
      <c r="BX40" s="31" t="e">
        <f>_xll.qlAbcdFunctionShortTermVolatility(BX37,BX$32)</f>
        <v>#VALUE!</v>
      </c>
      <c r="BY40" s="1"/>
      <c r="BZ40" s="1"/>
      <c r="CA40" s="49" t="s">
        <v>10</v>
      </c>
      <c r="CB40" s="31" t="e">
        <f>_xll.qlAbcdFunctionShortTermVolatility(CB37,CB$32)</f>
        <v>#VALUE!</v>
      </c>
      <c r="CC40" s="1"/>
      <c r="CD40" s="1"/>
      <c r="CE40" s="49" t="s">
        <v>10</v>
      </c>
      <c r="CF40" s="31" t="e">
        <f>_xll.qlAbcdFunctionShortTermVolatility(CF37,CF$32)</f>
        <v>#VALUE!</v>
      </c>
      <c r="CG40" s="1"/>
      <c r="CH40" s="1"/>
      <c r="CI40" s="49" t="s">
        <v>10</v>
      </c>
      <c r="CJ40" s="31" t="e">
        <f>_xll.qlAbcdFunctionShortTermVolatility(CJ37,CJ$32)</f>
        <v>#VALUE!</v>
      </c>
      <c r="CK40" s="1"/>
      <c r="CL40" s="1"/>
      <c r="CM40" s="49" t="s">
        <v>10</v>
      </c>
      <c r="CN40" s="31" t="e">
        <f>_xll.qlAbcdFunctionShortTermVolatility(CN37,CN$32)</f>
        <v>#VALUE!</v>
      </c>
      <c r="CO40" s="1"/>
      <c r="CP40" s="1"/>
      <c r="CQ40" s="49" t="s">
        <v>10</v>
      </c>
      <c r="CR40" s="31" t="e">
        <f>_xll.qlAbcdFunctionShortTermVolatility(CR37,CR$32)</f>
        <v>#VALUE!</v>
      </c>
      <c r="CS40" s="1"/>
      <c r="CT40" s="1"/>
      <c r="CU40" s="49" t="s">
        <v>10</v>
      </c>
      <c r="CV40" s="31" t="e">
        <f>_xll.qlAbcdFunctionShortTermVolatility(CV37,CV$32)</f>
        <v>#VALUE!</v>
      </c>
      <c r="CW40" s="1"/>
      <c r="CX40" s="1"/>
      <c r="CY40" s="49" t="s">
        <v>10</v>
      </c>
      <c r="CZ40" s="31" t="e">
        <f>_xll.qlAbcdFunctionShortTermVolatility(CZ37,CZ$32)</f>
        <v>#VALUE!</v>
      </c>
      <c r="DA40" s="1"/>
      <c r="DB40" s="1"/>
      <c r="DC40" s="49" t="s">
        <v>10</v>
      </c>
      <c r="DD40" s="31" t="e">
        <f>_xll.qlAbcdFunctionShortTermVolatility(DD37,DD$32)</f>
        <v>#VALUE!</v>
      </c>
      <c r="DE40" s="1"/>
      <c r="DF40" s="1"/>
      <c r="DG40" s="49" t="s">
        <v>10</v>
      </c>
      <c r="DH40" s="31" t="e">
        <f>_xll.qlAbcdFunctionShortTermVolatility(DH37,DH$32)</f>
        <v>#VALUE!</v>
      </c>
      <c r="DI40" s="1"/>
      <c r="DJ40" s="1"/>
      <c r="DK40" s="49" t="s">
        <v>10</v>
      </c>
      <c r="DL40" s="31" t="e">
        <f>_xll.qlAbcdFunctionShortTermVolatility(DL37,DL$32)</f>
        <v>#VALUE!</v>
      </c>
      <c r="DM40" s="1"/>
      <c r="DN40" s="1"/>
      <c r="DO40" s="49" t="s">
        <v>10</v>
      </c>
      <c r="DP40" s="31" t="e">
        <f>_xll.qlAbcdFunctionShortTermVolatility(DP37,DP$32)</f>
        <v>#VALUE!</v>
      </c>
      <c r="DQ40" s="1"/>
    </row>
    <row r="41" spans="1:121" x14ac:dyDescent="0.2">
      <c r="C41" s="49" t="s">
        <v>11</v>
      </c>
      <c r="D41" s="31" t="e">
        <f>_xll.qlAbcdFunctionLongTermVolatility(D37,D$32)</f>
        <v>#VALUE!</v>
      </c>
      <c r="E41" s="6"/>
      <c r="F41" s="1"/>
      <c r="G41" s="49" t="s">
        <v>11</v>
      </c>
      <c r="H41" s="31" t="e">
        <f>_xll.qlAbcdFunctionLongTermVolatility(H37,H$32)</f>
        <v>#VALUE!</v>
      </c>
      <c r="I41" s="1"/>
      <c r="J41" s="1"/>
      <c r="K41" s="49" t="s">
        <v>11</v>
      </c>
      <c r="L41" s="31" t="e">
        <f>_xll.qlAbcdFunctionLongTermVolatility(L37,L$32)</f>
        <v>#VALUE!</v>
      </c>
      <c r="M41" s="1"/>
      <c r="N41" s="1"/>
      <c r="O41" s="49" t="s">
        <v>11</v>
      </c>
      <c r="P41" s="31" t="e">
        <f>_xll.qlAbcdFunctionLongTermVolatility(P37,P$32)</f>
        <v>#VALUE!</v>
      </c>
      <c r="Q41" s="1"/>
      <c r="R41" s="1"/>
      <c r="S41" s="49" t="s">
        <v>11</v>
      </c>
      <c r="T41" s="31" t="e">
        <f>_xll.qlAbcdFunctionLongTermVolatility(T37,T$32)</f>
        <v>#VALUE!</v>
      </c>
      <c r="U41" s="1"/>
      <c r="V41" s="1"/>
      <c r="W41" s="49" t="s">
        <v>11</v>
      </c>
      <c r="X41" s="31" t="e">
        <f>_xll.qlAbcdFunctionLongTermVolatility(X37,X$32)</f>
        <v>#VALUE!</v>
      </c>
      <c r="Y41" s="1"/>
      <c r="Z41" s="1"/>
      <c r="AA41" s="49" t="s">
        <v>11</v>
      </c>
      <c r="AB41" s="31" t="e">
        <f>_xll.qlAbcdFunctionLongTermVolatility(AB37,AB$32)</f>
        <v>#VALUE!</v>
      </c>
      <c r="AC41" s="1"/>
      <c r="AD41" s="1"/>
      <c r="AE41" s="49" t="s">
        <v>11</v>
      </c>
      <c r="AF41" s="31" t="e">
        <f>_xll.qlAbcdFunctionLongTermVolatility(AF37,AF$32)</f>
        <v>#VALUE!</v>
      </c>
      <c r="AG41" s="1"/>
      <c r="AH41" s="1"/>
      <c r="AI41" s="49" t="s">
        <v>11</v>
      </c>
      <c r="AJ41" s="31" t="e">
        <f>_xll.qlAbcdFunctionLongTermVolatility(AJ37,AJ$32)</f>
        <v>#VALUE!</v>
      </c>
      <c r="AK41" s="1"/>
      <c r="AL41" s="1"/>
      <c r="AM41" s="49" t="s">
        <v>11</v>
      </c>
      <c r="AN41" s="31" t="e">
        <f>_xll.qlAbcdFunctionLongTermVolatility(AN37,AN$32)</f>
        <v>#VALUE!</v>
      </c>
      <c r="AO41" s="1"/>
      <c r="AP41" s="1"/>
      <c r="AQ41" s="49" t="s">
        <v>11</v>
      </c>
      <c r="AR41" s="31" t="e">
        <f>_xll.qlAbcdFunctionLongTermVolatility(AR37,AR$32)</f>
        <v>#VALUE!</v>
      </c>
      <c r="AS41" s="1"/>
      <c r="AT41" s="1"/>
      <c r="AU41" s="49" t="s">
        <v>11</v>
      </c>
      <c r="AV41" s="31" t="e">
        <f>_xll.qlAbcdFunctionLongTermVolatility(AV37,AV$32)</f>
        <v>#VALUE!</v>
      </c>
      <c r="AW41" s="1"/>
      <c r="AX41" s="1"/>
      <c r="AY41" s="49" t="s">
        <v>11</v>
      </c>
      <c r="AZ41" s="31" t="e">
        <f>_xll.qlAbcdFunctionLongTermVolatility(AZ37,AZ$32)</f>
        <v>#VALUE!</v>
      </c>
      <c r="BA41" s="1"/>
      <c r="BB41" s="1"/>
      <c r="BC41" s="49" t="s">
        <v>11</v>
      </c>
      <c r="BD41" s="31" t="e">
        <f>_xll.qlAbcdFunctionLongTermVolatility(BD37,BD$32)</f>
        <v>#VALUE!</v>
      </c>
      <c r="BE41" s="1"/>
      <c r="BF41" s="1"/>
      <c r="BG41" s="49" t="s">
        <v>11</v>
      </c>
      <c r="BH41" s="31" t="e">
        <f>_xll.qlAbcdFunctionLongTermVolatility(BH37,BH$32)</f>
        <v>#VALUE!</v>
      </c>
      <c r="BI41" s="1"/>
      <c r="BJ41" s="1"/>
      <c r="BK41" s="49" t="s">
        <v>11</v>
      </c>
      <c r="BL41" s="31" t="e">
        <f>_xll.qlAbcdFunctionLongTermVolatility(BL37,BL$32)</f>
        <v>#VALUE!</v>
      </c>
      <c r="BM41" s="1"/>
      <c r="BN41" s="1"/>
      <c r="BO41" s="49" t="s">
        <v>11</v>
      </c>
      <c r="BP41" s="31" t="e">
        <f>_xll.qlAbcdFunctionLongTermVolatility(BP37,BP$32)</f>
        <v>#VALUE!</v>
      </c>
      <c r="BQ41" s="1"/>
      <c r="BR41" s="1"/>
      <c r="BS41" s="49" t="s">
        <v>11</v>
      </c>
      <c r="BT41" s="31" t="e">
        <f>_xll.qlAbcdFunctionLongTermVolatility(BT37,BT$32)</f>
        <v>#VALUE!</v>
      </c>
      <c r="BU41" s="1"/>
      <c r="BV41" s="1"/>
      <c r="BW41" s="49" t="s">
        <v>11</v>
      </c>
      <c r="BX41" s="31" t="e">
        <f>_xll.qlAbcdFunctionLongTermVolatility(BX37,BX$32)</f>
        <v>#VALUE!</v>
      </c>
      <c r="BY41" s="1"/>
      <c r="BZ41" s="1"/>
      <c r="CA41" s="49" t="s">
        <v>11</v>
      </c>
      <c r="CB41" s="31" t="e">
        <f>_xll.qlAbcdFunctionLongTermVolatility(CB37,CB$32)</f>
        <v>#VALUE!</v>
      </c>
      <c r="CC41" s="1"/>
      <c r="CD41" s="1"/>
      <c r="CE41" s="49" t="s">
        <v>11</v>
      </c>
      <c r="CF41" s="31" t="e">
        <f>_xll.qlAbcdFunctionLongTermVolatility(CF37,CF$32)</f>
        <v>#VALUE!</v>
      </c>
      <c r="CG41" s="1"/>
      <c r="CH41" s="1"/>
      <c r="CI41" s="49" t="s">
        <v>11</v>
      </c>
      <c r="CJ41" s="31" t="e">
        <f>_xll.qlAbcdFunctionLongTermVolatility(CJ37,CJ$32)</f>
        <v>#VALUE!</v>
      </c>
      <c r="CK41" s="1"/>
      <c r="CL41" s="1"/>
      <c r="CM41" s="49" t="s">
        <v>11</v>
      </c>
      <c r="CN41" s="31" t="e">
        <f>_xll.qlAbcdFunctionLongTermVolatility(CN37,CN$32)</f>
        <v>#VALUE!</v>
      </c>
      <c r="CO41" s="1"/>
      <c r="CP41" s="1"/>
      <c r="CQ41" s="49" t="s">
        <v>11</v>
      </c>
      <c r="CR41" s="31" t="e">
        <f>_xll.qlAbcdFunctionLongTermVolatility(CR37,CR$32)</f>
        <v>#VALUE!</v>
      </c>
      <c r="CS41" s="1"/>
      <c r="CT41" s="1"/>
      <c r="CU41" s="49" t="s">
        <v>11</v>
      </c>
      <c r="CV41" s="31" t="e">
        <f>_xll.qlAbcdFunctionLongTermVolatility(CV37,CV$32)</f>
        <v>#VALUE!</v>
      </c>
      <c r="CW41" s="1"/>
      <c r="CX41" s="1"/>
      <c r="CY41" s="49" t="s">
        <v>11</v>
      </c>
      <c r="CZ41" s="31" t="e">
        <f>_xll.qlAbcdFunctionLongTermVolatility(CZ37,CZ$32)</f>
        <v>#VALUE!</v>
      </c>
      <c r="DA41" s="1"/>
      <c r="DB41" s="1"/>
      <c r="DC41" s="49" t="s">
        <v>11</v>
      </c>
      <c r="DD41" s="31" t="e">
        <f>_xll.qlAbcdFunctionLongTermVolatility(DD37,DD$32)</f>
        <v>#VALUE!</v>
      </c>
      <c r="DE41" s="1"/>
      <c r="DF41" s="1"/>
      <c r="DG41" s="49" t="s">
        <v>11</v>
      </c>
      <c r="DH41" s="31" t="e">
        <f>_xll.qlAbcdFunctionLongTermVolatility(DH37,DH$32)</f>
        <v>#VALUE!</v>
      </c>
      <c r="DI41" s="1"/>
      <c r="DJ41" s="1"/>
      <c r="DK41" s="49" t="s">
        <v>11</v>
      </c>
      <c r="DL41" s="31" t="e">
        <f>_xll.qlAbcdFunctionLongTermVolatility(DL37,DL$32)</f>
        <v>#VALUE!</v>
      </c>
      <c r="DM41" s="1"/>
      <c r="DN41" s="1"/>
      <c r="DO41" s="49" t="s">
        <v>11</v>
      </c>
      <c r="DP41" s="31" t="e">
        <f>_xll.qlAbcdFunctionLongTermVolatility(DP37,DP$32)</f>
        <v>#VALUE!</v>
      </c>
      <c r="DQ41" s="1"/>
    </row>
    <row r="42" spans="1:121" x14ac:dyDescent="0.2">
      <c r="C42" s="49" t="s">
        <v>12</v>
      </c>
      <c r="D42" s="31" t="e">
        <f>_xll.qlAbcdFunctionMaximumVolatility(D37,D$32)</f>
        <v>#VALUE!</v>
      </c>
      <c r="E42" s="6"/>
      <c r="F42" s="1"/>
      <c r="G42" s="49" t="s">
        <v>12</v>
      </c>
      <c r="H42" s="31" t="e">
        <f>_xll.qlAbcdFunctionMaximumVolatility(H37,H$32)</f>
        <v>#VALUE!</v>
      </c>
      <c r="I42" s="1"/>
      <c r="J42" s="1"/>
      <c r="K42" s="49" t="s">
        <v>12</v>
      </c>
      <c r="L42" s="31" t="e">
        <f>_xll.qlAbcdFunctionMaximumVolatility(L37,L$32)</f>
        <v>#VALUE!</v>
      </c>
      <c r="M42" s="1"/>
      <c r="N42" s="1"/>
      <c r="O42" s="49" t="s">
        <v>12</v>
      </c>
      <c r="P42" s="31" t="e">
        <f>_xll.qlAbcdFunctionMaximumVolatility(P37,P$32)</f>
        <v>#VALUE!</v>
      </c>
      <c r="Q42" s="1"/>
      <c r="R42" s="1"/>
      <c r="S42" s="49" t="s">
        <v>12</v>
      </c>
      <c r="T42" s="31" t="e">
        <f>_xll.qlAbcdFunctionMaximumVolatility(T37,T$32)</f>
        <v>#VALUE!</v>
      </c>
      <c r="U42" s="1"/>
      <c r="V42" s="1"/>
      <c r="W42" s="49" t="s">
        <v>12</v>
      </c>
      <c r="X42" s="31" t="e">
        <f>_xll.qlAbcdFunctionMaximumVolatility(X37,X$32)</f>
        <v>#VALUE!</v>
      </c>
      <c r="Y42" s="1"/>
      <c r="Z42" s="1"/>
      <c r="AA42" s="49" t="s">
        <v>12</v>
      </c>
      <c r="AB42" s="31" t="e">
        <f>_xll.qlAbcdFunctionMaximumVolatility(AB37,AB$32)</f>
        <v>#VALUE!</v>
      </c>
      <c r="AC42" s="1"/>
      <c r="AD42" s="1"/>
      <c r="AE42" s="49" t="s">
        <v>12</v>
      </c>
      <c r="AF42" s="31" t="e">
        <f>_xll.qlAbcdFunctionMaximumVolatility(AF37,AF$32)</f>
        <v>#VALUE!</v>
      </c>
      <c r="AG42" s="1"/>
      <c r="AH42" s="1"/>
      <c r="AI42" s="49" t="s">
        <v>12</v>
      </c>
      <c r="AJ42" s="31" t="e">
        <f>_xll.qlAbcdFunctionMaximumVolatility(AJ37,AJ$32)</f>
        <v>#VALUE!</v>
      </c>
      <c r="AK42" s="1"/>
      <c r="AL42" s="1"/>
      <c r="AM42" s="49" t="s">
        <v>12</v>
      </c>
      <c r="AN42" s="31" t="e">
        <f>_xll.qlAbcdFunctionMaximumVolatility(AN37,AN$32)</f>
        <v>#VALUE!</v>
      </c>
      <c r="AO42" s="1"/>
      <c r="AP42" s="1"/>
      <c r="AQ42" s="49" t="s">
        <v>12</v>
      </c>
      <c r="AR42" s="31" t="e">
        <f>_xll.qlAbcdFunctionMaximumVolatility(AR37,AR$32)</f>
        <v>#VALUE!</v>
      </c>
      <c r="AS42" s="1"/>
      <c r="AT42" s="1"/>
      <c r="AU42" s="49" t="s">
        <v>12</v>
      </c>
      <c r="AV42" s="31" t="e">
        <f>_xll.qlAbcdFunctionMaximumVolatility(AV37,AV$32)</f>
        <v>#VALUE!</v>
      </c>
      <c r="AW42" s="1"/>
      <c r="AX42" s="1"/>
      <c r="AY42" s="49" t="s">
        <v>12</v>
      </c>
      <c r="AZ42" s="31" t="e">
        <f>_xll.qlAbcdFunctionMaximumVolatility(AZ37,AZ$32)</f>
        <v>#VALUE!</v>
      </c>
      <c r="BA42" s="1"/>
      <c r="BB42" s="1"/>
      <c r="BC42" s="49" t="s">
        <v>12</v>
      </c>
      <c r="BD42" s="31" t="e">
        <f>_xll.qlAbcdFunctionMaximumVolatility(BD37,BD$32)</f>
        <v>#VALUE!</v>
      </c>
      <c r="BE42" s="1"/>
      <c r="BF42" s="1"/>
      <c r="BG42" s="49" t="s">
        <v>12</v>
      </c>
      <c r="BH42" s="31" t="e">
        <f>_xll.qlAbcdFunctionMaximumVolatility(BH37,BH$32)</f>
        <v>#VALUE!</v>
      </c>
      <c r="BI42" s="1"/>
      <c r="BJ42" s="1"/>
      <c r="BK42" s="49" t="s">
        <v>12</v>
      </c>
      <c r="BL42" s="31" t="e">
        <f>_xll.qlAbcdFunctionMaximumVolatility(BL37,BL$32)</f>
        <v>#VALUE!</v>
      </c>
      <c r="BM42" s="1"/>
      <c r="BN42" s="1"/>
      <c r="BO42" s="49" t="s">
        <v>12</v>
      </c>
      <c r="BP42" s="31" t="e">
        <f>_xll.qlAbcdFunctionMaximumVolatility(BP37,BP$32)</f>
        <v>#VALUE!</v>
      </c>
      <c r="BQ42" s="1"/>
      <c r="BR42" s="1"/>
      <c r="BS42" s="49" t="s">
        <v>12</v>
      </c>
      <c r="BT42" s="31" t="e">
        <f>_xll.qlAbcdFunctionMaximumVolatility(BT37,BT$32)</f>
        <v>#VALUE!</v>
      </c>
      <c r="BU42" s="1"/>
      <c r="BV42" s="1"/>
      <c r="BW42" s="49" t="s">
        <v>12</v>
      </c>
      <c r="BX42" s="31" t="e">
        <f>_xll.qlAbcdFunctionMaximumVolatility(BX37,BX$32)</f>
        <v>#VALUE!</v>
      </c>
      <c r="BY42" s="1"/>
      <c r="BZ42" s="1"/>
      <c r="CA42" s="49" t="s">
        <v>12</v>
      </c>
      <c r="CB42" s="31" t="e">
        <f>_xll.qlAbcdFunctionMaximumVolatility(CB37,CB$32)</f>
        <v>#VALUE!</v>
      </c>
      <c r="CC42" s="1"/>
      <c r="CD42" s="1"/>
      <c r="CE42" s="49" t="s">
        <v>12</v>
      </c>
      <c r="CF42" s="31" t="e">
        <f>_xll.qlAbcdFunctionMaximumVolatility(CF37,CF$32)</f>
        <v>#VALUE!</v>
      </c>
      <c r="CG42" s="1"/>
      <c r="CH42" s="1"/>
      <c r="CI42" s="49" t="s">
        <v>12</v>
      </c>
      <c r="CJ42" s="31" t="e">
        <f>_xll.qlAbcdFunctionMaximumVolatility(CJ37,CJ$32)</f>
        <v>#VALUE!</v>
      </c>
      <c r="CK42" s="1"/>
      <c r="CL42" s="1"/>
      <c r="CM42" s="49" t="s">
        <v>12</v>
      </c>
      <c r="CN42" s="31" t="e">
        <f>_xll.qlAbcdFunctionMaximumVolatility(CN37,CN$32)</f>
        <v>#VALUE!</v>
      </c>
      <c r="CO42" s="1"/>
      <c r="CP42" s="1"/>
      <c r="CQ42" s="49" t="s">
        <v>12</v>
      </c>
      <c r="CR42" s="31" t="e">
        <f>_xll.qlAbcdFunctionMaximumVolatility(CR37,CR$32)</f>
        <v>#VALUE!</v>
      </c>
      <c r="CS42" s="1"/>
      <c r="CT42" s="1"/>
      <c r="CU42" s="49" t="s">
        <v>12</v>
      </c>
      <c r="CV42" s="31" t="e">
        <f>_xll.qlAbcdFunctionMaximumVolatility(CV37,CV$32)</f>
        <v>#VALUE!</v>
      </c>
      <c r="CW42" s="1"/>
      <c r="CX42" s="1"/>
      <c r="CY42" s="49" t="s">
        <v>12</v>
      </c>
      <c r="CZ42" s="31" t="e">
        <f>_xll.qlAbcdFunctionMaximumVolatility(CZ37,CZ$32)</f>
        <v>#VALUE!</v>
      </c>
      <c r="DA42" s="1"/>
      <c r="DB42" s="1"/>
      <c r="DC42" s="49" t="s">
        <v>12</v>
      </c>
      <c r="DD42" s="31" t="e">
        <f>_xll.qlAbcdFunctionMaximumVolatility(DD37,DD$32)</f>
        <v>#VALUE!</v>
      </c>
      <c r="DE42" s="1"/>
      <c r="DF42" s="1"/>
      <c r="DG42" s="49" t="s">
        <v>12</v>
      </c>
      <c r="DH42" s="31" t="e">
        <f>_xll.qlAbcdFunctionMaximumVolatility(DH37,DH$32)</f>
        <v>#VALUE!</v>
      </c>
      <c r="DI42" s="1"/>
      <c r="DJ42" s="1"/>
      <c r="DK42" s="49" t="s">
        <v>12</v>
      </c>
      <c r="DL42" s="31" t="e">
        <f>_xll.qlAbcdFunctionMaximumVolatility(DL37,DL$32)</f>
        <v>#VALUE!</v>
      </c>
      <c r="DM42" s="1"/>
      <c r="DN42" s="1"/>
      <c r="DO42" s="49" t="s">
        <v>12</v>
      </c>
      <c r="DP42" s="31" t="e">
        <f>_xll.qlAbcdFunctionMaximumVolatility(DP37,DP$32)</f>
        <v>#VALUE!</v>
      </c>
      <c r="DQ42" s="1"/>
    </row>
    <row r="43" spans="1:121" x14ac:dyDescent="0.2">
      <c r="C43" s="50" t="s">
        <v>13</v>
      </c>
      <c r="D43" s="32" t="e">
        <f>_xll.qlAbcdFunctionMaximumLocation(D37,D$32)</f>
        <v>#VALUE!</v>
      </c>
      <c r="E43" s="6"/>
      <c r="F43" s="1"/>
      <c r="G43" s="50" t="s">
        <v>13</v>
      </c>
      <c r="H43" s="32" t="e">
        <f>_xll.qlAbcdFunctionMaximumLocation(H37,H$32)</f>
        <v>#VALUE!</v>
      </c>
      <c r="I43" s="1"/>
      <c r="J43" s="4"/>
      <c r="K43" s="50" t="s">
        <v>13</v>
      </c>
      <c r="L43" s="32" t="e">
        <f>_xll.qlAbcdFunctionMaximumLocation(L37,L$32)</f>
        <v>#VALUE!</v>
      </c>
      <c r="M43" s="1"/>
      <c r="N43" s="4"/>
      <c r="O43" s="50" t="s">
        <v>13</v>
      </c>
      <c r="P43" s="32" t="e">
        <f>_xll.qlAbcdFunctionMaximumLocation(P37,P$32)</f>
        <v>#VALUE!</v>
      </c>
      <c r="Q43" s="1"/>
      <c r="R43" s="4"/>
      <c r="S43" s="50" t="s">
        <v>13</v>
      </c>
      <c r="T43" s="32" t="e">
        <f>_xll.qlAbcdFunctionMaximumLocation(T37,T$32)</f>
        <v>#VALUE!</v>
      </c>
      <c r="U43" s="1"/>
      <c r="V43" s="4"/>
      <c r="W43" s="50" t="s">
        <v>13</v>
      </c>
      <c r="X43" s="32" t="e">
        <f>_xll.qlAbcdFunctionMaximumLocation(X37,X$32)</f>
        <v>#VALUE!</v>
      </c>
      <c r="Y43" s="1"/>
      <c r="Z43" s="4"/>
      <c r="AA43" s="50" t="s">
        <v>13</v>
      </c>
      <c r="AB43" s="32" t="e">
        <f>_xll.qlAbcdFunctionMaximumLocation(AB37,AB$32)</f>
        <v>#VALUE!</v>
      </c>
      <c r="AC43" s="1"/>
      <c r="AD43" s="4"/>
      <c r="AE43" s="50" t="s">
        <v>13</v>
      </c>
      <c r="AF43" s="32" t="e">
        <f>_xll.qlAbcdFunctionMaximumLocation(AF37,AF$32)</f>
        <v>#VALUE!</v>
      </c>
      <c r="AG43" s="1"/>
      <c r="AH43" s="4"/>
      <c r="AI43" s="50" t="s">
        <v>13</v>
      </c>
      <c r="AJ43" s="32" t="e">
        <f>_xll.qlAbcdFunctionMaximumLocation(AJ37,AJ$32)</f>
        <v>#VALUE!</v>
      </c>
      <c r="AK43" s="1"/>
      <c r="AL43" s="4"/>
      <c r="AM43" s="50" t="s">
        <v>13</v>
      </c>
      <c r="AN43" s="32" t="e">
        <f>_xll.qlAbcdFunctionMaximumLocation(AN37,AN$32)</f>
        <v>#VALUE!</v>
      </c>
      <c r="AO43" s="1"/>
      <c r="AP43" s="1"/>
      <c r="AQ43" s="50" t="s">
        <v>13</v>
      </c>
      <c r="AR43" s="32" t="e">
        <f>_xll.qlAbcdFunctionMaximumLocation(AR37,AR$32)</f>
        <v>#VALUE!</v>
      </c>
      <c r="AS43" s="1"/>
      <c r="AT43" s="4"/>
      <c r="AU43" s="50" t="s">
        <v>13</v>
      </c>
      <c r="AV43" s="32" t="e">
        <f>_xll.qlAbcdFunctionMaximumLocation(AV37,AV$32)</f>
        <v>#VALUE!</v>
      </c>
      <c r="AW43" s="1"/>
      <c r="AX43" s="1"/>
      <c r="AY43" s="50" t="s">
        <v>13</v>
      </c>
      <c r="AZ43" s="32" t="e">
        <f>_xll.qlAbcdFunctionMaximumLocation(AZ37,AZ$32)</f>
        <v>#VALUE!</v>
      </c>
      <c r="BA43" s="1"/>
      <c r="BB43" s="1"/>
      <c r="BC43" s="50" t="s">
        <v>13</v>
      </c>
      <c r="BD43" s="32" t="e">
        <f>_xll.qlAbcdFunctionMaximumLocation(BD37,BD$32)</f>
        <v>#VALUE!</v>
      </c>
      <c r="BE43" s="1"/>
      <c r="BF43" s="4"/>
      <c r="BG43" s="50" t="s">
        <v>13</v>
      </c>
      <c r="BH43" s="32" t="e">
        <f>_xll.qlAbcdFunctionMaximumLocation(BH37,BH$32)</f>
        <v>#VALUE!</v>
      </c>
      <c r="BI43" s="1"/>
      <c r="BJ43" s="1"/>
      <c r="BK43" s="50" t="s">
        <v>13</v>
      </c>
      <c r="BL43" s="32" t="e">
        <f>_xll.qlAbcdFunctionMaximumLocation(BL37,BL$32)</f>
        <v>#VALUE!</v>
      </c>
      <c r="BM43" s="1"/>
      <c r="BN43" s="1"/>
      <c r="BO43" s="50" t="s">
        <v>13</v>
      </c>
      <c r="BP43" s="32" t="e">
        <f>_xll.qlAbcdFunctionMaximumLocation(BP37,BP$32)</f>
        <v>#VALUE!</v>
      </c>
      <c r="BQ43" s="1"/>
      <c r="BR43" s="1"/>
      <c r="BS43" s="50" t="s">
        <v>13</v>
      </c>
      <c r="BT43" s="32" t="e">
        <f>_xll.qlAbcdFunctionMaximumLocation(BT37,BT$32)</f>
        <v>#VALUE!</v>
      </c>
      <c r="BU43" s="1"/>
      <c r="BV43" s="1"/>
      <c r="BW43" s="50" t="s">
        <v>13</v>
      </c>
      <c r="BX43" s="32" t="e">
        <f>_xll.qlAbcdFunctionMaximumLocation(BX37,BX$32)</f>
        <v>#VALUE!</v>
      </c>
      <c r="BY43" s="1"/>
      <c r="BZ43" s="4"/>
      <c r="CA43" s="50" t="s">
        <v>13</v>
      </c>
      <c r="CB43" s="32" t="e">
        <f>_xll.qlAbcdFunctionMaximumLocation(CB37,CB$32)</f>
        <v>#VALUE!</v>
      </c>
      <c r="CC43" s="1"/>
      <c r="CD43" s="1"/>
      <c r="CE43" s="50" t="s">
        <v>13</v>
      </c>
      <c r="CF43" s="32" t="e">
        <f>_xll.qlAbcdFunctionMaximumLocation(CF37,CF$32)</f>
        <v>#VALUE!</v>
      </c>
      <c r="CG43" s="1"/>
      <c r="CH43" s="1"/>
      <c r="CI43" s="50" t="s">
        <v>13</v>
      </c>
      <c r="CJ43" s="32" t="e">
        <f>_xll.qlAbcdFunctionMaximumLocation(CJ37,CJ$32)</f>
        <v>#VALUE!</v>
      </c>
      <c r="CK43" s="1"/>
      <c r="CL43" s="1"/>
      <c r="CM43" s="50" t="s">
        <v>13</v>
      </c>
      <c r="CN43" s="32" t="e">
        <f>_xll.qlAbcdFunctionMaximumLocation(CN37,CN$32)</f>
        <v>#VALUE!</v>
      </c>
      <c r="CO43" s="1"/>
      <c r="CP43" s="1"/>
      <c r="CQ43" s="50" t="s">
        <v>13</v>
      </c>
      <c r="CR43" s="32" t="e">
        <f>_xll.qlAbcdFunctionMaximumLocation(CR37,CR$32)</f>
        <v>#VALUE!</v>
      </c>
      <c r="CS43" s="1"/>
      <c r="CT43" s="4"/>
      <c r="CU43" s="50" t="s">
        <v>13</v>
      </c>
      <c r="CV43" s="32" t="e">
        <f>_xll.qlAbcdFunctionMaximumLocation(CV37,CV$32)</f>
        <v>#VALUE!</v>
      </c>
      <c r="CW43" s="1"/>
      <c r="CX43" s="1"/>
      <c r="CY43" s="50" t="s">
        <v>13</v>
      </c>
      <c r="CZ43" s="32" t="e">
        <f>_xll.qlAbcdFunctionMaximumLocation(CZ37,CZ$32)</f>
        <v>#VALUE!</v>
      </c>
      <c r="DA43" s="1"/>
      <c r="DB43" s="1"/>
      <c r="DC43" s="50" t="s">
        <v>13</v>
      </c>
      <c r="DD43" s="32" t="e">
        <f>_xll.qlAbcdFunctionMaximumLocation(DD37,DD$32)</f>
        <v>#VALUE!</v>
      </c>
      <c r="DE43" s="1"/>
      <c r="DF43" s="1"/>
      <c r="DG43" s="50" t="s">
        <v>13</v>
      </c>
      <c r="DH43" s="32" t="e">
        <f>_xll.qlAbcdFunctionMaximumLocation(DH37,DH$32)</f>
        <v>#VALUE!</v>
      </c>
      <c r="DI43" s="1"/>
      <c r="DJ43" s="1"/>
      <c r="DK43" s="50" t="s">
        <v>13</v>
      </c>
      <c r="DL43" s="32" t="e">
        <f>_xll.qlAbcdFunctionMaximumLocation(DL37,DL$32)</f>
        <v>#VALUE!</v>
      </c>
      <c r="DM43" s="1"/>
      <c r="DN43" s="4"/>
      <c r="DO43" s="50" t="s">
        <v>13</v>
      </c>
      <c r="DP43" s="32" t="e">
        <f>_xll.qlAbcdFunctionMaximumLocation(DP37,DP$32)</f>
        <v>#VALUE!</v>
      </c>
      <c r="DQ43" s="1"/>
    </row>
    <row r="44" spans="1:121" x14ac:dyDescent="0.2">
      <c r="B44" t="e">
        <f ca="1">IF(Serialize,_xll.ohObjectSave(D44:DP44,SerializationPath&amp;Currency&amp;"_010_"&amp;Name&amp;"s.xml",FileOverwrite,Serialize),"--")</f>
        <v>#NAME?</v>
      </c>
      <c r="C44" s="105"/>
      <c r="D44" s="104" t="e">
        <f>_xll.qlAbcdAtmVolCurve(Name&amp;Calibration!C47,0,_xll.qlTermStructureCalendar(Vol),$B$52:$B$68,C52:C68,TRUE,_xll.qlSwaptionVTSBusinessDayConvention(Vol),_xll.qlTermStructureDayCounter(Vol),,Trigger)</f>
        <v>#VALUE!</v>
      </c>
      <c r="E44" s="6"/>
      <c r="F44" s="1"/>
      <c r="G44" s="105"/>
      <c r="H44" s="104" t="e">
        <f>_xll.qlAbcdAtmVolCurve(Name&amp;Calibration!G47,0,_xll.qlTermStructureCalendar(Vol),$B$52:$B$68,G52:G68,TRUE,_xll.qlSwaptionVTSBusinessDayConvention(Vol),_xll.qlTermStructureDayCounter(Vol),,Trigger)</f>
        <v>#VALUE!</v>
      </c>
      <c r="I44" s="1"/>
      <c r="J44" s="4"/>
      <c r="K44" s="105"/>
      <c r="L44" s="104" t="e">
        <f>_xll.qlAbcdAtmVolCurve(Name&amp;Calibration!K47,0,_xll.qlTermStructureCalendar(Vol),$B$52:$B$68,K52:K68,TRUE,_xll.qlSwaptionVTSBusinessDayConvention(Vol),_xll.qlTermStructureDayCounter(Vol),,Trigger)</f>
        <v>#VALUE!</v>
      </c>
      <c r="M44" s="1"/>
      <c r="N44" s="4"/>
      <c r="O44" s="105"/>
      <c r="P44" s="104" t="e">
        <f>_xll.qlAbcdAtmVolCurve(Name&amp;Calibration!O47,0,_xll.qlTermStructureCalendar(Vol),$B$52:$B$68,O52:O68,TRUE,_xll.qlSwaptionVTSBusinessDayConvention(Vol),_xll.qlTermStructureDayCounter(Vol),,Trigger)</f>
        <v>#VALUE!</v>
      </c>
      <c r="Q44" s="1"/>
      <c r="R44" s="4"/>
      <c r="S44" s="105"/>
      <c r="T44" s="104" t="e">
        <f>_xll.qlAbcdAtmVolCurve(Name&amp;Calibration!S47,0,_xll.qlTermStructureCalendar(Vol),$B$52:$B$68,S52:S68,TRUE,_xll.qlSwaptionVTSBusinessDayConvention(Vol),_xll.qlTermStructureDayCounter(Vol),,Trigger)</f>
        <v>#VALUE!</v>
      </c>
      <c r="U44" s="1"/>
      <c r="V44" s="4"/>
      <c r="W44" s="105"/>
      <c r="X44" s="104" t="e">
        <f>_xll.qlAbcdAtmVolCurve(Name&amp;Calibration!W47,0,_xll.qlTermStructureCalendar(Vol),$B$52:$B$68,W52:W68,TRUE,_xll.qlSwaptionVTSBusinessDayConvention(Vol),_xll.qlTermStructureDayCounter(Vol),,Trigger)</f>
        <v>#VALUE!</v>
      </c>
      <c r="Y44" s="1"/>
      <c r="Z44" s="4"/>
      <c r="AA44" s="105"/>
      <c r="AB44" s="104" t="e">
        <f>_xll.qlAbcdAtmVolCurve(Name&amp;Calibration!AA47,0,_xll.qlTermStructureCalendar(Vol),$B$52:$B$68,AA52:AA68,TRUE,_xll.qlSwaptionVTSBusinessDayConvention(Vol),_xll.qlTermStructureDayCounter(Vol),,Trigger)</f>
        <v>#VALUE!</v>
      </c>
      <c r="AC44" s="1"/>
      <c r="AD44" s="4"/>
      <c r="AE44" s="105"/>
      <c r="AF44" s="104" t="e">
        <f>_xll.qlAbcdAtmVolCurve(Name&amp;Calibration!AE47,0,_xll.qlTermStructureCalendar(Vol),$B$52:$B$68,AE52:AE68,TRUE,_xll.qlSwaptionVTSBusinessDayConvention(Vol),_xll.qlTermStructureDayCounter(Vol),,Trigger)</f>
        <v>#VALUE!</v>
      </c>
      <c r="AG44" s="1"/>
      <c r="AH44" s="4"/>
      <c r="AI44" s="105"/>
      <c r="AJ44" s="104" t="e">
        <f>_xll.qlAbcdAtmVolCurve(Name&amp;Calibration!AI47,0,_xll.qlTermStructureCalendar(Vol),$B$52:$B$68,AI52:AI68,TRUE,_xll.qlSwaptionVTSBusinessDayConvention(Vol),_xll.qlTermStructureDayCounter(Vol),,Trigger)</f>
        <v>#VALUE!</v>
      </c>
      <c r="AK44" s="1"/>
      <c r="AL44" s="4"/>
      <c r="AM44" s="105"/>
      <c r="AN44" s="104" t="e">
        <f>_xll.qlAbcdAtmVolCurve(Name&amp;Calibration!AM47,0,_xll.qlTermStructureCalendar(Vol),$B$52:$B$68,AM52:AM68,TRUE,_xll.qlSwaptionVTSBusinessDayConvention(Vol),_xll.qlTermStructureDayCounter(Vol),,Trigger)</f>
        <v>#VALUE!</v>
      </c>
      <c r="AO44" s="1"/>
      <c r="AP44" s="1"/>
      <c r="AQ44" s="105"/>
      <c r="AR44" s="104" t="e">
        <f>_xll.qlAbcdAtmVolCurve(Name&amp;Calibration!AQ47,0,_xll.qlTermStructureCalendar(Vol),$B$52:$B$68,AQ52:AQ68,TRUE,_xll.qlSwaptionVTSBusinessDayConvention(Vol),_xll.qlTermStructureDayCounter(Vol),,Trigger)</f>
        <v>#VALUE!</v>
      </c>
      <c r="AS44" s="1"/>
      <c r="AT44" s="4"/>
      <c r="AU44" s="105"/>
      <c r="AV44" s="104" t="e">
        <f>_xll.qlAbcdAtmVolCurve(Name&amp;Calibration!AU47,0,_xll.qlTermStructureCalendar(Vol),$B$52:$B$68,AU52:AU68,TRUE,_xll.qlSwaptionVTSBusinessDayConvention(Vol),_xll.qlTermStructureDayCounter(Vol),,Trigger)</f>
        <v>#VALUE!</v>
      </c>
      <c r="AW44" s="1"/>
      <c r="AX44" s="1"/>
      <c r="AY44" s="105"/>
      <c r="AZ44" s="104" t="e">
        <f>_xll.qlAbcdAtmVolCurve(Name&amp;Calibration!AY47,0,_xll.qlTermStructureCalendar(Vol),$B$52:$B$68,AY52:AY68,TRUE,_xll.qlSwaptionVTSBusinessDayConvention(Vol),_xll.qlTermStructureDayCounter(Vol),,Trigger)</f>
        <v>#VALUE!</v>
      </c>
      <c r="BA44" s="1"/>
      <c r="BB44" s="1"/>
      <c r="BC44" s="105"/>
      <c r="BD44" s="104" t="e">
        <f>_xll.qlAbcdAtmVolCurve(Name&amp;Calibration!BC47,0,_xll.qlTermStructureCalendar(Vol),$B$52:$B$68,BC52:BC68,TRUE,_xll.qlSwaptionVTSBusinessDayConvention(Vol),_xll.qlTermStructureDayCounter(Vol),,Trigger)</f>
        <v>#VALUE!</v>
      </c>
      <c r="BE44" s="1"/>
      <c r="BF44" s="4"/>
      <c r="BG44" s="105"/>
      <c r="BH44" s="104" t="e">
        <f>_xll.qlAbcdAtmVolCurve(Name&amp;Calibration!BG47,0,_xll.qlTermStructureCalendar(Vol),$B$52:$B$68,BG52:BG68,TRUE,_xll.qlSwaptionVTSBusinessDayConvention(Vol),_xll.qlTermStructureDayCounter(Vol),,Trigger)</f>
        <v>#VALUE!</v>
      </c>
      <c r="BI44" s="1"/>
      <c r="BJ44" s="1"/>
      <c r="BK44" s="105"/>
      <c r="BL44" s="104" t="e">
        <f>_xll.qlAbcdAtmVolCurve(Name&amp;Calibration!BK47,0,_xll.qlTermStructureCalendar(Vol),$B$52:$B$68,BK52:BK68,TRUE,_xll.qlSwaptionVTSBusinessDayConvention(Vol),_xll.qlTermStructureDayCounter(Vol),,Trigger)</f>
        <v>#VALUE!</v>
      </c>
      <c r="BM44" s="1"/>
      <c r="BN44" s="1"/>
      <c r="BO44" s="105"/>
      <c r="BP44" s="104" t="e">
        <f>_xll.qlAbcdAtmVolCurve(Name&amp;Calibration!BO47,0,_xll.qlTermStructureCalendar(Vol),$B$52:$B$68,BO52:BO68,TRUE,_xll.qlSwaptionVTSBusinessDayConvention(Vol),_xll.qlTermStructureDayCounter(Vol),,Trigger)</f>
        <v>#VALUE!</v>
      </c>
      <c r="BQ44" s="1"/>
      <c r="BR44" s="1"/>
      <c r="BS44" s="105"/>
      <c r="BT44" s="104" t="e">
        <f>_xll.qlAbcdAtmVolCurve(Name&amp;Calibration!BS47,0,_xll.qlTermStructureCalendar(Vol),$B$52:$B$68,BS52:BS68,TRUE,_xll.qlSwaptionVTSBusinessDayConvention(Vol),_xll.qlTermStructureDayCounter(Vol),,Trigger)</f>
        <v>#VALUE!</v>
      </c>
      <c r="BU44" s="1"/>
      <c r="BV44" s="1"/>
      <c r="BW44" s="105"/>
      <c r="BX44" s="104" t="e">
        <f>_xll.qlAbcdAtmVolCurve(Name&amp;Calibration!BW47,0,_xll.qlTermStructureCalendar(Vol),$B$52:$B$68,BW52:BW68,TRUE,_xll.qlSwaptionVTSBusinessDayConvention(Vol),_xll.qlTermStructureDayCounter(Vol),,Trigger)</f>
        <v>#VALUE!</v>
      </c>
      <c r="BY44" s="1"/>
      <c r="BZ44" s="4"/>
      <c r="CA44" s="105"/>
      <c r="CB44" s="104" t="e">
        <f>_xll.qlAbcdAtmVolCurve(Name&amp;Calibration!CA47,0,_xll.qlTermStructureCalendar(Vol),$B$52:$B$68,CA52:CA68,TRUE,_xll.qlSwaptionVTSBusinessDayConvention(Vol),_xll.qlTermStructureDayCounter(Vol),,Trigger)</f>
        <v>#VALUE!</v>
      </c>
      <c r="CC44" s="1"/>
      <c r="CD44" s="1"/>
      <c r="CE44" s="105"/>
      <c r="CF44" s="104" t="e">
        <f>_xll.qlAbcdAtmVolCurve(Name&amp;Calibration!CE47,0,_xll.qlTermStructureCalendar(Vol),$B$52:$B$68,CE52:CE68,TRUE,_xll.qlSwaptionVTSBusinessDayConvention(Vol),_xll.qlTermStructureDayCounter(Vol),,Trigger)</f>
        <v>#VALUE!</v>
      </c>
      <c r="CG44" s="1"/>
      <c r="CH44" s="1"/>
      <c r="CI44" s="105"/>
      <c r="CJ44" s="104" t="e">
        <f>_xll.qlAbcdAtmVolCurve(Name&amp;Calibration!CI47,0,_xll.qlTermStructureCalendar(Vol),$B$52:$B$68,CI52:CI68,TRUE,_xll.qlSwaptionVTSBusinessDayConvention(Vol),_xll.qlTermStructureDayCounter(Vol),,Trigger)</f>
        <v>#VALUE!</v>
      </c>
      <c r="CK44" s="1"/>
      <c r="CL44" s="1"/>
      <c r="CM44" s="105"/>
      <c r="CN44" s="104" t="e">
        <f>_xll.qlAbcdAtmVolCurve(Name&amp;Calibration!CM47,0,_xll.qlTermStructureCalendar(Vol),$B$52:$B$68,CM52:CM68,TRUE,_xll.qlSwaptionVTSBusinessDayConvention(Vol),_xll.qlTermStructureDayCounter(Vol),,Trigger)</f>
        <v>#VALUE!</v>
      </c>
      <c r="CO44" s="1"/>
      <c r="CP44" s="1"/>
      <c r="CQ44" s="105"/>
      <c r="CR44" s="104" t="e">
        <f>_xll.qlAbcdAtmVolCurve(Name&amp;Calibration!CQ47,0,_xll.qlTermStructureCalendar(Vol),$B$52:$B$68,CQ52:CQ68,TRUE,_xll.qlSwaptionVTSBusinessDayConvention(Vol),_xll.qlTermStructureDayCounter(Vol),,Trigger)</f>
        <v>#VALUE!</v>
      </c>
      <c r="CS44" s="1"/>
      <c r="CT44" s="4"/>
      <c r="CU44" s="105"/>
      <c r="CV44" s="104" t="e">
        <f>_xll.qlAbcdAtmVolCurve(Name&amp;Calibration!CU47,0,_xll.qlTermStructureCalendar(Vol),$B$52:$B$68,CU52:CU68,TRUE,_xll.qlSwaptionVTSBusinessDayConvention(Vol),_xll.qlTermStructureDayCounter(Vol),,Trigger)</f>
        <v>#VALUE!</v>
      </c>
      <c r="CW44" s="1"/>
      <c r="CX44" s="1"/>
      <c r="CY44" s="105"/>
      <c r="CZ44" s="104" t="e">
        <f>_xll.qlAbcdAtmVolCurve(Name&amp;Calibration!CY47,0,_xll.qlTermStructureCalendar(Vol),$B$52:$B$68,CY52:CY68,TRUE,_xll.qlSwaptionVTSBusinessDayConvention(Vol),_xll.qlTermStructureDayCounter(Vol),,Trigger)</f>
        <v>#VALUE!</v>
      </c>
      <c r="DA44" s="1"/>
      <c r="DB44" s="1"/>
      <c r="DC44" s="105"/>
      <c r="DD44" s="104" t="e">
        <f>_xll.qlAbcdAtmVolCurve(Name&amp;Calibration!DC47,0,_xll.qlTermStructureCalendar(Vol),$B$52:$B$68,DC52:DC68,TRUE,_xll.qlSwaptionVTSBusinessDayConvention(Vol),_xll.qlTermStructureDayCounter(Vol),,Trigger)</f>
        <v>#VALUE!</v>
      </c>
      <c r="DE44" s="1"/>
      <c r="DF44" s="1"/>
      <c r="DG44" s="105"/>
      <c r="DH44" s="104" t="e">
        <f>_xll.qlAbcdAtmVolCurve(Name&amp;Calibration!DG47,0,_xll.qlTermStructureCalendar(Vol),$B$52:$B$68,DG52:DG68,TRUE,_xll.qlSwaptionVTSBusinessDayConvention(Vol),_xll.qlTermStructureDayCounter(Vol),,Trigger)</f>
        <v>#VALUE!</v>
      </c>
      <c r="DI44" s="1"/>
      <c r="DJ44" s="1"/>
      <c r="DK44" s="105"/>
      <c r="DL44" s="104" t="e">
        <f>_xll.qlAbcdAtmVolCurve(Name&amp;Calibration!DK47,0,_xll.qlTermStructureCalendar(Vol),$B$52:$B$68,DK52:DK68,TRUE,_xll.qlSwaptionVTSBusinessDayConvention(Vol),_xll.qlTermStructureDayCounter(Vol),,Trigger)</f>
        <v>#VALUE!</v>
      </c>
      <c r="DM44" s="1"/>
      <c r="DN44" s="4"/>
      <c r="DO44" s="105"/>
      <c r="DP44" s="104" t="e">
        <f>_xll.qlAbcdAtmVolCurve(Name&amp;Calibration!DO47,0,_xll.qlTermStructureCalendar(Vol),$B$52:$B$68,DO52:DO68,TRUE,_xll.qlSwaptionVTSBusinessDayConvention(Vol),_xll.qlTermStructureDayCounter(Vol),,Trigger)</f>
        <v>#VALUE!</v>
      </c>
      <c r="DQ44" s="1"/>
    </row>
    <row r="45" spans="1:121" x14ac:dyDescent="0.2">
      <c r="B45" s="5"/>
      <c r="C45" s="6">
        <v>1</v>
      </c>
      <c r="D45" s="6"/>
      <c r="E45" s="6"/>
      <c r="G45">
        <f>C45+1</f>
        <v>2</v>
      </c>
      <c r="I45" s="6"/>
      <c r="J45" s="8"/>
      <c r="K45">
        <f>G45+1</f>
        <v>3</v>
      </c>
      <c r="L45" s="6"/>
      <c r="M45" s="6"/>
      <c r="N45" s="8"/>
      <c r="O45">
        <f>K45+1</f>
        <v>4</v>
      </c>
      <c r="P45" s="6"/>
      <c r="Q45" s="6"/>
      <c r="R45" s="8"/>
      <c r="S45">
        <f>O45+1</f>
        <v>5</v>
      </c>
      <c r="T45" s="6"/>
      <c r="U45" s="6"/>
      <c r="V45" s="8"/>
      <c r="W45">
        <f>S45+1</f>
        <v>6</v>
      </c>
      <c r="X45" s="6"/>
      <c r="Y45" s="6"/>
      <c r="Z45" s="8"/>
      <c r="AA45">
        <f>W45+1</f>
        <v>7</v>
      </c>
      <c r="AB45" s="6"/>
      <c r="AC45" s="6"/>
      <c r="AD45" s="8"/>
      <c r="AE45">
        <f>AA45+1</f>
        <v>8</v>
      </c>
      <c r="AF45" s="6"/>
      <c r="AG45" s="6"/>
      <c r="AH45" s="8"/>
      <c r="AI45">
        <f>AE45+1</f>
        <v>9</v>
      </c>
      <c r="AJ45" s="6"/>
      <c r="AK45" s="6"/>
      <c r="AL45" s="8"/>
      <c r="AM45">
        <f>AI45+1</f>
        <v>10</v>
      </c>
      <c r="AN45" s="6"/>
      <c r="AO45" s="6"/>
      <c r="AP45" s="6"/>
      <c r="AQ45">
        <f>AM45+1</f>
        <v>11</v>
      </c>
      <c r="AR45" s="6"/>
      <c r="AS45" s="6"/>
      <c r="AT45" s="8"/>
      <c r="AU45">
        <f>AQ45+1</f>
        <v>12</v>
      </c>
      <c r="AV45" s="6"/>
      <c r="AW45" s="6"/>
      <c r="AX45" s="6"/>
      <c r="AY45">
        <f>AU45+1</f>
        <v>13</v>
      </c>
      <c r="AZ45" s="6"/>
      <c r="BA45" s="6"/>
      <c r="BB45" s="6"/>
      <c r="BC45">
        <f>AY45+1</f>
        <v>14</v>
      </c>
      <c r="BD45" s="6"/>
      <c r="BE45" s="6"/>
      <c r="BF45" s="8"/>
      <c r="BG45">
        <f>BC45+1</f>
        <v>15</v>
      </c>
      <c r="BH45" s="6"/>
      <c r="BI45" s="6"/>
      <c r="BJ45" s="6"/>
      <c r="BK45">
        <f>BG45+1</f>
        <v>16</v>
      </c>
      <c r="BL45" s="6"/>
      <c r="BM45" s="6"/>
      <c r="BN45" s="6"/>
      <c r="BO45">
        <f>BK45+1</f>
        <v>17</v>
      </c>
      <c r="BP45" s="6"/>
      <c r="BQ45" s="6"/>
      <c r="BR45" s="6"/>
      <c r="BS45">
        <f>BO45+1</f>
        <v>18</v>
      </c>
      <c r="BT45" s="6"/>
      <c r="BU45" s="6"/>
      <c r="BV45" s="6"/>
      <c r="BW45">
        <f>BS45+1</f>
        <v>19</v>
      </c>
      <c r="BX45" s="6"/>
      <c r="BY45" s="6"/>
      <c r="BZ45" s="8"/>
      <c r="CA45">
        <f>BW45+1</f>
        <v>20</v>
      </c>
      <c r="CB45" s="6"/>
      <c r="CC45" s="6"/>
      <c r="CD45" s="6"/>
      <c r="CE45">
        <f>CA45+1</f>
        <v>21</v>
      </c>
      <c r="CF45" s="6"/>
      <c r="CG45" s="6"/>
      <c r="CH45" s="6"/>
      <c r="CI45">
        <f>CE45+1</f>
        <v>22</v>
      </c>
      <c r="CJ45" s="6"/>
      <c r="CK45" s="6"/>
      <c r="CL45" s="6"/>
      <c r="CM45">
        <f>CI45+1</f>
        <v>23</v>
      </c>
      <c r="CN45" s="6"/>
      <c r="CO45" s="6"/>
      <c r="CP45" s="6"/>
      <c r="CQ45">
        <f>CM45+1</f>
        <v>24</v>
      </c>
      <c r="CR45" s="6"/>
      <c r="CS45" s="6"/>
      <c r="CT45" s="8"/>
      <c r="CU45">
        <f>CQ45+1</f>
        <v>25</v>
      </c>
      <c r="CV45" s="6"/>
      <c r="CW45" s="6"/>
      <c r="CX45" s="6"/>
      <c r="CY45">
        <f>CU45+1</f>
        <v>26</v>
      </c>
      <c r="CZ45" s="6"/>
      <c r="DA45" s="6"/>
      <c r="DB45" s="6"/>
      <c r="DC45">
        <f>CY45+1</f>
        <v>27</v>
      </c>
      <c r="DD45" s="6"/>
      <c r="DE45" s="6"/>
      <c r="DF45" s="6"/>
      <c r="DG45">
        <f>DC45+1</f>
        <v>28</v>
      </c>
      <c r="DH45" s="6"/>
      <c r="DI45" s="6"/>
      <c r="DJ45" s="6"/>
      <c r="DK45">
        <f>DG45+1</f>
        <v>29</v>
      </c>
      <c r="DL45" s="6"/>
      <c r="DM45" s="6"/>
      <c r="DN45" s="8"/>
      <c r="DO45">
        <f>DK45+1</f>
        <v>30</v>
      </c>
      <c r="DP45" s="6"/>
      <c r="DQ45" s="6"/>
    </row>
    <row r="46" spans="1:121" x14ac:dyDescent="0.2">
      <c r="A46" s="1"/>
      <c r="B46" s="2" t="s">
        <v>14</v>
      </c>
      <c r="C46" s="11" t="str">
        <f>"EuriborSwapIsdaFixA"&amp;C45&amp;"Y"</f>
        <v>EuriborSwapIsdaFixA1Y</v>
      </c>
      <c r="D46" s="129" t="s">
        <v>52</v>
      </c>
      <c r="E46" s="130"/>
      <c r="G46" s="11" t="str">
        <f>"EuriborSwapIsdaFixA"&amp;G45&amp;"Y"</f>
        <v>EuriborSwapIsdaFixA2Y</v>
      </c>
      <c r="H46" s="129" t="s">
        <v>52</v>
      </c>
      <c r="I46" s="130"/>
      <c r="K46" s="11" t="str">
        <f>"EuriborSwapIsdaFixA"&amp;K45&amp;"Y"</f>
        <v>EuriborSwapIsdaFixA3Y</v>
      </c>
      <c r="L46" s="129" t="s">
        <v>52</v>
      </c>
      <c r="M46" s="130"/>
      <c r="O46" s="11" t="str">
        <f>"EuriborSwapIsdaFixA"&amp;O45&amp;"Y"</f>
        <v>EuriborSwapIsdaFixA4Y</v>
      </c>
      <c r="P46" s="129" t="s">
        <v>52</v>
      </c>
      <c r="Q46" s="130"/>
      <c r="S46" s="11" t="str">
        <f>"EuriborSwapIsdaFixA"&amp;S45&amp;"Y"</f>
        <v>EuriborSwapIsdaFixA5Y</v>
      </c>
      <c r="T46" s="129" t="s">
        <v>52</v>
      </c>
      <c r="U46" s="130"/>
      <c r="W46" s="11" t="str">
        <f>"EuriborSwapIsdaFixA"&amp;W45&amp;"Y"</f>
        <v>EuriborSwapIsdaFixA6Y</v>
      </c>
      <c r="X46" s="129" t="s">
        <v>52</v>
      </c>
      <c r="Y46" s="130"/>
      <c r="AA46" s="11" t="str">
        <f>"EuriborSwapIsdaFixA"&amp;AA45&amp;"Y"</f>
        <v>EuriborSwapIsdaFixA7Y</v>
      </c>
      <c r="AB46" s="129" t="s">
        <v>52</v>
      </c>
      <c r="AC46" s="130"/>
      <c r="AE46" s="11" t="str">
        <f>"EuriborSwapIsdaFixA"&amp;AE45&amp;"Y"</f>
        <v>EuriborSwapIsdaFixA8Y</v>
      </c>
      <c r="AF46" s="129" t="s">
        <v>52</v>
      </c>
      <c r="AG46" s="130"/>
      <c r="AI46" s="11" t="str">
        <f>"EuriborSwapIsdaFixA"&amp;AI45&amp;"Y"</f>
        <v>EuriborSwapIsdaFixA9Y</v>
      </c>
      <c r="AJ46" s="129" t="s">
        <v>52</v>
      </c>
      <c r="AK46" s="130"/>
      <c r="AM46" s="11" t="str">
        <f>"EuriborSwapIsdaFixA"&amp;AM45&amp;"Y"</f>
        <v>EuriborSwapIsdaFixA10Y</v>
      </c>
      <c r="AN46" s="129" t="s">
        <v>52</v>
      </c>
      <c r="AO46" s="130"/>
      <c r="AP46" s="90"/>
      <c r="AQ46" s="11" t="str">
        <f>"EuriborSwapIsdaFixA"&amp;AQ45&amp;"Y"</f>
        <v>EuriborSwapIsdaFixA11Y</v>
      </c>
      <c r="AR46" s="129" t="s">
        <v>52</v>
      </c>
      <c r="AS46" s="130"/>
      <c r="AU46" s="11" t="str">
        <f>"EuriborSwapIsdaFixA"&amp;AU45&amp;"Y"</f>
        <v>EuriborSwapIsdaFixA12Y</v>
      </c>
      <c r="AV46" s="129" t="s">
        <v>52</v>
      </c>
      <c r="AW46" s="130"/>
      <c r="AY46" s="11" t="str">
        <f>"EuriborSwapIsdaFixA"&amp;AY45&amp;"Y"</f>
        <v>EuriborSwapIsdaFixA13Y</v>
      </c>
      <c r="AZ46" s="129" t="s">
        <v>52</v>
      </c>
      <c r="BA46" s="130"/>
      <c r="BB46" s="90"/>
      <c r="BC46" s="11" t="str">
        <f>"EuriborSwapIsdaFixA"&amp;BC45&amp;"Y"</f>
        <v>EuriborSwapIsdaFixA14Y</v>
      </c>
      <c r="BD46" s="129" t="s">
        <v>52</v>
      </c>
      <c r="BE46" s="130"/>
      <c r="BG46" s="11" t="str">
        <f>"EuriborSwapIsdaFixA"&amp;BG45&amp;"Y"</f>
        <v>EuriborSwapIsdaFixA15Y</v>
      </c>
      <c r="BH46" s="129" t="s">
        <v>52</v>
      </c>
      <c r="BI46" s="130"/>
      <c r="BJ46" s="90"/>
      <c r="BK46" s="11" t="str">
        <f>"EuriborSwapIsdaFixA"&amp;BK45&amp;"Y"</f>
        <v>EuriborSwapIsdaFixA16Y</v>
      </c>
      <c r="BL46" s="129" t="s">
        <v>52</v>
      </c>
      <c r="BM46" s="130"/>
      <c r="BN46" s="90"/>
      <c r="BO46" s="11" t="str">
        <f>"EuriborSwapIsdaFixA"&amp;BO45&amp;"Y"</f>
        <v>EuriborSwapIsdaFixA17Y</v>
      </c>
      <c r="BP46" s="129" t="s">
        <v>52</v>
      </c>
      <c r="BQ46" s="130"/>
      <c r="BR46" s="90"/>
      <c r="BS46" s="11" t="str">
        <f>"EuriborSwapIsdaFixA"&amp;BS45&amp;"Y"</f>
        <v>EuriborSwapIsdaFixA18Y</v>
      </c>
      <c r="BT46" s="129" t="s">
        <v>52</v>
      </c>
      <c r="BU46" s="130"/>
      <c r="BV46" s="90"/>
      <c r="BW46" s="11" t="str">
        <f>"EuriborSwapIsdaFixA"&amp;BW45&amp;"Y"</f>
        <v>EuriborSwapIsdaFixA19Y</v>
      </c>
      <c r="BX46" s="129" t="s">
        <v>52</v>
      </c>
      <c r="BY46" s="130"/>
      <c r="CA46" s="11" t="str">
        <f>"EuriborSwapIsdaFixA"&amp;CA45&amp;"Y"</f>
        <v>EuriborSwapIsdaFixA20Y</v>
      </c>
      <c r="CB46" s="129" t="s">
        <v>52</v>
      </c>
      <c r="CC46" s="130"/>
      <c r="CD46" s="90"/>
      <c r="CE46" s="11" t="str">
        <f>"EuriborSwapIsdaFixA"&amp;CE45&amp;"Y"</f>
        <v>EuriborSwapIsdaFixA21Y</v>
      </c>
      <c r="CF46" s="129" t="s">
        <v>52</v>
      </c>
      <c r="CG46" s="130"/>
      <c r="CH46" s="90"/>
      <c r="CI46" s="11" t="str">
        <f>"EuriborSwapIsdaFixA"&amp;CI45&amp;"Y"</f>
        <v>EuriborSwapIsdaFixA22Y</v>
      </c>
      <c r="CJ46" s="129" t="s">
        <v>52</v>
      </c>
      <c r="CK46" s="130"/>
      <c r="CL46" s="90"/>
      <c r="CM46" s="11" t="str">
        <f>"EuriborSwapIsdaFixA"&amp;CM45&amp;"Y"</f>
        <v>EuriborSwapIsdaFixA23Y</v>
      </c>
      <c r="CN46" s="129" t="s">
        <v>52</v>
      </c>
      <c r="CO46" s="130"/>
      <c r="CP46" s="90"/>
      <c r="CQ46" s="11" t="str">
        <f>"EuriborSwapIsdaFixA"&amp;CQ45&amp;"Y"</f>
        <v>EuriborSwapIsdaFixA24Y</v>
      </c>
      <c r="CR46" s="129" t="s">
        <v>52</v>
      </c>
      <c r="CS46" s="130"/>
      <c r="CU46" s="11" t="str">
        <f>"EuriborSwapIsdaFixA"&amp;CU45&amp;"Y"</f>
        <v>EuriborSwapIsdaFixA25Y</v>
      </c>
      <c r="CV46" s="129" t="s">
        <v>52</v>
      </c>
      <c r="CW46" s="130"/>
      <c r="CX46" s="90"/>
      <c r="CY46" s="11" t="str">
        <f>"EuriborSwapIsdaFixA"&amp;CY45&amp;"Y"</f>
        <v>EuriborSwapIsdaFixA26Y</v>
      </c>
      <c r="CZ46" s="129" t="s">
        <v>52</v>
      </c>
      <c r="DA46" s="130"/>
      <c r="DB46" s="90"/>
      <c r="DC46" s="11" t="str">
        <f>"EuriborSwapIsdaFixA"&amp;DC45&amp;"Y"</f>
        <v>EuriborSwapIsdaFixA27Y</v>
      </c>
      <c r="DD46" s="129" t="s">
        <v>52</v>
      </c>
      <c r="DE46" s="130"/>
      <c r="DF46" s="90"/>
      <c r="DG46" s="11" t="str">
        <f>"EuriborSwapIsdaFixA"&amp;DG45&amp;"Y"</f>
        <v>EuriborSwapIsdaFixA28Y</v>
      </c>
      <c r="DH46" s="129" t="s">
        <v>52</v>
      </c>
      <c r="DI46" s="130"/>
      <c r="DJ46" s="90"/>
      <c r="DK46" s="11" t="str">
        <f>"EuriborSwapIsdaFixA"&amp;DK45&amp;"Y"</f>
        <v>EuriborSwapIsdaFixA29Y</v>
      </c>
      <c r="DL46" s="129" t="s">
        <v>52</v>
      </c>
      <c r="DM46" s="130"/>
      <c r="DO46" s="11" t="str">
        <f>"EuriborSwapIsdaFixA"&amp;DO45&amp;"Y"</f>
        <v>EuriborSwapIsdaFixA30Y</v>
      </c>
      <c r="DP46" s="129" t="s">
        <v>52</v>
      </c>
      <c r="DQ46" s="130"/>
    </row>
    <row r="47" spans="1:121" x14ac:dyDescent="0.2">
      <c r="B47" s="2" t="s">
        <v>16</v>
      </c>
      <c r="C47" s="3" t="str">
        <f>_xll.qlInterestRateIndexTenor(C46)</f>
        <v>1Y</v>
      </c>
      <c r="D47" s="84" t="s">
        <v>67</v>
      </c>
      <c r="E47" s="78">
        <f>IF(ISNUMBER(D47),D47,Displacement)</f>
        <v>0.05</v>
      </c>
      <c r="G47" s="3" t="str">
        <f>_xll.qlInterestRateIndexTenor(G46)</f>
        <v>2Y</v>
      </c>
      <c r="H47" s="84" t="s">
        <v>67</v>
      </c>
      <c r="I47" s="78">
        <f>IF(ISNUMBER(H47),H47,Displacement)</f>
        <v>0.05</v>
      </c>
      <c r="K47" s="3" t="str">
        <f>_xll.qlInterestRateIndexTenor(K46)</f>
        <v>3Y</v>
      </c>
      <c r="L47" s="84" t="s">
        <v>67</v>
      </c>
      <c r="M47" s="78">
        <f>IF(ISNUMBER(L47),L47,Displacement)</f>
        <v>0.05</v>
      </c>
      <c r="O47" s="3" t="str">
        <f>_xll.qlInterestRateIndexTenor(O46)</f>
        <v>4Y</v>
      </c>
      <c r="P47" s="84" t="s">
        <v>67</v>
      </c>
      <c r="Q47" s="78">
        <f>IF(ISNUMBER(P47),P47,Displacement)</f>
        <v>0.05</v>
      </c>
      <c r="S47" s="3" t="str">
        <f>_xll.qlInterestRateIndexTenor(S46)</f>
        <v>5Y</v>
      </c>
      <c r="T47" s="84" t="s">
        <v>67</v>
      </c>
      <c r="U47" s="78">
        <f>IF(ISNUMBER(T47),T47,Displacement)</f>
        <v>0.05</v>
      </c>
      <c r="W47" s="3" t="str">
        <f>_xll.qlInterestRateIndexTenor(W46)</f>
        <v>6Y</v>
      </c>
      <c r="X47" s="84" t="s">
        <v>67</v>
      </c>
      <c r="Y47" s="78">
        <f>IF(ISNUMBER(X47),X47,Displacement)</f>
        <v>0.05</v>
      </c>
      <c r="AA47" s="3" t="str">
        <f>_xll.qlInterestRateIndexTenor(AA46)</f>
        <v>7Y</v>
      </c>
      <c r="AB47" s="84" t="s">
        <v>67</v>
      </c>
      <c r="AC47" s="78">
        <f>IF(ISNUMBER(AB47),AB47,Displacement)</f>
        <v>0.05</v>
      </c>
      <c r="AE47" s="3" t="str">
        <f>_xll.qlInterestRateIndexTenor(AE46)</f>
        <v>8Y</v>
      </c>
      <c r="AF47" s="84" t="s">
        <v>67</v>
      </c>
      <c r="AG47" s="78">
        <f>IF(ISNUMBER(AF47),AF47,Displacement)</f>
        <v>0.05</v>
      </c>
      <c r="AI47" s="3" t="str">
        <f>_xll.qlInterestRateIndexTenor(AI46)</f>
        <v>9Y</v>
      </c>
      <c r="AJ47" s="84" t="s">
        <v>67</v>
      </c>
      <c r="AK47" s="78">
        <f>IF(ISNUMBER(AJ47),AJ47,Displacement)</f>
        <v>0.05</v>
      </c>
      <c r="AM47" s="3" t="str">
        <f>_xll.qlInterestRateIndexTenor(AM46)</f>
        <v>10Y</v>
      </c>
      <c r="AN47" s="84" t="s">
        <v>67</v>
      </c>
      <c r="AO47" s="78">
        <f>IF(ISNUMBER(AN47),AN47,Displacement)</f>
        <v>0.05</v>
      </c>
      <c r="AP47" s="6"/>
      <c r="AQ47" s="3" t="str">
        <f>_xll.qlInterestRateIndexTenor(AQ46)</f>
        <v>11Y</v>
      </c>
      <c r="AR47" s="84" t="s">
        <v>67</v>
      </c>
      <c r="AS47" s="78">
        <f>IF(ISNUMBER(AR47),AR47,Displacement)</f>
        <v>0.05</v>
      </c>
      <c r="AU47" s="3" t="str">
        <f>_xll.qlInterestRateIndexTenor(AU46)</f>
        <v>12Y</v>
      </c>
      <c r="AV47" s="84" t="s">
        <v>67</v>
      </c>
      <c r="AW47" s="78">
        <f>IF(ISNUMBER(AV47),AV47,Displacement)</f>
        <v>0.05</v>
      </c>
      <c r="AY47" s="3" t="str">
        <f>_xll.qlInterestRateIndexTenor(AY46)</f>
        <v>13Y</v>
      </c>
      <c r="AZ47" s="84" t="s">
        <v>67</v>
      </c>
      <c r="BA47" s="78">
        <f>IF(ISNUMBER(AZ47),AZ47,Displacement)</f>
        <v>0.05</v>
      </c>
      <c r="BB47" s="90"/>
      <c r="BC47" s="3" t="str">
        <f>_xll.qlInterestRateIndexTenor(BC46)</f>
        <v>14Y</v>
      </c>
      <c r="BD47" s="84" t="s">
        <v>67</v>
      </c>
      <c r="BE47" s="78">
        <f>IF(ISNUMBER(BD47),BD47,Displacement)</f>
        <v>0.05</v>
      </c>
      <c r="BG47" s="3" t="str">
        <f>_xll.qlInterestRateIndexTenor(BG46)</f>
        <v>15Y</v>
      </c>
      <c r="BH47" s="84" t="s">
        <v>67</v>
      </c>
      <c r="BI47" s="78">
        <f>IF(ISNUMBER(BH47),BH47,Displacement)</f>
        <v>0.05</v>
      </c>
      <c r="BJ47" s="90"/>
      <c r="BK47" s="3" t="str">
        <f>_xll.qlInterestRateIndexTenor(BK46)</f>
        <v>16Y</v>
      </c>
      <c r="BL47" s="84" t="s">
        <v>67</v>
      </c>
      <c r="BM47" s="78">
        <f>IF(ISNUMBER(BL47),BL47,Displacement)</f>
        <v>0.05</v>
      </c>
      <c r="BN47" s="90"/>
      <c r="BO47" s="3" t="str">
        <f>_xll.qlInterestRateIndexTenor(BO46)</f>
        <v>17Y</v>
      </c>
      <c r="BP47" s="84" t="s">
        <v>67</v>
      </c>
      <c r="BQ47" s="78">
        <f>IF(ISNUMBER(BP47),BP47,Displacement)</f>
        <v>0.05</v>
      </c>
      <c r="BR47" s="90"/>
      <c r="BS47" s="3" t="str">
        <f>_xll.qlInterestRateIndexTenor(BS46)</f>
        <v>18Y</v>
      </c>
      <c r="BT47" s="84" t="s">
        <v>67</v>
      </c>
      <c r="BU47" s="78">
        <f>IF(ISNUMBER(BT47),BT47,Displacement)</f>
        <v>0.05</v>
      </c>
      <c r="BV47" s="90"/>
      <c r="BW47" s="3" t="str">
        <f>_xll.qlInterestRateIndexTenor(BW46)</f>
        <v>19Y</v>
      </c>
      <c r="BX47" s="84" t="s">
        <v>67</v>
      </c>
      <c r="BY47" s="78">
        <f>IF(ISNUMBER(BX47),BX47,Displacement)</f>
        <v>0.05</v>
      </c>
      <c r="CA47" s="3" t="str">
        <f>_xll.qlInterestRateIndexTenor(CA46)</f>
        <v>20Y</v>
      </c>
      <c r="CB47" s="84" t="s">
        <v>67</v>
      </c>
      <c r="CC47" s="78">
        <f>IF(ISNUMBER(CB47),CB47,Displacement)</f>
        <v>0.05</v>
      </c>
      <c r="CD47" s="90"/>
      <c r="CE47" s="3" t="str">
        <f>_xll.qlInterestRateIndexTenor(CE46)</f>
        <v>21Y</v>
      </c>
      <c r="CF47" s="84" t="s">
        <v>67</v>
      </c>
      <c r="CG47" s="78">
        <f>IF(ISNUMBER(CF47),CF47,Displacement)</f>
        <v>0.05</v>
      </c>
      <c r="CH47" s="90"/>
      <c r="CI47" s="3" t="str">
        <f>_xll.qlInterestRateIndexTenor(CI46)</f>
        <v>22Y</v>
      </c>
      <c r="CJ47" s="84" t="s">
        <v>67</v>
      </c>
      <c r="CK47" s="78">
        <f>IF(ISNUMBER(CJ47),CJ47,Displacement)</f>
        <v>0.05</v>
      </c>
      <c r="CL47" s="90"/>
      <c r="CM47" s="3" t="str">
        <f>_xll.qlInterestRateIndexTenor(CM46)</f>
        <v>23Y</v>
      </c>
      <c r="CN47" s="84" t="s">
        <v>67</v>
      </c>
      <c r="CO47" s="78">
        <f>IF(ISNUMBER(CN47),CN47,Displacement)</f>
        <v>0.05</v>
      </c>
      <c r="CP47" s="90"/>
      <c r="CQ47" s="3" t="str">
        <f>_xll.qlInterestRateIndexTenor(CQ46)</f>
        <v>24Y</v>
      </c>
      <c r="CR47" s="84" t="s">
        <v>67</v>
      </c>
      <c r="CS47" s="78">
        <f>IF(ISNUMBER(CR47),CR47,Displacement)</f>
        <v>0.05</v>
      </c>
      <c r="CU47" s="3" t="str">
        <f>_xll.qlInterestRateIndexTenor(CU46)</f>
        <v>25Y</v>
      </c>
      <c r="CV47" s="84" t="s">
        <v>67</v>
      </c>
      <c r="CW47" s="78">
        <f>IF(ISNUMBER(CV47),CV47,Displacement)</f>
        <v>0.05</v>
      </c>
      <c r="CX47" s="90"/>
      <c r="CY47" s="3" t="str">
        <f>_xll.qlInterestRateIndexTenor(CY46)</f>
        <v>26Y</v>
      </c>
      <c r="CZ47" s="84" t="s">
        <v>67</v>
      </c>
      <c r="DA47" s="78">
        <f>IF(ISNUMBER(CZ47),CZ47,Displacement)</f>
        <v>0.05</v>
      </c>
      <c r="DB47" s="90"/>
      <c r="DC47" s="3" t="str">
        <f>_xll.qlInterestRateIndexTenor(DC46)</f>
        <v>27Y</v>
      </c>
      <c r="DD47" s="84" t="s">
        <v>67</v>
      </c>
      <c r="DE47" s="78">
        <f>IF(ISNUMBER(DD47),DD47,Displacement)</f>
        <v>0.05</v>
      </c>
      <c r="DF47" s="90"/>
      <c r="DG47" s="3" t="str">
        <f>_xll.qlInterestRateIndexTenor(DG46)</f>
        <v>28Y</v>
      </c>
      <c r="DH47" s="84" t="s">
        <v>67</v>
      </c>
      <c r="DI47" s="78">
        <f>IF(ISNUMBER(DH47),DH47,Displacement)</f>
        <v>0.05</v>
      </c>
      <c r="DJ47" s="90"/>
      <c r="DK47" s="3" t="str">
        <f>_xll.qlInterestRateIndexTenor(DK46)</f>
        <v>29Y</v>
      </c>
      <c r="DL47" s="84" t="s">
        <v>67</v>
      </c>
      <c r="DM47" s="78">
        <f>IF(ISNUMBER(DL47),DL47,Displacement)</f>
        <v>0.05</v>
      </c>
      <c r="DO47" s="3" t="str">
        <f>_xll.qlInterestRateIndexTenor(DO46)</f>
        <v>30Y</v>
      </c>
      <c r="DP47" s="84" t="s">
        <v>67</v>
      </c>
      <c r="DQ47" s="78">
        <f>IF(ISNUMBER(DP47),DP47,Displacement)</f>
        <v>0.05</v>
      </c>
    </row>
    <row r="48" spans="1:121" x14ac:dyDescent="0.2">
      <c r="A48" s="83" t="s">
        <v>38</v>
      </c>
      <c r="B48" s="9" t="s">
        <v>19</v>
      </c>
      <c r="C48" s="10" t="s">
        <v>51</v>
      </c>
      <c r="D48" s="17" t="s">
        <v>57</v>
      </c>
      <c r="E48" s="10" t="str">
        <f>C47&amp;"_K"</f>
        <v>1Y_K</v>
      </c>
      <c r="G48" s="10" t="s">
        <v>51</v>
      </c>
      <c r="H48" s="10" t="s">
        <v>20</v>
      </c>
      <c r="I48" s="10" t="str">
        <f>G47&amp;"_K"</f>
        <v>2Y_K</v>
      </c>
      <c r="K48" s="10" t="s">
        <v>51</v>
      </c>
      <c r="L48" s="10" t="s">
        <v>20</v>
      </c>
      <c r="M48" s="10" t="str">
        <f>K47&amp;"_K"</f>
        <v>3Y_K</v>
      </c>
      <c r="O48" s="10" t="s">
        <v>51</v>
      </c>
      <c r="P48" s="10" t="s">
        <v>20</v>
      </c>
      <c r="Q48" s="10" t="str">
        <f>O47&amp;"_K"</f>
        <v>4Y_K</v>
      </c>
      <c r="S48" s="10" t="s">
        <v>51</v>
      </c>
      <c r="T48" s="10" t="s">
        <v>20</v>
      </c>
      <c r="U48" s="10" t="str">
        <f>S47&amp;"_K"</f>
        <v>5Y_K</v>
      </c>
      <c r="W48" s="10" t="s">
        <v>51</v>
      </c>
      <c r="X48" s="10" t="s">
        <v>20</v>
      </c>
      <c r="Y48" s="10" t="str">
        <f>W47&amp;"_K"</f>
        <v>6Y_K</v>
      </c>
      <c r="AA48" s="10" t="s">
        <v>51</v>
      </c>
      <c r="AB48" s="10" t="s">
        <v>20</v>
      </c>
      <c r="AC48" s="10" t="str">
        <f>AA47&amp;"_K"</f>
        <v>7Y_K</v>
      </c>
      <c r="AE48" s="10" t="s">
        <v>51</v>
      </c>
      <c r="AF48" s="10" t="s">
        <v>20</v>
      </c>
      <c r="AG48" s="10" t="str">
        <f>AE47&amp;"_K"</f>
        <v>8Y_K</v>
      </c>
      <c r="AI48" s="10" t="s">
        <v>51</v>
      </c>
      <c r="AJ48" s="10" t="s">
        <v>20</v>
      </c>
      <c r="AK48" s="10" t="str">
        <f>AI47&amp;"_K"</f>
        <v>9Y_K</v>
      </c>
      <c r="AM48" s="10" t="s">
        <v>51</v>
      </c>
      <c r="AN48" s="10" t="s">
        <v>20</v>
      </c>
      <c r="AO48" s="10" t="str">
        <f>AM47&amp;"_K"</f>
        <v>10Y_K</v>
      </c>
      <c r="AP48" s="91"/>
      <c r="AQ48" s="10" t="s">
        <v>51</v>
      </c>
      <c r="AR48" s="10" t="s">
        <v>20</v>
      </c>
      <c r="AS48" s="10" t="str">
        <f>AQ47&amp;"_K"</f>
        <v>11Y_K</v>
      </c>
      <c r="AU48" s="10" t="s">
        <v>51</v>
      </c>
      <c r="AV48" s="10" t="s">
        <v>20</v>
      </c>
      <c r="AW48" s="10" t="str">
        <f>AU47&amp;"_K"</f>
        <v>12Y_K</v>
      </c>
      <c r="AY48" s="10" t="s">
        <v>51</v>
      </c>
      <c r="AZ48" s="10" t="s">
        <v>20</v>
      </c>
      <c r="BA48" s="10" t="str">
        <f>AY47&amp;"_K"</f>
        <v>13Y_K</v>
      </c>
      <c r="BB48" s="91"/>
      <c r="BC48" s="10" t="s">
        <v>51</v>
      </c>
      <c r="BD48" s="10" t="s">
        <v>20</v>
      </c>
      <c r="BE48" s="10" t="str">
        <f>BC47&amp;"_K"</f>
        <v>14Y_K</v>
      </c>
      <c r="BG48" s="10" t="s">
        <v>51</v>
      </c>
      <c r="BH48" s="10" t="s">
        <v>20</v>
      </c>
      <c r="BI48" s="10" t="str">
        <f>BG47&amp;"_K"</f>
        <v>15Y_K</v>
      </c>
      <c r="BJ48" s="91"/>
      <c r="BK48" s="10" t="s">
        <v>51</v>
      </c>
      <c r="BL48" s="10" t="s">
        <v>20</v>
      </c>
      <c r="BM48" s="10" t="str">
        <f>BK47&amp;"_K"</f>
        <v>16Y_K</v>
      </c>
      <c r="BN48" s="91"/>
      <c r="BO48" s="10" t="s">
        <v>51</v>
      </c>
      <c r="BP48" s="10" t="s">
        <v>20</v>
      </c>
      <c r="BQ48" s="10" t="str">
        <f>BO47&amp;"_K"</f>
        <v>17Y_K</v>
      </c>
      <c r="BR48" s="91"/>
      <c r="BS48" s="10" t="s">
        <v>51</v>
      </c>
      <c r="BT48" s="10" t="s">
        <v>20</v>
      </c>
      <c r="BU48" s="10" t="str">
        <f>BS47&amp;"_K"</f>
        <v>18Y_K</v>
      </c>
      <c r="BV48" s="91"/>
      <c r="BW48" s="10" t="s">
        <v>51</v>
      </c>
      <c r="BX48" s="10" t="s">
        <v>20</v>
      </c>
      <c r="BY48" s="10" t="str">
        <f>BW47&amp;"_K"</f>
        <v>19Y_K</v>
      </c>
      <c r="CA48" s="10" t="s">
        <v>51</v>
      </c>
      <c r="CB48" s="10" t="s">
        <v>20</v>
      </c>
      <c r="CC48" s="10" t="str">
        <f>CA47&amp;"_K"</f>
        <v>20Y_K</v>
      </c>
      <c r="CD48" s="91"/>
      <c r="CE48" s="10" t="s">
        <v>51</v>
      </c>
      <c r="CF48" s="10" t="s">
        <v>20</v>
      </c>
      <c r="CG48" s="10" t="str">
        <f>CE47&amp;"_K"</f>
        <v>21Y_K</v>
      </c>
      <c r="CH48" s="91"/>
      <c r="CI48" s="10" t="s">
        <v>51</v>
      </c>
      <c r="CJ48" s="10" t="s">
        <v>20</v>
      </c>
      <c r="CK48" s="10" t="str">
        <f>CI47&amp;"_K"</f>
        <v>22Y_K</v>
      </c>
      <c r="CL48" s="91"/>
      <c r="CM48" s="10" t="s">
        <v>51</v>
      </c>
      <c r="CN48" s="10" t="s">
        <v>20</v>
      </c>
      <c r="CO48" s="10" t="str">
        <f>CM47&amp;"_K"</f>
        <v>23Y_K</v>
      </c>
      <c r="CP48" s="91"/>
      <c r="CQ48" s="10" t="s">
        <v>51</v>
      </c>
      <c r="CR48" s="10" t="s">
        <v>20</v>
      </c>
      <c r="CS48" s="10" t="str">
        <f>CQ47&amp;"_K"</f>
        <v>24Y_K</v>
      </c>
      <c r="CU48" s="10" t="s">
        <v>51</v>
      </c>
      <c r="CV48" s="10" t="s">
        <v>20</v>
      </c>
      <c r="CW48" s="10" t="str">
        <f>CU47&amp;"_K"</f>
        <v>25Y_K</v>
      </c>
      <c r="CX48" s="91"/>
      <c r="CY48" s="10" t="s">
        <v>51</v>
      </c>
      <c r="CZ48" s="10" t="s">
        <v>20</v>
      </c>
      <c r="DA48" s="10" t="str">
        <f>CY47&amp;"_K"</f>
        <v>26Y_K</v>
      </c>
      <c r="DB48" s="91"/>
      <c r="DC48" s="10" t="s">
        <v>51</v>
      </c>
      <c r="DD48" s="10" t="s">
        <v>20</v>
      </c>
      <c r="DE48" s="10" t="str">
        <f>DC47&amp;"_K"</f>
        <v>27Y_K</v>
      </c>
      <c r="DF48" s="91"/>
      <c r="DG48" s="10" t="s">
        <v>51</v>
      </c>
      <c r="DH48" s="10" t="s">
        <v>20</v>
      </c>
      <c r="DI48" s="10" t="str">
        <f>DG47&amp;"_K"</f>
        <v>28Y_K</v>
      </c>
      <c r="DJ48" s="91"/>
      <c r="DK48" s="10" t="s">
        <v>51</v>
      </c>
      <c r="DL48" s="10" t="s">
        <v>20</v>
      </c>
      <c r="DM48" s="10" t="str">
        <f>DK47&amp;"_K"</f>
        <v>29Y_K</v>
      </c>
      <c r="DO48" s="10" t="s">
        <v>51</v>
      </c>
      <c r="DP48" s="10" t="s">
        <v>20</v>
      </c>
      <c r="DQ48" s="10" t="str">
        <f>DO47&amp;"_K"</f>
        <v>30Y_K</v>
      </c>
    </row>
    <row r="49" spans="1:121" x14ac:dyDescent="0.2">
      <c r="A49" s="94" t="e">
        <f>_xll.qlDayCounterYearFraction(_xll.qlTermStructureDayCounter(Vol),_xll.qlTermStructureReferenceDate(Vol),A70,,,Trigger)</f>
        <v>#VALUE!</v>
      </c>
      <c r="B49" s="15" t="s">
        <v>21</v>
      </c>
      <c r="C49" s="77" t="e">
        <f>_xll.qlBlackFormulaImpliedStdDev("Call",C70,C70,E70,,E$47)/SQRT($A49)</f>
        <v>#VALUE!</v>
      </c>
      <c r="D49" s="21" t="e">
        <f>_xll.qlAbcdFunctionVolatility(D$37,0,$A49,$A49,D$32)</f>
        <v>#VALUE!</v>
      </c>
      <c r="E49" s="40" t="e">
        <f>_xll.qlAbcdCalibrationK(D$29,$A49,C49,D$32)</f>
        <v>#VALUE!</v>
      </c>
      <c r="G49" s="77" t="e">
        <f>_xll.qlBlackFormulaImpliedStdDev("Call",G70,G70,I70,,I$47)/SQRT($A49)</f>
        <v>#VALUE!</v>
      </c>
      <c r="H49" s="21" t="e">
        <f>_xll.qlAbcdFunctionVolatility(H$37,0,$A49,$A49,H$32)</f>
        <v>#VALUE!</v>
      </c>
      <c r="I49" s="40" t="e">
        <f>_xll.qlAbcdCalibrationK(H$29,$A49,G49,H$32)</f>
        <v>#VALUE!</v>
      </c>
      <c r="J49" s="107"/>
      <c r="K49" s="77" t="e">
        <f>_xll.qlBlackFormulaImpliedStdDev("Call",K70,K70,M70,,M$47)/SQRT($A49)</f>
        <v>#VALUE!</v>
      </c>
      <c r="L49" s="21" t="e">
        <f>_xll.qlAbcdFunctionVolatility(L$37,0,$A49,$A49,L$32)</f>
        <v>#VALUE!</v>
      </c>
      <c r="M49" s="40" t="e">
        <f>_xll.qlAbcdCalibrationK(L$29,$A49,K49,L$32)</f>
        <v>#VALUE!</v>
      </c>
      <c r="O49" s="77" t="e">
        <f>_xll.qlBlackFormulaImpliedStdDev("Call",O70,O70,Q70,,Q$47)/SQRT($A49)</f>
        <v>#VALUE!</v>
      </c>
      <c r="P49" s="21" t="e">
        <f>_xll.qlAbcdFunctionVolatility(P$37,0,$A49,$A49,P$32)</f>
        <v>#VALUE!</v>
      </c>
      <c r="Q49" s="40" t="e">
        <f>_xll.qlAbcdCalibrationK(P$29,$A49,O49,P$32)</f>
        <v>#VALUE!</v>
      </c>
      <c r="S49" s="77" t="e">
        <f>_xll.qlBlackFormulaImpliedStdDev("Call",S70,S70,U70,,U$47)/SQRT($A49)</f>
        <v>#VALUE!</v>
      </c>
      <c r="T49" s="21" t="e">
        <f>_xll.qlAbcdFunctionVolatility(T$37,0,$A49,$A49,T$32)</f>
        <v>#VALUE!</v>
      </c>
      <c r="U49" s="40" t="e">
        <f>_xll.qlAbcdCalibrationK(T$29,$A49,S49,T$32)</f>
        <v>#VALUE!</v>
      </c>
      <c r="W49" s="77" t="e">
        <f>_xll.qlBlackFormulaImpliedStdDev("Call",W70,W70,Y70,,Y$47)/SQRT($A49)</f>
        <v>#VALUE!</v>
      </c>
      <c r="X49" s="21" t="e">
        <f>_xll.qlAbcdFunctionVolatility(X$37,0,$A49,$A49,X$32)</f>
        <v>#VALUE!</v>
      </c>
      <c r="Y49" s="40" t="e">
        <f>_xll.qlAbcdCalibrationK(X$29,$A49,W49,X$32)</f>
        <v>#VALUE!</v>
      </c>
      <c r="AA49" s="77" t="e">
        <f>_xll.qlBlackFormulaImpliedStdDev("Call",AA70,AA70,AC70,,AC$47)/SQRT($A49)</f>
        <v>#VALUE!</v>
      </c>
      <c r="AB49" s="21" t="e">
        <f>_xll.qlAbcdFunctionVolatility(AB$37,0,$A49,$A49,AB$32)</f>
        <v>#VALUE!</v>
      </c>
      <c r="AC49" s="40" t="e">
        <f>_xll.qlAbcdCalibrationK(AB$29,$A49,AA49,AB$32)</f>
        <v>#VALUE!</v>
      </c>
      <c r="AE49" s="77" t="e">
        <f>_xll.qlBlackFormulaImpliedStdDev("Call",AE70,AE70,AG70,,AG$47)/SQRT($A49)</f>
        <v>#VALUE!</v>
      </c>
      <c r="AF49" s="21" t="e">
        <f>_xll.qlAbcdFunctionVolatility(AF$37,0,$A49,$A49,AF$32)</f>
        <v>#VALUE!</v>
      </c>
      <c r="AG49" s="40" t="e">
        <f>_xll.qlAbcdCalibrationK(AF$29,$A49,AE49,AF$32)</f>
        <v>#VALUE!</v>
      </c>
      <c r="AI49" s="77" t="e">
        <f>_xll.qlBlackFormulaImpliedStdDev("Call",AI70,AI70,AK70,,AK$47)/SQRT($A49)</f>
        <v>#VALUE!</v>
      </c>
      <c r="AJ49" s="21" t="e">
        <f>_xll.qlAbcdFunctionVolatility(AJ$37,0,$A49,$A49,AJ$32)</f>
        <v>#VALUE!</v>
      </c>
      <c r="AK49" s="40" t="e">
        <f>_xll.qlAbcdCalibrationK(AJ$29,$A49,AI49,AJ$32)</f>
        <v>#VALUE!</v>
      </c>
      <c r="AM49" s="77" t="e">
        <f>_xll.qlBlackFormulaImpliedStdDev("Call",AM70,AM70,AO70,,AO$47)/SQRT($A49)</f>
        <v>#VALUE!</v>
      </c>
      <c r="AN49" s="21" t="e">
        <f>_xll.qlAbcdFunctionVolatility(AN$37,0,$A49,$A49,AN$32)</f>
        <v>#VALUE!</v>
      </c>
      <c r="AO49" s="40" t="e">
        <f>_xll.qlAbcdCalibrationK(AN$29,$A49,AM49,AN$32)</f>
        <v>#VALUE!</v>
      </c>
      <c r="AP49" s="92"/>
      <c r="AQ49" s="77" t="e">
        <f>_xll.qlBlackFormulaImpliedStdDev("Call",AQ70,AQ70,AS70,,AS$47)/SQRT($A49)</f>
        <v>#VALUE!</v>
      </c>
      <c r="AR49" s="21" t="e">
        <f>_xll.qlAbcdFunctionVolatility(AR$37,0,$A49,$A49,AR$32)</f>
        <v>#VALUE!</v>
      </c>
      <c r="AS49" s="40" t="e">
        <f>_xll.qlAbcdCalibrationK(AR$29,$A49,AQ49,AR$32)</f>
        <v>#VALUE!</v>
      </c>
      <c r="AU49" s="77" t="e">
        <f>_xll.qlBlackFormulaImpliedStdDev("Call",AU70,AU70,AW70,,AW$47)/SQRT($A49)</f>
        <v>#VALUE!</v>
      </c>
      <c r="AV49" s="21" t="e">
        <f>_xll.qlAbcdFunctionVolatility(AV$37,0,$A49,$A49,AV$32)</f>
        <v>#VALUE!</v>
      </c>
      <c r="AW49" s="40" t="e">
        <f>_xll.qlAbcdCalibrationK(AV$29,$A49,AU49,AV$32)</f>
        <v>#VALUE!</v>
      </c>
      <c r="AY49" s="77" t="e">
        <f>_xll.qlBlackFormulaImpliedStdDev("Call",AY70,AY70,BA70,,BA$47)/SQRT($A49)</f>
        <v>#VALUE!</v>
      </c>
      <c r="AZ49" s="21" t="e">
        <f>_xll.qlAbcdFunctionVolatility(AZ$37,0,$A49,$A49,AZ$32)</f>
        <v>#VALUE!</v>
      </c>
      <c r="BA49" s="40" t="e">
        <f>_xll.qlAbcdCalibrationK(AZ$29,$A49,AY49,AZ$32)</f>
        <v>#VALUE!</v>
      </c>
      <c r="BB49" s="92"/>
      <c r="BC49" s="77" t="e">
        <f>_xll.qlBlackFormulaImpliedStdDev("Call",BC70,BC70,BE70,,BE$47)/SQRT($A49)</f>
        <v>#VALUE!</v>
      </c>
      <c r="BD49" s="21" t="e">
        <f>_xll.qlAbcdFunctionVolatility(BD$37,0,$A49,$A49,BD$32)</f>
        <v>#VALUE!</v>
      </c>
      <c r="BE49" s="40" t="e">
        <f>_xll.qlAbcdCalibrationK(BD$29,$A49,BC49,BD$32)</f>
        <v>#VALUE!</v>
      </c>
      <c r="BG49" s="77" t="e">
        <f>_xll.qlBlackFormulaImpliedStdDev("Call",BG70,BG70,BI70,,BI$47)/SQRT($A49)</f>
        <v>#VALUE!</v>
      </c>
      <c r="BH49" s="21" t="e">
        <f>_xll.qlAbcdFunctionVolatility(BH$37,0,$A49,$A49,BH$32)</f>
        <v>#VALUE!</v>
      </c>
      <c r="BI49" s="40" t="e">
        <f>_xll.qlAbcdCalibrationK(BH$29,$A49,BG49,BH$32)</f>
        <v>#VALUE!</v>
      </c>
      <c r="BJ49" s="92"/>
      <c r="BK49" s="77" t="e">
        <f>_xll.qlBlackFormulaImpliedStdDev("Call",BK70,BK70,BM70,,BM$47)/SQRT($A49)</f>
        <v>#VALUE!</v>
      </c>
      <c r="BL49" s="21" t="e">
        <f>_xll.qlAbcdFunctionVolatility(BL$37,0,$A49,$A49,BL$32)</f>
        <v>#VALUE!</v>
      </c>
      <c r="BM49" s="40" t="e">
        <f>_xll.qlAbcdCalibrationK(BL$29,$A49,BK49,BL$32)</f>
        <v>#VALUE!</v>
      </c>
      <c r="BN49" s="92"/>
      <c r="BO49" s="77" t="e">
        <f>_xll.qlBlackFormulaImpliedStdDev("Call",BO70,BO70,BQ70,,BQ$47)/SQRT($A49)</f>
        <v>#VALUE!</v>
      </c>
      <c r="BP49" s="21" t="e">
        <f>_xll.qlAbcdFunctionVolatility(BP$37,0,$A49,$A49,BP$32)</f>
        <v>#VALUE!</v>
      </c>
      <c r="BQ49" s="40" t="e">
        <f>_xll.qlAbcdCalibrationK(BP$29,$A49,BO49,BP$32)</f>
        <v>#VALUE!</v>
      </c>
      <c r="BR49" s="92"/>
      <c r="BS49" s="77" t="e">
        <f>_xll.qlBlackFormulaImpliedStdDev("Call",BS70,BS70,BU70,,BU$47)/SQRT($A49)</f>
        <v>#VALUE!</v>
      </c>
      <c r="BT49" s="21" t="e">
        <f>_xll.qlAbcdFunctionVolatility(BT$37,0,$A49,$A49,BT$32)</f>
        <v>#VALUE!</v>
      </c>
      <c r="BU49" s="40" t="e">
        <f>_xll.qlAbcdCalibrationK(BT$29,$A49,BS49,BT$32)</f>
        <v>#VALUE!</v>
      </c>
      <c r="BV49" s="92"/>
      <c r="BW49" s="77" t="e">
        <f>_xll.qlBlackFormulaImpliedStdDev("Call",BW70,BW70,BY70,,BY$47)/SQRT($A49)</f>
        <v>#VALUE!</v>
      </c>
      <c r="BX49" s="21" t="e">
        <f>_xll.qlAbcdFunctionVolatility(BX$37,0,$A49,$A49,BX$32)</f>
        <v>#VALUE!</v>
      </c>
      <c r="BY49" s="40" t="e">
        <f>_xll.qlAbcdCalibrationK(BX$29,$A49,BW49,BX$32)</f>
        <v>#VALUE!</v>
      </c>
      <c r="CA49" s="77" t="e">
        <f>_xll.qlBlackFormulaImpliedStdDev("Call",CA70,CA70,CC70,,CC$47)/SQRT($A49)</f>
        <v>#VALUE!</v>
      </c>
      <c r="CB49" s="21" t="e">
        <f>_xll.qlAbcdFunctionVolatility(CB$37,0,$A49,$A49,CB$32)</f>
        <v>#VALUE!</v>
      </c>
      <c r="CC49" s="40" t="e">
        <f>_xll.qlAbcdCalibrationK(CB$29,$A49,CA49,CB$32)</f>
        <v>#VALUE!</v>
      </c>
      <c r="CD49" s="92"/>
      <c r="CE49" s="77" t="e">
        <f>_xll.qlBlackFormulaImpliedStdDev("Call",CE70,CE70,CG70,,CG$47)/SQRT($A49)</f>
        <v>#VALUE!</v>
      </c>
      <c r="CF49" s="21" t="e">
        <f>_xll.qlAbcdFunctionVolatility(CF$37,0,$A49,$A49,CF$32)</f>
        <v>#VALUE!</v>
      </c>
      <c r="CG49" s="40" t="e">
        <f>_xll.qlAbcdCalibrationK(CF$29,$A49,CE49,CF$32)</f>
        <v>#VALUE!</v>
      </c>
      <c r="CH49" s="92"/>
      <c r="CI49" s="77" t="e">
        <f>_xll.qlBlackFormulaImpliedStdDev("Call",CI70,CI70,CK70,,CK$47)/SQRT($A49)</f>
        <v>#VALUE!</v>
      </c>
      <c r="CJ49" s="21" t="e">
        <f>_xll.qlAbcdFunctionVolatility(CJ$37,0,$A49,$A49,CJ$32)</f>
        <v>#VALUE!</v>
      </c>
      <c r="CK49" s="40" t="e">
        <f>_xll.qlAbcdCalibrationK(CJ$29,$A49,CI49,CJ$32)</f>
        <v>#VALUE!</v>
      </c>
      <c r="CL49" s="92"/>
      <c r="CM49" s="77" t="e">
        <f>_xll.qlBlackFormulaImpliedStdDev("Call",CM70,CM70,CO70,,CO$47)/SQRT($A49)</f>
        <v>#VALUE!</v>
      </c>
      <c r="CN49" s="21" t="e">
        <f>_xll.qlAbcdFunctionVolatility(CN$37,0,$A49,$A49,CN$32)</f>
        <v>#VALUE!</v>
      </c>
      <c r="CO49" s="40" t="e">
        <f>_xll.qlAbcdCalibrationK(CN$29,$A49,CM49,CN$32)</f>
        <v>#VALUE!</v>
      </c>
      <c r="CP49" s="92"/>
      <c r="CQ49" s="77" t="e">
        <f>_xll.qlBlackFormulaImpliedStdDev("Call",CQ70,CQ70,CS70,,CS$47)/SQRT($A49)</f>
        <v>#VALUE!</v>
      </c>
      <c r="CR49" s="21" t="e">
        <f>_xll.qlAbcdFunctionVolatility(CR$37,0,$A49,$A49,CR$32)</f>
        <v>#VALUE!</v>
      </c>
      <c r="CS49" s="40" t="e">
        <f>_xll.qlAbcdCalibrationK(CR$29,$A49,CQ49,CR$32)</f>
        <v>#VALUE!</v>
      </c>
      <c r="CU49" s="77" t="e">
        <f>_xll.qlBlackFormulaImpliedStdDev("Call",CU70,CU70,CW70,,CW$47)/SQRT($A49)</f>
        <v>#VALUE!</v>
      </c>
      <c r="CV49" s="21" t="e">
        <f>_xll.qlAbcdFunctionVolatility(CV$37,0,$A49,$A49,CV$32)</f>
        <v>#VALUE!</v>
      </c>
      <c r="CW49" s="40" t="e">
        <f>_xll.qlAbcdCalibrationK(CV$29,$A49,CU49,CV$32)</f>
        <v>#VALUE!</v>
      </c>
      <c r="CX49" s="92"/>
      <c r="CY49" s="77" t="e">
        <f>_xll.qlBlackFormulaImpliedStdDev("Call",CY70,CY70,DA70,,DA$47)/SQRT($A49)</f>
        <v>#VALUE!</v>
      </c>
      <c r="CZ49" s="21" t="e">
        <f>_xll.qlAbcdFunctionVolatility(CZ$37,0,$A49,$A49,CZ$32)</f>
        <v>#VALUE!</v>
      </c>
      <c r="DA49" s="40" t="e">
        <f>_xll.qlAbcdCalibrationK(CZ$29,$A49,CY49,CZ$32)</f>
        <v>#VALUE!</v>
      </c>
      <c r="DB49" s="92"/>
      <c r="DC49" s="77" t="e">
        <f>_xll.qlBlackFormulaImpliedStdDev("Call",DC70,DC70,DE70,,DE$47)/SQRT($A49)</f>
        <v>#VALUE!</v>
      </c>
      <c r="DD49" s="21" t="e">
        <f>_xll.qlAbcdFunctionVolatility(DD$37,0,$A49,$A49,DD$32)</f>
        <v>#VALUE!</v>
      </c>
      <c r="DE49" s="40" t="e">
        <f>_xll.qlAbcdCalibrationK(DD$29,$A49,DC49,DD$32)</f>
        <v>#VALUE!</v>
      </c>
      <c r="DF49" s="92"/>
      <c r="DG49" s="77" t="e">
        <f>_xll.qlBlackFormulaImpliedStdDev("Call",DG70,DG70,DI70,,DI$47)/SQRT($A49)</f>
        <v>#VALUE!</v>
      </c>
      <c r="DH49" s="21" t="e">
        <f>_xll.qlAbcdFunctionVolatility(DH$37,0,$A49,$A49,DH$32)</f>
        <v>#VALUE!</v>
      </c>
      <c r="DI49" s="40" t="e">
        <f>_xll.qlAbcdCalibrationK(DH$29,$A49,DG49,DH$32)</f>
        <v>#VALUE!</v>
      </c>
      <c r="DJ49" s="92"/>
      <c r="DK49" s="77" t="e">
        <f>_xll.qlBlackFormulaImpliedStdDev("Call",DK70,DK70,DM70,,DM$47)/SQRT($A49)</f>
        <v>#VALUE!</v>
      </c>
      <c r="DL49" s="21" t="e">
        <f>_xll.qlAbcdFunctionVolatility(DL$37,0,$A49,$A49,DL$32)</f>
        <v>#VALUE!</v>
      </c>
      <c r="DM49" s="40" t="e">
        <f>_xll.qlAbcdCalibrationK(DL$29,$A49,DK49,DL$32)</f>
        <v>#VALUE!</v>
      </c>
      <c r="DO49" s="77" t="e">
        <f>_xll.qlBlackFormulaImpliedStdDev("Call",DO70,DO70,DQ70,,DQ$47)/SQRT($A49)</f>
        <v>#VALUE!</v>
      </c>
      <c r="DP49" s="21" t="e">
        <f>_xll.qlAbcdFunctionVolatility(DP$37,0,$A49,$A49,DP$32)</f>
        <v>#VALUE!</v>
      </c>
      <c r="DQ49" s="40" t="e">
        <f>_xll.qlAbcdCalibrationK(DP$29,$A49,DO49,DP$32)</f>
        <v>#VALUE!</v>
      </c>
    </row>
    <row r="50" spans="1:121" x14ac:dyDescent="0.2">
      <c r="A50" s="94" t="e">
        <f>_xll.qlDayCounterYearFraction(_xll.qlTermStructureDayCounter(Vol),_xll.qlTermStructureReferenceDate(Vol),A71,,,Trigger)</f>
        <v>#VALUE!</v>
      </c>
      <c r="B50" s="15" t="s">
        <v>22</v>
      </c>
      <c r="C50" s="22" t="e">
        <f>_xll.qlBlackFormulaImpliedStdDev("Call",C71,C71,E71,,E$47)/SQRT($A50)</f>
        <v>#VALUE!</v>
      </c>
      <c r="D50" s="22" t="e">
        <f>_xll.qlAbcdFunctionVolatility(D$37,0,$A50,$A50,D$32)</f>
        <v>#VALUE!</v>
      </c>
      <c r="E50" s="41" t="e">
        <f>_xll.qlAbcdCalibrationK(D$29,$A50,C50,D$32)</f>
        <v>#VALUE!</v>
      </c>
      <c r="G50" s="22" t="e">
        <f>_xll.qlBlackFormulaImpliedStdDev("Call",G71,G71,I71,,I$47)/SQRT($A50)</f>
        <v>#VALUE!</v>
      </c>
      <c r="H50" s="22" t="e">
        <f>_xll.qlAbcdFunctionVolatility(H$37,0,$A50,$A50,H$32)</f>
        <v>#VALUE!</v>
      </c>
      <c r="I50" s="41" t="e">
        <f>_xll.qlAbcdCalibrationK(H$29,$A50,G50,H$32)</f>
        <v>#VALUE!</v>
      </c>
      <c r="J50" s="107"/>
      <c r="K50" s="22" t="e">
        <f>_xll.qlBlackFormulaImpliedStdDev("Call",K71,K71,M71,,M$47)/SQRT($A50)</f>
        <v>#VALUE!</v>
      </c>
      <c r="L50" s="22" t="e">
        <f>_xll.qlAbcdFunctionVolatility(L$37,0,$A50,$A50,L$32)</f>
        <v>#VALUE!</v>
      </c>
      <c r="M50" s="41" t="e">
        <f>_xll.qlAbcdCalibrationK(L$29,$A50,K50,L$32)</f>
        <v>#VALUE!</v>
      </c>
      <c r="O50" s="22" t="e">
        <f>_xll.qlBlackFormulaImpliedStdDev("Call",O71,O71,Q71,,Q$47)/SQRT($A50)</f>
        <v>#VALUE!</v>
      </c>
      <c r="P50" s="22" t="e">
        <f>_xll.qlAbcdFunctionVolatility(P$37,0,$A50,$A50,P$32)</f>
        <v>#VALUE!</v>
      </c>
      <c r="Q50" s="41" t="e">
        <f>_xll.qlAbcdCalibrationK(P$29,$A50,O50,P$32)</f>
        <v>#VALUE!</v>
      </c>
      <c r="S50" s="22" t="e">
        <f>_xll.qlBlackFormulaImpliedStdDev("Call",S71,S71,U71,,U$47)/SQRT($A50)</f>
        <v>#VALUE!</v>
      </c>
      <c r="T50" s="22" t="e">
        <f>_xll.qlAbcdFunctionVolatility(T$37,0,$A50,$A50,T$32)</f>
        <v>#VALUE!</v>
      </c>
      <c r="U50" s="41" t="e">
        <f>_xll.qlAbcdCalibrationK(T$29,$A50,S50,T$32)</f>
        <v>#VALUE!</v>
      </c>
      <c r="W50" s="22" t="e">
        <f>_xll.qlBlackFormulaImpliedStdDev("Call",W71,W71,Y71,,Y$47)/SQRT($A50)</f>
        <v>#VALUE!</v>
      </c>
      <c r="X50" s="22" t="e">
        <f>_xll.qlAbcdFunctionVolatility(X$37,0,$A50,$A50,X$32)</f>
        <v>#VALUE!</v>
      </c>
      <c r="Y50" s="41" t="e">
        <f>_xll.qlAbcdCalibrationK(X$29,$A50,W50,X$32)</f>
        <v>#VALUE!</v>
      </c>
      <c r="AA50" s="22" t="e">
        <f>_xll.qlBlackFormulaImpliedStdDev("Call",AA71,AA71,AC71,,AC$47)/SQRT($A50)</f>
        <v>#VALUE!</v>
      </c>
      <c r="AB50" s="22" t="e">
        <f>_xll.qlAbcdFunctionVolatility(AB$37,0,$A50,$A50,AB$32)</f>
        <v>#VALUE!</v>
      </c>
      <c r="AC50" s="41" t="e">
        <f>_xll.qlAbcdCalibrationK(AB$29,$A50,AA50,AB$32)</f>
        <v>#VALUE!</v>
      </c>
      <c r="AE50" s="22" t="e">
        <f>_xll.qlBlackFormulaImpliedStdDev("Call",AE71,AE71,AG71,,AG$47)/SQRT($A50)</f>
        <v>#VALUE!</v>
      </c>
      <c r="AF50" s="22" t="e">
        <f>_xll.qlAbcdFunctionVolatility(AF$37,0,$A50,$A50,AF$32)</f>
        <v>#VALUE!</v>
      </c>
      <c r="AG50" s="41" t="e">
        <f>_xll.qlAbcdCalibrationK(AF$29,$A50,AE50,AF$32)</f>
        <v>#VALUE!</v>
      </c>
      <c r="AI50" s="22" t="e">
        <f>_xll.qlBlackFormulaImpliedStdDev("Call",AI71,AI71,AK71,,AK$47)/SQRT($A50)</f>
        <v>#VALUE!</v>
      </c>
      <c r="AJ50" s="22" t="e">
        <f>_xll.qlAbcdFunctionVolatility(AJ$37,0,$A50,$A50,AJ$32)</f>
        <v>#VALUE!</v>
      </c>
      <c r="AK50" s="41" t="e">
        <f>_xll.qlAbcdCalibrationK(AJ$29,$A50,AI50,AJ$32)</f>
        <v>#VALUE!</v>
      </c>
      <c r="AM50" s="22" t="e">
        <f>_xll.qlBlackFormulaImpliedStdDev("Call",AM71,AM71,AO71,,AO$47)/SQRT($A50)</f>
        <v>#VALUE!</v>
      </c>
      <c r="AN50" s="22" t="e">
        <f>_xll.qlAbcdFunctionVolatility(AN$37,0,$A50,$A50,AN$32)</f>
        <v>#VALUE!</v>
      </c>
      <c r="AO50" s="41" t="e">
        <f>_xll.qlAbcdCalibrationK(AN$29,$A50,AM50,AN$32)</f>
        <v>#VALUE!</v>
      </c>
      <c r="AP50" s="92"/>
      <c r="AQ50" s="22" t="e">
        <f>_xll.qlBlackFormulaImpliedStdDev("Call",AQ71,AQ71,AS71,,AS$47)/SQRT($A50)</f>
        <v>#VALUE!</v>
      </c>
      <c r="AR50" s="22" t="e">
        <f>_xll.qlAbcdFunctionVolatility(AR$37,0,$A50,$A50,AR$32)</f>
        <v>#VALUE!</v>
      </c>
      <c r="AS50" s="41" t="e">
        <f>_xll.qlAbcdCalibrationK(AR$29,$A50,AQ50,AR$32)</f>
        <v>#VALUE!</v>
      </c>
      <c r="AU50" s="22" t="e">
        <f>_xll.qlBlackFormulaImpliedStdDev("Call",AU71,AU71,AW71,,AW$47)/SQRT($A50)</f>
        <v>#VALUE!</v>
      </c>
      <c r="AV50" s="22" t="e">
        <f>_xll.qlAbcdFunctionVolatility(AV$37,0,$A50,$A50,AV$32)</f>
        <v>#VALUE!</v>
      </c>
      <c r="AW50" s="41" t="e">
        <f>_xll.qlAbcdCalibrationK(AV$29,$A50,AU50,AV$32)</f>
        <v>#VALUE!</v>
      </c>
      <c r="AY50" s="22" t="e">
        <f>_xll.qlBlackFormulaImpliedStdDev("Call",AY71,AY71,BA71,,BA$47)/SQRT($A50)</f>
        <v>#VALUE!</v>
      </c>
      <c r="AZ50" s="22" t="e">
        <f>_xll.qlAbcdFunctionVolatility(AZ$37,0,$A50,$A50,AZ$32)</f>
        <v>#VALUE!</v>
      </c>
      <c r="BA50" s="41" t="e">
        <f>_xll.qlAbcdCalibrationK(AZ$29,$A50,AY50,AZ$32)</f>
        <v>#VALUE!</v>
      </c>
      <c r="BB50" s="92"/>
      <c r="BC50" s="22" t="e">
        <f>_xll.qlBlackFormulaImpliedStdDev("Call",BC71,BC71,BE71,,BE$47)/SQRT($A50)</f>
        <v>#VALUE!</v>
      </c>
      <c r="BD50" s="22" t="e">
        <f>_xll.qlAbcdFunctionVolatility(BD$37,0,$A50,$A50,BD$32)</f>
        <v>#VALUE!</v>
      </c>
      <c r="BE50" s="41" t="e">
        <f>_xll.qlAbcdCalibrationK(BD$29,$A50,BC50,BD$32)</f>
        <v>#VALUE!</v>
      </c>
      <c r="BG50" s="22" t="e">
        <f>_xll.qlBlackFormulaImpliedStdDev("Call",BG71,BG71,BI71,,BI$47)/SQRT($A50)</f>
        <v>#VALUE!</v>
      </c>
      <c r="BH50" s="22" t="e">
        <f>_xll.qlAbcdFunctionVolatility(BH$37,0,$A50,$A50,BH$32)</f>
        <v>#VALUE!</v>
      </c>
      <c r="BI50" s="41" t="e">
        <f>_xll.qlAbcdCalibrationK(BH$29,$A50,BG50,BH$32)</f>
        <v>#VALUE!</v>
      </c>
      <c r="BJ50" s="92"/>
      <c r="BK50" s="22" t="e">
        <f>_xll.qlBlackFormulaImpliedStdDev("Call",BK71,BK71,BM71,,BM$47)/SQRT($A50)</f>
        <v>#VALUE!</v>
      </c>
      <c r="BL50" s="22" t="e">
        <f>_xll.qlAbcdFunctionVolatility(BL$37,0,$A50,$A50,BL$32)</f>
        <v>#VALUE!</v>
      </c>
      <c r="BM50" s="41" t="e">
        <f>_xll.qlAbcdCalibrationK(BL$29,$A50,BK50,BL$32)</f>
        <v>#VALUE!</v>
      </c>
      <c r="BN50" s="92"/>
      <c r="BO50" s="22" t="e">
        <f>_xll.qlBlackFormulaImpliedStdDev("Call",BO71,BO71,BQ71,,BQ$47)/SQRT($A50)</f>
        <v>#VALUE!</v>
      </c>
      <c r="BP50" s="22" t="e">
        <f>_xll.qlAbcdFunctionVolatility(BP$37,0,$A50,$A50,BP$32)</f>
        <v>#VALUE!</v>
      </c>
      <c r="BQ50" s="41" t="e">
        <f>_xll.qlAbcdCalibrationK(BP$29,$A50,BO50,BP$32)</f>
        <v>#VALUE!</v>
      </c>
      <c r="BR50" s="92"/>
      <c r="BS50" s="22" t="e">
        <f>_xll.qlBlackFormulaImpliedStdDev("Call",BS71,BS71,BU71,,BU$47)/SQRT($A50)</f>
        <v>#VALUE!</v>
      </c>
      <c r="BT50" s="22" t="e">
        <f>_xll.qlAbcdFunctionVolatility(BT$37,0,$A50,$A50,BT$32)</f>
        <v>#VALUE!</v>
      </c>
      <c r="BU50" s="41" t="e">
        <f>_xll.qlAbcdCalibrationK(BT$29,$A50,BS50,BT$32)</f>
        <v>#VALUE!</v>
      </c>
      <c r="BV50" s="92"/>
      <c r="BW50" s="22" t="e">
        <f>_xll.qlBlackFormulaImpliedStdDev("Call",BW71,BW71,BY71,,BY$47)/SQRT($A50)</f>
        <v>#VALUE!</v>
      </c>
      <c r="BX50" s="22" t="e">
        <f>_xll.qlAbcdFunctionVolatility(BX$37,0,$A50,$A50,BX$32)</f>
        <v>#VALUE!</v>
      </c>
      <c r="BY50" s="41" t="e">
        <f>_xll.qlAbcdCalibrationK(BX$29,$A50,BW50,BX$32)</f>
        <v>#VALUE!</v>
      </c>
      <c r="CA50" s="22" t="e">
        <f>_xll.qlBlackFormulaImpliedStdDev("Call",CA71,CA71,CC71,,CC$47)/SQRT($A50)</f>
        <v>#VALUE!</v>
      </c>
      <c r="CB50" s="22" t="e">
        <f>_xll.qlAbcdFunctionVolatility(CB$37,0,$A50,$A50,CB$32)</f>
        <v>#VALUE!</v>
      </c>
      <c r="CC50" s="41" t="e">
        <f>_xll.qlAbcdCalibrationK(CB$29,$A50,CA50,CB$32)</f>
        <v>#VALUE!</v>
      </c>
      <c r="CD50" s="92"/>
      <c r="CE50" s="22" t="e">
        <f>_xll.qlBlackFormulaImpliedStdDev("Call",CE71,CE71,CG71,,CG$47)/SQRT($A50)</f>
        <v>#VALUE!</v>
      </c>
      <c r="CF50" s="22" t="e">
        <f>_xll.qlAbcdFunctionVolatility(CF$37,0,$A50,$A50,CF$32)</f>
        <v>#VALUE!</v>
      </c>
      <c r="CG50" s="41" t="e">
        <f>_xll.qlAbcdCalibrationK(CF$29,$A50,CE50,CF$32)</f>
        <v>#VALUE!</v>
      </c>
      <c r="CH50" s="92"/>
      <c r="CI50" s="22" t="e">
        <f>_xll.qlBlackFormulaImpliedStdDev("Call",CI71,CI71,CK71,,CK$47)/SQRT($A50)</f>
        <v>#VALUE!</v>
      </c>
      <c r="CJ50" s="22" t="e">
        <f>_xll.qlAbcdFunctionVolatility(CJ$37,0,$A50,$A50,CJ$32)</f>
        <v>#VALUE!</v>
      </c>
      <c r="CK50" s="41" t="e">
        <f>_xll.qlAbcdCalibrationK(CJ$29,$A50,CI50,CJ$32)</f>
        <v>#VALUE!</v>
      </c>
      <c r="CL50" s="92"/>
      <c r="CM50" s="22" t="e">
        <f>_xll.qlBlackFormulaImpliedStdDev("Call",CM71,CM71,CO71,,CO$47)/SQRT($A50)</f>
        <v>#VALUE!</v>
      </c>
      <c r="CN50" s="22" t="e">
        <f>_xll.qlAbcdFunctionVolatility(CN$37,0,$A50,$A50,CN$32)</f>
        <v>#VALUE!</v>
      </c>
      <c r="CO50" s="41" t="e">
        <f>_xll.qlAbcdCalibrationK(CN$29,$A50,CM50,CN$32)</f>
        <v>#VALUE!</v>
      </c>
      <c r="CP50" s="92"/>
      <c r="CQ50" s="22" t="e">
        <f>_xll.qlBlackFormulaImpliedStdDev("Call",CQ71,CQ71,CS71,,CS$47)/SQRT($A50)</f>
        <v>#VALUE!</v>
      </c>
      <c r="CR50" s="22" t="e">
        <f>_xll.qlAbcdFunctionVolatility(CR$37,0,$A50,$A50,CR$32)</f>
        <v>#VALUE!</v>
      </c>
      <c r="CS50" s="41" t="e">
        <f>_xll.qlAbcdCalibrationK(CR$29,$A50,CQ50,CR$32)</f>
        <v>#VALUE!</v>
      </c>
      <c r="CU50" s="22" t="e">
        <f>_xll.qlBlackFormulaImpliedStdDev("Call",CU71,CU71,CW71,,CW$47)/SQRT($A50)</f>
        <v>#VALUE!</v>
      </c>
      <c r="CV50" s="22" t="e">
        <f>_xll.qlAbcdFunctionVolatility(CV$37,0,$A50,$A50,CV$32)</f>
        <v>#VALUE!</v>
      </c>
      <c r="CW50" s="41" t="e">
        <f>_xll.qlAbcdCalibrationK(CV$29,$A50,CU50,CV$32)</f>
        <v>#VALUE!</v>
      </c>
      <c r="CX50" s="92"/>
      <c r="CY50" s="22" t="e">
        <f>_xll.qlBlackFormulaImpliedStdDev("Call",CY71,CY71,DA71,,DA$47)/SQRT($A50)</f>
        <v>#VALUE!</v>
      </c>
      <c r="CZ50" s="22" t="e">
        <f>_xll.qlAbcdFunctionVolatility(CZ$37,0,$A50,$A50,CZ$32)</f>
        <v>#VALUE!</v>
      </c>
      <c r="DA50" s="41" t="e">
        <f>_xll.qlAbcdCalibrationK(CZ$29,$A50,CY50,CZ$32)</f>
        <v>#VALUE!</v>
      </c>
      <c r="DB50" s="92"/>
      <c r="DC50" s="22" t="e">
        <f>_xll.qlBlackFormulaImpliedStdDev("Call",DC71,DC71,DE71,,DE$47)/SQRT($A50)</f>
        <v>#VALUE!</v>
      </c>
      <c r="DD50" s="22" t="e">
        <f>_xll.qlAbcdFunctionVolatility(DD$37,0,$A50,$A50,DD$32)</f>
        <v>#VALUE!</v>
      </c>
      <c r="DE50" s="41" t="e">
        <f>_xll.qlAbcdCalibrationK(DD$29,$A50,DC50,DD$32)</f>
        <v>#VALUE!</v>
      </c>
      <c r="DF50" s="92"/>
      <c r="DG50" s="22" t="e">
        <f>_xll.qlBlackFormulaImpliedStdDev("Call",DG71,DG71,DI71,,DI$47)/SQRT($A50)</f>
        <v>#VALUE!</v>
      </c>
      <c r="DH50" s="22" t="e">
        <f>_xll.qlAbcdFunctionVolatility(DH$37,0,$A50,$A50,DH$32)</f>
        <v>#VALUE!</v>
      </c>
      <c r="DI50" s="41" t="e">
        <f>_xll.qlAbcdCalibrationK(DH$29,$A50,DG50,DH$32)</f>
        <v>#VALUE!</v>
      </c>
      <c r="DJ50" s="92"/>
      <c r="DK50" s="22" t="e">
        <f>_xll.qlBlackFormulaImpliedStdDev("Call",DK71,DK71,DM71,,DM$47)/SQRT($A50)</f>
        <v>#VALUE!</v>
      </c>
      <c r="DL50" s="22" t="e">
        <f>_xll.qlAbcdFunctionVolatility(DL$37,0,$A50,$A50,DL$32)</f>
        <v>#VALUE!</v>
      </c>
      <c r="DM50" s="41" t="e">
        <f>_xll.qlAbcdCalibrationK(DL$29,$A50,DK50,DL$32)</f>
        <v>#VALUE!</v>
      </c>
      <c r="DO50" s="22" t="e">
        <f>_xll.qlBlackFormulaImpliedStdDev("Call",DO71,DO71,DQ71,,DQ$47)/SQRT($A50)</f>
        <v>#VALUE!</v>
      </c>
      <c r="DP50" s="22" t="e">
        <f>_xll.qlAbcdFunctionVolatility(DP$37,0,$A50,$A50,DP$32)</f>
        <v>#VALUE!</v>
      </c>
      <c r="DQ50" s="41" t="e">
        <f>_xll.qlAbcdCalibrationK(DP$29,$A50,DO50,DP$32)</f>
        <v>#VALUE!</v>
      </c>
    </row>
    <row r="51" spans="1:121" x14ac:dyDescent="0.2">
      <c r="A51" s="94" t="e">
        <f>_xll.qlDayCounterYearFraction(_xll.qlTermStructureDayCounter(Vol),_xll.qlTermStructureReferenceDate(Vol),A72,,,Trigger)</f>
        <v>#VALUE!</v>
      </c>
      <c r="B51" s="15" t="s">
        <v>23</v>
      </c>
      <c r="C51" s="22" t="e">
        <f>_xll.qlBlackFormulaImpliedStdDev("Call",C72,C72,E72,,E$47)/SQRT($A51)</f>
        <v>#VALUE!</v>
      </c>
      <c r="D51" s="22" t="e">
        <f>_xll.qlAbcdFunctionVolatility(D$37,0,$A51,$A51,D$32)</f>
        <v>#VALUE!</v>
      </c>
      <c r="E51" s="41" t="e">
        <f>_xll.qlAbcdCalibrationK(D$29,$A51,C51,D$32)</f>
        <v>#VALUE!</v>
      </c>
      <c r="G51" s="22" t="e">
        <f>_xll.qlBlackFormulaImpliedStdDev("Call",G72,G72,I72,,I$47)/SQRT($A51)</f>
        <v>#VALUE!</v>
      </c>
      <c r="H51" s="22" t="e">
        <f>_xll.qlAbcdFunctionVolatility(H$37,0,$A51,$A51,H$32)</f>
        <v>#VALUE!</v>
      </c>
      <c r="I51" s="41" t="e">
        <f>_xll.qlAbcdCalibrationK(H$29,$A51,G51,H$32)</f>
        <v>#VALUE!</v>
      </c>
      <c r="J51" s="107"/>
      <c r="K51" s="22" t="e">
        <f>_xll.qlBlackFormulaImpliedStdDev("Call",K72,K72,M72,,M$47)/SQRT($A51)</f>
        <v>#VALUE!</v>
      </c>
      <c r="L51" s="22" t="e">
        <f>_xll.qlAbcdFunctionVolatility(L$37,0,$A51,$A51,L$32)</f>
        <v>#VALUE!</v>
      </c>
      <c r="M51" s="41" t="e">
        <f>_xll.qlAbcdCalibrationK(L$29,$A51,K51,L$32)</f>
        <v>#VALUE!</v>
      </c>
      <c r="O51" s="22" t="e">
        <f>_xll.qlBlackFormulaImpliedStdDev("Call",O72,O72,Q72,,Q$47)/SQRT($A51)</f>
        <v>#VALUE!</v>
      </c>
      <c r="P51" s="22" t="e">
        <f>_xll.qlAbcdFunctionVolatility(P$37,0,$A51,$A51,P$32)</f>
        <v>#VALUE!</v>
      </c>
      <c r="Q51" s="41" t="e">
        <f>_xll.qlAbcdCalibrationK(P$29,$A51,O51,P$32)</f>
        <v>#VALUE!</v>
      </c>
      <c r="S51" s="22" t="e">
        <f>_xll.qlBlackFormulaImpliedStdDev("Call",S72,S72,U72,,U$47)/SQRT($A51)</f>
        <v>#VALUE!</v>
      </c>
      <c r="T51" s="22" t="e">
        <f>_xll.qlAbcdFunctionVolatility(T$37,0,$A51,$A51,T$32)</f>
        <v>#VALUE!</v>
      </c>
      <c r="U51" s="41" t="e">
        <f>_xll.qlAbcdCalibrationK(T$29,$A51,S51,T$32)</f>
        <v>#VALUE!</v>
      </c>
      <c r="W51" s="22" t="e">
        <f>_xll.qlBlackFormulaImpliedStdDev("Call",W72,W72,Y72,,Y$47)/SQRT($A51)</f>
        <v>#VALUE!</v>
      </c>
      <c r="X51" s="22" t="e">
        <f>_xll.qlAbcdFunctionVolatility(X$37,0,$A51,$A51,X$32)</f>
        <v>#VALUE!</v>
      </c>
      <c r="Y51" s="41" t="e">
        <f>_xll.qlAbcdCalibrationK(X$29,$A51,W51,X$32)</f>
        <v>#VALUE!</v>
      </c>
      <c r="AA51" s="22" t="e">
        <f>_xll.qlBlackFormulaImpliedStdDev("Call",AA72,AA72,AC72,,AC$47)/SQRT($A51)</f>
        <v>#VALUE!</v>
      </c>
      <c r="AB51" s="22" t="e">
        <f>_xll.qlAbcdFunctionVolatility(AB$37,0,$A51,$A51,AB$32)</f>
        <v>#VALUE!</v>
      </c>
      <c r="AC51" s="41" t="e">
        <f>_xll.qlAbcdCalibrationK(AB$29,$A51,AA51,AB$32)</f>
        <v>#VALUE!</v>
      </c>
      <c r="AE51" s="22" t="e">
        <f>_xll.qlBlackFormulaImpliedStdDev("Call",AE72,AE72,AG72,,AG$47)/SQRT($A51)</f>
        <v>#VALUE!</v>
      </c>
      <c r="AF51" s="22" t="e">
        <f>_xll.qlAbcdFunctionVolatility(AF$37,0,$A51,$A51,AF$32)</f>
        <v>#VALUE!</v>
      </c>
      <c r="AG51" s="41" t="e">
        <f>_xll.qlAbcdCalibrationK(AF$29,$A51,AE51,AF$32)</f>
        <v>#VALUE!</v>
      </c>
      <c r="AI51" s="22" t="e">
        <f>_xll.qlBlackFormulaImpliedStdDev("Call",AI72,AI72,AK72,,AK$47)/SQRT($A51)</f>
        <v>#VALUE!</v>
      </c>
      <c r="AJ51" s="22" t="e">
        <f>_xll.qlAbcdFunctionVolatility(AJ$37,0,$A51,$A51,AJ$32)</f>
        <v>#VALUE!</v>
      </c>
      <c r="AK51" s="41" t="e">
        <f>_xll.qlAbcdCalibrationK(AJ$29,$A51,AI51,AJ$32)</f>
        <v>#VALUE!</v>
      </c>
      <c r="AM51" s="22" t="e">
        <f>_xll.qlBlackFormulaImpliedStdDev("Call",AM72,AM72,AO72,,AO$47)/SQRT($A51)</f>
        <v>#VALUE!</v>
      </c>
      <c r="AN51" s="22" t="e">
        <f>_xll.qlAbcdFunctionVolatility(AN$37,0,$A51,$A51,AN$32)</f>
        <v>#VALUE!</v>
      </c>
      <c r="AO51" s="41" t="e">
        <f>_xll.qlAbcdCalibrationK(AN$29,$A51,AM51,AN$32)</f>
        <v>#VALUE!</v>
      </c>
      <c r="AP51" s="92"/>
      <c r="AQ51" s="22" t="e">
        <f>_xll.qlBlackFormulaImpliedStdDev("Call",AQ72,AQ72,AS72,,AS$47)/SQRT($A51)</f>
        <v>#VALUE!</v>
      </c>
      <c r="AR51" s="22" t="e">
        <f>_xll.qlAbcdFunctionVolatility(AR$37,0,$A51,$A51,AR$32)</f>
        <v>#VALUE!</v>
      </c>
      <c r="AS51" s="41" t="e">
        <f>_xll.qlAbcdCalibrationK(AR$29,$A51,AQ51,AR$32)</f>
        <v>#VALUE!</v>
      </c>
      <c r="AU51" s="22" t="e">
        <f>_xll.qlBlackFormulaImpliedStdDev("Call",AU72,AU72,AW72,,AW$47)/SQRT($A51)</f>
        <v>#VALUE!</v>
      </c>
      <c r="AV51" s="22" t="e">
        <f>_xll.qlAbcdFunctionVolatility(AV$37,0,$A51,$A51,AV$32)</f>
        <v>#VALUE!</v>
      </c>
      <c r="AW51" s="41" t="e">
        <f>_xll.qlAbcdCalibrationK(AV$29,$A51,AU51,AV$32)</f>
        <v>#VALUE!</v>
      </c>
      <c r="AY51" s="22" t="e">
        <f>_xll.qlBlackFormulaImpliedStdDev("Call",AY72,AY72,BA72,,BA$47)/SQRT($A51)</f>
        <v>#VALUE!</v>
      </c>
      <c r="AZ51" s="22" t="e">
        <f>_xll.qlAbcdFunctionVolatility(AZ$37,0,$A51,$A51,AZ$32)</f>
        <v>#VALUE!</v>
      </c>
      <c r="BA51" s="41" t="e">
        <f>_xll.qlAbcdCalibrationK(AZ$29,$A51,AY51,AZ$32)</f>
        <v>#VALUE!</v>
      </c>
      <c r="BB51" s="92"/>
      <c r="BC51" s="22" t="e">
        <f>_xll.qlBlackFormulaImpliedStdDev("Call",BC72,BC72,BE72,,BE$47)/SQRT($A51)</f>
        <v>#VALUE!</v>
      </c>
      <c r="BD51" s="22" t="e">
        <f>_xll.qlAbcdFunctionVolatility(BD$37,0,$A51,$A51,BD$32)</f>
        <v>#VALUE!</v>
      </c>
      <c r="BE51" s="41" t="e">
        <f>_xll.qlAbcdCalibrationK(BD$29,$A51,BC51,BD$32)</f>
        <v>#VALUE!</v>
      </c>
      <c r="BG51" s="22" t="e">
        <f>_xll.qlBlackFormulaImpliedStdDev("Call",BG72,BG72,BI72,,BI$47)/SQRT($A51)</f>
        <v>#VALUE!</v>
      </c>
      <c r="BH51" s="22" t="e">
        <f>_xll.qlAbcdFunctionVolatility(BH$37,0,$A51,$A51,BH$32)</f>
        <v>#VALUE!</v>
      </c>
      <c r="BI51" s="41" t="e">
        <f>_xll.qlAbcdCalibrationK(BH$29,$A51,BG51,BH$32)</f>
        <v>#VALUE!</v>
      </c>
      <c r="BJ51" s="92"/>
      <c r="BK51" s="22" t="e">
        <f>_xll.qlBlackFormulaImpliedStdDev("Call",BK72,BK72,BM72,,BM$47)/SQRT($A51)</f>
        <v>#VALUE!</v>
      </c>
      <c r="BL51" s="22" t="e">
        <f>_xll.qlAbcdFunctionVolatility(BL$37,0,$A51,$A51,BL$32)</f>
        <v>#VALUE!</v>
      </c>
      <c r="BM51" s="41" t="e">
        <f>_xll.qlAbcdCalibrationK(BL$29,$A51,BK51,BL$32)</f>
        <v>#VALUE!</v>
      </c>
      <c r="BN51" s="92"/>
      <c r="BO51" s="22" t="e">
        <f>_xll.qlBlackFormulaImpliedStdDev("Call",BO72,BO72,BQ72,,BQ$47)/SQRT($A51)</f>
        <v>#VALUE!</v>
      </c>
      <c r="BP51" s="22" t="e">
        <f>_xll.qlAbcdFunctionVolatility(BP$37,0,$A51,$A51,BP$32)</f>
        <v>#VALUE!</v>
      </c>
      <c r="BQ51" s="41" t="e">
        <f>_xll.qlAbcdCalibrationK(BP$29,$A51,BO51,BP$32)</f>
        <v>#VALUE!</v>
      </c>
      <c r="BR51" s="92"/>
      <c r="BS51" s="22" t="e">
        <f>_xll.qlBlackFormulaImpliedStdDev("Call",BS72,BS72,BU72,,BU$47)/SQRT($A51)</f>
        <v>#VALUE!</v>
      </c>
      <c r="BT51" s="22" t="e">
        <f>_xll.qlAbcdFunctionVolatility(BT$37,0,$A51,$A51,BT$32)</f>
        <v>#VALUE!</v>
      </c>
      <c r="BU51" s="41" t="e">
        <f>_xll.qlAbcdCalibrationK(BT$29,$A51,BS51,BT$32)</f>
        <v>#VALUE!</v>
      </c>
      <c r="BV51" s="92"/>
      <c r="BW51" s="22" t="e">
        <f>_xll.qlBlackFormulaImpliedStdDev("Call",BW72,BW72,BY72,,BY$47)/SQRT($A51)</f>
        <v>#VALUE!</v>
      </c>
      <c r="BX51" s="22" t="e">
        <f>_xll.qlAbcdFunctionVolatility(BX$37,0,$A51,$A51,BX$32)</f>
        <v>#VALUE!</v>
      </c>
      <c r="BY51" s="41" t="e">
        <f>_xll.qlAbcdCalibrationK(BX$29,$A51,BW51,BX$32)</f>
        <v>#VALUE!</v>
      </c>
      <c r="CA51" s="22" t="e">
        <f>_xll.qlBlackFormulaImpliedStdDev("Call",CA72,CA72,CC72,,CC$47)/SQRT($A51)</f>
        <v>#VALUE!</v>
      </c>
      <c r="CB51" s="22" t="e">
        <f>_xll.qlAbcdFunctionVolatility(CB$37,0,$A51,$A51,CB$32)</f>
        <v>#VALUE!</v>
      </c>
      <c r="CC51" s="41" t="e">
        <f>_xll.qlAbcdCalibrationK(CB$29,$A51,CA51,CB$32)</f>
        <v>#VALUE!</v>
      </c>
      <c r="CD51" s="92"/>
      <c r="CE51" s="22" t="e">
        <f>_xll.qlBlackFormulaImpliedStdDev("Call",CE72,CE72,CG72,,CG$47)/SQRT($A51)</f>
        <v>#VALUE!</v>
      </c>
      <c r="CF51" s="22" t="e">
        <f>_xll.qlAbcdFunctionVolatility(CF$37,0,$A51,$A51,CF$32)</f>
        <v>#VALUE!</v>
      </c>
      <c r="CG51" s="41" t="e">
        <f>_xll.qlAbcdCalibrationK(CF$29,$A51,CE51,CF$32)</f>
        <v>#VALUE!</v>
      </c>
      <c r="CH51" s="92"/>
      <c r="CI51" s="22" t="e">
        <f>_xll.qlBlackFormulaImpliedStdDev("Call",CI72,CI72,CK72,,CK$47)/SQRT($A51)</f>
        <v>#VALUE!</v>
      </c>
      <c r="CJ51" s="22" t="e">
        <f>_xll.qlAbcdFunctionVolatility(CJ$37,0,$A51,$A51,CJ$32)</f>
        <v>#VALUE!</v>
      </c>
      <c r="CK51" s="41" t="e">
        <f>_xll.qlAbcdCalibrationK(CJ$29,$A51,CI51,CJ$32)</f>
        <v>#VALUE!</v>
      </c>
      <c r="CL51" s="92"/>
      <c r="CM51" s="22" t="e">
        <f>_xll.qlBlackFormulaImpliedStdDev("Call",CM72,CM72,CO72,,CO$47)/SQRT($A51)</f>
        <v>#VALUE!</v>
      </c>
      <c r="CN51" s="22" t="e">
        <f>_xll.qlAbcdFunctionVolatility(CN$37,0,$A51,$A51,CN$32)</f>
        <v>#VALUE!</v>
      </c>
      <c r="CO51" s="41" t="e">
        <f>_xll.qlAbcdCalibrationK(CN$29,$A51,CM51,CN$32)</f>
        <v>#VALUE!</v>
      </c>
      <c r="CP51" s="92"/>
      <c r="CQ51" s="22" t="e">
        <f>_xll.qlBlackFormulaImpliedStdDev("Call",CQ72,CQ72,CS72,,CS$47)/SQRT($A51)</f>
        <v>#VALUE!</v>
      </c>
      <c r="CR51" s="22" t="e">
        <f>_xll.qlAbcdFunctionVolatility(CR$37,0,$A51,$A51,CR$32)</f>
        <v>#VALUE!</v>
      </c>
      <c r="CS51" s="41" t="e">
        <f>_xll.qlAbcdCalibrationK(CR$29,$A51,CQ51,CR$32)</f>
        <v>#VALUE!</v>
      </c>
      <c r="CU51" s="22" t="e">
        <f>_xll.qlBlackFormulaImpliedStdDev("Call",CU72,CU72,CW72,,CW$47)/SQRT($A51)</f>
        <v>#VALUE!</v>
      </c>
      <c r="CV51" s="22" t="e">
        <f>_xll.qlAbcdFunctionVolatility(CV$37,0,$A51,$A51,CV$32)</f>
        <v>#VALUE!</v>
      </c>
      <c r="CW51" s="41" t="e">
        <f>_xll.qlAbcdCalibrationK(CV$29,$A51,CU51,CV$32)</f>
        <v>#VALUE!</v>
      </c>
      <c r="CX51" s="92"/>
      <c r="CY51" s="22" t="e">
        <f>_xll.qlBlackFormulaImpliedStdDev("Call",CY72,CY72,DA72,,DA$47)/SQRT($A51)</f>
        <v>#VALUE!</v>
      </c>
      <c r="CZ51" s="22" t="e">
        <f>_xll.qlAbcdFunctionVolatility(CZ$37,0,$A51,$A51,CZ$32)</f>
        <v>#VALUE!</v>
      </c>
      <c r="DA51" s="41" t="e">
        <f>_xll.qlAbcdCalibrationK(CZ$29,$A51,CY51,CZ$32)</f>
        <v>#VALUE!</v>
      </c>
      <c r="DB51" s="92"/>
      <c r="DC51" s="22" t="e">
        <f>_xll.qlBlackFormulaImpliedStdDev("Call",DC72,DC72,DE72,,DE$47)/SQRT($A51)</f>
        <v>#VALUE!</v>
      </c>
      <c r="DD51" s="22" t="e">
        <f>_xll.qlAbcdFunctionVolatility(DD$37,0,$A51,$A51,DD$32)</f>
        <v>#VALUE!</v>
      </c>
      <c r="DE51" s="41" t="e">
        <f>_xll.qlAbcdCalibrationK(DD$29,$A51,DC51,DD$32)</f>
        <v>#VALUE!</v>
      </c>
      <c r="DF51" s="92"/>
      <c r="DG51" s="22" t="e">
        <f>_xll.qlBlackFormulaImpliedStdDev("Call",DG72,DG72,DI72,,DI$47)/SQRT($A51)</f>
        <v>#VALUE!</v>
      </c>
      <c r="DH51" s="22" t="e">
        <f>_xll.qlAbcdFunctionVolatility(DH$37,0,$A51,$A51,DH$32)</f>
        <v>#VALUE!</v>
      </c>
      <c r="DI51" s="41" t="e">
        <f>_xll.qlAbcdCalibrationK(DH$29,$A51,DG51,DH$32)</f>
        <v>#VALUE!</v>
      </c>
      <c r="DJ51" s="92"/>
      <c r="DK51" s="22" t="e">
        <f>_xll.qlBlackFormulaImpliedStdDev("Call",DK72,DK72,DM72,,DM$47)/SQRT($A51)</f>
        <v>#VALUE!</v>
      </c>
      <c r="DL51" s="22" t="e">
        <f>_xll.qlAbcdFunctionVolatility(DL$37,0,$A51,$A51,DL$32)</f>
        <v>#VALUE!</v>
      </c>
      <c r="DM51" s="41" t="e">
        <f>_xll.qlAbcdCalibrationK(DL$29,$A51,DK51,DL$32)</f>
        <v>#VALUE!</v>
      </c>
      <c r="DO51" s="22" t="e">
        <f>_xll.qlBlackFormulaImpliedStdDev("Call",DO72,DO72,DQ72,,DQ$47)/SQRT($A51)</f>
        <v>#VALUE!</v>
      </c>
      <c r="DP51" s="22" t="e">
        <f>_xll.qlAbcdFunctionVolatility(DP$37,0,$A51,$A51,DP$32)</f>
        <v>#VALUE!</v>
      </c>
      <c r="DQ51" s="41" t="e">
        <f>_xll.qlAbcdCalibrationK(DP$29,$A51,DO51,DP$32)</f>
        <v>#VALUE!</v>
      </c>
    </row>
    <row r="52" spans="1:121" x14ac:dyDescent="0.2">
      <c r="A52" s="94" t="e">
        <f>_xll.qlDayCounterYearFraction(_xll.qlTermStructureDayCounter(Vol),_xll.qlTermStructureReferenceDate(Vol),A73,,,Trigger)</f>
        <v>#VALUE!</v>
      </c>
      <c r="B52" s="15" t="s">
        <v>24</v>
      </c>
      <c r="C52" s="22" t="e">
        <f>_xll.qlBlackFormulaImpliedStdDev("Call",C73,C73,E73,,E$47)/SQRT($A52)</f>
        <v>#VALUE!</v>
      </c>
      <c r="D52" s="22" t="e">
        <f>_xll.qlAbcdFunctionVolatility(D$37,0,$A52,$A52,D$32)</f>
        <v>#VALUE!</v>
      </c>
      <c r="E52" s="41" t="e">
        <f>_xll.qlAbcdCalibrationK(D$29,$A52,C52,D$32)</f>
        <v>#VALUE!</v>
      </c>
      <c r="G52" s="22" t="e">
        <f>_xll.qlBlackFormulaImpliedStdDev("Call",G73,G73,I73,,I$47)/SQRT($A52)</f>
        <v>#VALUE!</v>
      </c>
      <c r="H52" s="22" t="e">
        <f>_xll.qlAbcdFunctionVolatility(H$37,0,$A52,$A52,H$32)</f>
        <v>#VALUE!</v>
      </c>
      <c r="I52" s="41" t="e">
        <f>_xll.qlAbcdCalibrationK(H$29,$A52,G52,H$32)</f>
        <v>#VALUE!</v>
      </c>
      <c r="J52" s="107"/>
      <c r="K52" s="22" t="e">
        <f>_xll.qlBlackFormulaImpliedStdDev("Call",K73,K73,M73,,M$47)/SQRT($A52)</f>
        <v>#VALUE!</v>
      </c>
      <c r="L52" s="22" t="e">
        <f>_xll.qlAbcdFunctionVolatility(L$37,0,$A52,$A52,L$32)</f>
        <v>#VALUE!</v>
      </c>
      <c r="M52" s="41" t="e">
        <f>_xll.qlAbcdCalibrationK(L$29,$A52,K52,L$32)</f>
        <v>#VALUE!</v>
      </c>
      <c r="O52" s="22" t="e">
        <f>_xll.qlBlackFormulaImpliedStdDev("Call",O73,O73,Q73,,Q$47)/SQRT($A52)</f>
        <v>#VALUE!</v>
      </c>
      <c r="P52" s="22" t="e">
        <f>_xll.qlAbcdFunctionVolatility(P$37,0,$A52,$A52,P$32)</f>
        <v>#VALUE!</v>
      </c>
      <c r="Q52" s="41" t="e">
        <f>_xll.qlAbcdCalibrationK(P$29,$A52,O52,P$32)</f>
        <v>#VALUE!</v>
      </c>
      <c r="S52" s="22" t="e">
        <f>_xll.qlBlackFormulaImpliedStdDev("Call",S73,S73,U73,,U$47)/SQRT($A52)</f>
        <v>#VALUE!</v>
      </c>
      <c r="T52" s="22" t="e">
        <f>_xll.qlAbcdFunctionVolatility(T$37,0,$A52,$A52,T$32)</f>
        <v>#VALUE!</v>
      </c>
      <c r="U52" s="41" t="e">
        <f>_xll.qlAbcdCalibrationK(T$29,$A52,S52,T$32)</f>
        <v>#VALUE!</v>
      </c>
      <c r="W52" s="22" t="e">
        <f>_xll.qlBlackFormulaImpliedStdDev("Call",W73,W73,Y73,,Y$47)/SQRT($A52)</f>
        <v>#VALUE!</v>
      </c>
      <c r="X52" s="22" t="e">
        <f>_xll.qlAbcdFunctionVolatility(X$37,0,$A52,$A52,X$32)</f>
        <v>#VALUE!</v>
      </c>
      <c r="Y52" s="41" t="e">
        <f>_xll.qlAbcdCalibrationK(X$29,$A52,W52,X$32)</f>
        <v>#VALUE!</v>
      </c>
      <c r="AA52" s="22" t="e">
        <f>_xll.qlBlackFormulaImpliedStdDev("Call",AA73,AA73,AC73,,AC$47)/SQRT($A52)</f>
        <v>#VALUE!</v>
      </c>
      <c r="AB52" s="22" t="e">
        <f>_xll.qlAbcdFunctionVolatility(AB$37,0,$A52,$A52,AB$32)</f>
        <v>#VALUE!</v>
      </c>
      <c r="AC52" s="41" t="e">
        <f>_xll.qlAbcdCalibrationK(AB$29,$A52,AA52,AB$32)</f>
        <v>#VALUE!</v>
      </c>
      <c r="AE52" s="22" t="e">
        <f>_xll.qlBlackFormulaImpliedStdDev("Call",AE73,AE73,AG73,,AG$47)/SQRT($A52)</f>
        <v>#VALUE!</v>
      </c>
      <c r="AF52" s="22" t="e">
        <f>_xll.qlAbcdFunctionVolatility(AF$37,0,$A52,$A52,AF$32)</f>
        <v>#VALUE!</v>
      </c>
      <c r="AG52" s="41" t="e">
        <f>_xll.qlAbcdCalibrationK(AF$29,$A52,AE52,AF$32)</f>
        <v>#VALUE!</v>
      </c>
      <c r="AI52" s="22" t="e">
        <f>_xll.qlBlackFormulaImpliedStdDev("Call",AI73,AI73,AK73,,AK$47)/SQRT($A52)</f>
        <v>#VALUE!</v>
      </c>
      <c r="AJ52" s="22" t="e">
        <f>_xll.qlAbcdFunctionVolatility(AJ$37,0,$A52,$A52,AJ$32)</f>
        <v>#VALUE!</v>
      </c>
      <c r="AK52" s="41" t="e">
        <f>_xll.qlAbcdCalibrationK(AJ$29,$A52,AI52,AJ$32)</f>
        <v>#VALUE!</v>
      </c>
      <c r="AM52" s="22" t="e">
        <f>_xll.qlBlackFormulaImpliedStdDev("Call",AM73,AM73,AO73,,AO$47)/SQRT($A52)</f>
        <v>#VALUE!</v>
      </c>
      <c r="AN52" s="22" t="e">
        <f>_xll.qlAbcdFunctionVolatility(AN$37,0,$A52,$A52,AN$32)</f>
        <v>#VALUE!</v>
      </c>
      <c r="AO52" s="41" t="e">
        <f>_xll.qlAbcdCalibrationK(AN$29,$A52,AM52,AN$32)</f>
        <v>#VALUE!</v>
      </c>
      <c r="AP52" s="92"/>
      <c r="AQ52" s="22" t="e">
        <f>_xll.qlBlackFormulaImpliedStdDev("Call",AQ73,AQ73,AS73,,AS$47)/SQRT($A52)</f>
        <v>#VALUE!</v>
      </c>
      <c r="AR52" s="22" t="e">
        <f>_xll.qlAbcdFunctionVolatility(AR$37,0,$A52,$A52,AR$32)</f>
        <v>#VALUE!</v>
      </c>
      <c r="AS52" s="41" t="e">
        <f>_xll.qlAbcdCalibrationK(AR$29,$A52,AQ52,AR$32)</f>
        <v>#VALUE!</v>
      </c>
      <c r="AU52" s="22" t="e">
        <f>_xll.qlBlackFormulaImpliedStdDev("Call",AU73,AU73,AW73,,AW$47)/SQRT($A52)</f>
        <v>#VALUE!</v>
      </c>
      <c r="AV52" s="22" t="e">
        <f>_xll.qlAbcdFunctionVolatility(AV$37,0,$A52,$A52,AV$32)</f>
        <v>#VALUE!</v>
      </c>
      <c r="AW52" s="41" t="e">
        <f>_xll.qlAbcdCalibrationK(AV$29,$A52,AU52,AV$32)</f>
        <v>#VALUE!</v>
      </c>
      <c r="AY52" s="22" t="e">
        <f>_xll.qlBlackFormulaImpliedStdDev("Call",AY73,AY73,BA73,,BA$47)/SQRT($A52)</f>
        <v>#VALUE!</v>
      </c>
      <c r="AZ52" s="22" t="e">
        <f>_xll.qlAbcdFunctionVolatility(AZ$37,0,$A52,$A52,AZ$32)</f>
        <v>#VALUE!</v>
      </c>
      <c r="BA52" s="41" t="e">
        <f>_xll.qlAbcdCalibrationK(AZ$29,$A52,AY52,AZ$32)</f>
        <v>#VALUE!</v>
      </c>
      <c r="BB52" s="92"/>
      <c r="BC52" s="22" t="e">
        <f>_xll.qlBlackFormulaImpliedStdDev("Call",BC73,BC73,BE73,,BE$47)/SQRT($A52)</f>
        <v>#VALUE!</v>
      </c>
      <c r="BD52" s="22" t="e">
        <f>_xll.qlAbcdFunctionVolatility(BD$37,0,$A52,$A52,BD$32)</f>
        <v>#VALUE!</v>
      </c>
      <c r="BE52" s="41" t="e">
        <f>_xll.qlAbcdCalibrationK(BD$29,$A52,BC52,BD$32)</f>
        <v>#VALUE!</v>
      </c>
      <c r="BG52" s="22" t="e">
        <f>_xll.qlBlackFormulaImpliedStdDev("Call",BG73,BG73,BI73,,BI$47)/SQRT($A52)</f>
        <v>#VALUE!</v>
      </c>
      <c r="BH52" s="22" t="e">
        <f>_xll.qlAbcdFunctionVolatility(BH$37,0,$A52,$A52,BH$32)</f>
        <v>#VALUE!</v>
      </c>
      <c r="BI52" s="41" t="e">
        <f>_xll.qlAbcdCalibrationK(BH$29,$A52,BG52,BH$32)</f>
        <v>#VALUE!</v>
      </c>
      <c r="BJ52" s="92"/>
      <c r="BK52" s="22" t="e">
        <f>_xll.qlBlackFormulaImpliedStdDev("Call",BK73,BK73,BM73,,BM$47)/SQRT($A52)</f>
        <v>#VALUE!</v>
      </c>
      <c r="BL52" s="22" t="e">
        <f>_xll.qlAbcdFunctionVolatility(BL$37,0,$A52,$A52,BL$32)</f>
        <v>#VALUE!</v>
      </c>
      <c r="BM52" s="41" t="e">
        <f>_xll.qlAbcdCalibrationK(BL$29,$A52,BK52,BL$32)</f>
        <v>#VALUE!</v>
      </c>
      <c r="BN52" s="92"/>
      <c r="BO52" s="22" t="e">
        <f>_xll.qlBlackFormulaImpliedStdDev("Call",BO73,BO73,BQ73,,BQ$47)/SQRT($A52)</f>
        <v>#VALUE!</v>
      </c>
      <c r="BP52" s="22" t="e">
        <f>_xll.qlAbcdFunctionVolatility(BP$37,0,$A52,$A52,BP$32)</f>
        <v>#VALUE!</v>
      </c>
      <c r="BQ52" s="41" t="e">
        <f>_xll.qlAbcdCalibrationK(BP$29,$A52,BO52,BP$32)</f>
        <v>#VALUE!</v>
      </c>
      <c r="BR52" s="92"/>
      <c r="BS52" s="22" t="e">
        <f>_xll.qlBlackFormulaImpliedStdDev("Call",BS73,BS73,BU73,,BU$47)/SQRT($A52)</f>
        <v>#VALUE!</v>
      </c>
      <c r="BT52" s="22" t="e">
        <f>_xll.qlAbcdFunctionVolatility(BT$37,0,$A52,$A52,BT$32)</f>
        <v>#VALUE!</v>
      </c>
      <c r="BU52" s="41" t="e">
        <f>_xll.qlAbcdCalibrationK(BT$29,$A52,BS52,BT$32)</f>
        <v>#VALUE!</v>
      </c>
      <c r="BV52" s="92"/>
      <c r="BW52" s="22" t="e">
        <f>_xll.qlBlackFormulaImpliedStdDev("Call",BW73,BW73,BY73,,BY$47)/SQRT($A52)</f>
        <v>#VALUE!</v>
      </c>
      <c r="BX52" s="22" t="e">
        <f>_xll.qlAbcdFunctionVolatility(BX$37,0,$A52,$A52,BX$32)</f>
        <v>#VALUE!</v>
      </c>
      <c r="BY52" s="41" t="e">
        <f>_xll.qlAbcdCalibrationK(BX$29,$A52,BW52,BX$32)</f>
        <v>#VALUE!</v>
      </c>
      <c r="CA52" s="22" t="e">
        <f>_xll.qlBlackFormulaImpliedStdDev("Call",CA73,CA73,CC73,,CC$47)/SQRT($A52)</f>
        <v>#VALUE!</v>
      </c>
      <c r="CB52" s="22" t="e">
        <f>_xll.qlAbcdFunctionVolatility(CB$37,0,$A52,$A52,CB$32)</f>
        <v>#VALUE!</v>
      </c>
      <c r="CC52" s="41" t="e">
        <f>_xll.qlAbcdCalibrationK(CB$29,$A52,CA52,CB$32)</f>
        <v>#VALUE!</v>
      </c>
      <c r="CD52" s="92"/>
      <c r="CE52" s="22" t="e">
        <f>_xll.qlBlackFormulaImpliedStdDev("Call",CE73,CE73,CG73,,CG$47)/SQRT($A52)</f>
        <v>#VALUE!</v>
      </c>
      <c r="CF52" s="22" t="e">
        <f>_xll.qlAbcdFunctionVolatility(CF$37,0,$A52,$A52,CF$32)</f>
        <v>#VALUE!</v>
      </c>
      <c r="CG52" s="41" t="e">
        <f>_xll.qlAbcdCalibrationK(CF$29,$A52,CE52,CF$32)</f>
        <v>#VALUE!</v>
      </c>
      <c r="CH52" s="92"/>
      <c r="CI52" s="22" t="e">
        <f>_xll.qlBlackFormulaImpliedStdDev("Call",CI73,CI73,CK73,,CK$47)/SQRT($A52)</f>
        <v>#VALUE!</v>
      </c>
      <c r="CJ52" s="22" t="e">
        <f>_xll.qlAbcdFunctionVolatility(CJ$37,0,$A52,$A52,CJ$32)</f>
        <v>#VALUE!</v>
      </c>
      <c r="CK52" s="41" t="e">
        <f>_xll.qlAbcdCalibrationK(CJ$29,$A52,CI52,CJ$32)</f>
        <v>#VALUE!</v>
      </c>
      <c r="CL52" s="92"/>
      <c r="CM52" s="22" t="e">
        <f>_xll.qlBlackFormulaImpliedStdDev("Call",CM73,CM73,CO73,,CO$47)/SQRT($A52)</f>
        <v>#VALUE!</v>
      </c>
      <c r="CN52" s="22" t="e">
        <f>_xll.qlAbcdFunctionVolatility(CN$37,0,$A52,$A52,CN$32)</f>
        <v>#VALUE!</v>
      </c>
      <c r="CO52" s="41" t="e">
        <f>_xll.qlAbcdCalibrationK(CN$29,$A52,CM52,CN$32)</f>
        <v>#VALUE!</v>
      </c>
      <c r="CP52" s="92"/>
      <c r="CQ52" s="22" t="e">
        <f>_xll.qlBlackFormulaImpliedStdDev("Call",CQ73,CQ73,CS73,,CS$47)/SQRT($A52)</f>
        <v>#VALUE!</v>
      </c>
      <c r="CR52" s="22" t="e">
        <f>_xll.qlAbcdFunctionVolatility(CR$37,0,$A52,$A52,CR$32)</f>
        <v>#VALUE!</v>
      </c>
      <c r="CS52" s="41" t="e">
        <f>_xll.qlAbcdCalibrationK(CR$29,$A52,CQ52,CR$32)</f>
        <v>#VALUE!</v>
      </c>
      <c r="CU52" s="22" t="e">
        <f>_xll.qlBlackFormulaImpliedStdDev("Call",CU73,CU73,CW73,,CW$47)/SQRT($A52)</f>
        <v>#VALUE!</v>
      </c>
      <c r="CV52" s="22" t="e">
        <f>_xll.qlAbcdFunctionVolatility(CV$37,0,$A52,$A52,CV$32)</f>
        <v>#VALUE!</v>
      </c>
      <c r="CW52" s="41" t="e">
        <f>_xll.qlAbcdCalibrationK(CV$29,$A52,CU52,CV$32)</f>
        <v>#VALUE!</v>
      </c>
      <c r="CX52" s="92"/>
      <c r="CY52" s="22" t="e">
        <f>_xll.qlBlackFormulaImpliedStdDev("Call",CY73,CY73,DA73,,DA$47)/SQRT($A52)</f>
        <v>#VALUE!</v>
      </c>
      <c r="CZ52" s="22" t="e">
        <f>_xll.qlAbcdFunctionVolatility(CZ$37,0,$A52,$A52,CZ$32)</f>
        <v>#VALUE!</v>
      </c>
      <c r="DA52" s="41" t="e">
        <f>_xll.qlAbcdCalibrationK(CZ$29,$A52,CY52,CZ$32)</f>
        <v>#VALUE!</v>
      </c>
      <c r="DB52" s="92"/>
      <c r="DC52" s="22" t="e">
        <f>_xll.qlBlackFormulaImpliedStdDev("Call",DC73,DC73,DE73,,DE$47)/SQRT($A52)</f>
        <v>#VALUE!</v>
      </c>
      <c r="DD52" s="22" t="e">
        <f>_xll.qlAbcdFunctionVolatility(DD$37,0,$A52,$A52,DD$32)</f>
        <v>#VALUE!</v>
      </c>
      <c r="DE52" s="41" t="e">
        <f>_xll.qlAbcdCalibrationK(DD$29,$A52,DC52,DD$32)</f>
        <v>#VALUE!</v>
      </c>
      <c r="DF52" s="92"/>
      <c r="DG52" s="22" t="e">
        <f>_xll.qlBlackFormulaImpliedStdDev("Call",DG73,DG73,DI73,,DI$47)/SQRT($A52)</f>
        <v>#VALUE!</v>
      </c>
      <c r="DH52" s="22" t="e">
        <f>_xll.qlAbcdFunctionVolatility(DH$37,0,$A52,$A52,DH$32)</f>
        <v>#VALUE!</v>
      </c>
      <c r="DI52" s="41" t="e">
        <f>_xll.qlAbcdCalibrationK(DH$29,$A52,DG52,DH$32)</f>
        <v>#VALUE!</v>
      </c>
      <c r="DJ52" s="92"/>
      <c r="DK52" s="22" t="e">
        <f>_xll.qlBlackFormulaImpliedStdDev("Call",DK73,DK73,DM73,,DM$47)/SQRT($A52)</f>
        <v>#VALUE!</v>
      </c>
      <c r="DL52" s="22" t="e">
        <f>_xll.qlAbcdFunctionVolatility(DL$37,0,$A52,$A52,DL$32)</f>
        <v>#VALUE!</v>
      </c>
      <c r="DM52" s="41" t="e">
        <f>_xll.qlAbcdCalibrationK(DL$29,$A52,DK52,DL$32)</f>
        <v>#VALUE!</v>
      </c>
      <c r="DO52" s="22" t="e">
        <f>_xll.qlBlackFormulaImpliedStdDev("Call",DO73,DO73,DQ73,,DQ$47)/SQRT($A52)</f>
        <v>#VALUE!</v>
      </c>
      <c r="DP52" s="22" t="e">
        <f>_xll.qlAbcdFunctionVolatility(DP$37,0,$A52,$A52,DP$32)</f>
        <v>#VALUE!</v>
      </c>
      <c r="DQ52" s="41" t="e">
        <f>_xll.qlAbcdCalibrationK(DP$29,$A52,DO52,DP$32)</f>
        <v>#VALUE!</v>
      </c>
    </row>
    <row r="53" spans="1:121" x14ac:dyDescent="0.2">
      <c r="A53" s="94" t="e">
        <f>_xll.qlDayCounterYearFraction(_xll.qlTermStructureDayCounter(Vol),_xll.qlTermStructureReferenceDate(Vol),A74,,,Trigger)</f>
        <v>#VALUE!</v>
      </c>
      <c r="B53" s="15" t="s">
        <v>25</v>
      </c>
      <c r="C53" s="22" t="e">
        <f>_xll.qlBlackFormulaImpliedStdDev("Call",C74,C74,E74,,E$47)/SQRT($A53)</f>
        <v>#VALUE!</v>
      </c>
      <c r="D53" s="22" t="e">
        <f>_xll.qlAbcdFunctionVolatility(D$37,0,$A53,$A53,D$32)</f>
        <v>#VALUE!</v>
      </c>
      <c r="E53" s="41" t="e">
        <f>_xll.qlAbcdCalibrationK(D$29,$A53,C53,D$32)</f>
        <v>#VALUE!</v>
      </c>
      <c r="G53" s="22" t="e">
        <f>_xll.qlBlackFormulaImpliedStdDev("Call",G74,G74,I74,,I$47)/SQRT($A53)</f>
        <v>#VALUE!</v>
      </c>
      <c r="H53" s="22" t="e">
        <f>_xll.qlAbcdFunctionVolatility(H$37,0,$A53,$A53,H$32)</f>
        <v>#VALUE!</v>
      </c>
      <c r="I53" s="41" t="e">
        <f>_xll.qlAbcdCalibrationK(H$29,$A53,G53,H$32)</f>
        <v>#VALUE!</v>
      </c>
      <c r="J53" s="107"/>
      <c r="K53" s="22" t="e">
        <f>_xll.qlBlackFormulaImpliedStdDev("Call",K74,K74,M74,,M$47)/SQRT($A53)</f>
        <v>#VALUE!</v>
      </c>
      <c r="L53" s="22" t="e">
        <f>_xll.qlAbcdFunctionVolatility(L$37,0,$A53,$A53,L$32)</f>
        <v>#VALUE!</v>
      </c>
      <c r="M53" s="41" t="e">
        <f>_xll.qlAbcdCalibrationK(L$29,$A53,K53,L$32)</f>
        <v>#VALUE!</v>
      </c>
      <c r="O53" s="22" t="e">
        <f>_xll.qlBlackFormulaImpliedStdDev("Call",O74,O74,Q74,,Q$47)/SQRT($A53)</f>
        <v>#VALUE!</v>
      </c>
      <c r="P53" s="22" t="e">
        <f>_xll.qlAbcdFunctionVolatility(P$37,0,$A53,$A53,P$32)</f>
        <v>#VALUE!</v>
      </c>
      <c r="Q53" s="41" t="e">
        <f>_xll.qlAbcdCalibrationK(P$29,$A53,O53,P$32)</f>
        <v>#VALUE!</v>
      </c>
      <c r="S53" s="22" t="e">
        <f>_xll.qlBlackFormulaImpliedStdDev("Call",S74,S74,U74,,U$47)/SQRT($A53)</f>
        <v>#VALUE!</v>
      </c>
      <c r="T53" s="22" t="e">
        <f>_xll.qlAbcdFunctionVolatility(T$37,0,$A53,$A53,T$32)</f>
        <v>#VALUE!</v>
      </c>
      <c r="U53" s="41" t="e">
        <f>_xll.qlAbcdCalibrationK(T$29,$A53,S53,T$32)</f>
        <v>#VALUE!</v>
      </c>
      <c r="W53" s="22" t="e">
        <f>_xll.qlBlackFormulaImpliedStdDev("Call",W74,W74,Y74,,Y$47)/SQRT($A53)</f>
        <v>#VALUE!</v>
      </c>
      <c r="X53" s="22" t="e">
        <f>_xll.qlAbcdFunctionVolatility(X$37,0,$A53,$A53,X$32)</f>
        <v>#VALUE!</v>
      </c>
      <c r="Y53" s="41" t="e">
        <f>_xll.qlAbcdCalibrationK(X$29,$A53,W53,X$32)</f>
        <v>#VALUE!</v>
      </c>
      <c r="AA53" s="22" t="e">
        <f>_xll.qlBlackFormulaImpliedStdDev("Call",AA74,AA74,AC74,,AC$47)/SQRT($A53)</f>
        <v>#VALUE!</v>
      </c>
      <c r="AB53" s="22" t="e">
        <f>_xll.qlAbcdFunctionVolatility(AB$37,0,$A53,$A53,AB$32)</f>
        <v>#VALUE!</v>
      </c>
      <c r="AC53" s="41" t="e">
        <f>_xll.qlAbcdCalibrationK(AB$29,$A53,AA53,AB$32)</f>
        <v>#VALUE!</v>
      </c>
      <c r="AE53" s="22" t="e">
        <f>_xll.qlBlackFormulaImpliedStdDev("Call",AE74,AE74,AG74,,AG$47)/SQRT($A53)</f>
        <v>#VALUE!</v>
      </c>
      <c r="AF53" s="22" t="e">
        <f>_xll.qlAbcdFunctionVolatility(AF$37,0,$A53,$A53,AF$32)</f>
        <v>#VALUE!</v>
      </c>
      <c r="AG53" s="41" t="e">
        <f>_xll.qlAbcdCalibrationK(AF$29,$A53,AE53,AF$32)</f>
        <v>#VALUE!</v>
      </c>
      <c r="AI53" s="22" t="e">
        <f>_xll.qlBlackFormulaImpliedStdDev("Call",AI74,AI74,AK74,,AK$47)/SQRT($A53)</f>
        <v>#VALUE!</v>
      </c>
      <c r="AJ53" s="22" t="e">
        <f>_xll.qlAbcdFunctionVolatility(AJ$37,0,$A53,$A53,AJ$32)</f>
        <v>#VALUE!</v>
      </c>
      <c r="AK53" s="41" t="e">
        <f>_xll.qlAbcdCalibrationK(AJ$29,$A53,AI53,AJ$32)</f>
        <v>#VALUE!</v>
      </c>
      <c r="AM53" s="22" t="e">
        <f>_xll.qlBlackFormulaImpliedStdDev("Call",AM74,AM74,AO74,,AO$47)/SQRT($A53)</f>
        <v>#VALUE!</v>
      </c>
      <c r="AN53" s="22" t="e">
        <f>_xll.qlAbcdFunctionVolatility(AN$37,0,$A53,$A53,AN$32)</f>
        <v>#VALUE!</v>
      </c>
      <c r="AO53" s="41" t="e">
        <f>_xll.qlAbcdCalibrationK(AN$29,$A53,AM53,AN$32)</f>
        <v>#VALUE!</v>
      </c>
      <c r="AP53" s="92"/>
      <c r="AQ53" s="22" t="e">
        <f>_xll.qlBlackFormulaImpliedStdDev("Call",AQ74,AQ74,AS74,,AS$47)/SQRT($A53)</f>
        <v>#VALUE!</v>
      </c>
      <c r="AR53" s="22" t="e">
        <f>_xll.qlAbcdFunctionVolatility(AR$37,0,$A53,$A53,AR$32)</f>
        <v>#VALUE!</v>
      </c>
      <c r="AS53" s="41" t="e">
        <f>_xll.qlAbcdCalibrationK(AR$29,$A53,AQ53,AR$32)</f>
        <v>#VALUE!</v>
      </c>
      <c r="AU53" s="22" t="e">
        <f>_xll.qlBlackFormulaImpliedStdDev("Call",AU74,AU74,AW74,,AW$47)/SQRT($A53)</f>
        <v>#VALUE!</v>
      </c>
      <c r="AV53" s="22" t="e">
        <f>_xll.qlAbcdFunctionVolatility(AV$37,0,$A53,$A53,AV$32)</f>
        <v>#VALUE!</v>
      </c>
      <c r="AW53" s="41" t="e">
        <f>_xll.qlAbcdCalibrationK(AV$29,$A53,AU53,AV$32)</f>
        <v>#VALUE!</v>
      </c>
      <c r="AY53" s="22" t="e">
        <f>_xll.qlBlackFormulaImpliedStdDev("Call",AY74,AY74,BA74,,BA$47)/SQRT($A53)</f>
        <v>#VALUE!</v>
      </c>
      <c r="AZ53" s="22" t="e">
        <f>_xll.qlAbcdFunctionVolatility(AZ$37,0,$A53,$A53,AZ$32)</f>
        <v>#VALUE!</v>
      </c>
      <c r="BA53" s="41" t="e">
        <f>_xll.qlAbcdCalibrationK(AZ$29,$A53,AY53,AZ$32)</f>
        <v>#VALUE!</v>
      </c>
      <c r="BB53" s="92"/>
      <c r="BC53" s="22" t="e">
        <f>_xll.qlBlackFormulaImpliedStdDev("Call",BC74,BC74,BE74,,BE$47)/SQRT($A53)</f>
        <v>#VALUE!</v>
      </c>
      <c r="BD53" s="22" t="e">
        <f>_xll.qlAbcdFunctionVolatility(BD$37,0,$A53,$A53,BD$32)</f>
        <v>#VALUE!</v>
      </c>
      <c r="BE53" s="41" t="e">
        <f>_xll.qlAbcdCalibrationK(BD$29,$A53,BC53,BD$32)</f>
        <v>#VALUE!</v>
      </c>
      <c r="BG53" s="22" t="e">
        <f>_xll.qlBlackFormulaImpliedStdDev("Call",BG74,BG74,BI74,,BI$47)/SQRT($A53)</f>
        <v>#VALUE!</v>
      </c>
      <c r="BH53" s="22" t="e">
        <f>_xll.qlAbcdFunctionVolatility(BH$37,0,$A53,$A53,BH$32)</f>
        <v>#VALUE!</v>
      </c>
      <c r="BI53" s="41" t="e">
        <f>_xll.qlAbcdCalibrationK(BH$29,$A53,BG53,BH$32)</f>
        <v>#VALUE!</v>
      </c>
      <c r="BJ53" s="92"/>
      <c r="BK53" s="22" t="e">
        <f>_xll.qlBlackFormulaImpliedStdDev("Call",BK74,BK74,BM74,,BM$47)/SQRT($A53)</f>
        <v>#VALUE!</v>
      </c>
      <c r="BL53" s="22" t="e">
        <f>_xll.qlAbcdFunctionVolatility(BL$37,0,$A53,$A53,BL$32)</f>
        <v>#VALUE!</v>
      </c>
      <c r="BM53" s="41" t="e">
        <f>_xll.qlAbcdCalibrationK(BL$29,$A53,BK53,BL$32)</f>
        <v>#VALUE!</v>
      </c>
      <c r="BN53" s="92"/>
      <c r="BO53" s="22" t="e">
        <f>_xll.qlBlackFormulaImpliedStdDev("Call",BO74,BO74,BQ74,,BQ$47)/SQRT($A53)</f>
        <v>#VALUE!</v>
      </c>
      <c r="BP53" s="22" t="e">
        <f>_xll.qlAbcdFunctionVolatility(BP$37,0,$A53,$A53,BP$32)</f>
        <v>#VALUE!</v>
      </c>
      <c r="BQ53" s="41" t="e">
        <f>_xll.qlAbcdCalibrationK(BP$29,$A53,BO53,BP$32)</f>
        <v>#VALUE!</v>
      </c>
      <c r="BR53" s="92"/>
      <c r="BS53" s="22" t="e">
        <f>_xll.qlBlackFormulaImpliedStdDev("Call",BS74,BS74,BU74,,BU$47)/SQRT($A53)</f>
        <v>#VALUE!</v>
      </c>
      <c r="BT53" s="22" t="e">
        <f>_xll.qlAbcdFunctionVolatility(BT$37,0,$A53,$A53,BT$32)</f>
        <v>#VALUE!</v>
      </c>
      <c r="BU53" s="41" t="e">
        <f>_xll.qlAbcdCalibrationK(BT$29,$A53,BS53,BT$32)</f>
        <v>#VALUE!</v>
      </c>
      <c r="BV53" s="92"/>
      <c r="BW53" s="22" t="e">
        <f>_xll.qlBlackFormulaImpliedStdDev("Call",BW74,BW74,BY74,,BY$47)/SQRT($A53)</f>
        <v>#VALUE!</v>
      </c>
      <c r="BX53" s="22" t="e">
        <f>_xll.qlAbcdFunctionVolatility(BX$37,0,$A53,$A53,BX$32)</f>
        <v>#VALUE!</v>
      </c>
      <c r="BY53" s="41" t="e">
        <f>_xll.qlAbcdCalibrationK(BX$29,$A53,BW53,BX$32)</f>
        <v>#VALUE!</v>
      </c>
      <c r="CA53" s="22" t="e">
        <f>_xll.qlBlackFormulaImpliedStdDev("Call",CA74,CA74,CC74,,CC$47)/SQRT($A53)</f>
        <v>#VALUE!</v>
      </c>
      <c r="CB53" s="22" t="e">
        <f>_xll.qlAbcdFunctionVolatility(CB$37,0,$A53,$A53,CB$32)</f>
        <v>#VALUE!</v>
      </c>
      <c r="CC53" s="41" t="e">
        <f>_xll.qlAbcdCalibrationK(CB$29,$A53,CA53,CB$32)</f>
        <v>#VALUE!</v>
      </c>
      <c r="CD53" s="92"/>
      <c r="CE53" s="22" t="e">
        <f>_xll.qlBlackFormulaImpliedStdDev("Call",CE74,CE74,CG74,,CG$47)/SQRT($A53)</f>
        <v>#VALUE!</v>
      </c>
      <c r="CF53" s="22" t="e">
        <f>_xll.qlAbcdFunctionVolatility(CF$37,0,$A53,$A53,CF$32)</f>
        <v>#VALUE!</v>
      </c>
      <c r="CG53" s="41" t="e">
        <f>_xll.qlAbcdCalibrationK(CF$29,$A53,CE53,CF$32)</f>
        <v>#VALUE!</v>
      </c>
      <c r="CH53" s="92"/>
      <c r="CI53" s="22" t="e">
        <f>_xll.qlBlackFormulaImpliedStdDev("Call",CI74,CI74,CK74,,CK$47)/SQRT($A53)</f>
        <v>#VALUE!</v>
      </c>
      <c r="CJ53" s="22" t="e">
        <f>_xll.qlAbcdFunctionVolatility(CJ$37,0,$A53,$A53,CJ$32)</f>
        <v>#VALUE!</v>
      </c>
      <c r="CK53" s="41" t="e">
        <f>_xll.qlAbcdCalibrationK(CJ$29,$A53,CI53,CJ$32)</f>
        <v>#VALUE!</v>
      </c>
      <c r="CL53" s="92"/>
      <c r="CM53" s="22" t="e">
        <f>_xll.qlBlackFormulaImpliedStdDev("Call",CM74,CM74,CO74,,CO$47)/SQRT($A53)</f>
        <v>#VALUE!</v>
      </c>
      <c r="CN53" s="22" t="e">
        <f>_xll.qlAbcdFunctionVolatility(CN$37,0,$A53,$A53,CN$32)</f>
        <v>#VALUE!</v>
      </c>
      <c r="CO53" s="41" t="e">
        <f>_xll.qlAbcdCalibrationK(CN$29,$A53,CM53,CN$32)</f>
        <v>#VALUE!</v>
      </c>
      <c r="CP53" s="92"/>
      <c r="CQ53" s="22" t="e">
        <f>_xll.qlBlackFormulaImpliedStdDev("Call",CQ74,CQ74,CS74,,CS$47)/SQRT($A53)</f>
        <v>#VALUE!</v>
      </c>
      <c r="CR53" s="22" t="e">
        <f>_xll.qlAbcdFunctionVolatility(CR$37,0,$A53,$A53,CR$32)</f>
        <v>#VALUE!</v>
      </c>
      <c r="CS53" s="41" t="e">
        <f>_xll.qlAbcdCalibrationK(CR$29,$A53,CQ53,CR$32)</f>
        <v>#VALUE!</v>
      </c>
      <c r="CU53" s="22" t="e">
        <f>_xll.qlBlackFormulaImpliedStdDev("Call",CU74,CU74,CW74,,CW$47)/SQRT($A53)</f>
        <v>#VALUE!</v>
      </c>
      <c r="CV53" s="22" t="e">
        <f>_xll.qlAbcdFunctionVolatility(CV$37,0,$A53,$A53,CV$32)</f>
        <v>#VALUE!</v>
      </c>
      <c r="CW53" s="41" t="e">
        <f>_xll.qlAbcdCalibrationK(CV$29,$A53,CU53,CV$32)</f>
        <v>#VALUE!</v>
      </c>
      <c r="CX53" s="92"/>
      <c r="CY53" s="22" t="e">
        <f>_xll.qlBlackFormulaImpliedStdDev("Call",CY74,CY74,DA74,,DA$47)/SQRT($A53)</f>
        <v>#VALUE!</v>
      </c>
      <c r="CZ53" s="22" t="e">
        <f>_xll.qlAbcdFunctionVolatility(CZ$37,0,$A53,$A53,CZ$32)</f>
        <v>#VALUE!</v>
      </c>
      <c r="DA53" s="41" t="e">
        <f>_xll.qlAbcdCalibrationK(CZ$29,$A53,CY53,CZ$32)</f>
        <v>#VALUE!</v>
      </c>
      <c r="DB53" s="92"/>
      <c r="DC53" s="22" t="e">
        <f>_xll.qlBlackFormulaImpliedStdDev("Call",DC74,DC74,DE74,,DE$47)/SQRT($A53)</f>
        <v>#VALUE!</v>
      </c>
      <c r="DD53" s="22" t="e">
        <f>_xll.qlAbcdFunctionVolatility(DD$37,0,$A53,$A53,DD$32)</f>
        <v>#VALUE!</v>
      </c>
      <c r="DE53" s="41" t="e">
        <f>_xll.qlAbcdCalibrationK(DD$29,$A53,DC53,DD$32)</f>
        <v>#VALUE!</v>
      </c>
      <c r="DF53" s="92"/>
      <c r="DG53" s="22" t="e">
        <f>_xll.qlBlackFormulaImpliedStdDev("Call",DG74,DG74,DI74,,DI$47)/SQRT($A53)</f>
        <v>#VALUE!</v>
      </c>
      <c r="DH53" s="22" t="e">
        <f>_xll.qlAbcdFunctionVolatility(DH$37,0,$A53,$A53,DH$32)</f>
        <v>#VALUE!</v>
      </c>
      <c r="DI53" s="41" t="e">
        <f>_xll.qlAbcdCalibrationK(DH$29,$A53,DG53,DH$32)</f>
        <v>#VALUE!</v>
      </c>
      <c r="DJ53" s="92"/>
      <c r="DK53" s="22" t="e">
        <f>_xll.qlBlackFormulaImpliedStdDev("Call",DK74,DK74,DM74,,DM$47)/SQRT($A53)</f>
        <v>#VALUE!</v>
      </c>
      <c r="DL53" s="22" t="e">
        <f>_xll.qlAbcdFunctionVolatility(DL$37,0,$A53,$A53,DL$32)</f>
        <v>#VALUE!</v>
      </c>
      <c r="DM53" s="41" t="e">
        <f>_xll.qlAbcdCalibrationK(DL$29,$A53,DK53,DL$32)</f>
        <v>#VALUE!</v>
      </c>
      <c r="DO53" s="22" t="e">
        <f>_xll.qlBlackFormulaImpliedStdDev("Call",DO74,DO74,DQ74,,DQ$47)/SQRT($A53)</f>
        <v>#VALUE!</v>
      </c>
      <c r="DP53" s="22" t="e">
        <f>_xll.qlAbcdFunctionVolatility(DP$37,0,$A53,$A53,DP$32)</f>
        <v>#VALUE!</v>
      </c>
      <c r="DQ53" s="41" t="e">
        <f>_xll.qlAbcdCalibrationK(DP$29,$A53,DO53,DP$32)</f>
        <v>#VALUE!</v>
      </c>
    </row>
    <row r="54" spans="1:121" x14ac:dyDescent="0.2">
      <c r="A54" s="94" t="e">
        <f>_xll.qlDayCounterYearFraction(_xll.qlTermStructureDayCounter(Vol),_xll.qlTermStructureReferenceDate(Vol),A75,,,Trigger)</f>
        <v>#VALUE!</v>
      </c>
      <c r="B54" s="15" t="s">
        <v>26</v>
      </c>
      <c r="C54" s="22" t="e">
        <f>_xll.qlBlackFormulaImpliedStdDev("Call",C75,C75,E75,,E$47)/SQRT($A54)</f>
        <v>#VALUE!</v>
      </c>
      <c r="D54" s="22" t="e">
        <f>_xll.qlAbcdFunctionVolatility(D$37,0,$A54,$A54,D$32)</f>
        <v>#VALUE!</v>
      </c>
      <c r="E54" s="41" t="e">
        <f>_xll.qlAbcdCalibrationK(D$29,$A54,C54,D$32)</f>
        <v>#VALUE!</v>
      </c>
      <c r="F54" s="106"/>
      <c r="G54" s="22" t="e">
        <f>_xll.qlBlackFormulaImpliedStdDev("Call",G75,G75,I75,,I$47)/SQRT($A54)</f>
        <v>#VALUE!</v>
      </c>
      <c r="H54" s="22" t="e">
        <f>_xll.qlAbcdFunctionVolatility(H$37,0,$A54,$A54,H$32)</f>
        <v>#VALUE!</v>
      </c>
      <c r="I54" s="41" t="e">
        <f>_xll.qlAbcdCalibrationK(H$29,$A54,G54,H$32)</f>
        <v>#VALUE!</v>
      </c>
      <c r="J54" s="107"/>
      <c r="K54" s="22" t="e">
        <f>_xll.qlBlackFormulaImpliedStdDev("Call",K75,K75,M75,,M$47)/SQRT($A54)</f>
        <v>#VALUE!</v>
      </c>
      <c r="L54" s="22" t="e">
        <f>_xll.qlAbcdFunctionVolatility(L$37,0,$A54,$A54,L$32)</f>
        <v>#VALUE!</v>
      </c>
      <c r="M54" s="41" t="e">
        <f>_xll.qlAbcdCalibrationK(L$29,$A54,K54,L$32)</f>
        <v>#VALUE!</v>
      </c>
      <c r="O54" s="22" t="e">
        <f>_xll.qlBlackFormulaImpliedStdDev("Call",O75,O75,Q75,,Q$47)/SQRT($A54)</f>
        <v>#VALUE!</v>
      </c>
      <c r="P54" s="22" t="e">
        <f>_xll.qlAbcdFunctionVolatility(P$37,0,$A54,$A54,P$32)</f>
        <v>#VALUE!</v>
      </c>
      <c r="Q54" s="41" t="e">
        <f>_xll.qlAbcdCalibrationK(P$29,$A54,O54,P$32)</f>
        <v>#VALUE!</v>
      </c>
      <c r="S54" s="22" t="e">
        <f>_xll.qlBlackFormulaImpliedStdDev("Call",S75,S75,U75,,U$47)/SQRT($A54)</f>
        <v>#VALUE!</v>
      </c>
      <c r="T54" s="22" t="e">
        <f>_xll.qlAbcdFunctionVolatility(T$37,0,$A54,$A54,T$32)</f>
        <v>#VALUE!</v>
      </c>
      <c r="U54" s="41" t="e">
        <f>_xll.qlAbcdCalibrationK(T$29,$A54,S54,T$32)</f>
        <v>#VALUE!</v>
      </c>
      <c r="W54" s="22" t="e">
        <f>_xll.qlBlackFormulaImpliedStdDev("Call",W75,W75,Y75,,Y$47)/SQRT($A54)</f>
        <v>#VALUE!</v>
      </c>
      <c r="X54" s="22" t="e">
        <f>_xll.qlAbcdFunctionVolatility(X$37,0,$A54,$A54,X$32)</f>
        <v>#VALUE!</v>
      </c>
      <c r="Y54" s="41" t="e">
        <f>_xll.qlAbcdCalibrationK(X$29,$A54,W54,X$32)</f>
        <v>#VALUE!</v>
      </c>
      <c r="AA54" s="22" t="e">
        <f>_xll.qlBlackFormulaImpliedStdDev("Call",AA75,AA75,AC75,,AC$47)/SQRT($A54)</f>
        <v>#VALUE!</v>
      </c>
      <c r="AB54" s="22" t="e">
        <f>_xll.qlAbcdFunctionVolatility(AB$37,0,$A54,$A54,AB$32)</f>
        <v>#VALUE!</v>
      </c>
      <c r="AC54" s="41" t="e">
        <f>_xll.qlAbcdCalibrationK(AB$29,$A54,AA54,AB$32)</f>
        <v>#VALUE!</v>
      </c>
      <c r="AE54" s="22" t="e">
        <f>_xll.qlBlackFormulaImpliedStdDev("Call",AE75,AE75,AG75,,AG$47)/SQRT($A54)</f>
        <v>#VALUE!</v>
      </c>
      <c r="AF54" s="22" t="e">
        <f>_xll.qlAbcdFunctionVolatility(AF$37,0,$A54,$A54,AF$32)</f>
        <v>#VALUE!</v>
      </c>
      <c r="AG54" s="41" t="e">
        <f>_xll.qlAbcdCalibrationK(AF$29,$A54,AE54,AF$32)</f>
        <v>#VALUE!</v>
      </c>
      <c r="AI54" s="22" t="e">
        <f>_xll.qlBlackFormulaImpliedStdDev("Call",AI75,AI75,AK75,,AK$47)/SQRT($A54)</f>
        <v>#VALUE!</v>
      </c>
      <c r="AJ54" s="22" t="e">
        <f>_xll.qlAbcdFunctionVolatility(AJ$37,0,$A54,$A54,AJ$32)</f>
        <v>#VALUE!</v>
      </c>
      <c r="AK54" s="41" t="e">
        <f>_xll.qlAbcdCalibrationK(AJ$29,$A54,AI54,AJ$32)</f>
        <v>#VALUE!</v>
      </c>
      <c r="AM54" s="22" t="e">
        <f>_xll.qlBlackFormulaImpliedStdDev("Call",AM75,AM75,AO75,,AO$47)/SQRT($A54)</f>
        <v>#VALUE!</v>
      </c>
      <c r="AN54" s="22" t="e">
        <f>_xll.qlAbcdFunctionVolatility(AN$37,0,$A54,$A54,AN$32)</f>
        <v>#VALUE!</v>
      </c>
      <c r="AO54" s="41" t="e">
        <f>_xll.qlAbcdCalibrationK(AN$29,$A54,AM54,AN$32)</f>
        <v>#VALUE!</v>
      </c>
      <c r="AP54" s="92"/>
      <c r="AQ54" s="22" t="e">
        <f>_xll.qlBlackFormulaImpliedStdDev("Call",AQ75,AQ75,AS75,,AS$47)/SQRT($A54)</f>
        <v>#VALUE!</v>
      </c>
      <c r="AR54" s="22" t="e">
        <f>_xll.qlAbcdFunctionVolatility(AR$37,0,$A54,$A54,AR$32)</f>
        <v>#VALUE!</v>
      </c>
      <c r="AS54" s="41" t="e">
        <f>_xll.qlAbcdCalibrationK(AR$29,$A54,AQ54,AR$32)</f>
        <v>#VALUE!</v>
      </c>
      <c r="AU54" s="22" t="e">
        <f>_xll.qlBlackFormulaImpliedStdDev("Call",AU75,AU75,AW75,,AW$47)/SQRT($A54)</f>
        <v>#VALUE!</v>
      </c>
      <c r="AV54" s="22" t="e">
        <f>_xll.qlAbcdFunctionVolatility(AV$37,0,$A54,$A54,AV$32)</f>
        <v>#VALUE!</v>
      </c>
      <c r="AW54" s="41" t="e">
        <f>_xll.qlAbcdCalibrationK(AV$29,$A54,AU54,AV$32)</f>
        <v>#VALUE!</v>
      </c>
      <c r="AY54" s="22" t="e">
        <f>_xll.qlBlackFormulaImpliedStdDev("Call",AY75,AY75,BA75,,BA$47)/SQRT($A54)</f>
        <v>#VALUE!</v>
      </c>
      <c r="AZ54" s="22" t="e">
        <f>_xll.qlAbcdFunctionVolatility(AZ$37,0,$A54,$A54,AZ$32)</f>
        <v>#VALUE!</v>
      </c>
      <c r="BA54" s="41" t="e">
        <f>_xll.qlAbcdCalibrationK(AZ$29,$A54,AY54,AZ$32)</f>
        <v>#VALUE!</v>
      </c>
      <c r="BB54" s="92"/>
      <c r="BC54" s="22" t="e">
        <f>_xll.qlBlackFormulaImpliedStdDev("Call",BC75,BC75,BE75,,BE$47)/SQRT($A54)</f>
        <v>#VALUE!</v>
      </c>
      <c r="BD54" s="22" t="e">
        <f>_xll.qlAbcdFunctionVolatility(BD$37,0,$A54,$A54,BD$32)</f>
        <v>#VALUE!</v>
      </c>
      <c r="BE54" s="41" t="e">
        <f>_xll.qlAbcdCalibrationK(BD$29,$A54,BC54,BD$32)</f>
        <v>#VALUE!</v>
      </c>
      <c r="BG54" s="22" t="e">
        <f>_xll.qlBlackFormulaImpliedStdDev("Call",BG75,BG75,BI75,,BI$47)/SQRT($A54)</f>
        <v>#VALUE!</v>
      </c>
      <c r="BH54" s="22" t="e">
        <f>_xll.qlAbcdFunctionVolatility(BH$37,0,$A54,$A54,BH$32)</f>
        <v>#VALUE!</v>
      </c>
      <c r="BI54" s="41" t="e">
        <f>_xll.qlAbcdCalibrationK(BH$29,$A54,BG54,BH$32)</f>
        <v>#VALUE!</v>
      </c>
      <c r="BJ54" s="92"/>
      <c r="BK54" s="22" t="e">
        <f>_xll.qlBlackFormulaImpliedStdDev("Call",BK75,BK75,BM75,,BM$47)/SQRT($A54)</f>
        <v>#VALUE!</v>
      </c>
      <c r="BL54" s="22" t="e">
        <f>_xll.qlAbcdFunctionVolatility(BL$37,0,$A54,$A54,BL$32)</f>
        <v>#VALUE!</v>
      </c>
      <c r="BM54" s="41" t="e">
        <f>_xll.qlAbcdCalibrationK(BL$29,$A54,BK54,BL$32)</f>
        <v>#VALUE!</v>
      </c>
      <c r="BN54" s="92"/>
      <c r="BO54" s="22" t="e">
        <f>_xll.qlBlackFormulaImpliedStdDev("Call",BO75,BO75,BQ75,,BQ$47)/SQRT($A54)</f>
        <v>#VALUE!</v>
      </c>
      <c r="BP54" s="22" t="e">
        <f>_xll.qlAbcdFunctionVolatility(BP$37,0,$A54,$A54,BP$32)</f>
        <v>#VALUE!</v>
      </c>
      <c r="BQ54" s="41" t="e">
        <f>_xll.qlAbcdCalibrationK(BP$29,$A54,BO54,BP$32)</f>
        <v>#VALUE!</v>
      </c>
      <c r="BR54" s="92"/>
      <c r="BS54" s="22" t="e">
        <f>_xll.qlBlackFormulaImpliedStdDev("Call",BS75,BS75,BU75,,BU$47)/SQRT($A54)</f>
        <v>#VALUE!</v>
      </c>
      <c r="BT54" s="22" t="e">
        <f>_xll.qlAbcdFunctionVolatility(BT$37,0,$A54,$A54,BT$32)</f>
        <v>#VALUE!</v>
      </c>
      <c r="BU54" s="41" t="e">
        <f>_xll.qlAbcdCalibrationK(BT$29,$A54,BS54,BT$32)</f>
        <v>#VALUE!</v>
      </c>
      <c r="BV54" s="92"/>
      <c r="BW54" s="22" t="e">
        <f>_xll.qlBlackFormulaImpliedStdDev("Call",BW75,BW75,BY75,,BY$47)/SQRT($A54)</f>
        <v>#VALUE!</v>
      </c>
      <c r="BX54" s="22" t="e">
        <f>_xll.qlAbcdFunctionVolatility(BX$37,0,$A54,$A54,BX$32)</f>
        <v>#VALUE!</v>
      </c>
      <c r="BY54" s="41" t="e">
        <f>_xll.qlAbcdCalibrationK(BX$29,$A54,BW54,BX$32)</f>
        <v>#VALUE!</v>
      </c>
      <c r="CA54" s="22" t="e">
        <f>_xll.qlBlackFormulaImpliedStdDev("Call",CA75,CA75,CC75,,CC$47)/SQRT($A54)</f>
        <v>#VALUE!</v>
      </c>
      <c r="CB54" s="22" t="e">
        <f>_xll.qlAbcdFunctionVolatility(CB$37,0,$A54,$A54,CB$32)</f>
        <v>#VALUE!</v>
      </c>
      <c r="CC54" s="41" t="e">
        <f>_xll.qlAbcdCalibrationK(CB$29,$A54,CA54,CB$32)</f>
        <v>#VALUE!</v>
      </c>
      <c r="CD54" s="92"/>
      <c r="CE54" s="22" t="e">
        <f>_xll.qlBlackFormulaImpliedStdDev("Call",CE75,CE75,CG75,,CG$47)/SQRT($A54)</f>
        <v>#VALUE!</v>
      </c>
      <c r="CF54" s="22" t="e">
        <f>_xll.qlAbcdFunctionVolatility(CF$37,0,$A54,$A54,CF$32)</f>
        <v>#VALUE!</v>
      </c>
      <c r="CG54" s="41" t="e">
        <f>_xll.qlAbcdCalibrationK(CF$29,$A54,CE54,CF$32)</f>
        <v>#VALUE!</v>
      </c>
      <c r="CH54" s="92"/>
      <c r="CI54" s="22" t="e">
        <f>_xll.qlBlackFormulaImpliedStdDev("Call",CI75,CI75,CK75,,CK$47)/SQRT($A54)</f>
        <v>#VALUE!</v>
      </c>
      <c r="CJ54" s="22" t="e">
        <f>_xll.qlAbcdFunctionVolatility(CJ$37,0,$A54,$A54,CJ$32)</f>
        <v>#VALUE!</v>
      </c>
      <c r="CK54" s="41" t="e">
        <f>_xll.qlAbcdCalibrationK(CJ$29,$A54,CI54,CJ$32)</f>
        <v>#VALUE!</v>
      </c>
      <c r="CL54" s="92"/>
      <c r="CM54" s="22" t="e">
        <f>_xll.qlBlackFormulaImpliedStdDev("Call",CM75,CM75,CO75,,CO$47)/SQRT($A54)</f>
        <v>#VALUE!</v>
      </c>
      <c r="CN54" s="22" t="e">
        <f>_xll.qlAbcdFunctionVolatility(CN$37,0,$A54,$A54,CN$32)</f>
        <v>#VALUE!</v>
      </c>
      <c r="CO54" s="41" t="e">
        <f>_xll.qlAbcdCalibrationK(CN$29,$A54,CM54,CN$32)</f>
        <v>#VALUE!</v>
      </c>
      <c r="CP54" s="92"/>
      <c r="CQ54" s="22" t="e">
        <f>_xll.qlBlackFormulaImpliedStdDev("Call",CQ75,CQ75,CS75,,CS$47)/SQRT($A54)</f>
        <v>#VALUE!</v>
      </c>
      <c r="CR54" s="22" t="e">
        <f>_xll.qlAbcdFunctionVolatility(CR$37,0,$A54,$A54,CR$32)</f>
        <v>#VALUE!</v>
      </c>
      <c r="CS54" s="41" t="e">
        <f>_xll.qlAbcdCalibrationK(CR$29,$A54,CQ54,CR$32)</f>
        <v>#VALUE!</v>
      </c>
      <c r="CU54" s="22" t="e">
        <f>_xll.qlBlackFormulaImpliedStdDev("Call",CU75,CU75,CW75,,CW$47)/SQRT($A54)</f>
        <v>#VALUE!</v>
      </c>
      <c r="CV54" s="22" t="e">
        <f>_xll.qlAbcdFunctionVolatility(CV$37,0,$A54,$A54,CV$32)</f>
        <v>#VALUE!</v>
      </c>
      <c r="CW54" s="41" t="e">
        <f>_xll.qlAbcdCalibrationK(CV$29,$A54,CU54,CV$32)</f>
        <v>#VALUE!</v>
      </c>
      <c r="CX54" s="92"/>
      <c r="CY54" s="22" t="e">
        <f>_xll.qlBlackFormulaImpliedStdDev("Call",CY75,CY75,DA75,,DA$47)/SQRT($A54)</f>
        <v>#VALUE!</v>
      </c>
      <c r="CZ54" s="22" t="e">
        <f>_xll.qlAbcdFunctionVolatility(CZ$37,0,$A54,$A54,CZ$32)</f>
        <v>#VALUE!</v>
      </c>
      <c r="DA54" s="41" t="e">
        <f>_xll.qlAbcdCalibrationK(CZ$29,$A54,CY54,CZ$32)</f>
        <v>#VALUE!</v>
      </c>
      <c r="DB54" s="92"/>
      <c r="DC54" s="22" t="e">
        <f>_xll.qlBlackFormulaImpliedStdDev("Call",DC75,DC75,DE75,,DE$47)/SQRT($A54)</f>
        <v>#VALUE!</v>
      </c>
      <c r="DD54" s="22" t="e">
        <f>_xll.qlAbcdFunctionVolatility(DD$37,0,$A54,$A54,DD$32)</f>
        <v>#VALUE!</v>
      </c>
      <c r="DE54" s="41" t="e">
        <f>_xll.qlAbcdCalibrationK(DD$29,$A54,DC54,DD$32)</f>
        <v>#VALUE!</v>
      </c>
      <c r="DF54" s="92"/>
      <c r="DG54" s="22" t="e">
        <f>_xll.qlBlackFormulaImpliedStdDev("Call",DG75,DG75,DI75,,DI$47)/SQRT($A54)</f>
        <v>#VALUE!</v>
      </c>
      <c r="DH54" s="22" t="e">
        <f>_xll.qlAbcdFunctionVolatility(DH$37,0,$A54,$A54,DH$32)</f>
        <v>#VALUE!</v>
      </c>
      <c r="DI54" s="41" t="e">
        <f>_xll.qlAbcdCalibrationK(DH$29,$A54,DG54,DH$32)</f>
        <v>#VALUE!</v>
      </c>
      <c r="DJ54" s="92"/>
      <c r="DK54" s="22" t="e">
        <f>_xll.qlBlackFormulaImpliedStdDev("Call",DK75,DK75,DM75,,DM$47)/SQRT($A54)</f>
        <v>#VALUE!</v>
      </c>
      <c r="DL54" s="22" t="e">
        <f>_xll.qlAbcdFunctionVolatility(DL$37,0,$A54,$A54,DL$32)</f>
        <v>#VALUE!</v>
      </c>
      <c r="DM54" s="41" t="e">
        <f>_xll.qlAbcdCalibrationK(DL$29,$A54,DK54,DL$32)</f>
        <v>#VALUE!</v>
      </c>
      <c r="DO54" s="22" t="e">
        <f>_xll.qlBlackFormulaImpliedStdDev("Call",DO75,DO75,DQ75,,DQ$47)/SQRT($A54)</f>
        <v>#VALUE!</v>
      </c>
      <c r="DP54" s="22" t="e">
        <f>_xll.qlAbcdFunctionVolatility(DP$37,0,$A54,$A54,DP$32)</f>
        <v>#VALUE!</v>
      </c>
      <c r="DQ54" s="41" t="e">
        <f>_xll.qlAbcdCalibrationK(DP$29,$A54,DO54,DP$32)</f>
        <v>#VALUE!</v>
      </c>
    </row>
    <row r="55" spans="1:121" x14ac:dyDescent="0.2">
      <c r="A55" s="94" t="e">
        <f>_xll.qlDayCounterYearFraction(_xll.qlTermStructureDayCounter(Vol),_xll.qlTermStructureReferenceDate(Vol),A76,,,Trigger)</f>
        <v>#VALUE!</v>
      </c>
      <c r="B55" s="15" t="s">
        <v>27</v>
      </c>
      <c r="C55" s="22" t="e">
        <f>_xll.qlBlackFormulaImpliedStdDev("Call",C76,C76,E76,,E$47)/SQRT($A55)</f>
        <v>#VALUE!</v>
      </c>
      <c r="D55" s="22" t="e">
        <f>_xll.qlAbcdFunctionVolatility(D$37,0,$A55,$A55,D$32)</f>
        <v>#VALUE!</v>
      </c>
      <c r="E55" s="41" t="e">
        <f>_xll.qlAbcdCalibrationK(D$29,$A55,C55,D$32)</f>
        <v>#VALUE!</v>
      </c>
      <c r="F55" s="106"/>
      <c r="G55" s="22" t="e">
        <f>_xll.qlBlackFormulaImpliedStdDev("Call",G76,G76,I76,,I$47)/SQRT($A55)</f>
        <v>#VALUE!</v>
      </c>
      <c r="H55" s="22" t="e">
        <f>_xll.qlAbcdFunctionVolatility(H$37,0,$A55,$A55,H$32)</f>
        <v>#VALUE!</v>
      </c>
      <c r="I55" s="41" t="e">
        <f>_xll.qlAbcdCalibrationK(H$29,$A55,G55,H$32)</f>
        <v>#VALUE!</v>
      </c>
      <c r="J55" s="107"/>
      <c r="K55" s="22" t="e">
        <f>_xll.qlBlackFormulaImpliedStdDev("Call",K76,K76,M76,,M$47)/SQRT($A55)</f>
        <v>#VALUE!</v>
      </c>
      <c r="L55" s="22" t="e">
        <f>_xll.qlAbcdFunctionVolatility(L$37,0,$A55,$A55,L$32)</f>
        <v>#VALUE!</v>
      </c>
      <c r="M55" s="41" t="e">
        <f>_xll.qlAbcdCalibrationK(L$29,$A55,K55,L$32)</f>
        <v>#VALUE!</v>
      </c>
      <c r="O55" s="22" t="e">
        <f>_xll.qlBlackFormulaImpliedStdDev("Call",O76,O76,Q76,,Q$47)/SQRT($A55)</f>
        <v>#VALUE!</v>
      </c>
      <c r="P55" s="22" t="e">
        <f>_xll.qlAbcdFunctionVolatility(P$37,0,$A55,$A55,P$32)</f>
        <v>#VALUE!</v>
      </c>
      <c r="Q55" s="41" t="e">
        <f>_xll.qlAbcdCalibrationK(P$29,$A55,O55,P$32)</f>
        <v>#VALUE!</v>
      </c>
      <c r="S55" s="22" t="e">
        <f>_xll.qlBlackFormulaImpliedStdDev("Call",S76,S76,U76,,U$47)/SQRT($A55)</f>
        <v>#VALUE!</v>
      </c>
      <c r="T55" s="22" t="e">
        <f>_xll.qlAbcdFunctionVolatility(T$37,0,$A55,$A55,T$32)</f>
        <v>#VALUE!</v>
      </c>
      <c r="U55" s="41" t="e">
        <f>_xll.qlAbcdCalibrationK(T$29,$A55,S55,T$32)</f>
        <v>#VALUE!</v>
      </c>
      <c r="W55" s="22" t="e">
        <f>_xll.qlBlackFormulaImpliedStdDev("Call",W76,W76,Y76,,Y$47)/SQRT($A55)</f>
        <v>#VALUE!</v>
      </c>
      <c r="X55" s="22" t="e">
        <f>_xll.qlAbcdFunctionVolatility(X$37,0,$A55,$A55,X$32)</f>
        <v>#VALUE!</v>
      </c>
      <c r="Y55" s="41" t="e">
        <f>_xll.qlAbcdCalibrationK(X$29,$A55,W55,X$32)</f>
        <v>#VALUE!</v>
      </c>
      <c r="AA55" s="22" t="e">
        <f>_xll.qlBlackFormulaImpliedStdDev("Call",AA76,AA76,AC76,,AC$47)/SQRT($A55)</f>
        <v>#VALUE!</v>
      </c>
      <c r="AB55" s="22" t="e">
        <f>_xll.qlAbcdFunctionVolatility(AB$37,0,$A55,$A55,AB$32)</f>
        <v>#VALUE!</v>
      </c>
      <c r="AC55" s="41" t="e">
        <f>_xll.qlAbcdCalibrationK(AB$29,$A55,AA55,AB$32)</f>
        <v>#VALUE!</v>
      </c>
      <c r="AE55" s="22" t="e">
        <f>_xll.qlBlackFormulaImpliedStdDev("Call",AE76,AE76,AG76,,AG$47)/SQRT($A55)</f>
        <v>#VALUE!</v>
      </c>
      <c r="AF55" s="22" t="e">
        <f>_xll.qlAbcdFunctionVolatility(AF$37,0,$A55,$A55,AF$32)</f>
        <v>#VALUE!</v>
      </c>
      <c r="AG55" s="41" t="e">
        <f>_xll.qlAbcdCalibrationK(AF$29,$A55,AE55,AF$32)</f>
        <v>#VALUE!</v>
      </c>
      <c r="AI55" s="22" t="e">
        <f>_xll.qlBlackFormulaImpliedStdDev("Call",AI76,AI76,AK76,,AK$47)/SQRT($A55)</f>
        <v>#VALUE!</v>
      </c>
      <c r="AJ55" s="22" t="e">
        <f>_xll.qlAbcdFunctionVolatility(AJ$37,0,$A55,$A55,AJ$32)</f>
        <v>#VALUE!</v>
      </c>
      <c r="AK55" s="41" t="e">
        <f>_xll.qlAbcdCalibrationK(AJ$29,$A55,AI55,AJ$32)</f>
        <v>#VALUE!</v>
      </c>
      <c r="AM55" s="22" t="e">
        <f>_xll.qlBlackFormulaImpliedStdDev("Call",AM76,AM76,AO76,,AO$47)/SQRT($A55)</f>
        <v>#VALUE!</v>
      </c>
      <c r="AN55" s="22" t="e">
        <f>_xll.qlAbcdFunctionVolatility(AN$37,0,$A55,$A55,AN$32)</f>
        <v>#VALUE!</v>
      </c>
      <c r="AO55" s="41" t="e">
        <f>_xll.qlAbcdCalibrationK(AN$29,$A55,AM55,AN$32)</f>
        <v>#VALUE!</v>
      </c>
      <c r="AP55" s="92"/>
      <c r="AQ55" s="22" t="e">
        <f>_xll.qlBlackFormulaImpliedStdDev("Call",AQ76,AQ76,AS76,,AS$47)/SQRT($A55)</f>
        <v>#VALUE!</v>
      </c>
      <c r="AR55" s="22" t="e">
        <f>_xll.qlAbcdFunctionVolatility(AR$37,0,$A55,$A55,AR$32)</f>
        <v>#VALUE!</v>
      </c>
      <c r="AS55" s="41" t="e">
        <f>_xll.qlAbcdCalibrationK(AR$29,$A55,AQ55,AR$32)</f>
        <v>#VALUE!</v>
      </c>
      <c r="AU55" s="22" t="e">
        <f>_xll.qlBlackFormulaImpliedStdDev("Call",AU76,AU76,AW76,,AW$47)/SQRT($A55)</f>
        <v>#VALUE!</v>
      </c>
      <c r="AV55" s="22" t="e">
        <f>_xll.qlAbcdFunctionVolatility(AV$37,0,$A55,$A55,AV$32)</f>
        <v>#VALUE!</v>
      </c>
      <c r="AW55" s="41" t="e">
        <f>_xll.qlAbcdCalibrationK(AV$29,$A55,AU55,AV$32)</f>
        <v>#VALUE!</v>
      </c>
      <c r="AY55" s="22" t="e">
        <f>_xll.qlBlackFormulaImpliedStdDev("Call",AY76,AY76,BA76,,BA$47)/SQRT($A55)</f>
        <v>#VALUE!</v>
      </c>
      <c r="AZ55" s="22" t="e">
        <f>_xll.qlAbcdFunctionVolatility(AZ$37,0,$A55,$A55,AZ$32)</f>
        <v>#VALUE!</v>
      </c>
      <c r="BA55" s="41" t="e">
        <f>_xll.qlAbcdCalibrationK(AZ$29,$A55,AY55,AZ$32)</f>
        <v>#VALUE!</v>
      </c>
      <c r="BB55" s="92"/>
      <c r="BC55" s="22" t="e">
        <f>_xll.qlBlackFormulaImpliedStdDev("Call",BC76,BC76,BE76,,BE$47)/SQRT($A55)</f>
        <v>#VALUE!</v>
      </c>
      <c r="BD55" s="22" t="e">
        <f>_xll.qlAbcdFunctionVolatility(BD$37,0,$A55,$A55,BD$32)</f>
        <v>#VALUE!</v>
      </c>
      <c r="BE55" s="41" t="e">
        <f>_xll.qlAbcdCalibrationK(BD$29,$A55,BC55,BD$32)</f>
        <v>#VALUE!</v>
      </c>
      <c r="BG55" s="22" t="e">
        <f>_xll.qlBlackFormulaImpliedStdDev("Call",BG76,BG76,BI76,,BI$47)/SQRT($A55)</f>
        <v>#VALUE!</v>
      </c>
      <c r="BH55" s="22" t="e">
        <f>_xll.qlAbcdFunctionVolatility(BH$37,0,$A55,$A55,BH$32)</f>
        <v>#VALUE!</v>
      </c>
      <c r="BI55" s="41" t="e">
        <f>_xll.qlAbcdCalibrationK(BH$29,$A55,BG55,BH$32)</f>
        <v>#VALUE!</v>
      </c>
      <c r="BJ55" s="92"/>
      <c r="BK55" s="22" t="e">
        <f>_xll.qlBlackFormulaImpliedStdDev("Call",BK76,BK76,BM76,,BM$47)/SQRT($A55)</f>
        <v>#VALUE!</v>
      </c>
      <c r="BL55" s="22" t="e">
        <f>_xll.qlAbcdFunctionVolatility(BL$37,0,$A55,$A55,BL$32)</f>
        <v>#VALUE!</v>
      </c>
      <c r="BM55" s="41" t="e">
        <f>_xll.qlAbcdCalibrationK(BL$29,$A55,BK55,BL$32)</f>
        <v>#VALUE!</v>
      </c>
      <c r="BN55" s="92"/>
      <c r="BO55" s="22" t="e">
        <f>_xll.qlBlackFormulaImpliedStdDev("Call",BO76,BO76,BQ76,,BQ$47)/SQRT($A55)</f>
        <v>#VALUE!</v>
      </c>
      <c r="BP55" s="22" t="e">
        <f>_xll.qlAbcdFunctionVolatility(BP$37,0,$A55,$A55,BP$32)</f>
        <v>#VALUE!</v>
      </c>
      <c r="BQ55" s="41" t="e">
        <f>_xll.qlAbcdCalibrationK(BP$29,$A55,BO55,BP$32)</f>
        <v>#VALUE!</v>
      </c>
      <c r="BR55" s="92"/>
      <c r="BS55" s="22" t="e">
        <f>_xll.qlBlackFormulaImpliedStdDev("Call",BS76,BS76,BU76,,BU$47)/SQRT($A55)</f>
        <v>#VALUE!</v>
      </c>
      <c r="BT55" s="22" t="e">
        <f>_xll.qlAbcdFunctionVolatility(BT$37,0,$A55,$A55,BT$32)</f>
        <v>#VALUE!</v>
      </c>
      <c r="BU55" s="41" t="e">
        <f>_xll.qlAbcdCalibrationK(BT$29,$A55,BS55,BT$32)</f>
        <v>#VALUE!</v>
      </c>
      <c r="BV55" s="92"/>
      <c r="BW55" s="22" t="e">
        <f>_xll.qlBlackFormulaImpliedStdDev("Call",BW76,BW76,BY76,,BY$47)/SQRT($A55)</f>
        <v>#VALUE!</v>
      </c>
      <c r="BX55" s="22" t="e">
        <f>_xll.qlAbcdFunctionVolatility(BX$37,0,$A55,$A55,BX$32)</f>
        <v>#VALUE!</v>
      </c>
      <c r="BY55" s="41" t="e">
        <f>_xll.qlAbcdCalibrationK(BX$29,$A55,BW55,BX$32)</f>
        <v>#VALUE!</v>
      </c>
      <c r="CA55" s="22" t="e">
        <f>_xll.qlBlackFormulaImpliedStdDev("Call",CA76,CA76,CC76,,CC$47)/SQRT($A55)</f>
        <v>#VALUE!</v>
      </c>
      <c r="CB55" s="22" t="e">
        <f>_xll.qlAbcdFunctionVolatility(CB$37,0,$A55,$A55,CB$32)</f>
        <v>#VALUE!</v>
      </c>
      <c r="CC55" s="41" t="e">
        <f>_xll.qlAbcdCalibrationK(CB$29,$A55,CA55,CB$32)</f>
        <v>#VALUE!</v>
      </c>
      <c r="CD55" s="92"/>
      <c r="CE55" s="22" t="e">
        <f>_xll.qlBlackFormulaImpliedStdDev("Call",CE76,CE76,CG76,,CG$47)/SQRT($A55)</f>
        <v>#VALUE!</v>
      </c>
      <c r="CF55" s="22" t="e">
        <f>_xll.qlAbcdFunctionVolatility(CF$37,0,$A55,$A55,CF$32)</f>
        <v>#VALUE!</v>
      </c>
      <c r="CG55" s="41" t="e">
        <f>_xll.qlAbcdCalibrationK(CF$29,$A55,CE55,CF$32)</f>
        <v>#VALUE!</v>
      </c>
      <c r="CH55" s="92"/>
      <c r="CI55" s="22" t="e">
        <f>_xll.qlBlackFormulaImpliedStdDev("Call",CI76,CI76,CK76,,CK$47)/SQRT($A55)</f>
        <v>#VALUE!</v>
      </c>
      <c r="CJ55" s="22" t="e">
        <f>_xll.qlAbcdFunctionVolatility(CJ$37,0,$A55,$A55,CJ$32)</f>
        <v>#VALUE!</v>
      </c>
      <c r="CK55" s="41" t="e">
        <f>_xll.qlAbcdCalibrationK(CJ$29,$A55,CI55,CJ$32)</f>
        <v>#VALUE!</v>
      </c>
      <c r="CL55" s="92"/>
      <c r="CM55" s="22" t="e">
        <f>_xll.qlBlackFormulaImpliedStdDev("Call",CM76,CM76,CO76,,CO$47)/SQRT($A55)</f>
        <v>#VALUE!</v>
      </c>
      <c r="CN55" s="22" t="e">
        <f>_xll.qlAbcdFunctionVolatility(CN$37,0,$A55,$A55,CN$32)</f>
        <v>#VALUE!</v>
      </c>
      <c r="CO55" s="41" t="e">
        <f>_xll.qlAbcdCalibrationK(CN$29,$A55,CM55,CN$32)</f>
        <v>#VALUE!</v>
      </c>
      <c r="CP55" s="92"/>
      <c r="CQ55" s="22" t="e">
        <f>_xll.qlBlackFormulaImpliedStdDev("Call",CQ76,CQ76,CS76,,CS$47)/SQRT($A55)</f>
        <v>#VALUE!</v>
      </c>
      <c r="CR55" s="22" t="e">
        <f>_xll.qlAbcdFunctionVolatility(CR$37,0,$A55,$A55,CR$32)</f>
        <v>#VALUE!</v>
      </c>
      <c r="CS55" s="41" t="e">
        <f>_xll.qlAbcdCalibrationK(CR$29,$A55,CQ55,CR$32)</f>
        <v>#VALUE!</v>
      </c>
      <c r="CU55" s="22" t="e">
        <f>_xll.qlBlackFormulaImpliedStdDev("Call",CU76,CU76,CW76,,CW$47)/SQRT($A55)</f>
        <v>#VALUE!</v>
      </c>
      <c r="CV55" s="22" t="e">
        <f>_xll.qlAbcdFunctionVolatility(CV$37,0,$A55,$A55,CV$32)</f>
        <v>#VALUE!</v>
      </c>
      <c r="CW55" s="41" t="e">
        <f>_xll.qlAbcdCalibrationK(CV$29,$A55,CU55,CV$32)</f>
        <v>#VALUE!</v>
      </c>
      <c r="CX55" s="92"/>
      <c r="CY55" s="22" t="e">
        <f>_xll.qlBlackFormulaImpliedStdDev("Call",CY76,CY76,DA76,,DA$47)/SQRT($A55)</f>
        <v>#VALUE!</v>
      </c>
      <c r="CZ55" s="22" t="e">
        <f>_xll.qlAbcdFunctionVolatility(CZ$37,0,$A55,$A55,CZ$32)</f>
        <v>#VALUE!</v>
      </c>
      <c r="DA55" s="41" t="e">
        <f>_xll.qlAbcdCalibrationK(CZ$29,$A55,CY55,CZ$32)</f>
        <v>#VALUE!</v>
      </c>
      <c r="DB55" s="92"/>
      <c r="DC55" s="22" t="e">
        <f>_xll.qlBlackFormulaImpliedStdDev("Call",DC76,DC76,DE76,,DE$47)/SQRT($A55)</f>
        <v>#VALUE!</v>
      </c>
      <c r="DD55" s="22" t="e">
        <f>_xll.qlAbcdFunctionVolatility(DD$37,0,$A55,$A55,DD$32)</f>
        <v>#VALUE!</v>
      </c>
      <c r="DE55" s="41" t="e">
        <f>_xll.qlAbcdCalibrationK(DD$29,$A55,DC55,DD$32)</f>
        <v>#VALUE!</v>
      </c>
      <c r="DF55" s="92"/>
      <c r="DG55" s="22" t="e">
        <f>_xll.qlBlackFormulaImpliedStdDev("Call",DG76,DG76,DI76,,DI$47)/SQRT($A55)</f>
        <v>#VALUE!</v>
      </c>
      <c r="DH55" s="22" t="e">
        <f>_xll.qlAbcdFunctionVolatility(DH$37,0,$A55,$A55,DH$32)</f>
        <v>#VALUE!</v>
      </c>
      <c r="DI55" s="41" t="e">
        <f>_xll.qlAbcdCalibrationK(DH$29,$A55,DG55,DH$32)</f>
        <v>#VALUE!</v>
      </c>
      <c r="DJ55" s="92"/>
      <c r="DK55" s="22" t="e">
        <f>_xll.qlBlackFormulaImpliedStdDev("Call",DK76,DK76,DM76,,DM$47)/SQRT($A55)</f>
        <v>#VALUE!</v>
      </c>
      <c r="DL55" s="22" t="e">
        <f>_xll.qlAbcdFunctionVolatility(DL$37,0,$A55,$A55,DL$32)</f>
        <v>#VALUE!</v>
      </c>
      <c r="DM55" s="41" t="e">
        <f>_xll.qlAbcdCalibrationK(DL$29,$A55,DK55,DL$32)</f>
        <v>#VALUE!</v>
      </c>
      <c r="DO55" s="22" t="e">
        <f>_xll.qlBlackFormulaImpliedStdDev("Call",DO76,DO76,DQ76,,DQ$47)/SQRT($A55)</f>
        <v>#VALUE!</v>
      </c>
      <c r="DP55" s="22" t="e">
        <f>_xll.qlAbcdFunctionVolatility(DP$37,0,$A55,$A55,DP$32)</f>
        <v>#VALUE!</v>
      </c>
      <c r="DQ55" s="41" t="e">
        <f>_xll.qlAbcdCalibrationK(DP$29,$A55,DO55,DP$32)</f>
        <v>#VALUE!</v>
      </c>
    </row>
    <row r="56" spans="1:121" x14ac:dyDescent="0.2">
      <c r="A56" s="94" t="e">
        <f>_xll.qlDayCounterYearFraction(_xll.qlTermStructureDayCounter(Vol),_xll.qlTermStructureReferenceDate(Vol),A77,,,Trigger)</f>
        <v>#VALUE!</v>
      </c>
      <c r="B56" s="15" t="s">
        <v>28</v>
      </c>
      <c r="C56" s="22" t="e">
        <f>_xll.qlBlackFormulaImpliedStdDev("Call",C77,C77,E77,,E$47)/SQRT($A56)</f>
        <v>#VALUE!</v>
      </c>
      <c r="D56" s="22" t="e">
        <f>_xll.qlAbcdFunctionVolatility(D$37,0,$A56,$A56,D$32)</f>
        <v>#VALUE!</v>
      </c>
      <c r="E56" s="41" t="e">
        <f>_xll.qlAbcdCalibrationK(D$29,$A56,C56,D$32)</f>
        <v>#VALUE!</v>
      </c>
      <c r="F56" s="106"/>
      <c r="G56" s="22" t="e">
        <f>_xll.qlBlackFormulaImpliedStdDev("Call",G77,G77,I77,,I$47)/SQRT($A56)</f>
        <v>#VALUE!</v>
      </c>
      <c r="H56" s="22" t="e">
        <f>_xll.qlAbcdFunctionVolatility(H$37,0,$A56,$A56,H$32)</f>
        <v>#VALUE!</v>
      </c>
      <c r="I56" s="41" t="e">
        <f>_xll.qlAbcdCalibrationK(H$29,$A56,G56,H$32)</f>
        <v>#VALUE!</v>
      </c>
      <c r="J56" s="107"/>
      <c r="K56" s="22" t="e">
        <f>_xll.qlBlackFormulaImpliedStdDev("Call",K77,K77,M77,,M$47)/SQRT($A56)</f>
        <v>#VALUE!</v>
      </c>
      <c r="L56" s="22" t="e">
        <f>_xll.qlAbcdFunctionVolatility(L$37,0,$A56,$A56,L$32)</f>
        <v>#VALUE!</v>
      </c>
      <c r="M56" s="41" t="e">
        <f>_xll.qlAbcdCalibrationK(L$29,$A56,K56,L$32)</f>
        <v>#VALUE!</v>
      </c>
      <c r="O56" s="22" t="e">
        <f>_xll.qlBlackFormulaImpliedStdDev("Call",O77,O77,Q77,,Q$47)/SQRT($A56)</f>
        <v>#VALUE!</v>
      </c>
      <c r="P56" s="22" t="e">
        <f>_xll.qlAbcdFunctionVolatility(P$37,0,$A56,$A56,P$32)</f>
        <v>#VALUE!</v>
      </c>
      <c r="Q56" s="41" t="e">
        <f>_xll.qlAbcdCalibrationK(P$29,$A56,O56,P$32)</f>
        <v>#VALUE!</v>
      </c>
      <c r="S56" s="22" t="e">
        <f>_xll.qlBlackFormulaImpliedStdDev("Call",S77,S77,U77,,U$47)/SQRT($A56)</f>
        <v>#VALUE!</v>
      </c>
      <c r="T56" s="22" t="e">
        <f>_xll.qlAbcdFunctionVolatility(T$37,0,$A56,$A56,T$32)</f>
        <v>#VALUE!</v>
      </c>
      <c r="U56" s="41" t="e">
        <f>_xll.qlAbcdCalibrationK(T$29,$A56,S56,T$32)</f>
        <v>#VALUE!</v>
      </c>
      <c r="W56" s="22" t="e">
        <f>_xll.qlBlackFormulaImpliedStdDev("Call",W77,W77,Y77,,Y$47)/SQRT($A56)</f>
        <v>#VALUE!</v>
      </c>
      <c r="X56" s="22" t="e">
        <f>_xll.qlAbcdFunctionVolatility(X$37,0,$A56,$A56,X$32)</f>
        <v>#VALUE!</v>
      </c>
      <c r="Y56" s="41" t="e">
        <f>_xll.qlAbcdCalibrationK(X$29,$A56,W56,X$32)</f>
        <v>#VALUE!</v>
      </c>
      <c r="AA56" s="22" t="e">
        <f>_xll.qlBlackFormulaImpliedStdDev("Call",AA77,AA77,AC77,,AC$47)/SQRT($A56)</f>
        <v>#VALUE!</v>
      </c>
      <c r="AB56" s="22" t="e">
        <f>_xll.qlAbcdFunctionVolatility(AB$37,0,$A56,$A56,AB$32)</f>
        <v>#VALUE!</v>
      </c>
      <c r="AC56" s="41" t="e">
        <f>_xll.qlAbcdCalibrationK(AB$29,$A56,AA56,AB$32)</f>
        <v>#VALUE!</v>
      </c>
      <c r="AE56" s="22" t="e">
        <f>_xll.qlBlackFormulaImpliedStdDev("Call",AE77,AE77,AG77,,AG$47)/SQRT($A56)</f>
        <v>#VALUE!</v>
      </c>
      <c r="AF56" s="22" t="e">
        <f>_xll.qlAbcdFunctionVolatility(AF$37,0,$A56,$A56,AF$32)</f>
        <v>#VALUE!</v>
      </c>
      <c r="AG56" s="41" t="e">
        <f>_xll.qlAbcdCalibrationK(AF$29,$A56,AE56,AF$32)</f>
        <v>#VALUE!</v>
      </c>
      <c r="AI56" s="22" t="e">
        <f>_xll.qlBlackFormulaImpliedStdDev("Call",AI77,AI77,AK77,,AK$47)/SQRT($A56)</f>
        <v>#VALUE!</v>
      </c>
      <c r="AJ56" s="22" t="e">
        <f>_xll.qlAbcdFunctionVolatility(AJ$37,0,$A56,$A56,AJ$32)</f>
        <v>#VALUE!</v>
      </c>
      <c r="AK56" s="41" t="e">
        <f>_xll.qlAbcdCalibrationK(AJ$29,$A56,AI56,AJ$32)</f>
        <v>#VALUE!</v>
      </c>
      <c r="AM56" s="22" t="e">
        <f>_xll.qlBlackFormulaImpliedStdDev("Call",AM77,AM77,AO77,,AO$47)/SQRT($A56)</f>
        <v>#VALUE!</v>
      </c>
      <c r="AN56" s="22" t="e">
        <f>_xll.qlAbcdFunctionVolatility(AN$37,0,$A56,$A56,AN$32)</f>
        <v>#VALUE!</v>
      </c>
      <c r="AO56" s="41" t="e">
        <f>_xll.qlAbcdCalibrationK(AN$29,$A56,AM56,AN$32)</f>
        <v>#VALUE!</v>
      </c>
      <c r="AP56" s="92"/>
      <c r="AQ56" s="22" t="e">
        <f>_xll.qlBlackFormulaImpliedStdDev("Call",AQ77,AQ77,AS77,,AS$47)/SQRT($A56)</f>
        <v>#VALUE!</v>
      </c>
      <c r="AR56" s="22" t="e">
        <f>_xll.qlAbcdFunctionVolatility(AR$37,0,$A56,$A56,AR$32)</f>
        <v>#VALUE!</v>
      </c>
      <c r="AS56" s="41" t="e">
        <f>_xll.qlAbcdCalibrationK(AR$29,$A56,AQ56,AR$32)</f>
        <v>#VALUE!</v>
      </c>
      <c r="AU56" s="22" t="e">
        <f>_xll.qlBlackFormulaImpliedStdDev("Call",AU77,AU77,AW77,,AW$47)/SQRT($A56)</f>
        <v>#VALUE!</v>
      </c>
      <c r="AV56" s="22" t="e">
        <f>_xll.qlAbcdFunctionVolatility(AV$37,0,$A56,$A56,AV$32)</f>
        <v>#VALUE!</v>
      </c>
      <c r="AW56" s="41" t="e">
        <f>_xll.qlAbcdCalibrationK(AV$29,$A56,AU56,AV$32)</f>
        <v>#VALUE!</v>
      </c>
      <c r="AY56" s="22" t="e">
        <f>_xll.qlBlackFormulaImpliedStdDev("Call",AY77,AY77,BA77,,BA$47)/SQRT($A56)</f>
        <v>#VALUE!</v>
      </c>
      <c r="AZ56" s="22" t="e">
        <f>_xll.qlAbcdFunctionVolatility(AZ$37,0,$A56,$A56,AZ$32)</f>
        <v>#VALUE!</v>
      </c>
      <c r="BA56" s="41" t="e">
        <f>_xll.qlAbcdCalibrationK(AZ$29,$A56,AY56,AZ$32)</f>
        <v>#VALUE!</v>
      </c>
      <c r="BB56" s="92"/>
      <c r="BC56" s="22" t="e">
        <f>_xll.qlBlackFormulaImpliedStdDev("Call",BC77,BC77,BE77,,BE$47)/SQRT($A56)</f>
        <v>#VALUE!</v>
      </c>
      <c r="BD56" s="22" t="e">
        <f>_xll.qlAbcdFunctionVolatility(BD$37,0,$A56,$A56,BD$32)</f>
        <v>#VALUE!</v>
      </c>
      <c r="BE56" s="41" t="e">
        <f>_xll.qlAbcdCalibrationK(BD$29,$A56,BC56,BD$32)</f>
        <v>#VALUE!</v>
      </c>
      <c r="BG56" s="22" t="e">
        <f>_xll.qlBlackFormulaImpliedStdDev("Call",BG77,BG77,BI77,,BI$47)/SQRT($A56)</f>
        <v>#VALUE!</v>
      </c>
      <c r="BH56" s="22" t="e">
        <f>_xll.qlAbcdFunctionVolatility(BH$37,0,$A56,$A56,BH$32)</f>
        <v>#VALUE!</v>
      </c>
      <c r="BI56" s="41" t="e">
        <f>_xll.qlAbcdCalibrationK(BH$29,$A56,BG56,BH$32)</f>
        <v>#VALUE!</v>
      </c>
      <c r="BJ56" s="92"/>
      <c r="BK56" s="22" t="e">
        <f>_xll.qlBlackFormulaImpliedStdDev("Call",BK77,BK77,BM77,,BM$47)/SQRT($A56)</f>
        <v>#VALUE!</v>
      </c>
      <c r="BL56" s="22" t="e">
        <f>_xll.qlAbcdFunctionVolatility(BL$37,0,$A56,$A56,BL$32)</f>
        <v>#VALUE!</v>
      </c>
      <c r="BM56" s="41" t="e">
        <f>_xll.qlAbcdCalibrationK(BL$29,$A56,BK56,BL$32)</f>
        <v>#VALUE!</v>
      </c>
      <c r="BN56" s="92"/>
      <c r="BO56" s="22" t="e">
        <f>_xll.qlBlackFormulaImpliedStdDev("Call",BO77,BO77,BQ77,,BQ$47)/SQRT($A56)</f>
        <v>#VALUE!</v>
      </c>
      <c r="BP56" s="22" t="e">
        <f>_xll.qlAbcdFunctionVolatility(BP$37,0,$A56,$A56,BP$32)</f>
        <v>#VALUE!</v>
      </c>
      <c r="BQ56" s="41" t="e">
        <f>_xll.qlAbcdCalibrationK(BP$29,$A56,BO56,BP$32)</f>
        <v>#VALUE!</v>
      </c>
      <c r="BR56" s="92"/>
      <c r="BS56" s="22" t="e">
        <f>_xll.qlBlackFormulaImpliedStdDev("Call",BS77,BS77,BU77,,BU$47)/SQRT($A56)</f>
        <v>#VALUE!</v>
      </c>
      <c r="BT56" s="22" t="e">
        <f>_xll.qlAbcdFunctionVolatility(BT$37,0,$A56,$A56,BT$32)</f>
        <v>#VALUE!</v>
      </c>
      <c r="BU56" s="41" t="e">
        <f>_xll.qlAbcdCalibrationK(BT$29,$A56,BS56,BT$32)</f>
        <v>#VALUE!</v>
      </c>
      <c r="BV56" s="92"/>
      <c r="BW56" s="22" t="e">
        <f>_xll.qlBlackFormulaImpliedStdDev("Call",BW77,BW77,BY77,,BY$47)/SQRT($A56)</f>
        <v>#VALUE!</v>
      </c>
      <c r="BX56" s="22" t="e">
        <f>_xll.qlAbcdFunctionVolatility(BX$37,0,$A56,$A56,BX$32)</f>
        <v>#VALUE!</v>
      </c>
      <c r="BY56" s="41" t="e">
        <f>_xll.qlAbcdCalibrationK(BX$29,$A56,BW56,BX$32)</f>
        <v>#VALUE!</v>
      </c>
      <c r="CA56" s="22" t="e">
        <f>_xll.qlBlackFormulaImpliedStdDev("Call",CA77,CA77,CC77,,CC$47)/SQRT($A56)</f>
        <v>#VALUE!</v>
      </c>
      <c r="CB56" s="22" t="e">
        <f>_xll.qlAbcdFunctionVolatility(CB$37,0,$A56,$A56,CB$32)</f>
        <v>#VALUE!</v>
      </c>
      <c r="CC56" s="41" t="e">
        <f>_xll.qlAbcdCalibrationK(CB$29,$A56,CA56,CB$32)</f>
        <v>#VALUE!</v>
      </c>
      <c r="CD56" s="92"/>
      <c r="CE56" s="22" t="e">
        <f>_xll.qlBlackFormulaImpliedStdDev("Call",CE77,CE77,CG77,,CG$47)/SQRT($A56)</f>
        <v>#VALUE!</v>
      </c>
      <c r="CF56" s="22" t="e">
        <f>_xll.qlAbcdFunctionVolatility(CF$37,0,$A56,$A56,CF$32)</f>
        <v>#VALUE!</v>
      </c>
      <c r="CG56" s="41" t="e">
        <f>_xll.qlAbcdCalibrationK(CF$29,$A56,CE56,CF$32)</f>
        <v>#VALUE!</v>
      </c>
      <c r="CH56" s="92"/>
      <c r="CI56" s="22" t="e">
        <f>_xll.qlBlackFormulaImpliedStdDev("Call",CI77,CI77,CK77,,CK$47)/SQRT($A56)</f>
        <v>#VALUE!</v>
      </c>
      <c r="CJ56" s="22" t="e">
        <f>_xll.qlAbcdFunctionVolatility(CJ$37,0,$A56,$A56,CJ$32)</f>
        <v>#VALUE!</v>
      </c>
      <c r="CK56" s="41" t="e">
        <f>_xll.qlAbcdCalibrationK(CJ$29,$A56,CI56,CJ$32)</f>
        <v>#VALUE!</v>
      </c>
      <c r="CL56" s="92"/>
      <c r="CM56" s="22" t="e">
        <f>_xll.qlBlackFormulaImpliedStdDev("Call",CM77,CM77,CO77,,CO$47)/SQRT($A56)</f>
        <v>#VALUE!</v>
      </c>
      <c r="CN56" s="22" t="e">
        <f>_xll.qlAbcdFunctionVolatility(CN$37,0,$A56,$A56,CN$32)</f>
        <v>#VALUE!</v>
      </c>
      <c r="CO56" s="41" t="e">
        <f>_xll.qlAbcdCalibrationK(CN$29,$A56,CM56,CN$32)</f>
        <v>#VALUE!</v>
      </c>
      <c r="CP56" s="92"/>
      <c r="CQ56" s="22" t="e">
        <f>_xll.qlBlackFormulaImpliedStdDev("Call",CQ77,CQ77,CS77,,CS$47)/SQRT($A56)</f>
        <v>#VALUE!</v>
      </c>
      <c r="CR56" s="22" t="e">
        <f>_xll.qlAbcdFunctionVolatility(CR$37,0,$A56,$A56,CR$32)</f>
        <v>#VALUE!</v>
      </c>
      <c r="CS56" s="41" t="e">
        <f>_xll.qlAbcdCalibrationK(CR$29,$A56,CQ56,CR$32)</f>
        <v>#VALUE!</v>
      </c>
      <c r="CU56" s="22" t="e">
        <f>_xll.qlBlackFormulaImpliedStdDev("Call",CU77,CU77,CW77,,CW$47)/SQRT($A56)</f>
        <v>#VALUE!</v>
      </c>
      <c r="CV56" s="22" t="e">
        <f>_xll.qlAbcdFunctionVolatility(CV$37,0,$A56,$A56,CV$32)</f>
        <v>#VALUE!</v>
      </c>
      <c r="CW56" s="41" t="e">
        <f>_xll.qlAbcdCalibrationK(CV$29,$A56,CU56,CV$32)</f>
        <v>#VALUE!</v>
      </c>
      <c r="CX56" s="92"/>
      <c r="CY56" s="22" t="e">
        <f>_xll.qlBlackFormulaImpliedStdDev("Call",CY77,CY77,DA77,,DA$47)/SQRT($A56)</f>
        <v>#VALUE!</v>
      </c>
      <c r="CZ56" s="22" t="e">
        <f>_xll.qlAbcdFunctionVolatility(CZ$37,0,$A56,$A56,CZ$32)</f>
        <v>#VALUE!</v>
      </c>
      <c r="DA56" s="41" t="e">
        <f>_xll.qlAbcdCalibrationK(CZ$29,$A56,CY56,CZ$32)</f>
        <v>#VALUE!</v>
      </c>
      <c r="DB56" s="92"/>
      <c r="DC56" s="22" t="e">
        <f>_xll.qlBlackFormulaImpliedStdDev("Call",DC77,DC77,DE77,,DE$47)/SQRT($A56)</f>
        <v>#VALUE!</v>
      </c>
      <c r="DD56" s="22" t="e">
        <f>_xll.qlAbcdFunctionVolatility(DD$37,0,$A56,$A56,DD$32)</f>
        <v>#VALUE!</v>
      </c>
      <c r="DE56" s="41" t="e">
        <f>_xll.qlAbcdCalibrationK(DD$29,$A56,DC56,DD$32)</f>
        <v>#VALUE!</v>
      </c>
      <c r="DF56" s="92"/>
      <c r="DG56" s="22" t="e">
        <f>_xll.qlBlackFormulaImpliedStdDev("Call",DG77,DG77,DI77,,DI$47)/SQRT($A56)</f>
        <v>#VALUE!</v>
      </c>
      <c r="DH56" s="22" t="e">
        <f>_xll.qlAbcdFunctionVolatility(DH$37,0,$A56,$A56,DH$32)</f>
        <v>#VALUE!</v>
      </c>
      <c r="DI56" s="41" t="e">
        <f>_xll.qlAbcdCalibrationK(DH$29,$A56,DG56,DH$32)</f>
        <v>#VALUE!</v>
      </c>
      <c r="DJ56" s="92"/>
      <c r="DK56" s="22" t="e">
        <f>_xll.qlBlackFormulaImpliedStdDev("Call",DK77,DK77,DM77,,DM$47)/SQRT($A56)</f>
        <v>#VALUE!</v>
      </c>
      <c r="DL56" s="22" t="e">
        <f>_xll.qlAbcdFunctionVolatility(DL$37,0,$A56,$A56,DL$32)</f>
        <v>#VALUE!</v>
      </c>
      <c r="DM56" s="41" t="e">
        <f>_xll.qlAbcdCalibrationK(DL$29,$A56,DK56,DL$32)</f>
        <v>#VALUE!</v>
      </c>
      <c r="DO56" s="22" t="e">
        <f>_xll.qlBlackFormulaImpliedStdDev("Call",DO77,DO77,DQ77,,DQ$47)/SQRT($A56)</f>
        <v>#VALUE!</v>
      </c>
      <c r="DP56" s="22" t="e">
        <f>_xll.qlAbcdFunctionVolatility(DP$37,0,$A56,$A56,DP$32)</f>
        <v>#VALUE!</v>
      </c>
      <c r="DQ56" s="41" t="e">
        <f>_xll.qlAbcdCalibrationK(DP$29,$A56,DO56,DP$32)</f>
        <v>#VALUE!</v>
      </c>
    </row>
    <row r="57" spans="1:121" x14ac:dyDescent="0.2">
      <c r="A57" s="94" t="e">
        <f>_xll.qlDayCounterYearFraction(_xll.qlTermStructureDayCounter(Vol),_xll.qlTermStructureReferenceDate(Vol),A78,,,Trigger)</f>
        <v>#VALUE!</v>
      </c>
      <c r="B57" s="15" t="s">
        <v>29</v>
      </c>
      <c r="C57" s="22" t="e">
        <f>_xll.qlBlackFormulaImpliedStdDev("Call",C78,C78,E78,,E$47)/SQRT($A57)</f>
        <v>#VALUE!</v>
      </c>
      <c r="D57" s="22" t="e">
        <f>_xll.qlAbcdFunctionVolatility(D$37,0,$A57,$A57,D$32)</f>
        <v>#VALUE!</v>
      </c>
      <c r="E57" s="41" t="e">
        <f>_xll.qlAbcdCalibrationK(D$29,$A57,C57,D$32)</f>
        <v>#VALUE!</v>
      </c>
      <c r="F57" s="106"/>
      <c r="G57" s="22" t="e">
        <f>_xll.qlBlackFormulaImpliedStdDev("Call",G78,G78,I78,,I$47)/SQRT($A57)</f>
        <v>#VALUE!</v>
      </c>
      <c r="H57" s="22" t="e">
        <f>_xll.qlAbcdFunctionVolatility(H$37,0,$A57,$A57,H$32)</f>
        <v>#VALUE!</v>
      </c>
      <c r="I57" s="41" t="e">
        <f>_xll.qlAbcdCalibrationK(H$29,$A57,G57,H$32)</f>
        <v>#VALUE!</v>
      </c>
      <c r="J57" s="107"/>
      <c r="K57" s="22" t="e">
        <f>_xll.qlBlackFormulaImpliedStdDev("Call",K78,K78,M78,,M$47)/SQRT($A57)</f>
        <v>#VALUE!</v>
      </c>
      <c r="L57" s="22" t="e">
        <f>_xll.qlAbcdFunctionVolatility(L$37,0,$A57,$A57,L$32)</f>
        <v>#VALUE!</v>
      </c>
      <c r="M57" s="41" t="e">
        <f>_xll.qlAbcdCalibrationK(L$29,$A57,K57,L$32)</f>
        <v>#VALUE!</v>
      </c>
      <c r="O57" s="22" t="e">
        <f>_xll.qlBlackFormulaImpliedStdDev("Call",O78,O78,Q78,,Q$47)/SQRT($A57)</f>
        <v>#VALUE!</v>
      </c>
      <c r="P57" s="22" t="e">
        <f>_xll.qlAbcdFunctionVolatility(P$37,0,$A57,$A57,P$32)</f>
        <v>#VALUE!</v>
      </c>
      <c r="Q57" s="41" t="e">
        <f>_xll.qlAbcdCalibrationK(P$29,$A57,O57,P$32)</f>
        <v>#VALUE!</v>
      </c>
      <c r="S57" s="22" t="e">
        <f>_xll.qlBlackFormulaImpliedStdDev("Call",S78,S78,U78,,U$47)/SQRT($A57)</f>
        <v>#VALUE!</v>
      </c>
      <c r="T57" s="22" t="e">
        <f>_xll.qlAbcdFunctionVolatility(T$37,0,$A57,$A57,T$32)</f>
        <v>#VALUE!</v>
      </c>
      <c r="U57" s="41" t="e">
        <f>_xll.qlAbcdCalibrationK(T$29,$A57,S57,T$32)</f>
        <v>#VALUE!</v>
      </c>
      <c r="W57" s="22" t="e">
        <f>_xll.qlBlackFormulaImpliedStdDev("Call",W78,W78,Y78,,Y$47)/SQRT($A57)</f>
        <v>#VALUE!</v>
      </c>
      <c r="X57" s="22" t="e">
        <f>_xll.qlAbcdFunctionVolatility(X$37,0,$A57,$A57,X$32)</f>
        <v>#VALUE!</v>
      </c>
      <c r="Y57" s="41" t="e">
        <f>_xll.qlAbcdCalibrationK(X$29,$A57,W57,X$32)</f>
        <v>#VALUE!</v>
      </c>
      <c r="AA57" s="22" t="e">
        <f>_xll.qlBlackFormulaImpliedStdDev("Call",AA78,AA78,AC78,,AC$47)/SQRT($A57)</f>
        <v>#VALUE!</v>
      </c>
      <c r="AB57" s="22" t="e">
        <f>_xll.qlAbcdFunctionVolatility(AB$37,0,$A57,$A57,AB$32)</f>
        <v>#VALUE!</v>
      </c>
      <c r="AC57" s="41" t="e">
        <f>_xll.qlAbcdCalibrationK(AB$29,$A57,AA57,AB$32)</f>
        <v>#VALUE!</v>
      </c>
      <c r="AE57" s="22" t="e">
        <f>_xll.qlBlackFormulaImpliedStdDev("Call",AE78,AE78,AG78,,AG$47)/SQRT($A57)</f>
        <v>#VALUE!</v>
      </c>
      <c r="AF57" s="22" t="e">
        <f>_xll.qlAbcdFunctionVolatility(AF$37,0,$A57,$A57,AF$32)</f>
        <v>#VALUE!</v>
      </c>
      <c r="AG57" s="41" t="e">
        <f>_xll.qlAbcdCalibrationK(AF$29,$A57,AE57,AF$32)</f>
        <v>#VALUE!</v>
      </c>
      <c r="AI57" s="22" t="e">
        <f>_xll.qlBlackFormulaImpliedStdDev("Call",AI78,AI78,AK78,,AK$47)/SQRT($A57)</f>
        <v>#VALUE!</v>
      </c>
      <c r="AJ57" s="22" t="e">
        <f>_xll.qlAbcdFunctionVolatility(AJ$37,0,$A57,$A57,AJ$32)</f>
        <v>#VALUE!</v>
      </c>
      <c r="AK57" s="41" t="e">
        <f>_xll.qlAbcdCalibrationK(AJ$29,$A57,AI57,AJ$32)</f>
        <v>#VALUE!</v>
      </c>
      <c r="AM57" s="22" t="e">
        <f>_xll.qlBlackFormulaImpliedStdDev("Call",AM78,AM78,AO78,,AO$47)/SQRT($A57)</f>
        <v>#VALUE!</v>
      </c>
      <c r="AN57" s="22" t="e">
        <f>_xll.qlAbcdFunctionVolatility(AN$37,0,$A57,$A57,AN$32)</f>
        <v>#VALUE!</v>
      </c>
      <c r="AO57" s="41" t="e">
        <f>_xll.qlAbcdCalibrationK(AN$29,$A57,AM57,AN$32)</f>
        <v>#VALUE!</v>
      </c>
      <c r="AP57" s="92"/>
      <c r="AQ57" s="22" t="e">
        <f>_xll.qlBlackFormulaImpliedStdDev("Call",AQ78,AQ78,AS78,,AS$47)/SQRT($A57)</f>
        <v>#VALUE!</v>
      </c>
      <c r="AR57" s="22" t="e">
        <f>_xll.qlAbcdFunctionVolatility(AR$37,0,$A57,$A57,AR$32)</f>
        <v>#VALUE!</v>
      </c>
      <c r="AS57" s="41" t="e">
        <f>_xll.qlAbcdCalibrationK(AR$29,$A57,AQ57,AR$32)</f>
        <v>#VALUE!</v>
      </c>
      <c r="AU57" s="22" t="e">
        <f>_xll.qlBlackFormulaImpliedStdDev("Call",AU78,AU78,AW78,,AW$47)/SQRT($A57)</f>
        <v>#VALUE!</v>
      </c>
      <c r="AV57" s="22" t="e">
        <f>_xll.qlAbcdFunctionVolatility(AV$37,0,$A57,$A57,AV$32)</f>
        <v>#VALUE!</v>
      </c>
      <c r="AW57" s="41" t="e">
        <f>_xll.qlAbcdCalibrationK(AV$29,$A57,AU57,AV$32)</f>
        <v>#VALUE!</v>
      </c>
      <c r="AY57" s="22" t="e">
        <f>_xll.qlBlackFormulaImpliedStdDev("Call",AY78,AY78,BA78,,BA$47)/SQRT($A57)</f>
        <v>#VALUE!</v>
      </c>
      <c r="AZ57" s="22" t="e">
        <f>_xll.qlAbcdFunctionVolatility(AZ$37,0,$A57,$A57,AZ$32)</f>
        <v>#VALUE!</v>
      </c>
      <c r="BA57" s="41" t="e">
        <f>_xll.qlAbcdCalibrationK(AZ$29,$A57,AY57,AZ$32)</f>
        <v>#VALUE!</v>
      </c>
      <c r="BB57" s="92"/>
      <c r="BC57" s="22" t="e">
        <f>_xll.qlBlackFormulaImpliedStdDev("Call",BC78,BC78,BE78,,BE$47)/SQRT($A57)</f>
        <v>#VALUE!</v>
      </c>
      <c r="BD57" s="22" t="e">
        <f>_xll.qlAbcdFunctionVolatility(BD$37,0,$A57,$A57,BD$32)</f>
        <v>#VALUE!</v>
      </c>
      <c r="BE57" s="41" t="e">
        <f>_xll.qlAbcdCalibrationK(BD$29,$A57,BC57,BD$32)</f>
        <v>#VALUE!</v>
      </c>
      <c r="BG57" s="22" t="e">
        <f>_xll.qlBlackFormulaImpliedStdDev("Call",BG78,BG78,BI78,,BI$47)/SQRT($A57)</f>
        <v>#VALUE!</v>
      </c>
      <c r="BH57" s="22" t="e">
        <f>_xll.qlAbcdFunctionVolatility(BH$37,0,$A57,$A57,BH$32)</f>
        <v>#VALUE!</v>
      </c>
      <c r="BI57" s="41" t="e">
        <f>_xll.qlAbcdCalibrationK(BH$29,$A57,BG57,BH$32)</f>
        <v>#VALUE!</v>
      </c>
      <c r="BJ57" s="92"/>
      <c r="BK57" s="22" t="e">
        <f>_xll.qlBlackFormulaImpliedStdDev("Call",BK78,BK78,BM78,,BM$47)/SQRT($A57)</f>
        <v>#VALUE!</v>
      </c>
      <c r="BL57" s="22" t="e">
        <f>_xll.qlAbcdFunctionVolatility(BL$37,0,$A57,$A57,BL$32)</f>
        <v>#VALUE!</v>
      </c>
      <c r="BM57" s="41" t="e">
        <f>_xll.qlAbcdCalibrationK(BL$29,$A57,BK57,BL$32)</f>
        <v>#VALUE!</v>
      </c>
      <c r="BN57" s="92"/>
      <c r="BO57" s="22" t="e">
        <f>_xll.qlBlackFormulaImpliedStdDev("Call",BO78,BO78,BQ78,,BQ$47)/SQRT($A57)</f>
        <v>#VALUE!</v>
      </c>
      <c r="BP57" s="22" t="e">
        <f>_xll.qlAbcdFunctionVolatility(BP$37,0,$A57,$A57,BP$32)</f>
        <v>#VALUE!</v>
      </c>
      <c r="BQ57" s="41" t="e">
        <f>_xll.qlAbcdCalibrationK(BP$29,$A57,BO57,BP$32)</f>
        <v>#VALUE!</v>
      </c>
      <c r="BR57" s="92"/>
      <c r="BS57" s="22" t="e">
        <f>_xll.qlBlackFormulaImpliedStdDev("Call",BS78,BS78,BU78,,BU$47)/SQRT($A57)</f>
        <v>#VALUE!</v>
      </c>
      <c r="BT57" s="22" t="e">
        <f>_xll.qlAbcdFunctionVolatility(BT$37,0,$A57,$A57,BT$32)</f>
        <v>#VALUE!</v>
      </c>
      <c r="BU57" s="41" t="e">
        <f>_xll.qlAbcdCalibrationK(BT$29,$A57,BS57,BT$32)</f>
        <v>#VALUE!</v>
      </c>
      <c r="BV57" s="92"/>
      <c r="BW57" s="22" t="e">
        <f>_xll.qlBlackFormulaImpliedStdDev("Call",BW78,BW78,BY78,,BY$47)/SQRT($A57)</f>
        <v>#VALUE!</v>
      </c>
      <c r="BX57" s="22" t="e">
        <f>_xll.qlAbcdFunctionVolatility(BX$37,0,$A57,$A57,BX$32)</f>
        <v>#VALUE!</v>
      </c>
      <c r="BY57" s="41" t="e">
        <f>_xll.qlAbcdCalibrationK(BX$29,$A57,BW57,BX$32)</f>
        <v>#VALUE!</v>
      </c>
      <c r="CA57" s="22" t="e">
        <f>_xll.qlBlackFormulaImpliedStdDev("Call",CA78,CA78,CC78,,CC$47)/SQRT($A57)</f>
        <v>#VALUE!</v>
      </c>
      <c r="CB57" s="22" t="e">
        <f>_xll.qlAbcdFunctionVolatility(CB$37,0,$A57,$A57,CB$32)</f>
        <v>#VALUE!</v>
      </c>
      <c r="CC57" s="41" t="e">
        <f>_xll.qlAbcdCalibrationK(CB$29,$A57,CA57,CB$32)</f>
        <v>#VALUE!</v>
      </c>
      <c r="CD57" s="92"/>
      <c r="CE57" s="22" t="e">
        <f>_xll.qlBlackFormulaImpliedStdDev("Call",CE78,CE78,CG78,,CG$47)/SQRT($A57)</f>
        <v>#VALUE!</v>
      </c>
      <c r="CF57" s="22" t="e">
        <f>_xll.qlAbcdFunctionVolatility(CF$37,0,$A57,$A57,CF$32)</f>
        <v>#VALUE!</v>
      </c>
      <c r="CG57" s="41" t="e">
        <f>_xll.qlAbcdCalibrationK(CF$29,$A57,CE57,CF$32)</f>
        <v>#VALUE!</v>
      </c>
      <c r="CH57" s="92"/>
      <c r="CI57" s="22" t="e">
        <f>_xll.qlBlackFormulaImpliedStdDev("Call",CI78,CI78,CK78,,CK$47)/SQRT($A57)</f>
        <v>#VALUE!</v>
      </c>
      <c r="CJ57" s="22" t="e">
        <f>_xll.qlAbcdFunctionVolatility(CJ$37,0,$A57,$A57,CJ$32)</f>
        <v>#VALUE!</v>
      </c>
      <c r="CK57" s="41" t="e">
        <f>_xll.qlAbcdCalibrationK(CJ$29,$A57,CI57,CJ$32)</f>
        <v>#VALUE!</v>
      </c>
      <c r="CL57" s="92"/>
      <c r="CM57" s="22" t="e">
        <f>_xll.qlBlackFormulaImpliedStdDev("Call",CM78,CM78,CO78,,CO$47)/SQRT($A57)</f>
        <v>#VALUE!</v>
      </c>
      <c r="CN57" s="22" t="e">
        <f>_xll.qlAbcdFunctionVolatility(CN$37,0,$A57,$A57,CN$32)</f>
        <v>#VALUE!</v>
      </c>
      <c r="CO57" s="41" t="e">
        <f>_xll.qlAbcdCalibrationK(CN$29,$A57,CM57,CN$32)</f>
        <v>#VALUE!</v>
      </c>
      <c r="CP57" s="92"/>
      <c r="CQ57" s="22" t="e">
        <f>_xll.qlBlackFormulaImpliedStdDev("Call",CQ78,CQ78,CS78,,CS$47)/SQRT($A57)</f>
        <v>#VALUE!</v>
      </c>
      <c r="CR57" s="22" t="e">
        <f>_xll.qlAbcdFunctionVolatility(CR$37,0,$A57,$A57,CR$32)</f>
        <v>#VALUE!</v>
      </c>
      <c r="CS57" s="41" t="e">
        <f>_xll.qlAbcdCalibrationK(CR$29,$A57,CQ57,CR$32)</f>
        <v>#VALUE!</v>
      </c>
      <c r="CU57" s="22" t="e">
        <f>_xll.qlBlackFormulaImpliedStdDev("Call",CU78,CU78,CW78,,CW$47)/SQRT($A57)</f>
        <v>#VALUE!</v>
      </c>
      <c r="CV57" s="22" t="e">
        <f>_xll.qlAbcdFunctionVolatility(CV$37,0,$A57,$A57,CV$32)</f>
        <v>#VALUE!</v>
      </c>
      <c r="CW57" s="41" t="e">
        <f>_xll.qlAbcdCalibrationK(CV$29,$A57,CU57,CV$32)</f>
        <v>#VALUE!</v>
      </c>
      <c r="CX57" s="92"/>
      <c r="CY57" s="22" t="e">
        <f>_xll.qlBlackFormulaImpliedStdDev("Call",CY78,CY78,DA78,,DA$47)/SQRT($A57)</f>
        <v>#VALUE!</v>
      </c>
      <c r="CZ57" s="22" t="e">
        <f>_xll.qlAbcdFunctionVolatility(CZ$37,0,$A57,$A57,CZ$32)</f>
        <v>#VALUE!</v>
      </c>
      <c r="DA57" s="41" t="e">
        <f>_xll.qlAbcdCalibrationK(CZ$29,$A57,CY57,CZ$32)</f>
        <v>#VALUE!</v>
      </c>
      <c r="DB57" s="92"/>
      <c r="DC57" s="22" t="e">
        <f>_xll.qlBlackFormulaImpliedStdDev("Call",DC78,DC78,DE78,,DE$47)/SQRT($A57)</f>
        <v>#VALUE!</v>
      </c>
      <c r="DD57" s="22" t="e">
        <f>_xll.qlAbcdFunctionVolatility(DD$37,0,$A57,$A57,DD$32)</f>
        <v>#VALUE!</v>
      </c>
      <c r="DE57" s="41" t="e">
        <f>_xll.qlAbcdCalibrationK(DD$29,$A57,DC57,DD$32)</f>
        <v>#VALUE!</v>
      </c>
      <c r="DF57" s="92"/>
      <c r="DG57" s="22" t="e">
        <f>_xll.qlBlackFormulaImpliedStdDev("Call",DG78,DG78,DI78,,DI$47)/SQRT($A57)</f>
        <v>#VALUE!</v>
      </c>
      <c r="DH57" s="22" t="e">
        <f>_xll.qlAbcdFunctionVolatility(DH$37,0,$A57,$A57,DH$32)</f>
        <v>#VALUE!</v>
      </c>
      <c r="DI57" s="41" t="e">
        <f>_xll.qlAbcdCalibrationK(DH$29,$A57,DG57,DH$32)</f>
        <v>#VALUE!</v>
      </c>
      <c r="DJ57" s="92"/>
      <c r="DK57" s="22" t="e">
        <f>_xll.qlBlackFormulaImpliedStdDev("Call",DK78,DK78,DM78,,DM$47)/SQRT($A57)</f>
        <v>#VALUE!</v>
      </c>
      <c r="DL57" s="22" t="e">
        <f>_xll.qlAbcdFunctionVolatility(DL$37,0,$A57,$A57,DL$32)</f>
        <v>#VALUE!</v>
      </c>
      <c r="DM57" s="41" t="e">
        <f>_xll.qlAbcdCalibrationK(DL$29,$A57,DK57,DL$32)</f>
        <v>#VALUE!</v>
      </c>
      <c r="DO57" s="22" t="e">
        <f>_xll.qlBlackFormulaImpliedStdDev("Call",DO78,DO78,DQ78,,DQ$47)/SQRT($A57)</f>
        <v>#VALUE!</v>
      </c>
      <c r="DP57" s="22" t="e">
        <f>_xll.qlAbcdFunctionVolatility(DP$37,0,$A57,$A57,DP$32)</f>
        <v>#VALUE!</v>
      </c>
      <c r="DQ57" s="41" t="e">
        <f>_xll.qlAbcdCalibrationK(DP$29,$A57,DO57,DP$32)</f>
        <v>#VALUE!</v>
      </c>
    </row>
    <row r="58" spans="1:121" x14ac:dyDescent="0.2">
      <c r="A58" s="94" t="e">
        <f>_xll.qlDayCounterYearFraction(_xll.qlTermStructureDayCounter(Vol),_xll.qlTermStructureReferenceDate(Vol),A79,,,Trigger)</f>
        <v>#VALUE!</v>
      </c>
      <c r="B58" s="15" t="s">
        <v>30</v>
      </c>
      <c r="C58" s="22" t="e">
        <f>_xll.qlBlackFormulaImpliedStdDev("Call",C79,C79,E79,,E$47)/SQRT($A58)</f>
        <v>#VALUE!</v>
      </c>
      <c r="D58" s="22" t="e">
        <f>_xll.qlAbcdFunctionVolatility(D$37,0,$A58,$A58,D$32)</f>
        <v>#VALUE!</v>
      </c>
      <c r="E58" s="41" t="e">
        <f>_xll.qlAbcdCalibrationK(D$29,$A58,C58,D$32)</f>
        <v>#VALUE!</v>
      </c>
      <c r="F58" s="106"/>
      <c r="G58" s="22" t="e">
        <f>_xll.qlBlackFormulaImpliedStdDev("Call",G79,G79,I79,,I$47)/SQRT($A58)</f>
        <v>#VALUE!</v>
      </c>
      <c r="H58" s="22" t="e">
        <f>_xll.qlAbcdFunctionVolatility(H$37,0,$A58,$A58,H$32)</f>
        <v>#VALUE!</v>
      </c>
      <c r="I58" s="41" t="e">
        <f>_xll.qlAbcdCalibrationK(H$29,$A58,G58,H$32)</f>
        <v>#VALUE!</v>
      </c>
      <c r="J58" s="107"/>
      <c r="K58" s="22" t="e">
        <f>_xll.qlBlackFormulaImpliedStdDev("Call",K79,K79,M79,,M$47)/SQRT($A58)</f>
        <v>#VALUE!</v>
      </c>
      <c r="L58" s="22" t="e">
        <f>_xll.qlAbcdFunctionVolatility(L$37,0,$A58,$A58,L$32)</f>
        <v>#VALUE!</v>
      </c>
      <c r="M58" s="41" t="e">
        <f>_xll.qlAbcdCalibrationK(L$29,$A58,K58,L$32)</f>
        <v>#VALUE!</v>
      </c>
      <c r="O58" s="22" t="e">
        <f>_xll.qlBlackFormulaImpliedStdDev("Call",O79,O79,Q79,,Q$47)/SQRT($A58)</f>
        <v>#VALUE!</v>
      </c>
      <c r="P58" s="22" t="e">
        <f>_xll.qlAbcdFunctionVolatility(P$37,0,$A58,$A58,P$32)</f>
        <v>#VALUE!</v>
      </c>
      <c r="Q58" s="41" t="e">
        <f>_xll.qlAbcdCalibrationK(P$29,$A58,O58,P$32)</f>
        <v>#VALUE!</v>
      </c>
      <c r="S58" s="22" t="e">
        <f>_xll.qlBlackFormulaImpliedStdDev("Call",S79,S79,U79,,U$47)/SQRT($A58)</f>
        <v>#VALUE!</v>
      </c>
      <c r="T58" s="22" t="e">
        <f>_xll.qlAbcdFunctionVolatility(T$37,0,$A58,$A58,T$32)</f>
        <v>#VALUE!</v>
      </c>
      <c r="U58" s="41" t="e">
        <f>_xll.qlAbcdCalibrationK(T$29,$A58,S58,T$32)</f>
        <v>#VALUE!</v>
      </c>
      <c r="W58" s="22" t="e">
        <f>_xll.qlBlackFormulaImpliedStdDev("Call",W79,W79,Y79,,Y$47)/SQRT($A58)</f>
        <v>#VALUE!</v>
      </c>
      <c r="X58" s="22" t="e">
        <f>_xll.qlAbcdFunctionVolatility(X$37,0,$A58,$A58,X$32)</f>
        <v>#VALUE!</v>
      </c>
      <c r="Y58" s="41" t="e">
        <f>_xll.qlAbcdCalibrationK(X$29,$A58,W58,X$32)</f>
        <v>#VALUE!</v>
      </c>
      <c r="AA58" s="22" t="e">
        <f>_xll.qlBlackFormulaImpliedStdDev("Call",AA79,AA79,AC79,,AC$47)/SQRT($A58)</f>
        <v>#VALUE!</v>
      </c>
      <c r="AB58" s="22" t="e">
        <f>_xll.qlAbcdFunctionVolatility(AB$37,0,$A58,$A58,AB$32)</f>
        <v>#VALUE!</v>
      </c>
      <c r="AC58" s="41" t="e">
        <f>_xll.qlAbcdCalibrationK(AB$29,$A58,AA58,AB$32)</f>
        <v>#VALUE!</v>
      </c>
      <c r="AE58" s="22" t="e">
        <f>_xll.qlBlackFormulaImpliedStdDev("Call",AE79,AE79,AG79,,AG$47)/SQRT($A58)</f>
        <v>#VALUE!</v>
      </c>
      <c r="AF58" s="22" t="e">
        <f>_xll.qlAbcdFunctionVolatility(AF$37,0,$A58,$A58,AF$32)</f>
        <v>#VALUE!</v>
      </c>
      <c r="AG58" s="41" t="e">
        <f>_xll.qlAbcdCalibrationK(AF$29,$A58,AE58,AF$32)</f>
        <v>#VALUE!</v>
      </c>
      <c r="AI58" s="22" t="e">
        <f>_xll.qlBlackFormulaImpliedStdDev("Call",AI79,AI79,AK79,,AK$47)/SQRT($A58)</f>
        <v>#VALUE!</v>
      </c>
      <c r="AJ58" s="22" t="e">
        <f>_xll.qlAbcdFunctionVolatility(AJ$37,0,$A58,$A58,AJ$32)</f>
        <v>#VALUE!</v>
      </c>
      <c r="AK58" s="41" t="e">
        <f>_xll.qlAbcdCalibrationK(AJ$29,$A58,AI58,AJ$32)</f>
        <v>#VALUE!</v>
      </c>
      <c r="AM58" s="22" t="e">
        <f>_xll.qlBlackFormulaImpliedStdDev("Call",AM79,AM79,AO79,,AO$47)/SQRT($A58)</f>
        <v>#VALUE!</v>
      </c>
      <c r="AN58" s="22" t="e">
        <f>_xll.qlAbcdFunctionVolatility(AN$37,0,$A58,$A58,AN$32)</f>
        <v>#VALUE!</v>
      </c>
      <c r="AO58" s="41" t="e">
        <f>_xll.qlAbcdCalibrationK(AN$29,$A58,AM58,AN$32)</f>
        <v>#VALUE!</v>
      </c>
      <c r="AP58" s="92"/>
      <c r="AQ58" s="22" t="e">
        <f>_xll.qlBlackFormulaImpliedStdDev("Call",AQ79,AQ79,AS79,,AS$47)/SQRT($A58)</f>
        <v>#VALUE!</v>
      </c>
      <c r="AR58" s="22" t="e">
        <f>_xll.qlAbcdFunctionVolatility(AR$37,0,$A58,$A58,AR$32)</f>
        <v>#VALUE!</v>
      </c>
      <c r="AS58" s="41" t="e">
        <f>_xll.qlAbcdCalibrationK(AR$29,$A58,AQ58,AR$32)</f>
        <v>#VALUE!</v>
      </c>
      <c r="AU58" s="22" t="e">
        <f>_xll.qlBlackFormulaImpliedStdDev("Call",AU79,AU79,AW79,,AW$47)/SQRT($A58)</f>
        <v>#VALUE!</v>
      </c>
      <c r="AV58" s="22" t="e">
        <f>_xll.qlAbcdFunctionVolatility(AV$37,0,$A58,$A58,AV$32)</f>
        <v>#VALUE!</v>
      </c>
      <c r="AW58" s="41" t="e">
        <f>_xll.qlAbcdCalibrationK(AV$29,$A58,AU58,AV$32)</f>
        <v>#VALUE!</v>
      </c>
      <c r="AY58" s="22" t="e">
        <f>_xll.qlBlackFormulaImpliedStdDev("Call",AY79,AY79,BA79,,BA$47)/SQRT($A58)</f>
        <v>#VALUE!</v>
      </c>
      <c r="AZ58" s="22" t="e">
        <f>_xll.qlAbcdFunctionVolatility(AZ$37,0,$A58,$A58,AZ$32)</f>
        <v>#VALUE!</v>
      </c>
      <c r="BA58" s="41" t="e">
        <f>_xll.qlAbcdCalibrationK(AZ$29,$A58,AY58,AZ$32)</f>
        <v>#VALUE!</v>
      </c>
      <c r="BB58" s="92"/>
      <c r="BC58" s="22" t="e">
        <f>_xll.qlBlackFormulaImpliedStdDev("Call",BC79,BC79,BE79,,BE$47)/SQRT($A58)</f>
        <v>#VALUE!</v>
      </c>
      <c r="BD58" s="22" t="e">
        <f>_xll.qlAbcdFunctionVolatility(BD$37,0,$A58,$A58,BD$32)</f>
        <v>#VALUE!</v>
      </c>
      <c r="BE58" s="41" t="e">
        <f>_xll.qlAbcdCalibrationK(BD$29,$A58,BC58,BD$32)</f>
        <v>#VALUE!</v>
      </c>
      <c r="BG58" s="22" t="e">
        <f>_xll.qlBlackFormulaImpliedStdDev("Call",BG79,BG79,BI79,,BI$47)/SQRT($A58)</f>
        <v>#VALUE!</v>
      </c>
      <c r="BH58" s="22" t="e">
        <f>_xll.qlAbcdFunctionVolatility(BH$37,0,$A58,$A58,BH$32)</f>
        <v>#VALUE!</v>
      </c>
      <c r="BI58" s="41" t="e">
        <f>_xll.qlAbcdCalibrationK(BH$29,$A58,BG58,BH$32)</f>
        <v>#VALUE!</v>
      </c>
      <c r="BJ58" s="92"/>
      <c r="BK58" s="22" t="e">
        <f>_xll.qlBlackFormulaImpliedStdDev("Call",BK79,BK79,BM79,,BM$47)/SQRT($A58)</f>
        <v>#VALUE!</v>
      </c>
      <c r="BL58" s="22" t="e">
        <f>_xll.qlAbcdFunctionVolatility(BL$37,0,$A58,$A58,BL$32)</f>
        <v>#VALUE!</v>
      </c>
      <c r="BM58" s="41" t="e">
        <f>_xll.qlAbcdCalibrationK(BL$29,$A58,BK58,BL$32)</f>
        <v>#VALUE!</v>
      </c>
      <c r="BN58" s="92"/>
      <c r="BO58" s="22" t="e">
        <f>_xll.qlBlackFormulaImpliedStdDev("Call",BO79,BO79,BQ79,,BQ$47)/SQRT($A58)</f>
        <v>#VALUE!</v>
      </c>
      <c r="BP58" s="22" t="e">
        <f>_xll.qlAbcdFunctionVolatility(BP$37,0,$A58,$A58,BP$32)</f>
        <v>#VALUE!</v>
      </c>
      <c r="BQ58" s="41" t="e">
        <f>_xll.qlAbcdCalibrationK(BP$29,$A58,BO58,BP$32)</f>
        <v>#VALUE!</v>
      </c>
      <c r="BR58" s="92"/>
      <c r="BS58" s="22" t="e">
        <f>_xll.qlBlackFormulaImpliedStdDev("Call",BS79,BS79,BU79,,BU$47)/SQRT($A58)</f>
        <v>#VALUE!</v>
      </c>
      <c r="BT58" s="22" t="e">
        <f>_xll.qlAbcdFunctionVolatility(BT$37,0,$A58,$A58,BT$32)</f>
        <v>#VALUE!</v>
      </c>
      <c r="BU58" s="41" t="e">
        <f>_xll.qlAbcdCalibrationK(BT$29,$A58,BS58,BT$32)</f>
        <v>#VALUE!</v>
      </c>
      <c r="BV58" s="92"/>
      <c r="BW58" s="22" t="e">
        <f>_xll.qlBlackFormulaImpliedStdDev("Call",BW79,BW79,BY79,,BY$47)/SQRT($A58)</f>
        <v>#VALUE!</v>
      </c>
      <c r="BX58" s="22" t="e">
        <f>_xll.qlAbcdFunctionVolatility(BX$37,0,$A58,$A58,BX$32)</f>
        <v>#VALUE!</v>
      </c>
      <c r="BY58" s="41" t="e">
        <f>_xll.qlAbcdCalibrationK(BX$29,$A58,BW58,BX$32)</f>
        <v>#VALUE!</v>
      </c>
      <c r="CA58" s="22" t="e">
        <f>_xll.qlBlackFormulaImpliedStdDev("Call",CA79,CA79,CC79,,CC$47)/SQRT($A58)</f>
        <v>#VALUE!</v>
      </c>
      <c r="CB58" s="22" t="e">
        <f>_xll.qlAbcdFunctionVolatility(CB$37,0,$A58,$A58,CB$32)</f>
        <v>#VALUE!</v>
      </c>
      <c r="CC58" s="41" t="e">
        <f>_xll.qlAbcdCalibrationK(CB$29,$A58,CA58,CB$32)</f>
        <v>#VALUE!</v>
      </c>
      <c r="CD58" s="92"/>
      <c r="CE58" s="22" t="e">
        <f>_xll.qlBlackFormulaImpliedStdDev("Call",CE79,CE79,CG79,,CG$47)/SQRT($A58)</f>
        <v>#VALUE!</v>
      </c>
      <c r="CF58" s="22" t="e">
        <f>_xll.qlAbcdFunctionVolatility(CF$37,0,$A58,$A58,CF$32)</f>
        <v>#VALUE!</v>
      </c>
      <c r="CG58" s="41" t="e">
        <f>_xll.qlAbcdCalibrationK(CF$29,$A58,CE58,CF$32)</f>
        <v>#VALUE!</v>
      </c>
      <c r="CH58" s="92"/>
      <c r="CI58" s="22" t="e">
        <f>_xll.qlBlackFormulaImpliedStdDev("Call",CI79,CI79,CK79,,CK$47)/SQRT($A58)</f>
        <v>#VALUE!</v>
      </c>
      <c r="CJ58" s="22" t="e">
        <f>_xll.qlAbcdFunctionVolatility(CJ$37,0,$A58,$A58,CJ$32)</f>
        <v>#VALUE!</v>
      </c>
      <c r="CK58" s="41" t="e">
        <f>_xll.qlAbcdCalibrationK(CJ$29,$A58,CI58,CJ$32)</f>
        <v>#VALUE!</v>
      </c>
      <c r="CL58" s="92"/>
      <c r="CM58" s="22" t="e">
        <f>_xll.qlBlackFormulaImpliedStdDev("Call",CM79,CM79,CO79,,CO$47)/SQRT($A58)</f>
        <v>#VALUE!</v>
      </c>
      <c r="CN58" s="22" t="e">
        <f>_xll.qlAbcdFunctionVolatility(CN$37,0,$A58,$A58,CN$32)</f>
        <v>#VALUE!</v>
      </c>
      <c r="CO58" s="41" t="e">
        <f>_xll.qlAbcdCalibrationK(CN$29,$A58,CM58,CN$32)</f>
        <v>#VALUE!</v>
      </c>
      <c r="CP58" s="92"/>
      <c r="CQ58" s="22" t="e">
        <f>_xll.qlBlackFormulaImpliedStdDev("Call",CQ79,CQ79,CS79,,CS$47)/SQRT($A58)</f>
        <v>#VALUE!</v>
      </c>
      <c r="CR58" s="22" t="e">
        <f>_xll.qlAbcdFunctionVolatility(CR$37,0,$A58,$A58,CR$32)</f>
        <v>#VALUE!</v>
      </c>
      <c r="CS58" s="41" t="e">
        <f>_xll.qlAbcdCalibrationK(CR$29,$A58,CQ58,CR$32)</f>
        <v>#VALUE!</v>
      </c>
      <c r="CU58" s="22" t="e">
        <f>_xll.qlBlackFormulaImpliedStdDev("Call",CU79,CU79,CW79,,CW$47)/SQRT($A58)</f>
        <v>#VALUE!</v>
      </c>
      <c r="CV58" s="22" t="e">
        <f>_xll.qlAbcdFunctionVolatility(CV$37,0,$A58,$A58,CV$32)</f>
        <v>#VALUE!</v>
      </c>
      <c r="CW58" s="41" t="e">
        <f>_xll.qlAbcdCalibrationK(CV$29,$A58,CU58,CV$32)</f>
        <v>#VALUE!</v>
      </c>
      <c r="CX58" s="92"/>
      <c r="CY58" s="22" t="e">
        <f>_xll.qlBlackFormulaImpliedStdDev("Call",CY79,CY79,DA79,,DA$47)/SQRT($A58)</f>
        <v>#VALUE!</v>
      </c>
      <c r="CZ58" s="22" t="e">
        <f>_xll.qlAbcdFunctionVolatility(CZ$37,0,$A58,$A58,CZ$32)</f>
        <v>#VALUE!</v>
      </c>
      <c r="DA58" s="41" t="e">
        <f>_xll.qlAbcdCalibrationK(CZ$29,$A58,CY58,CZ$32)</f>
        <v>#VALUE!</v>
      </c>
      <c r="DB58" s="92"/>
      <c r="DC58" s="22" t="e">
        <f>_xll.qlBlackFormulaImpliedStdDev("Call",DC79,DC79,DE79,,DE$47)/SQRT($A58)</f>
        <v>#VALUE!</v>
      </c>
      <c r="DD58" s="22" t="e">
        <f>_xll.qlAbcdFunctionVolatility(DD$37,0,$A58,$A58,DD$32)</f>
        <v>#VALUE!</v>
      </c>
      <c r="DE58" s="41" t="e">
        <f>_xll.qlAbcdCalibrationK(DD$29,$A58,DC58,DD$32)</f>
        <v>#VALUE!</v>
      </c>
      <c r="DF58" s="92"/>
      <c r="DG58" s="22" t="e">
        <f>_xll.qlBlackFormulaImpliedStdDev("Call",DG79,DG79,DI79,,DI$47)/SQRT($A58)</f>
        <v>#VALUE!</v>
      </c>
      <c r="DH58" s="22" t="e">
        <f>_xll.qlAbcdFunctionVolatility(DH$37,0,$A58,$A58,DH$32)</f>
        <v>#VALUE!</v>
      </c>
      <c r="DI58" s="41" t="e">
        <f>_xll.qlAbcdCalibrationK(DH$29,$A58,DG58,DH$32)</f>
        <v>#VALUE!</v>
      </c>
      <c r="DJ58" s="92"/>
      <c r="DK58" s="22" t="e">
        <f>_xll.qlBlackFormulaImpliedStdDev("Call",DK79,DK79,DM79,,DM$47)/SQRT($A58)</f>
        <v>#VALUE!</v>
      </c>
      <c r="DL58" s="22" t="e">
        <f>_xll.qlAbcdFunctionVolatility(DL$37,0,$A58,$A58,DL$32)</f>
        <v>#VALUE!</v>
      </c>
      <c r="DM58" s="41" t="e">
        <f>_xll.qlAbcdCalibrationK(DL$29,$A58,DK58,DL$32)</f>
        <v>#VALUE!</v>
      </c>
      <c r="DO58" s="22" t="e">
        <f>_xll.qlBlackFormulaImpliedStdDev("Call",DO79,DO79,DQ79,,DQ$47)/SQRT($A58)</f>
        <v>#VALUE!</v>
      </c>
      <c r="DP58" s="22" t="e">
        <f>_xll.qlAbcdFunctionVolatility(DP$37,0,$A58,$A58,DP$32)</f>
        <v>#VALUE!</v>
      </c>
      <c r="DQ58" s="41" t="e">
        <f>_xll.qlAbcdCalibrationK(DP$29,$A58,DO58,DP$32)</f>
        <v>#VALUE!</v>
      </c>
    </row>
    <row r="59" spans="1:121" x14ac:dyDescent="0.2">
      <c r="A59" s="94" t="e">
        <f>_xll.qlDayCounterYearFraction(_xll.qlTermStructureDayCounter(Vol),_xll.qlTermStructureReferenceDate(Vol),A80,,,Trigger)</f>
        <v>#VALUE!</v>
      </c>
      <c r="B59" s="15" t="s">
        <v>31</v>
      </c>
      <c r="C59" s="22" t="e">
        <f>_xll.qlBlackFormulaImpliedStdDev("Call",C80,C80,E80,,E$47)/SQRT($A59)</f>
        <v>#VALUE!</v>
      </c>
      <c r="D59" s="22" t="e">
        <f>_xll.qlAbcdFunctionVolatility(D$37,0,$A59,$A59,D$32)</f>
        <v>#VALUE!</v>
      </c>
      <c r="E59" s="41" t="e">
        <f>_xll.qlAbcdCalibrationK(D$29,$A59,C59,D$32)</f>
        <v>#VALUE!</v>
      </c>
      <c r="F59" s="106"/>
      <c r="G59" s="22" t="e">
        <f>_xll.qlBlackFormulaImpliedStdDev("Call",G80,G80,I80,,I$47)/SQRT($A59)</f>
        <v>#VALUE!</v>
      </c>
      <c r="H59" s="22" t="e">
        <f>_xll.qlAbcdFunctionVolatility(H$37,0,$A59,$A59,H$32)</f>
        <v>#VALUE!</v>
      </c>
      <c r="I59" s="41" t="e">
        <f>_xll.qlAbcdCalibrationK(H$29,$A59,G59,H$32)</f>
        <v>#VALUE!</v>
      </c>
      <c r="J59" s="107"/>
      <c r="K59" s="22" t="e">
        <f>_xll.qlBlackFormulaImpliedStdDev("Call",K80,K80,M80,,M$47)/SQRT($A59)</f>
        <v>#VALUE!</v>
      </c>
      <c r="L59" s="22" t="e">
        <f>_xll.qlAbcdFunctionVolatility(L$37,0,$A59,$A59,L$32)</f>
        <v>#VALUE!</v>
      </c>
      <c r="M59" s="41" t="e">
        <f>_xll.qlAbcdCalibrationK(L$29,$A59,K59,L$32)</f>
        <v>#VALUE!</v>
      </c>
      <c r="O59" s="22" t="e">
        <f>_xll.qlBlackFormulaImpliedStdDev("Call",O80,O80,Q80,,Q$47)/SQRT($A59)</f>
        <v>#VALUE!</v>
      </c>
      <c r="P59" s="22" t="e">
        <f>_xll.qlAbcdFunctionVolatility(P$37,0,$A59,$A59,P$32)</f>
        <v>#VALUE!</v>
      </c>
      <c r="Q59" s="41" t="e">
        <f>_xll.qlAbcdCalibrationK(P$29,$A59,O59,P$32)</f>
        <v>#VALUE!</v>
      </c>
      <c r="S59" s="22" t="e">
        <f>_xll.qlBlackFormulaImpliedStdDev("Call",S80,S80,U80,,U$47)/SQRT($A59)</f>
        <v>#VALUE!</v>
      </c>
      <c r="T59" s="22" t="e">
        <f>_xll.qlAbcdFunctionVolatility(T$37,0,$A59,$A59,T$32)</f>
        <v>#VALUE!</v>
      </c>
      <c r="U59" s="41" t="e">
        <f>_xll.qlAbcdCalibrationK(T$29,$A59,S59,T$32)</f>
        <v>#VALUE!</v>
      </c>
      <c r="W59" s="22" t="e">
        <f>_xll.qlBlackFormulaImpliedStdDev("Call",W80,W80,Y80,,Y$47)/SQRT($A59)</f>
        <v>#VALUE!</v>
      </c>
      <c r="X59" s="22" t="e">
        <f>_xll.qlAbcdFunctionVolatility(X$37,0,$A59,$A59,X$32)</f>
        <v>#VALUE!</v>
      </c>
      <c r="Y59" s="41" t="e">
        <f>_xll.qlAbcdCalibrationK(X$29,$A59,W59,X$32)</f>
        <v>#VALUE!</v>
      </c>
      <c r="AA59" s="22" t="e">
        <f>_xll.qlBlackFormulaImpliedStdDev("Call",AA80,AA80,AC80,,AC$47)/SQRT($A59)</f>
        <v>#VALUE!</v>
      </c>
      <c r="AB59" s="22" t="e">
        <f>_xll.qlAbcdFunctionVolatility(AB$37,0,$A59,$A59,AB$32)</f>
        <v>#VALUE!</v>
      </c>
      <c r="AC59" s="41" t="e">
        <f>_xll.qlAbcdCalibrationK(AB$29,$A59,AA59,AB$32)</f>
        <v>#VALUE!</v>
      </c>
      <c r="AE59" s="22" t="e">
        <f>_xll.qlBlackFormulaImpliedStdDev("Call",AE80,AE80,AG80,,AG$47)/SQRT($A59)</f>
        <v>#VALUE!</v>
      </c>
      <c r="AF59" s="22" t="e">
        <f>_xll.qlAbcdFunctionVolatility(AF$37,0,$A59,$A59,AF$32)</f>
        <v>#VALUE!</v>
      </c>
      <c r="AG59" s="41" t="e">
        <f>_xll.qlAbcdCalibrationK(AF$29,$A59,AE59,AF$32)</f>
        <v>#VALUE!</v>
      </c>
      <c r="AI59" s="22" t="e">
        <f>_xll.qlBlackFormulaImpliedStdDev("Call",AI80,AI80,AK80,,AK$47)/SQRT($A59)</f>
        <v>#VALUE!</v>
      </c>
      <c r="AJ59" s="22" t="e">
        <f>_xll.qlAbcdFunctionVolatility(AJ$37,0,$A59,$A59,AJ$32)</f>
        <v>#VALUE!</v>
      </c>
      <c r="AK59" s="41" t="e">
        <f>_xll.qlAbcdCalibrationK(AJ$29,$A59,AI59,AJ$32)</f>
        <v>#VALUE!</v>
      </c>
      <c r="AM59" s="22" t="e">
        <f>_xll.qlBlackFormulaImpliedStdDev("Call",AM80,AM80,AO80,,AO$47)/SQRT($A59)</f>
        <v>#VALUE!</v>
      </c>
      <c r="AN59" s="22" t="e">
        <f>_xll.qlAbcdFunctionVolatility(AN$37,0,$A59,$A59,AN$32)</f>
        <v>#VALUE!</v>
      </c>
      <c r="AO59" s="41" t="e">
        <f>_xll.qlAbcdCalibrationK(AN$29,$A59,AM59,AN$32)</f>
        <v>#VALUE!</v>
      </c>
      <c r="AP59" s="92"/>
      <c r="AQ59" s="22" t="e">
        <f>_xll.qlBlackFormulaImpliedStdDev("Call",AQ80,AQ80,AS80,,AS$47)/SQRT($A59)</f>
        <v>#VALUE!</v>
      </c>
      <c r="AR59" s="22" t="e">
        <f>_xll.qlAbcdFunctionVolatility(AR$37,0,$A59,$A59,AR$32)</f>
        <v>#VALUE!</v>
      </c>
      <c r="AS59" s="41" t="e">
        <f>_xll.qlAbcdCalibrationK(AR$29,$A59,AQ59,AR$32)</f>
        <v>#VALUE!</v>
      </c>
      <c r="AU59" s="22" t="e">
        <f>_xll.qlBlackFormulaImpliedStdDev("Call",AU80,AU80,AW80,,AW$47)/SQRT($A59)</f>
        <v>#VALUE!</v>
      </c>
      <c r="AV59" s="22" t="e">
        <f>_xll.qlAbcdFunctionVolatility(AV$37,0,$A59,$A59,AV$32)</f>
        <v>#VALUE!</v>
      </c>
      <c r="AW59" s="41" t="e">
        <f>_xll.qlAbcdCalibrationK(AV$29,$A59,AU59,AV$32)</f>
        <v>#VALUE!</v>
      </c>
      <c r="AY59" s="22" t="e">
        <f>_xll.qlBlackFormulaImpliedStdDev("Call",AY80,AY80,BA80,,BA$47)/SQRT($A59)</f>
        <v>#VALUE!</v>
      </c>
      <c r="AZ59" s="22" t="e">
        <f>_xll.qlAbcdFunctionVolatility(AZ$37,0,$A59,$A59,AZ$32)</f>
        <v>#VALUE!</v>
      </c>
      <c r="BA59" s="41" t="e">
        <f>_xll.qlAbcdCalibrationK(AZ$29,$A59,AY59,AZ$32)</f>
        <v>#VALUE!</v>
      </c>
      <c r="BB59" s="92"/>
      <c r="BC59" s="22" t="e">
        <f>_xll.qlBlackFormulaImpliedStdDev("Call",BC80,BC80,BE80,,BE$47)/SQRT($A59)</f>
        <v>#VALUE!</v>
      </c>
      <c r="BD59" s="22" t="e">
        <f>_xll.qlAbcdFunctionVolatility(BD$37,0,$A59,$A59,BD$32)</f>
        <v>#VALUE!</v>
      </c>
      <c r="BE59" s="41" t="e">
        <f>_xll.qlAbcdCalibrationK(BD$29,$A59,BC59,BD$32)</f>
        <v>#VALUE!</v>
      </c>
      <c r="BG59" s="22" t="e">
        <f>_xll.qlBlackFormulaImpliedStdDev("Call",BG80,BG80,BI80,,BI$47)/SQRT($A59)</f>
        <v>#VALUE!</v>
      </c>
      <c r="BH59" s="22" t="e">
        <f>_xll.qlAbcdFunctionVolatility(BH$37,0,$A59,$A59,BH$32)</f>
        <v>#VALUE!</v>
      </c>
      <c r="BI59" s="41" t="e">
        <f>_xll.qlAbcdCalibrationK(BH$29,$A59,BG59,BH$32)</f>
        <v>#VALUE!</v>
      </c>
      <c r="BJ59" s="92"/>
      <c r="BK59" s="22" t="e">
        <f>_xll.qlBlackFormulaImpliedStdDev("Call",BK80,BK80,BM80,,BM$47)/SQRT($A59)</f>
        <v>#VALUE!</v>
      </c>
      <c r="BL59" s="22" t="e">
        <f>_xll.qlAbcdFunctionVolatility(BL$37,0,$A59,$A59,BL$32)</f>
        <v>#VALUE!</v>
      </c>
      <c r="BM59" s="41" t="e">
        <f>_xll.qlAbcdCalibrationK(BL$29,$A59,BK59,BL$32)</f>
        <v>#VALUE!</v>
      </c>
      <c r="BN59" s="92"/>
      <c r="BO59" s="22" t="e">
        <f>_xll.qlBlackFormulaImpliedStdDev("Call",BO80,BO80,BQ80,,BQ$47)/SQRT($A59)</f>
        <v>#VALUE!</v>
      </c>
      <c r="BP59" s="22" t="e">
        <f>_xll.qlAbcdFunctionVolatility(BP$37,0,$A59,$A59,BP$32)</f>
        <v>#VALUE!</v>
      </c>
      <c r="BQ59" s="41" t="e">
        <f>_xll.qlAbcdCalibrationK(BP$29,$A59,BO59,BP$32)</f>
        <v>#VALUE!</v>
      </c>
      <c r="BR59" s="92"/>
      <c r="BS59" s="22" t="e">
        <f>_xll.qlBlackFormulaImpliedStdDev("Call",BS80,BS80,BU80,,BU$47)/SQRT($A59)</f>
        <v>#VALUE!</v>
      </c>
      <c r="BT59" s="22" t="e">
        <f>_xll.qlAbcdFunctionVolatility(BT$37,0,$A59,$A59,BT$32)</f>
        <v>#VALUE!</v>
      </c>
      <c r="BU59" s="41" t="e">
        <f>_xll.qlAbcdCalibrationK(BT$29,$A59,BS59,BT$32)</f>
        <v>#VALUE!</v>
      </c>
      <c r="BV59" s="92"/>
      <c r="BW59" s="22" t="e">
        <f>_xll.qlBlackFormulaImpliedStdDev("Call",BW80,BW80,BY80,,BY$47)/SQRT($A59)</f>
        <v>#VALUE!</v>
      </c>
      <c r="BX59" s="22" t="e">
        <f>_xll.qlAbcdFunctionVolatility(BX$37,0,$A59,$A59,BX$32)</f>
        <v>#VALUE!</v>
      </c>
      <c r="BY59" s="41" t="e">
        <f>_xll.qlAbcdCalibrationK(BX$29,$A59,BW59,BX$32)</f>
        <v>#VALUE!</v>
      </c>
      <c r="CA59" s="22" t="e">
        <f>_xll.qlBlackFormulaImpliedStdDev("Call",CA80,CA80,CC80,,CC$47)/SQRT($A59)</f>
        <v>#VALUE!</v>
      </c>
      <c r="CB59" s="22" t="e">
        <f>_xll.qlAbcdFunctionVolatility(CB$37,0,$A59,$A59,CB$32)</f>
        <v>#VALUE!</v>
      </c>
      <c r="CC59" s="41" t="e">
        <f>_xll.qlAbcdCalibrationK(CB$29,$A59,CA59,CB$32)</f>
        <v>#VALUE!</v>
      </c>
      <c r="CD59" s="92"/>
      <c r="CE59" s="22" t="e">
        <f>_xll.qlBlackFormulaImpliedStdDev("Call",CE80,CE80,CG80,,CG$47)/SQRT($A59)</f>
        <v>#VALUE!</v>
      </c>
      <c r="CF59" s="22" t="e">
        <f>_xll.qlAbcdFunctionVolatility(CF$37,0,$A59,$A59,CF$32)</f>
        <v>#VALUE!</v>
      </c>
      <c r="CG59" s="41" t="e">
        <f>_xll.qlAbcdCalibrationK(CF$29,$A59,CE59,CF$32)</f>
        <v>#VALUE!</v>
      </c>
      <c r="CH59" s="92"/>
      <c r="CI59" s="22" t="e">
        <f>_xll.qlBlackFormulaImpliedStdDev("Call",CI80,CI80,CK80,,CK$47)/SQRT($A59)</f>
        <v>#VALUE!</v>
      </c>
      <c r="CJ59" s="22" t="e">
        <f>_xll.qlAbcdFunctionVolatility(CJ$37,0,$A59,$A59,CJ$32)</f>
        <v>#VALUE!</v>
      </c>
      <c r="CK59" s="41" t="e">
        <f>_xll.qlAbcdCalibrationK(CJ$29,$A59,CI59,CJ$32)</f>
        <v>#VALUE!</v>
      </c>
      <c r="CL59" s="92"/>
      <c r="CM59" s="22" t="e">
        <f>_xll.qlBlackFormulaImpliedStdDev("Call",CM80,CM80,CO80,,CO$47)/SQRT($A59)</f>
        <v>#VALUE!</v>
      </c>
      <c r="CN59" s="22" t="e">
        <f>_xll.qlAbcdFunctionVolatility(CN$37,0,$A59,$A59,CN$32)</f>
        <v>#VALUE!</v>
      </c>
      <c r="CO59" s="41" t="e">
        <f>_xll.qlAbcdCalibrationK(CN$29,$A59,CM59,CN$32)</f>
        <v>#VALUE!</v>
      </c>
      <c r="CP59" s="92"/>
      <c r="CQ59" s="22" t="e">
        <f>_xll.qlBlackFormulaImpliedStdDev("Call",CQ80,CQ80,CS80,,CS$47)/SQRT($A59)</f>
        <v>#VALUE!</v>
      </c>
      <c r="CR59" s="22" t="e">
        <f>_xll.qlAbcdFunctionVolatility(CR$37,0,$A59,$A59,CR$32)</f>
        <v>#VALUE!</v>
      </c>
      <c r="CS59" s="41" t="e">
        <f>_xll.qlAbcdCalibrationK(CR$29,$A59,CQ59,CR$32)</f>
        <v>#VALUE!</v>
      </c>
      <c r="CU59" s="22" t="e">
        <f>_xll.qlBlackFormulaImpliedStdDev("Call",CU80,CU80,CW80,,CW$47)/SQRT($A59)</f>
        <v>#VALUE!</v>
      </c>
      <c r="CV59" s="22" t="e">
        <f>_xll.qlAbcdFunctionVolatility(CV$37,0,$A59,$A59,CV$32)</f>
        <v>#VALUE!</v>
      </c>
      <c r="CW59" s="41" t="e">
        <f>_xll.qlAbcdCalibrationK(CV$29,$A59,CU59,CV$32)</f>
        <v>#VALUE!</v>
      </c>
      <c r="CX59" s="92"/>
      <c r="CY59" s="22" t="e">
        <f>_xll.qlBlackFormulaImpliedStdDev("Call",CY80,CY80,DA80,,DA$47)/SQRT($A59)</f>
        <v>#VALUE!</v>
      </c>
      <c r="CZ59" s="22" t="e">
        <f>_xll.qlAbcdFunctionVolatility(CZ$37,0,$A59,$A59,CZ$32)</f>
        <v>#VALUE!</v>
      </c>
      <c r="DA59" s="41" t="e">
        <f>_xll.qlAbcdCalibrationK(CZ$29,$A59,CY59,CZ$32)</f>
        <v>#VALUE!</v>
      </c>
      <c r="DB59" s="92"/>
      <c r="DC59" s="22" t="e">
        <f>_xll.qlBlackFormulaImpliedStdDev("Call",DC80,DC80,DE80,,DE$47)/SQRT($A59)</f>
        <v>#VALUE!</v>
      </c>
      <c r="DD59" s="22" t="e">
        <f>_xll.qlAbcdFunctionVolatility(DD$37,0,$A59,$A59,DD$32)</f>
        <v>#VALUE!</v>
      </c>
      <c r="DE59" s="41" t="e">
        <f>_xll.qlAbcdCalibrationK(DD$29,$A59,DC59,DD$32)</f>
        <v>#VALUE!</v>
      </c>
      <c r="DF59" s="92"/>
      <c r="DG59" s="22" t="e">
        <f>_xll.qlBlackFormulaImpliedStdDev("Call",DG80,DG80,DI80,,DI$47)/SQRT($A59)</f>
        <v>#VALUE!</v>
      </c>
      <c r="DH59" s="22" t="e">
        <f>_xll.qlAbcdFunctionVolatility(DH$37,0,$A59,$A59,DH$32)</f>
        <v>#VALUE!</v>
      </c>
      <c r="DI59" s="41" t="e">
        <f>_xll.qlAbcdCalibrationK(DH$29,$A59,DG59,DH$32)</f>
        <v>#VALUE!</v>
      </c>
      <c r="DJ59" s="92"/>
      <c r="DK59" s="22" t="e">
        <f>_xll.qlBlackFormulaImpliedStdDev("Call",DK80,DK80,DM80,,DM$47)/SQRT($A59)</f>
        <v>#VALUE!</v>
      </c>
      <c r="DL59" s="22" t="e">
        <f>_xll.qlAbcdFunctionVolatility(DL$37,0,$A59,$A59,DL$32)</f>
        <v>#VALUE!</v>
      </c>
      <c r="DM59" s="41" t="e">
        <f>_xll.qlAbcdCalibrationK(DL$29,$A59,DK59,DL$32)</f>
        <v>#VALUE!</v>
      </c>
      <c r="DO59" s="22" t="e">
        <f>_xll.qlBlackFormulaImpliedStdDev("Call",DO80,DO80,DQ80,,DQ$47)/SQRT($A59)</f>
        <v>#VALUE!</v>
      </c>
      <c r="DP59" s="22" t="e">
        <f>_xll.qlAbcdFunctionVolatility(DP$37,0,$A59,$A59,DP$32)</f>
        <v>#VALUE!</v>
      </c>
      <c r="DQ59" s="41" t="e">
        <f>_xll.qlAbcdCalibrationK(DP$29,$A59,DO59,DP$32)</f>
        <v>#VALUE!</v>
      </c>
    </row>
    <row r="60" spans="1:121" x14ac:dyDescent="0.2">
      <c r="A60" s="94" t="e">
        <f>_xll.qlDayCounterYearFraction(_xll.qlTermStructureDayCounter(Vol),_xll.qlTermStructureReferenceDate(Vol),A81,,,Trigger)</f>
        <v>#VALUE!</v>
      </c>
      <c r="B60" s="15" t="s">
        <v>53</v>
      </c>
      <c r="C60" s="22" t="e">
        <f>_xll.qlBlackFormulaImpliedStdDev("Call",C81,C81,E81,,E$47)/SQRT($A60)</f>
        <v>#VALUE!</v>
      </c>
      <c r="D60" s="22" t="e">
        <f>_xll.qlAbcdFunctionVolatility(D$37,0,$A60,$A60,D$32)</f>
        <v>#VALUE!</v>
      </c>
      <c r="E60" s="41" t="e">
        <f>_xll.qlAbcdCalibrationK(D$29,$A60,C60,D$32)</f>
        <v>#VALUE!</v>
      </c>
      <c r="F60" s="106"/>
      <c r="G60" s="22" t="e">
        <f>_xll.qlBlackFormulaImpliedStdDev("Call",G81,G81,I81,,I$47)/SQRT($A60)</f>
        <v>#VALUE!</v>
      </c>
      <c r="H60" s="22" t="e">
        <f>_xll.qlAbcdFunctionVolatility(H$37,0,$A60,$A60,H$32)</f>
        <v>#VALUE!</v>
      </c>
      <c r="I60" s="41" t="e">
        <f>_xll.qlAbcdCalibrationK(H$29,$A60,G60,H$32)</f>
        <v>#VALUE!</v>
      </c>
      <c r="J60" s="107"/>
      <c r="K60" s="22" t="e">
        <f>_xll.qlBlackFormulaImpliedStdDev("Call",K81,K81,M81,,M$47)/SQRT($A60)</f>
        <v>#VALUE!</v>
      </c>
      <c r="L60" s="22" t="e">
        <f>_xll.qlAbcdFunctionVolatility(L$37,0,$A60,$A60,L$32)</f>
        <v>#VALUE!</v>
      </c>
      <c r="M60" s="41" t="e">
        <f>_xll.qlAbcdCalibrationK(L$29,$A60,K60,L$32)</f>
        <v>#VALUE!</v>
      </c>
      <c r="O60" s="22" t="e">
        <f>_xll.qlBlackFormulaImpliedStdDev("Call",O81,O81,Q81,,Q$47)/SQRT($A60)</f>
        <v>#VALUE!</v>
      </c>
      <c r="P60" s="22" t="e">
        <f>_xll.qlAbcdFunctionVolatility(P$37,0,$A60,$A60,P$32)</f>
        <v>#VALUE!</v>
      </c>
      <c r="Q60" s="41" t="e">
        <f>_xll.qlAbcdCalibrationK(P$29,$A60,O60,P$32)</f>
        <v>#VALUE!</v>
      </c>
      <c r="S60" s="22" t="e">
        <f>_xll.qlBlackFormulaImpliedStdDev("Call",S81,S81,U81,,U$47)/SQRT($A60)</f>
        <v>#VALUE!</v>
      </c>
      <c r="T60" s="22" t="e">
        <f>_xll.qlAbcdFunctionVolatility(T$37,0,$A60,$A60,T$32)</f>
        <v>#VALUE!</v>
      </c>
      <c r="U60" s="41" t="e">
        <f>_xll.qlAbcdCalibrationK(T$29,$A60,S60,T$32)</f>
        <v>#VALUE!</v>
      </c>
      <c r="W60" s="22" t="e">
        <f>_xll.qlBlackFormulaImpliedStdDev("Call",W81,W81,Y81,,Y$47)/SQRT($A60)</f>
        <v>#VALUE!</v>
      </c>
      <c r="X60" s="22" t="e">
        <f>_xll.qlAbcdFunctionVolatility(X$37,0,$A60,$A60,X$32)</f>
        <v>#VALUE!</v>
      </c>
      <c r="Y60" s="41" t="e">
        <f>_xll.qlAbcdCalibrationK(X$29,$A60,W60,X$32)</f>
        <v>#VALUE!</v>
      </c>
      <c r="AA60" s="22" t="e">
        <f>_xll.qlBlackFormulaImpliedStdDev("Call",AA81,AA81,AC81,,AC$47)/SQRT($A60)</f>
        <v>#VALUE!</v>
      </c>
      <c r="AB60" s="22" t="e">
        <f>_xll.qlAbcdFunctionVolatility(AB$37,0,$A60,$A60,AB$32)</f>
        <v>#VALUE!</v>
      </c>
      <c r="AC60" s="41" t="e">
        <f>_xll.qlAbcdCalibrationK(AB$29,$A60,AA60,AB$32)</f>
        <v>#VALUE!</v>
      </c>
      <c r="AE60" s="22" t="e">
        <f>_xll.qlBlackFormulaImpliedStdDev("Call",AE81,AE81,AG81,,AG$47)/SQRT($A60)</f>
        <v>#VALUE!</v>
      </c>
      <c r="AF60" s="22" t="e">
        <f>_xll.qlAbcdFunctionVolatility(AF$37,0,$A60,$A60,AF$32)</f>
        <v>#VALUE!</v>
      </c>
      <c r="AG60" s="41" t="e">
        <f>_xll.qlAbcdCalibrationK(AF$29,$A60,AE60,AF$32)</f>
        <v>#VALUE!</v>
      </c>
      <c r="AI60" s="22" t="e">
        <f>_xll.qlBlackFormulaImpliedStdDev("Call",AI81,AI81,AK81,,AK$47)/SQRT($A60)</f>
        <v>#VALUE!</v>
      </c>
      <c r="AJ60" s="22" t="e">
        <f>_xll.qlAbcdFunctionVolatility(AJ$37,0,$A60,$A60,AJ$32)</f>
        <v>#VALUE!</v>
      </c>
      <c r="AK60" s="41" t="e">
        <f>_xll.qlAbcdCalibrationK(AJ$29,$A60,AI60,AJ$32)</f>
        <v>#VALUE!</v>
      </c>
      <c r="AM60" s="22" t="e">
        <f>_xll.qlBlackFormulaImpliedStdDev("Call",AM81,AM81,AO81,,AO$47)/SQRT($A60)</f>
        <v>#VALUE!</v>
      </c>
      <c r="AN60" s="22" t="e">
        <f>_xll.qlAbcdFunctionVolatility(AN$37,0,$A60,$A60,AN$32)</f>
        <v>#VALUE!</v>
      </c>
      <c r="AO60" s="41" t="e">
        <f>_xll.qlAbcdCalibrationK(AN$29,$A60,AM60,AN$32)</f>
        <v>#VALUE!</v>
      </c>
      <c r="AP60" s="92"/>
      <c r="AQ60" s="22" t="e">
        <f>_xll.qlBlackFormulaImpliedStdDev("Call",AQ81,AQ81,AS81,,AS$47)/SQRT($A60)</f>
        <v>#VALUE!</v>
      </c>
      <c r="AR60" s="22" t="e">
        <f>_xll.qlAbcdFunctionVolatility(AR$37,0,$A60,$A60,AR$32)</f>
        <v>#VALUE!</v>
      </c>
      <c r="AS60" s="41" t="e">
        <f>_xll.qlAbcdCalibrationK(AR$29,$A60,AQ60,AR$32)</f>
        <v>#VALUE!</v>
      </c>
      <c r="AU60" s="22" t="e">
        <f>_xll.qlBlackFormulaImpliedStdDev("Call",AU81,AU81,AW81,,AW$47)/SQRT($A60)</f>
        <v>#VALUE!</v>
      </c>
      <c r="AV60" s="22" t="e">
        <f>_xll.qlAbcdFunctionVolatility(AV$37,0,$A60,$A60,AV$32)</f>
        <v>#VALUE!</v>
      </c>
      <c r="AW60" s="41" t="e">
        <f>_xll.qlAbcdCalibrationK(AV$29,$A60,AU60,AV$32)</f>
        <v>#VALUE!</v>
      </c>
      <c r="AY60" s="22" t="e">
        <f>_xll.qlBlackFormulaImpliedStdDev("Call",AY81,AY81,BA81,,BA$47)/SQRT($A60)</f>
        <v>#VALUE!</v>
      </c>
      <c r="AZ60" s="22" t="e">
        <f>_xll.qlAbcdFunctionVolatility(AZ$37,0,$A60,$A60,AZ$32)</f>
        <v>#VALUE!</v>
      </c>
      <c r="BA60" s="41" t="e">
        <f>_xll.qlAbcdCalibrationK(AZ$29,$A60,AY60,AZ$32)</f>
        <v>#VALUE!</v>
      </c>
      <c r="BB60" s="92"/>
      <c r="BC60" s="22" t="e">
        <f>_xll.qlBlackFormulaImpliedStdDev("Call",BC81,BC81,BE81,,BE$47)/SQRT($A60)</f>
        <v>#VALUE!</v>
      </c>
      <c r="BD60" s="22" t="e">
        <f>_xll.qlAbcdFunctionVolatility(BD$37,0,$A60,$A60,BD$32)</f>
        <v>#VALUE!</v>
      </c>
      <c r="BE60" s="41" t="e">
        <f>_xll.qlAbcdCalibrationK(BD$29,$A60,BC60,BD$32)</f>
        <v>#VALUE!</v>
      </c>
      <c r="BG60" s="22" t="e">
        <f>_xll.qlBlackFormulaImpliedStdDev("Call",BG81,BG81,BI81,,BI$47)/SQRT($A60)</f>
        <v>#VALUE!</v>
      </c>
      <c r="BH60" s="22" t="e">
        <f>_xll.qlAbcdFunctionVolatility(BH$37,0,$A60,$A60,BH$32)</f>
        <v>#VALUE!</v>
      </c>
      <c r="BI60" s="41" t="e">
        <f>_xll.qlAbcdCalibrationK(BH$29,$A60,BG60,BH$32)</f>
        <v>#VALUE!</v>
      </c>
      <c r="BJ60" s="92"/>
      <c r="BK60" s="22" t="e">
        <f>_xll.qlBlackFormulaImpliedStdDev("Call",BK81,BK81,BM81,,BM$47)/SQRT($A60)</f>
        <v>#VALUE!</v>
      </c>
      <c r="BL60" s="22" t="e">
        <f>_xll.qlAbcdFunctionVolatility(BL$37,0,$A60,$A60,BL$32)</f>
        <v>#VALUE!</v>
      </c>
      <c r="BM60" s="41" t="e">
        <f>_xll.qlAbcdCalibrationK(BL$29,$A60,BK60,BL$32)</f>
        <v>#VALUE!</v>
      </c>
      <c r="BN60" s="92"/>
      <c r="BO60" s="22" t="e">
        <f>_xll.qlBlackFormulaImpliedStdDev("Call",BO81,BO81,BQ81,,BQ$47)/SQRT($A60)</f>
        <v>#VALUE!</v>
      </c>
      <c r="BP60" s="22" t="e">
        <f>_xll.qlAbcdFunctionVolatility(BP$37,0,$A60,$A60,BP$32)</f>
        <v>#VALUE!</v>
      </c>
      <c r="BQ60" s="41" t="e">
        <f>_xll.qlAbcdCalibrationK(BP$29,$A60,BO60,BP$32)</f>
        <v>#VALUE!</v>
      </c>
      <c r="BR60" s="92"/>
      <c r="BS60" s="22" t="e">
        <f>_xll.qlBlackFormulaImpliedStdDev("Call",BS81,BS81,BU81,,BU$47)/SQRT($A60)</f>
        <v>#VALUE!</v>
      </c>
      <c r="BT60" s="22" t="e">
        <f>_xll.qlAbcdFunctionVolatility(BT$37,0,$A60,$A60,BT$32)</f>
        <v>#VALUE!</v>
      </c>
      <c r="BU60" s="41" t="e">
        <f>_xll.qlAbcdCalibrationK(BT$29,$A60,BS60,BT$32)</f>
        <v>#VALUE!</v>
      </c>
      <c r="BV60" s="92"/>
      <c r="BW60" s="22" t="e">
        <f>_xll.qlBlackFormulaImpliedStdDev("Call",BW81,BW81,BY81,,BY$47)/SQRT($A60)</f>
        <v>#VALUE!</v>
      </c>
      <c r="BX60" s="22" t="e">
        <f>_xll.qlAbcdFunctionVolatility(BX$37,0,$A60,$A60,BX$32)</f>
        <v>#VALUE!</v>
      </c>
      <c r="BY60" s="41" t="e">
        <f>_xll.qlAbcdCalibrationK(BX$29,$A60,BW60,BX$32)</f>
        <v>#VALUE!</v>
      </c>
      <c r="CA60" s="22" t="e">
        <f>_xll.qlBlackFormulaImpliedStdDev("Call",CA81,CA81,CC81,,CC$47)/SQRT($A60)</f>
        <v>#VALUE!</v>
      </c>
      <c r="CB60" s="22" t="e">
        <f>_xll.qlAbcdFunctionVolatility(CB$37,0,$A60,$A60,CB$32)</f>
        <v>#VALUE!</v>
      </c>
      <c r="CC60" s="41" t="e">
        <f>_xll.qlAbcdCalibrationK(CB$29,$A60,CA60,CB$32)</f>
        <v>#VALUE!</v>
      </c>
      <c r="CD60" s="92"/>
      <c r="CE60" s="22" t="e">
        <f>_xll.qlBlackFormulaImpliedStdDev("Call",CE81,CE81,CG81,,CG$47)/SQRT($A60)</f>
        <v>#VALUE!</v>
      </c>
      <c r="CF60" s="22" t="e">
        <f>_xll.qlAbcdFunctionVolatility(CF$37,0,$A60,$A60,CF$32)</f>
        <v>#VALUE!</v>
      </c>
      <c r="CG60" s="41" t="e">
        <f>_xll.qlAbcdCalibrationK(CF$29,$A60,CE60,CF$32)</f>
        <v>#VALUE!</v>
      </c>
      <c r="CH60" s="92"/>
      <c r="CI60" s="22" t="e">
        <f>_xll.qlBlackFormulaImpliedStdDev("Call",CI81,CI81,CK81,,CK$47)/SQRT($A60)</f>
        <v>#VALUE!</v>
      </c>
      <c r="CJ60" s="22" t="e">
        <f>_xll.qlAbcdFunctionVolatility(CJ$37,0,$A60,$A60,CJ$32)</f>
        <v>#VALUE!</v>
      </c>
      <c r="CK60" s="41" t="e">
        <f>_xll.qlAbcdCalibrationK(CJ$29,$A60,CI60,CJ$32)</f>
        <v>#VALUE!</v>
      </c>
      <c r="CL60" s="92"/>
      <c r="CM60" s="22" t="e">
        <f>_xll.qlBlackFormulaImpliedStdDev("Call",CM81,CM81,CO81,,CO$47)/SQRT($A60)</f>
        <v>#VALUE!</v>
      </c>
      <c r="CN60" s="22" t="e">
        <f>_xll.qlAbcdFunctionVolatility(CN$37,0,$A60,$A60,CN$32)</f>
        <v>#VALUE!</v>
      </c>
      <c r="CO60" s="41" t="e">
        <f>_xll.qlAbcdCalibrationK(CN$29,$A60,CM60,CN$32)</f>
        <v>#VALUE!</v>
      </c>
      <c r="CP60" s="92"/>
      <c r="CQ60" s="22" t="e">
        <f>_xll.qlBlackFormulaImpliedStdDev("Call",CQ81,CQ81,CS81,,CS$47)/SQRT($A60)</f>
        <v>#VALUE!</v>
      </c>
      <c r="CR60" s="22" t="e">
        <f>_xll.qlAbcdFunctionVolatility(CR$37,0,$A60,$A60,CR$32)</f>
        <v>#VALUE!</v>
      </c>
      <c r="CS60" s="41" t="e">
        <f>_xll.qlAbcdCalibrationK(CR$29,$A60,CQ60,CR$32)</f>
        <v>#VALUE!</v>
      </c>
      <c r="CU60" s="22" t="e">
        <f>_xll.qlBlackFormulaImpliedStdDev("Call",CU81,CU81,CW81,,CW$47)/SQRT($A60)</f>
        <v>#VALUE!</v>
      </c>
      <c r="CV60" s="22" t="e">
        <f>_xll.qlAbcdFunctionVolatility(CV$37,0,$A60,$A60,CV$32)</f>
        <v>#VALUE!</v>
      </c>
      <c r="CW60" s="41" t="e">
        <f>_xll.qlAbcdCalibrationK(CV$29,$A60,CU60,CV$32)</f>
        <v>#VALUE!</v>
      </c>
      <c r="CX60" s="92"/>
      <c r="CY60" s="22" t="e">
        <f>_xll.qlBlackFormulaImpliedStdDev("Call",CY81,CY81,DA81,,DA$47)/SQRT($A60)</f>
        <v>#VALUE!</v>
      </c>
      <c r="CZ60" s="22" t="e">
        <f>_xll.qlAbcdFunctionVolatility(CZ$37,0,$A60,$A60,CZ$32)</f>
        <v>#VALUE!</v>
      </c>
      <c r="DA60" s="41" t="e">
        <f>_xll.qlAbcdCalibrationK(CZ$29,$A60,CY60,CZ$32)</f>
        <v>#VALUE!</v>
      </c>
      <c r="DB60" s="92"/>
      <c r="DC60" s="22" t="e">
        <f>_xll.qlBlackFormulaImpliedStdDev("Call",DC81,DC81,DE81,,DE$47)/SQRT($A60)</f>
        <v>#VALUE!</v>
      </c>
      <c r="DD60" s="22" t="e">
        <f>_xll.qlAbcdFunctionVolatility(DD$37,0,$A60,$A60,DD$32)</f>
        <v>#VALUE!</v>
      </c>
      <c r="DE60" s="41" t="e">
        <f>_xll.qlAbcdCalibrationK(DD$29,$A60,DC60,DD$32)</f>
        <v>#VALUE!</v>
      </c>
      <c r="DF60" s="92"/>
      <c r="DG60" s="22" t="e">
        <f>_xll.qlBlackFormulaImpliedStdDev("Call",DG81,DG81,DI81,,DI$47)/SQRT($A60)</f>
        <v>#VALUE!</v>
      </c>
      <c r="DH60" s="22" t="e">
        <f>_xll.qlAbcdFunctionVolatility(DH$37,0,$A60,$A60,DH$32)</f>
        <v>#VALUE!</v>
      </c>
      <c r="DI60" s="41" t="e">
        <f>_xll.qlAbcdCalibrationK(DH$29,$A60,DG60,DH$32)</f>
        <v>#VALUE!</v>
      </c>
      <c r="DJ60" s="92"/>
      <c r="DK60" s="22" t="e">
        <f>_xll.qlBlackFormulaImpliedStdDev("Call",DK81,DK81,DM81,,DM$47)/SQRT($A60)</f>
        <v>#VALUE!</v>
      </c>
      <c r="DL60" s="22" t="e">
        <f>_xll.qlAbcdFunctionVolatility(DL$37,0,$A60,$A60,DL$32)</f>
        <v>#VALUE!</v>
      </c>
      <c r="DM60" s="41" t="e">
        <f>_xll.qlAbcdCalibrationK(DL$29,$A60,DK60,DL$32)</f>
        <v>#VALUE!</v>
      </c>
      <c r="DO60" s="22" t="e">
        <f>_xll.qlBlackFormulaImpliedStdDev("Call",DO81,DO81,DQ81,,DQ$47)/SQRT($A60)</f>
        <v>#VALUE!</v>
      </c>
      <c r="DP60" s="22" t="e">
        <f>_xll.qlAbcdFunctionVolatility(DP$37,0,$A60,$A60,DP$32)</f>
        <v>#VALUE!</v>
      </c>
      <c r="DQ60" s="41" t="e">
        <f>_xll.qlAbcdCalibrationK(DP$29,$A60,DO60,DP$32)</f>
        <v>#VALUE!</v>
      </c>
    </row>
    <row r="61" spans="1:121" x14ac:dyDescent="0.2">
      <c r="A61" s="94" t="e">
        <f>_xll.qlDayCounterYearFraction(_xll.qlTermStructureDayCounter(Vol),_xll.qlTermStructureReferenceDate(Vol),A82,,,Trigger)</f>
        <v>#VALUE!</v>
      </c>
      <c r="B61" s="15" t="s">
        <v>32</v>
      </c>
      <c r="C61" s="22" t="e">
        <f>_xll.qlBlackFormulaImpliedStdDev("Call",C82,C82,E82,,E$47)/SQRT($A61)</f>
        <v>#VALUE!</v>
      </c>
      <c r="D61" s="22" t="e">
        <f>_xll.qlAbcdFunctionVolatility(D$37,0,$A61,$A61,D$32)</f>
        <v>#VALUE!</v>
      </c>
      <c r="E61" s="41" t="e">
        <f>_xll.qlAbcdCalibrationK(D$29,$A61,C61,D$32)</f>
        <v>#VALUE!</v>
      </c>
      <c r="F61" s="106"/>
      <c r="G61" s="22" t="e">
        <f>_xll.qlBlackFormulaImpliedStdDev("Call",G82,G82,I82,,I$47)/SQRT($A61)</f>
        <v>#VALUE!</v>
      </c>
      <c r="H61" s="22" t="e">
        <f>_xll.qlAbcdFunctionVolatility(H$37,0,$A61,$A61,H$32)</f>
        <v>#VALUE!</v>
      </c>
      <c r="I61" s="41" t="e">
        <f>_xll.qlAbcdCalibrationK(H$29,$A61,G61,H$32)</f>
        <v>#VALUE!</v>
      </c>
      <c r="J61" s="107"/>
      <c r="K61" s="22" t="e">
        <f>_xll.qlBlackFormulaImpliedStdDev("Call",K82,K82,M82,,M$47)/SQRT($A61)</f>
        <v>#VALUE!</v>
      </c>
      <c r="L61" s="22" t="e">
        <f>_xll.qlAbcdFunctionVolatility(L$37,0,$A61,$A61,L$32)</f>
        <v>#VALUE!</v>
      </c>
      <c r="M61" s="41" t="e">
        <f>_xll.qlAbcdCalibrationK(L$29,$A61,K61,L$32)</f>
        <v>#VALUE!</v>
      </c>
      <c r="O61" s="22" t="e">
        <f>_xll.qlBlackFormulaImpliedStdDev("Call",O82,O82,Q82,,Q$47)/SQRT($A61)</f>
        <v>#VALUE!</v>
      </c>
      <c r="P61" s="22" t="e">
        <f>_xll.qlAbcdFunctionVolatility(P$37,0,$A61,$A61,P$32)</f>
        <v>#VALUE!</v>
      </c>
      <c r="Q61" s="41" t="e">
        <f>_xll.qlAbcdCalibrationK(P$29,$A61,O61,P$32)</f>
        <v>#VALUE!</v>
      </c>
      <c r="S61" s="22" t="e">
        <f>_xll.qlBlackFormulaImpliedStdDev("Call",S82,S82,U82,,U$47)/SQRT($A61)</f>
        <v>#VALUE!</v>
      </c>
      <c r="T61" s="22" t="e">
        <f>_xll.qlAbcdFunctionVolatility(T$37,0,$A61,$A61,T$32)</f>
        <v>#VALUE!</v>
      </c>
      <c r="U61" s="41" t="e">
        <f>_xll.qlAbcdCalibrationK(T$29,$A61,S61,T$32)</f>
        <v>#VALUE!</v>
      </c>
      <c r="W61" s="22" t="e">
        <f>_xll.qlBlackFormulaImpliedStdDev("Call",W82,W82,Y82,,Y$47)/SQRT($A61)</f>
        <v>#VALUE!</v>
      </c>
      <c r="X61" s="22" t="e">
        <f>_xll.qlAbcdFunctionVolatility(X$37,0,$A61,$A61,X$32)</f>
        <v>#VALUE!</v>
      </c>
      <c r="Y61" s="41" t="e">
        <f>_xll.qlAbcdCalibrationK(X$29,$A61,W61,X$32)</f>
        <v>#VALUE!</v>
      </c>
      <c r="AA61" s="22" t="e">
        <f>_xll.qlBlackFormulaImpliedStdDev("Call",AA82,AA82,AC82,,AC$47)/SQRT($A61)</f>
        <v>#VALUE!</v>
      </c>
      <c r="AB61" s="22" t="e">
        <f>_xll.qlAbcdFunctionVolatility(AB$37,0,$A61,$A61,AB$32)</f>
        <v>#VALUE!</v>
      </c>
      <c r="AC61" s="41" t="e">
        <f>_xll.qlAbcdCalibrationK(AB$29,$A61,AA61,AB$32)</f>
        <v>#VALUE!</v>
      </c>
      <c r="AE61" s="22" t="e">
        <f>_xll.qlBlackFormulaImpliedStdDev("Call",AE82,AE82,AG82,,AG$47)/SQRT($A61)</f>
        <v>#VALUE!</v>
      </c>
      <c r="AF61" s="22" t="e">
        <f>_xll.qlAbcdFunctionVolatility(AF$37,0,$A61,$A61,AF$32)</f>
        <v>#VALUE!</v>
      </c>
      <c r="AG61" s="41" t="e">
        <f>_xll.qlAbcdCalibrationK(AF$29,$A61,AE61,AF$32)</f>
        <v>#VALUE!</v>
      </c>
      <c r="AI61" s="22" t="e">
        <f>_xll.qlBlackFormulaImpliedStdDev("Call",AI82,AI82,AK82,,AK$47)/SQRT($A61)</f>
        <v>#VALUE!</v>
      </c>
      <c r="AJ61" s="22" t="e">
        <f>_xll.qlAbcdFunctionVolatility(AJ$37,0,$A61,$A61,AJ$32)</f>
        <v>#VALUE!</v>
      </c>
      <c r="AK61" s="41" t="e">
        <f>_xll.qlAbcdCalibrationK(AJ$29,$A61,AI61,AJ$32)</f>
        <v>#VALUE!</v>
      </c>
      <c r="AM61" s="22" t="e">
        <f>_xll.qlBlackFormulaImpliedStdDev("Call",AM82,AM82,AO82,,AO$47)/SQRT($A61)</f>
        <v>#VALUE!</v>
      </c>
      <c r="AN61" s="22" t="e">
        <f>_xll.qlAbcdFunctionVolatility(AN$37,0,$A61,$A61,AN$32)</f>
        <v>#VALUE!</v>
      </c>
      <c r="AO61" s="41" t="e">
        <f>_xll.qlAbcdCalibrationK(AN$29,$A61,AM61,AN$32)</f>
        <v>#VALUE!</v>
      </c>
      <c r="AP61" s="92"/>
      <c r="AQ61" s="22" t="e">
        <f>_xll.qlBlackFormulaImpliedStdDev("Call",AQ82,AQ82,AS82,,AS$47)/SQRT($A61)</f>
        <v>#VALUE!</v>
      </c>
      <c r="AR61" s="22" t="e">
        <f>_xll.qlAbcdFunctionVolatility(AR$37,0,$A61,$A61,AR$32)</f>
        <v>#VALUE!</v>
      </c>
      <c r="AS61" s="41" t="e">
        <f>_xll.qlAbcdCalibrationK(AR$29,$A61,AQ61,AR$32)</f>
        <v>#VALUE!</v>
      </c>
      <c r="AU61" s="22" t="e">
        <f>_xll.qlBlackFormulaImpliedStdDev("Call",AU82,AU82,AW82,,AW$47)/SQRT($A61)</f>
        <v>#VALUE!</v>
      </c>
      <c r="AV61" s="22" t="e">
        <f>_xll.qlAbcdFunctionVolatility(AV$37,0,$A61,$A61,AV$32)</f>
        <v>#VALUE!</v>
      </c>
      <c r="AW61" s="41" t="e">
        <f>_xll.qlAbcdCalibrationK(AV$29,$A61,AU61,AV$32)</f>
        <v>#VALUE!</v>
      </c>
      <c r="AY61" s="22" t="e">
        <f>_xll.qlBlackFormulaImpliedStdDev("Call",AY82,AY82,BA82,,BA$47)/SQRT($A61)</f>
        <v>#VALUE!</v>
      </c>
      <c r="AZ61" s="22" t="e">
        <f>_xll.qlAbcdFunctionVolatility(AZ$37,0,$A61,$A61,AZ$32)</f>
        <v>#VALUE!</v>
      </c>
      <c r="BA61" s="41" t="e">
        <f>_xll.qlAbcdCalibrationK(AZ$29,$A61,AY61,AZ$32)</f>
        <v>#VALUE!</v>
      </c>
      <c r="BB61" s="92"/>
      <c r="BC61" s="22" t="e">
        <f>_xll.qlBlackFormulaImpliedStdDev("Call",BC82,BC82,BE82,,BE$47)/SQRT($A61)</f>
        <v>#VALUE!</v>
      </c>
      <c r="BD61" s="22" t="e">
        <f>_xll.qlAbcdFunctionVolatility(BD$37,0,$A61,$A61,BD$32)</f>
        <v>#VALUE!</v>
      </c>
      <c r="BE61" s="41" t="e">
        <f>_xll.qlAbcdCalibrationK(BD$29,$A61,BC61,BD$32)</f>
        <v>#VALUE!</v>
      </c>
      <c r="BG61" s="22" t="e">
        <f>_xll.qlBlackFormulaImpliedStdDev("Call",BG82,BG82,BI82,,BI$47)/SQRT($A61)</f>
        <v>#VALUE!</v>
      </c>
      <c r="BH61" s="22" t="e">
        <f>_xll.qlAbcdFunctionVolatility(BH$37,0,$A61,$A61,BH$32)</f>
        <v>#VALUE!</v>
      </c>
      <c r="BI61" s="41" t="e">
        <f>_xll.qlAbcdCalibrationK(BH$29,$A61,BG61,BH$32)</f>
        <v>#VALUE!</v>
      </c>
      <c r="BJ61" s="92"/>
      <c r="BK61" s="22" t="e">
        <f>_xll.qlBlackFormulaImpliedStdDev("Call",BK82,BK82,BM82,,BM$47)/SQRT($A61)</f>
        <v>#VALUE!</v>
      </c>
      <c r="BL61" s="22" t="e">
        <f>_xll.qlAbcdFunctionVolatility(BL$37,0,$A61,$A61,BL$32)</f>
        <v>#VALUE!</v>
      </c>
      <c r="BM61" s="41" t="e">
        <f>_xll.qlAbcdCalibrationK(BL$29,$A61,BK61,BL$32)</f>
        <v>#VALUE!</v>
      </c>
      <c r="BN61" s="92"/>
      <c r="BO61" s="22" t="e">
        <f>_xll.qlBlackFormulaImpliedStdDev("Call",BO82,BO82,BQ82,,BQ$47)/SQRT($A61)</f>
        <v>#VALUE!</v>
      </c>
      <c r="BP61" s="22" t="e">
        <f>_xll.qlAbcdFunctionVolatility(BP$37,0,$A61,$A61,BP$32)</f>
        <v>#VALUE!</v>
      </c>
      <c r="BQ61" s="41" t="e">
        <f>_xll.qlAbcdCalibrationK(BP$29,$A61,BO61,BP$32)</f>
        <v>#VALUE!</v>
      </c>
      <c r="BR61" s="92"/>
      <c r="BS61" s="22" t="e">
        <f>_xll.qlBlackFormulaImpliedStdDev("Call",BS82,BS82,BU82,,BU$47)/SQRT($A61)</f>
        <v>#VALUE!</v>
      </c>
      <c r="BT61" s="22" t="e">
        <f>_xll.qlAbcdFunctionVolatility(BT$37,0,$A61,$A61,BT$32)</f>
        <v>#VALUE!</v>
      </c>
      <c r="BU61" s="41" t="e">
        <f>_xll.qlAbcdCalibrationK(BT$29,$A61,BS61,BT$32)</f>
        <v>#VALUE!</v>
      </c>
      <c r="BV61" s="92"/>
      <c r="BW61" s="22" t="e">
        <f>_xll.qlBlackFormulaImpliedStdDev("Call",BW82,BW82,BY82,,BY$47)/SQRT($A61)</f>
        <v>#VALUE!</v>
      </c>
      <c r="BX61" s="22" t="e">
        <f>_xll.qlAbcdFunctionVolatility(BX$37,0,$A61,$A61,BX$32)</f>
        <v>#VALUE!</v>
      </c>
      <c r="BY61" s="41" t="e">
        <f>_xll.qlAbcdCalibrationK(BX$29,$A61,BW61,BX$32)</f>
        <v>#VALUE!</v>
      </c>
      <c r="CA61" s="22" t="e">
        <f>_xll.qlBlackFormulaImpliedStdDev("Call",CA82,CA82,CC82,,CC$47)/SQRT($A61)</f>
        <v>#VALUE!</v>
      </c>
      <c r="CB61" s="22" t="e">
        <f>_xll.qlAbcdFunctionVolatility(CB$37,0,$A61,$A61,CB$32)</f>
        <v>#VALUE!</v>
      </c>
      <c r="CC61" s="41" t="e">
        <f>_xll.qlAbcdCalibrationK(CB$29,$A61,CA61,CB$32)</f>
        <v>#VALUE!</v>
      </c>
      <c r="CD61" s="92"/>
      <c r="CE61" s="22" t="e">
        <f>_xll.qlBlackFormulaImpliedStdDev("Call",CE82,CE82,CG82,,CG$47)/SQRT($A61)</f>
        <v>#VALUE!</v>
      </c>
      <c r="CF61" s="22" t="e">
        <f>_xll.qlAbcdFunctionVolatility(CF$37,0,$A61,$A61,CF$32)</f>
        <v>#VALUE!</v>
      </c>
      <c r="CG61" s="41" t="e">
        <f>_xll.qlAbcdCalibrationK(CF$29,$A61,CE61,CF$32)</f>
        <v>#VALUE!</v>
      </c>
      <c r="CH61" s="92"/>
      <c r="CI61" s="22" t="e">
        <f>_xll.qlBlackFormulaImpliedStdDev("Call",CI82,CI82,CK82,,CK$47)/SQRT($A61)</f>
        <v>#VALUE!</v>
      </c>
      <c r="CJ61" s="22" t="e">
        <f>_xll.qlAbcdFunctionVolatility(CJ$37,0,$A61,$A61,CJ$32)</f>
        <v>#VALUE!</v>
      </c>
      <c r="CK61" s="41" t="e">
        <f>_xll.qlAbcdCalibrationK(CJ$29,$A61,CI61,CJ$32)</f>
        <v>#VALUE!</v>
      </c>
      <c r="CL61" s="92"/>
      <c r="CM61" s="22" t="e">
        <f>_xll.qlBlackFormulaImpliedStdDev("Call",CM82,CM82,CO82,,CO$47)/SQRT($A61)</f>
        <v>#VALUE!</v>
      </c>
      <c r="CN61" s="22" t="e">
        <f>_xll.qlAbcdFunctionVolatility(CN$37,0,$A61,$A61,CN$32)</f>
        <v>#VALUE!</v>
      </c>
      <c r="CO61" s="41" t="e">
        <f>_xll.qlAbcdCalibrationK(CN$29,$A61,CM61,CN$32)</f>
        <v>#VALUE!</v>
      </c>
      <c r="CP61" s="92"/>
      <c r="CQ61" s="22" t="e">
        <f>_xll.qlBlackFormulaImpliedStdDev("Call",CQ82,CQ82,CS82,,CS$47)/SQRT($A61)</f>
        <v>#VALUE!</v>
      </c>
      <c r="CR61" s="22" t="e">
        <f>_xll.qlAbcdFunctionVolatility(CR$37,0,$A61,$A61,CR$32)</f>
        <v>#VALUE!</v>
      </c>
      <c r="CS61" s="41" t="e">
        <f>_xll.qlAbcdCalibrationK(CR$29,$A61,CQ61,CR$32)</f>
        <v>#VALUE!</v>
      </c>
      <c r="CU61" s="22" t="e">
        <f>_xll.qlBlackFormulaImpliedStdDev("Call",CU82,CU82,CW82,,CW$47)/SQRT($A61)</f>
        <v>#VALUE!</v>
      </c>
      <c r="CV61" s="22" t="e">
        <f>_xll.qlAbcdFunctionVolatility(CV$37,0,$A61,$A61,CV$32)</f>
        <v>#VALUE!</v>
      </c>
      <c r="CW61" s="41" t="e">
        <f>_xll.qlAbcdCalibrationK(CV$29,$A61,CU61,CV$32)</f>
        <v>#VALUE!</v>
      </c>
      <c r="CX61" s="92"/>
      <c r="CY61" s="22" t="e">
        <f>_xll.qlBlackFormulaImpliedStdDev("Call",CY82,CY82,DA82,,DA$47)/SQRT($A61)</f>
        <v>#VALUE!</v>
      </c>
      <c r="CZ61" s="22" t="e">
        <f>_xll.qlAbcdFunctionVolatility(CZ$37,0,$A61,$A61,CZ$32)</f>
        <v>#VALUE!</v>
      </c>
      <c r="DA61" s="41" t="e">
        <f>_xll.qlAbcdCalibrationK(CZ$29,$A61,CY61,CZ$32)</f>
        <v>#VALUE!</v>
      </c>
      <c r="DB61" s="92"/>
      <c r="DC61" s="22" t="e">
        <f>_xll.qlBlackFormulaImpliedStdDev("Call",DC82,DC82,DE82,,DE$47)/SQRT($A61)</f>
        <v>#VALUE!</v>
      </c>
      <c r="DD61" s="22" t="e">
        <f>_xll.qlAbcdFunctionVolatility(DD$37,0,$A61,$A61,DD$32)</f>
        <v>#VALUE!</v>
      </c>
      <c r="DE61" s="41" t="e">
        <f>_xll.qlAbcdCalibrationK(DD$29,$A61,DC61,DD$32)</f>
        <v>#VALUE!</v>
      </c>
      <c r="DF61" s="92"/>
      <c r="DG61" s="22" t="e">
        <f>_xll.qlBlackFormulaImpliedStdDev("Call",DG82,DG82,DI82,,DI$47)/SQRT($A61)</f>
        <v>#VALUE!</v>
      </c>
      <c r="DH61" s="22" t="e">
        <f>_xll.qlAbcdFunctionVolatility(DH$37,0,$A61,$A61,DH$32)</f>
        <v>#VALUE!</v>
      </c>
      <c r="DI61" s="41" t="e">
        <f>_xll.qlAbcdCalibrationK(DH$29,$A61,DG61,DH$32)</f>
        <v>#VALUE!</v>
      </c>
      <c r="DJ61" s="92"/>
      <c r="DK61" s="22" t="e">
        <f>_xll.qlBlackFormulaImpliedStdDev("Call",DK82,DK82,DM82,,DM$47)/SQRT($A61)</f>
        <v>#VALUE!</v>
      </c>
      <c r="DL61" s="22" t="e">
        <f>_xll.qlAbcdFunctionVolatility(DL$37,0,$A61,$A61,DL$32)</f>
        <v>#VALUE!</v>
      </c>
      <c r="DM61" s="41" t="e">
        <f>_xll.qlAbcdCalibrationK(DL$29,$A61,DK61,DL$32)</f>
        <v>#VALUE!</v>
      </c>
      <c r="DO61" s="22" t="e">
        <f>_xll.qlBlackFormulaImpliedStdDev("Call",DO82,DO82,DQ82,,DQ$47)/SQRT($A61)</f>
        <v>#VALUE!</v>
      </c>
      <c r="DP61" s="22" t="e">
        <f>_xll.qlAbcdFunctionVolatility(DP$37,0,$A61,$A61,DP$32)</f>
        <v>#VALUE!</v>
      </c>
      <c r="DQ61" s="41" t="e">
        <f>_xll.qlAbcdCalibrationK(DP$29,$A61,DO61,DP$32)</f>
        <v>#VALUE!</v>
      </c>
    </row>
    <row r="62" spans="1:121" x14ac:dyDescent="0.2">
      <c r="A62" s="94" t="e">
        <f>_xll.qlDayCounterYearFraction(_xll.qlTermStructureDayCounter(Vol),_xll.qlTermStructureReferenceDate(Vol),A83,,,Trigger)</f>
        <v>#VALUE!</v>
      </c>
      <c r="B62" s="15" t="s">
        <v>54</v>
      </c>
      <c r="C62" s="22" t="e">
        <f>_xll.qlBlackFormulaImpliedStdDev("Call",C83,C83,E83,,E$47)/SQRT($A62)</f>
        <v>#VALUE!</v>
      </c>
      <c r="D62" s="22" t="e">
        <f>_xll.qlAbcdFunctionVolatility(D$37,0,$A62,$A62,D$32)</f>
        <v>#VALUE!</v>
      </c>
      <c r="E62" s="41" t="e">
        <f>_xll.qlAbcdCalibrationK(D$29,$A62,C62,D$32)</f>
        <v>#VALUE!</v>
      </c>
      <c r="F62" s="106"/>
      <c r="G62" s="22" t="e">
        <f>_xll.qlBlackFormulaImpliedStdDev("Call",G83,G83,I83,,I$47)/SQRT($A62)</f>
        <v>#VALUE!</v>
      </c>
      <c r="H62" s="22" t="e">
        <f>_xll.qlAbcdFunctionVolatility(H$37,0,$A62,$A62,H$32)</f>
        <v>#VALUE!</v>
      </c>
      <c r="I62" s="41" t="e">
        <f>_xll.qlAbcdCalibrationK(H$29,$A62,G62,H$32)</f>
        <v>#VALUE!</v>
      </c>
      <c r="J62" s="107"/>
      <c r="K62" s="22" t="e">
        <f>_xll.qlBlackFormulaImpliedStdDev("Call",K83,K83,M83,,M$47)/SQRT($A62)</f>
        <v>#VALUE!</v>
      </c>
      <c r="L62" s="22" t="e">
        <f>_xll.qlAbcdFunctionVolatility(L$37,0,$A62,$A62,L$32)</f>
        <v>#VALUE!</v>
      </c>
      <c r="M62" s="41" t="e">
        <f>_xll.qlAbcdCalibrationK(L$29,$A62,K62,L$32)</f>
        <v>#VALUE!</v>
      </c>
      <c r="O62" s="22" t="e">
        <f>_xll.qlBlackFormulaImpliedStdDev("Call",O83,O83,Q83,,Q$47)/SQRT($A62)</f>
        <v>#VALUE!</v>
      </c>
      <c r="P62" s="22" t="e">
        <f>_xll.qlAbcdFunctionVolatility(P$37,0,$A62,$A62,P$32)</f>
        <v>#VALUE!</v>
      </c>
      <c r="Q62" s="41" t="e">
        <f>_xll.qlAbcdCalibrationK(P$29,$A62,O62,P$32)</f>
        <v>#VALUE!</v>
      </c>
      <c r="S62" s="22" t="e">
        <f>_xll.qlBlackFormulaImpliedStdDev("Call",S83,S83,U83,,U$47)/SQRT($A62)</f>
        <v>#VALUE!</v>
      </c>
      <c r="T62" s="22" t="e">
        <f>_xll.qlAbcdFunctionVolatility(T$37,0,$A62,$A62,T$32)</f>
        <v>#VALUE!</v>
      </c>
      <c r="U62" s="41" t="e">
        <f>_xll.qlAbcdCalibrationK(T$29,$A62,S62,T$32)</f>
        <v>#VALUE!</v>
      </c>
      <c r="W62" s="22" t="e">
        <f>_xll.qlBlackFormulaImpliedStdDev("Call",W83,W83,Y83,,Y$47)/SQRT($A62)</f>
        <v>#VALUE!</v>
      </c>
      <c r="X62" s="22" t="e">
        <f>_xll.qlAbcdFunctionVolatility(X$37,0,$A62,$A62,X$32)</f>
        <v>#VALUE!</v>
      </c>
      <c r="Y62" s="41" t="e">
        <f>_xll.qlAbcdCalibrationK(X$29,$A62,W62,X$32)</f>
        <v>#VALUE!</v>
      </c>
      <c r="AA62" s="22" t="e">
        <f>_xll.qlBlackFormulaImpliedStdDev("Call",AA83,AA83,AC83,,AC$47)/SQRT($A62)</f>
        <v>#VALUE!</v>
      </c>
      <c r="AB62" s="22" t="e">
        <f>_xll.qlAbcdFunctionVolatility(AB$37,0,$A62,$A62,AB$32)</f>
        <v>#VALUE!</v>
      </c>
      <c r="AC62" s="41" t="e">
        <f>_xll.qlAbcdCalibrationK(AB$29,$A62,AA62,AB$32)</f>
        <v>#VALUE!</v>
      </c>
      <c r="AE62" s="22" t="e">
        <f>_xll.qlBlackFormulaImpliedStdDev("Call",AE83,AE83,AG83,,AG$47)/SQRT($A62)</f>
        <v>#VALUE!</v>
      </c>
      <c r="AF62" s="22" t="e">
        <f>_xll.qlAbcdFunctionVolatility(AF$37,0,$A62,$A62,AF$32)</f>
        <v>#VALUE!</v>
      </c>
      <c r="AG62" s="41" t="e">
        <f>_xll.qlAbcdCalibrationK(AF$29,$A62,AE62,AF$32)</f>
        <v>#VALUE!</v>
      </c>
      <c r="AI62" s="22" t="e">
        <f>_xll.qlBlackFormulaImpliedStdDev("Call",AI83,AI83,AK83,,AK$47)/SQRT($A62)</f>
        <v>#VALUE!</v>
      </c>
      <c r="AJ62" s="22" t="e">
        <f>_xll.qlAbcdFunctionVolatility(AJ$37,0,$A62,$A62,AJ$32)</f>
        <v>#VALUE!</v>
      </c>
      <c r="AK62" s="41" t="e">
        <f>_xll.qlAbcdCalibrationK(AJ$29,$A62,AI62,AJ$32)</f>
        <v>#VALUE!</v>
      </c>
      <c r="AM62" s="22" t="e">
        <f>_xll.qlBlackFormulaImpliedStdDev("Call",AM83,AM83,AO83,,AO$47)/SQRT($A62)</f>
        <v>#VALUE!</v>
      </c>
      <c r="AN62" s="22" t="e">
        <f>_xll.qlAbcdFunctionVolatility(AN$37,0,$A62,$A62,AN$32)</f>
        <v>#VALUE!</v>
      </c>
      <c r="AO62" s="41" t="e">
        <f>_xll.qlAbcdCalibrationK(AN$29,$A62,AM62,AN$32)</f>
        <v>#VALUE!</v>
      </c>
      <c r="AP62" s="92"/>
      <c r="AQ62" s="22" t="e">
        <f>_xll.qlBlackFormulaImpliedStdDev("Call",AQ83,AQ83,AS83,,AS$47)/SQRT($A62)</f>
        <v>#VALUE!</v>
      </c>
      <c r="AR62" s="22" t="e">
        <f>_xll.qlAbcdFunctionVolatility(AR$37,0,$A62,$A62,AR$32)</f>
        <v>#VALUE!</v>
      </c>
      <c r="AS62" s="41" t="e">
        <f>_xll.qlAbcdCalibrationK(AR$29,$A62,AQ62,AR$32)</f>
        <v>#VALUE!</v>
      </c>
      <c r="AU62" s="22" t="e">
        <f>_xll.qlBlackFormulaImpliedStdDev("Call",AU83,AU83,AW83,,AW$47)/SQRT($A62)</f>
        <v>#VALUE!</v>
      </c>
      <c r="AV62" s="22" t="e">
        <f>_xll.qlAbcdFunctionVolatility(AV$37,0,$A62,$A62,AV$32)</f>
        <v>#VALUE!</v>
      </c>
      <c r="AW62" s="41" t="e">
        <f>_xll.qlAbcdCalibrationK(AV$29,$A62,AU62,AV$32)</f>
        <v>#VALUE!</v>
      </c>
      <c r="AY62" s="22" t="e">
        <f>_xll.qlBlackFormulaImpliedStdDev("Call",AY83,AY83,BA83,,BA$47)/SQRT($A62)</f>
        <v>#VALUE!</v>
      </c>
      <c r="AZ62" s="22" t="e">
        <f>_xll.qlAbcdFunctionVolatility(AZ$37,0,$A62,$A62,AZ$32)</f>
        <v>#VALUE!</v>
      </c>
      <c r="BA62" s="41" t="e">
        <f>_xll.qlAbcdCalibrationK(AZ$29,$A62,AY62,AZ$32)</f>
        <v>#VALUE!</v>
      </c>
      <c r="BB62" s="92"/>
      <c r="BC62" s="22" t="e">
        <f>_xll.qlBlackFormulaImpliedStdDev("Call",BC83,BC83,BE83,,BE$47)/SQRT($A62)</f>
        <v>#VALUE!</v>
      </c>
      <c r="BD62" s="22" t="e">
        <f>_xll.qlAbcdFunctionVolatility(BD$37,0,$A62,$A62,BD$32)</f>
        <v>#VALUE!</v>
      </c>
      <c r="BE62" s="41" t="e">
        <f>_xll.qlAbcdCalibrationK(BD$29,$A62,BC62,BD$32)</f>
        <v>#VALUE!</v>
      </c>
      <c r="BG62" s="22" t="e">
        <f>_xll.qlBlackFormulaImpliedStdDev("Call",BG83,BG83,BI83,,BI$47)/SQRT($A62)</f>
        <v>#VALUE!</v>
      </c>
      <c r="BH62" s="22" t="e">
        <f>_xll.qlAbcdFunctionVolatility(BH$37,0,$A62,$A62,BH$32)</f>
        <v>#VALUE!</v>
      </c>
      <c r="BI62" s="41" t="e">
        <f>_xll.qlAbcdCalibrationK(BH$29,$A62,BG62,BH$32)</f>
        <v>#VALUE!</v>
      </c>
      <c r="BJ62" s="92"/>
      <c r="BK62" s="22" t="e">
        <f>_xll.qlBlackFormulaImpliedStdDev("Call",BK83,BK83,BM83,,BM$47)/SQRT($A62)</f>
        <v>#VALUE!</v>
      </c>
      <c r="BL62" s="22" t="e">
        <f>_xll.qlAbcdFunctionVolatility(BL$37,0,$A62,$A62,BL$32)</f>
        <v>#VALUE!</v>
      </c>
      <c r="BM62" s="41" t="e">
        <f>_xll.qlAbcdCalibrationK(BL$29,$A62,BK62,BL$32)</f>
        <v>#VALUE!</v>
      </c>
      <c r="BN62" s="92"/>
      <c r="BO62" s="22" t="e">
        <f>_xll.qlBlackFormulaImpliedStdDev("Call",BO83,BO83,BQ83,,BQ$47)/SQRT($A62)</f>
        <v>#VALUE!</v>
      </c>
      <c r="BP62" s="22" t="e">
        <f>_xll.qlAbcdFunctionVolatility(BP$37,0,$A62,$A62,BP$32)</f>
        <v>#VALUE!</v>
      </c>
      <c r="BQ62" s="41" t="e">
        <f>_xll.qlAbcdCalibrationK(BP$29,$A62,BO62,BP$32)</f>
        <v>#VALUE!</v>
      </c>
      <c r="BR62" s="92"/>
      <c r="BS62" s="22" t="e">
        <f>_xll.qlBlackFormulaImpliedStdDev("Call",BS83,BS83,BU83,,BU$47)/SQRT($A62)</f>
        <v>#VALUE!</v>
      </c>
      <c r="BT62" s="22" t="e">
        <f>_xll.qlAbcdFunctionVolatility(BT$37,0,$A62,$A62,BT$32)</f>
        <v>#VALUE!</v>
      </c>
      <c r="BU62" s="41" t="e">
        <f>_xll.qlAbcdCalibrationK(BT$29,$A62,BS62,BT$32)</f>
        <v>#VALUE!</v>
      </c>
      <c r="BV62" s="92"/>
      <c r="BW62" s="22" t="e">
        <f>_xll.qlBlackFormulaImpliedStdDev("Call",BW83,BW83,BY83,,BY$47)/SQRT($A62)</f>
        <v>#VALUE!</v>
      </c>
      <c r="BX62" s="22" t="e">
        <f>_xll.qlAbcdFunctionVolatility(BX$37,0,$A62,$A62,BX$32)</f>
        <v>#VALUE!</v>
      </c>
      <c r="BY62" s="41" t="e">
        <f>_xll.qlAbcdCalibrationK(BX$29,$A62,BW62,BX$32)</f>
        <v>#VALUE!</v>
      </c>
      <c r="CA62" s="22" t="e">
        <f>_xll.qlBlackFormulaImpliedStdDev("Call",CA83,CA83,CC83,,CC$47)/SQRT($A62)</f>
        <v>#VALUE!</v>
      </c>
      <c r="CB62" s="22" t="e">
        <f>_xll.qlAbcdFunctionVolatility(CB$37,0,$A62,$A62,CB$32)</f>
        <v>#VALUE!</v>
      </c>
      <c r="CC62" s="41" t="e">
        <f>_xll.qlAbcdCalibrationK(CB$29,$A62,CA62,CB$32)</f>
        <v>#VALUE!</v>
      </c>
      <c r="CD62" s="92"/>
      <c r="CE62" s="22" t="e">
        <f>_xll.qlBlackFormulaImpliedStdDev("Call",CE83,CE83,CG83,,CG$47)/SQRT($A62)</f>
        <v>#VALUE!</v>
      </c>
      <c r="CF62" s="22" t="e">
        <f>_xll.qlAbcdFunctionVolatility(CF$37,0,$A62,$A62,CF$32)</f>
        <v>#VALUE!</v>
      </c>
      <c r="CG62" s="41" t="e">
        <f>_xll.qlAbcdCalibrationK(CF$29,$A62,CE62,CF$32)</f>
        <v>#VALUE!</v>
      </c>
      <c r="CH62" s="92"/>
      <c r="CI62" s="22" t="e">
        <f>_xll.qlBlackFormulaImpliedStdDev("Call",CI83,CI83,CK83,,CK$47)/SQRT($A62)</f>
        <v>#VALUE!</v>
      </c>
      <c r="CJ62" s="22" t="e">
        <f>_xll.qlAbcdFunctionVolatility(CJ$37,0,$A62,$A62,CJ$32)</f>
        <v>#VALUE!</v>
      </c>
      <c r="CK62" s="41" t="e">
        <f>_xll.qlAbcdCalibrationK(CJ$29,$A62,CI62,CJ$32)</f>
        <v>#VALUE!</v>
      </c>
      <c r="CL62" s="92"/>
      <c r="CM62" s="22" t="e">
        <f>_xll.qlBlackFormulaImpliedStdDev("Call",CM83,CM83,CO83,,CO$47)/SQRT($A62)</f>
        <v>#VALUE!</v>
      </c>
      <c r="CN62" s="22" t="e">
        <f>_xll.qlAbcdFunctionVolatility(CN$37,0,$A62,$A62,CN$32)</f>
        <v>#VALUE!</v>
      </c>
      <c r="CO62" s="41" t="e">
        <f>_xll.qlAbcdCalibrationK(CN$29,$A62,CM62,CN$32)</f>
        <v>#VALUE!</v>
      </c>
      <c r="CP62" s="92"/>
      <c r="CQ62" s="22" t="e">
        <f>_xll.qlBlackFormulaImpliedStdDev("Call",CQ83,CQ83,CS83,,CS$47)/SQRT($A62)</f>
        <v>#VALUE!</v>
      </c>
      <c r="CR62" s="22" t="e">
        <f>_xll.qlAbcdFunctionVolatility(CR$37,0,$A62,$A62,CR$32)</f>
        <v>#VALUE!</v>
      </c>
      <c r="CS62" s="41" t="e">
        <f>_xll.qlAbcdCalibrationK(CR$29,$A62,CQ62,CR$32)</f>
        <v>#VALUE!</v>
      </c>
      <c r="CU62" s="22" t="e">
        <f>_xll.qlBlackFormulaImpliedStdDev("Call",CU83,CU83,CW83,,CW$47)/SQRT($A62)</f>
        <v>#VALUE!</v>
      </c>
      <c r="CV62" s="22" t="e">
        <f>_xll.qlAbcdFunctionVolatility(CV$37,0,$A62,$A62,CV$32)</f>
        <v>#VALUE!</v>
      </c>
      <c r="CW62" s="41" t="e">
        <f>_xll.qlAbcdCalibrationK(CV$29,$A62,CU62,CV$32)</f>
        <v>#VALUE!</v>
      </c>
      <c r="CX62" s="92"/>
      <c r="CY62" s="22" t="e">
        <f>_xll.qlBlackFormulaImpliedStdDev("Call",CY83,CY83,DA83,,DA$47)/SQRT($A62)</f>
        <v>#VALUE!</v>
      </c>
      <c r="CZ62" s="22" t="e">
        <f>_xll.qlAbcdFunctionVolatility(CZ$37,0,$A62,$A62,CZ$32)</f>
        <v>#VALUE!</v>
      </c>
      <c r="DA62" s="41" t="e">
        <f>_xll.qlAbcdCalibrationK(CZ$29,$A62,CY62,CZ$32)</f>
        <v>#VALUE!</v>
      </c>
      <c r="DB62" s="92"/>
      <c r="DC62" s="22" t="e">
        <f>_xll.qlBlackFormulaImpliedStdDev("Call",DC83,DC83,DE83,,DE$47)/SQRT($A62)</f>
        <v>#VALUE!</v>
      </c>
      <c r="DD62" s="22" t="e">
        <f>_xll.qlAbcdFunctionVolatility(DD$37,0,$A62,$A62,DD$32)</f>
        <v>#VALUE!</v>
      </c>
      <c r="DE62" s="41" t="e">
        <f>_xll.qlAbcdCalibrationK(DD$29,$A62,DC62,DD$32)</f>
        <v>#VALUE!</v>
      </c>
      <c r="DF62" s="92"/>
      <c r="DG62" s="22" t="e">
        <f>_xll.qlBlackFormulaImpliedStdDev("Call",DG83,DG83,DI83,,DI$47)/SQRT($A62)</f>
        <v>#VALUE!</v>
      </c>
      <c r="DH62" s="22" t="e">
        <f>_xll.qlAbcdFunctionVolatility(DH$37,0,$A62,$A62,DH$32)</f>
        <v>#VALUE!</v>
      </c>
      <c r="DI62" s="41" t="e">
        <f>_xll.qlAbcdCalibrationK(DH$29,$A62,DG62,DH$32)</f>
        <v>#VALUE!</v>
      </c>
      <c r="DJ62" s="92"/>
      <c r="DK62" s="22" t="e">
        <f>_xll.qlBlackFormulaImpliedStdDev("Call",DK83,DK83,DM83,,DM$47)/SQRT($A62)</f>
        <v>#VALUE!</v>
      </c>
      <c r="DL62" s="22" t="e">
        <f>_xll.qlAbcdFunctionVolatility(DL$37,0,$A62,$A62,DL$32)</f>
        <v>#VALUE!</v>
      </c>
      <c r="DM62" s="41" t="e">
        <f>_xll.qlAbcdCalibrationK(DL$29,$A62,DK62,DL$32)</f>
        <v>#VALUE!</v>
      </c>
      <c r="DO62" s="22" t="e">
        <f>_xll.qlBlackFormulaImpliedStdDev("Call",DO83,DO83,DQ83,,DQ$47)/SQRT($A62)</f>
        <v>#VALUE!</v>
      </c>
      <c r="DP62" s="22" t="e">
        <f>_xll.qlAbcdFunctionVolatility(DP$37,0,$A62,$A62,DP$32)</f>
        <v>#VALUE!</v>
      </c>
      <c r="DQ62" s="41" t="e">
        <f>_xll.qlAbcdCalibrationK(DP$29,$A62,DO62,DP$32)</f>
        <v>#VALUE!</v>
      </c>
    </row>
    <row r="63" spans="1:121" x14ac:dyDescent="0.2">
      <c r="A63" s="94" t="e">
        <f>_xll.qlDayCounterYearFraction(_xll.qlTermStructureDayCounter(Vol),_xll.qlTermStructureReferenceDate(Vol),A84,,,Trigger)</f>
        <v>#VALUE!</v>
      </c>
      <c r="B63" s="15" t="s">
        <v>55</v>
      </c>
      <c r="C63" s="22" t="e">
        <f>_xll.qlBlackFormulaImpliedStdDev("Call",C84,C84,E84,,E$47)/SQRT($A63)</f>
        <v>#VALUE!</v>
      </c>
      <c r="D63" s="22" t="e">
        <f>_xll.qlAbcdFunctionVolatility(D$37,0,$A63,$A63,D$32)</f>
        <v>#VALUE!</v>
      </c>
      <c r="E63" s="41" t="e">
        <f>_xll.qlAbcdCalibrationK(D$29,$A63,C63,D$32)</f>
        <v>#VALUE!</v>
      </c>
      <c r="F63" s="106"/>
      <c r="G63" s="22" t="e">
        <f>_xll.qlBlackFormulaImpliedStdDev("Call",G84,G84,I84,,I$47)/SQRT($A63)</f>
        <v>#VALUE!</v>
      </c>
      <c r="H63" s="22" t="e">
        <f>_xll.qlAbcdFunctionVolatility(H$37,0,$A63,$A63,H$32)</f>
        <v>#VALUE!</v>
      </c>
      <c r="I63" s="41" t="e">
        <f>_xll.qlAbcdCalibrationK(H$29,$A63,G63,H$32)</f>
        <v>#VALUE!</v>
      </c>
      <c r="J63" s="107"/>
      <c r="K63" s="22" t="e">
        <f>_xll.qlBlackFormulaImpliedStdDev("Call",K84,K84,M84,,M$47)/SQRT($A63)</f>
        <v>#VALUE!</v>
      </c>
      <c r="L63" s="22" t="e">
        <f>_xll.qlAbcdFunctionVolatility(L$37,0,$A63,$A63,L$32)</f>
        <v>#VALUE!</v>
      </c>
      <c r="M63" s="41" t="e">
        <f>_xll.qlAbcdCalibrationK(L$29,$A63,K63,L$32)</f>
        <v>#VALUE!</v>
      </c>
      <c r="O63" s="22" t="e">
        <f>_xll.qlBlackFormulaImpliedStdDev("Call",O84,O84,Q84,,Q$47)/SQRT($A63)</f>
        <v>#VALUE!</v>
      </c>
      <c r="P63" s="22" t="e">
        <f>_xll.qlAbcdFunctionVolatility(P$37,0,$A63,$A63,P$32)</f>
        <v>#VALUE!</v>
      </c>
      <c r="Q63" s="41" t="e">
        <f>_xll.qlAbcdCalibrationK(P$29,$A63,O63,P$32)</f>
        <v>#VALUE!</v>
      </c>
      <c r="S63" s="22" t="e">
        <f>_xll.qlBlackFormulaImpliedStdDev("Call",S84,S84,U84,,U$47)/SQRT($A63)</f>
        <v>#VALUE!</v>
      </c>
      <c r="T63" s="22" t="e">
        <f>_xll.qlAbcdFunctionVolatility(T$37,0,$A63,$A63,T$32)</f>
        <v>#VALUE!</v>
      </c>
      <c r="U63" s="41" t="e">
        <f>_xll.qlAbcdCalibrationK(T$29,$A63,S63,T$32)</f>
        <v>#VALUE!</v>
      </c>
      <c r="W63" s="22" t="e">
        <f>_xll.qlBlackFormulaImpliedStdDev("Call",W84,W84,Y84,,Y$47)/SQRT($A63)</f>
        <v>#VALUE!</v>
      </c>
      <c r="X63" s="22" t="e">
        <f>_xll.qlAbcdFunctionVolatility(X$37,0,$A63,$A63,X$32)</f>
        <v>#VALUE!</v>
      </c>
      <c r="Y63" s="41" t="e">
        <f>_xll.qlAbcdCalibrationK(X$29,$A63,W63,X$32)</f>
        <v>#VALUE!</v>
      </c>
      <c r="AA63" s="22" t="e">
        <f>_xll.qlBlackFormulaImpliedStdDev("Call",AA84,AA84,AC84,,AC$47)/SQRT($A63)</f>
        <v>#VALUE!</v>
      </c>
      <c r="AB63" s="22" t="e">
        <f>_xll.qlAbcdFunctionVolatility(AB$37,0,$A63,$A63,AB$32)</f>
        <v>#VALUE!</v>
      </c>
      <c r="AC63" s="41" t="e">
        <f>_xll.qlAbcdCalibrationK(AB$29,$A63,AA63,AB$32)</f>
        <v>#VALUE!</v>
      </c>
      <c r="AE63" s="22" t="e">
        <f>_xll.qlBlackFormulaImpliedStdDev("Call",AE84,AE84,AG84,,AG$47)/SQRT($A63)</f>
        <v>#VALUE!</v>
      </c>
      <c r="AF63" s="22" t="e">
        <f>_xll.qlAbcdFunctionVolatility(AF$37,0,$A63,$A63,AF$32)</f>
        <v>#VALUE!</v>
      </c>
      <c r="AG63" s="41" t="e">
        <f>_xll.qlAbcdCalibrationK(AF$29,$A63,AE63,AF$32)</f>
        <v>#VALUE!</v>
      </c>
      <c r="AI63" s="22" t="e">
        <f>_xll.qlBlackFormulaImpliedStdDev("Call",AI84,AI84,AK84,,AK$47)/SQRT($A63)</f>
        <v>#VALUE!</v>
      </c>
      <c r="AJ63" s="22" t="e">
        <f>_xll.qlAbcdFunctionVolatility(AJ$37,0,$A63,$A63,AJ$32)</f>
        <v>#VALUE!</v>
      </c>
      <c r="AK63" s="41" t="e">
        <f>_xll.qlAbcdCalibrationK(AJ$29,$A63,AI63,AJ$32)</f>
        <v>#VALUE!</v>
      </c>
      <c r="AM63" s="22" t="e">
        <f>_xll.qlBlackFormulaImpliedStdDev("Call",AM84,AM84,AO84,,AO$47)/SQRT($A63)</f>
        <v>#VALUE!</v>
      </c>
      <c r="AN63" s="22" t="e">
        <f>_xll.qlAbcdFunctionVolatility(AN$37,0,$A63,$A63,AN$32)</f>
        <v>#VALUE!</v>
      </c>
      <c r="AO63" s="41" t="e">
        <f>_xll.qlAbcdCalibrationK(AN$29,$A63,AM63,AN$32)</f>
        <v>#VALUE!</v>
      </c>
      <c r="AP63" s="92"/>
      <c r="AQ63" s="22" t="e">
        <f>_xll.qlBlackFormulaImpliedStdDev("Call",AQ84,AQ84,AS84,,AS$47)/SQRT($A63)</f>
        <v>#VALUE!</v>
      </c>
      <c r="AR63" s="22" t="e">
        <f>_xll.qlAbcdFunctionVolatility(AR$37,0,$A63,$A63,AR$32)</f>
        <v>#VALUE!</v>
      </c>
      <c r="AS63" s="41" t="e">
        <f>_xll.qlAbcdCalibrationK(AR$29,$A63,AQ63,AR$32)</f>
        <v>#VALUE!</v>
      </c>
      <c r="AU63" s="22" t="e">
        <f>_xll.qlBlackFormulaImpliedStdDev("Call",AU84,AU84,AW84,,AW$47)/SQRT($A63)</f>
        <v>#VALUE!</v>
      </c>
      <c r="AV63" s="22" t="e">
        <f>_xll.qlAbcdFunctionVolatility(AV$37,0,$A63,$A63,AV$32)</f>
        <v>#VALUE!</v>
      </c>
      <c r="AW63" s="41" t="e">
        <f>_xll.qlAbcdCalibrationK(AV$29,$A63,AU63,AV$32)</f>
        <v>#VALUE!</v>
      </c>
      <c r="AY63" s="22" t="e">
        <f>_xll.qlBlackFormulaImpliedStdDev("Call",AY84,AY84,BA84,,BA$47)/SQRT($A63)</f>
        <v>#VALUE!</v>
      </c>
      <c r="AZ63" s="22" t="e">
        <f>_xll.qlAbcdFunctionVolatility(AZ$37,0,$A63,$A63,AZ$32)</f>
        <v>#VALUE!</v>
      </c>
      <c r="BA63" s="41" t="e">
        <f>_xll.qlAbcdCalibrationK(AZ$29,$A63,AY63,AZ$32)</f>
        <v>#VALUE!</v>
      </c>
      <c r="BB63" s="92"/>
      <c r="BC63" s="22" t="e">
        <f>_xll.qlBlackFormulaImpliedStdDev("Call",BC84,BC84,BE84,,BE$47)/SQRT($A63)</f>
        <v>#VALUE!</v>
      </c>
      <c r="BD63" s="22" t="e">
        <f>_xll.qlAbcdFunctionVolatility(BD$37,0,$A63,$A63,BD$32)</f>
        <v>#VALUE!</v>
      </c>
      <c r="BE63" s="41" t="e">
        <f>_xll.qlAbcdCalibrationK(BD$29,$A63,BC63,BD$32)</f>
        <v>#VALUE!</v>
      </c>
      <c r="BG63" s="22" t="e">
        <f>_xll.qlBlackFormulaImpliedStdDev("Call",BG84,BG84,BI84,,BI$47)/SQRT($A63)</f>
        <v>#VALUE!</v>
      </c>
      <c r="BH63" s="22" t="e">
        <f>_xll.qlAbcdFunctionVolatility(BH$37,0,$A63,$A63,BH$32)</f>
        <v>#VALUE!</v>
      </c>
      <c r="BI63" s="41" t="e">
        <f>_xll.qlAbcdCalibrationK(BH$29,$A63,BG63,BH$32)</f>
        <v>#VALUE!</v>
      </c>
      <c r="BJ63" s="92"/>
      <c r="BK63" s="22" t="e">
        <f>_xll.qlBlackFormulaImpliedStdDev("Call",BK84,BK84,BM84,,BM$47)/SQRT($A63)</f>
        <v>#VALUE!</v>
      </c>
      <c r="BL63" s="22" t="e">
        <f>_xll.qlAbcdFunctionVolatility(BL$37,0,$A63,$A63,BL$32)</f>
        <v>#VALUE!</v>
      </c>
      <c r="BM63" s="41" t="e">
        <f>_xll.qlAbcdCalibrationK(BL$29,$A63,BK63,BL$32)</f>
        <v>#VALUE!</v>
      </c>
      <c r="BN63" s="92"/>
      <c r="BO63" s="22" t="e">
        <f>_xll.qlBlackFormulaImpliedStdDev("Call",BO84,BO84,BQ84,,BQ$47)/SQRT($A63)</f>
        <v>#VALUE!</v>
      </c>
      <c r="BP63" s="22" t="e">
        <f>_xll.qlAbcdFunctionVolatility(BP$37,0,$A63,$A63,BP$32)</f>
        <v>#VALUE!</v>
      </c>
      <c r="BQ63" s="41" t="e">
        <f>_xll.qlAbcdCalibrationK(BP$29,$A63,BO63,BP$32)</f>
        <v>#VALUE!</v>
      </c>
      <c r="BR63" s="92"/>
      <c r="BS63" s="22" t="e">
        <f>_xll.qlBlackFormulaImpliedStdDev("Call",BS84,BS84,BU84,,BU$47)/SQRT($A63)</f>
        <v>#VALUE!</v>
      </c>
      <c r="BT63" s="22" t="e">
        <f>_xll.qlAbcdFunctionVolatility(BT$37,0,$A63,$A63,BT$32)</f>
        <v>#VALUE!</v>
      </c>
      <c r="BU63" s="41" t="e">
        <f>_xll.qlAbcdCalibrationK(BT$29,$A63,BS63,BT$32)</f>
        <v>#VALUE!</v>
      </c>
      <c r="BV63" s="92"/>
      <c r="BW63" s="22" t="e">
        <f>_xll.qlBlackFormulaImpliedStdDev("Call",BW84,BW84,BY84,,BY$47)/SQRT($A63)</f>
        <v>#VALUE!</v>
      </c>
      <c r="BX63" s="22" t="e">
        <f>_xll.qlAbcdFunctionVolatility(BX$37,0,$A63,$A63,BX$32)</f>
        <v>#VALUE!</v>
      </c>
      <c r="BY63" s="41" t="e">
        <f>_xll.qlAbcdCalibrationK(BX$29,$A63,BW63,BX$32)</f>
        <v>#VALUE!</v>
      </c>
      <c r="CA63" s="22" t="e">
        <f>_xll.qlBlackFormulaImpliedStdDev("Call",CA84,CA84,CC84,,CC$47)/SQRT($A63)</f>
        <v>#VALUE!</v>
      </c>
      <c r="CB63" s="22" t="e">
        <f>_xll.qlAbcdFunctionVolatility(CB$37,0,$A63,$A63,CB$32)</f>
        <v>#VALUE!</v>
      </c>
      <c r="CC63" s="41" t="e">
        <f>_xll.qlAbcdCalibrationK(CB$29,$A63,CA63,CB$32)</f>
        <v>#VALUE!</v>
      </c>
      <c r="CD63" s="92"/>
      <c r="CE63" s="22" t="e">
        <f>_xll.qlBlackFormulaImpliedStdDev("Call",CE84,CE84,CG84,,CG$47)/SQRT($A63)</f>
        <v>#VALUE!</v>
      </c>
      <c r="CF63" s="22" t="e">
        <f>_xll.qlAbcdFunctionVolatility(CF$37,0,$A63,$A63,CF$32)</f>
        <v>#VALUE!</v>
      </c>
      <c r="CG63" s="41" t="e">
        <f>_xll.qlAbcdCalibrationK(CF$29,$A63,CE63,CF$32)</f>
        <v>#VALUE!</v>
      </c>
      <c r="CH63" s="92"/>
      <c r="CI63" s="22" t="e">
        <f>_xll.qlBlackFormulaImpliedStdDev("Call",CI84,CI84,CK84,,CK$47)/SQRT($A63)</f>
        <v>#VALUE!</v>
      </c>
      <c r="CJ63" s="22" t="e">
        <f>_xll.qlAbcdFunctionVolatility(CJ$37,0,$A63,$A63,CJ$32)</f>
        <v>#VALUE!</v>
      </c>
      <c r="CK63" s="41" t="e">
        <f>_xll.qlAbcdCalibrationK(CJ$29,$A63,CI63,CJ$32)</f>
        <v>#VALUE!</v>
      </c>
      <c r="CL63" s="92"/>
      <c r="CM63" s="22" t="e">
        <f>_xll.qlBlackFormulaImpliedStdDev("Call",CM84,CM84,CO84,,CO$47)/SQRT($A63)</f>
        <v>#VALUE!</v>
      </c>
      <c r="CN63" s="22" t="e">
        <f>_xll.qlAbcdFunctionVolatility(CN$37,0,$A63,$A63,CN$32)</f>
        <v>#VALUE!</v>
      </c>
      <c r="CO63" s="41" t="e">
        <f>_xll.qlAbcdCalibrationK(CN$29,$A63,CM63,CN$32)</f>
        <v>#VALUE!</v>
      </c>
      <c r="CP63" s="92"/>
      <c r="CQ63" s="22" t="e">
        <f>_xll.qlBlackFormulaImpliedStdDev("Call",CQ84,CQ84,CS84,,CS$47)/SQRT($A63)</f>
        <v>#VALUE!</v>
      </c>
      <c r="CR63" s="22" t="e">
        <f>_xll.qlAbcdFunctionVolatility(CR$37,0,$A63,$A63,CR$32)</f>
        <v>#VALUE!</v>
      </c>
      <c r="CS63" s="41" t="e">
        <f>_xll.qlAbcdCalibrationK(CR$29,$A63,CQ63,CR$32)</f>
        <v>#VALUE!</v>
      </c>
      <c r="CU63" s="22" t="e">
        <f>_xll.qlBlackFormulaImpliedStdDev("Call",CU84,CU84,CW84,,CW$47)/SQRT($A63)</f>
        <v>#VALUE!</v>
      </c>
      <c r="CV63" s="22" t="e">
        <f>_xll.qlAbcdFunctionVolatility(CV$37,0,$A63,$A63,CV$32)</f>
        <v>#VALUE!</v>
      </c>
      <c r="CW63" s="41" t="e">
        <f>_xll.qlAbcdCalibrationK(CV$29,$A63,CU63,CV$32)</f>
        <v>#VALUE!</v>
      </c>
      <c r="CX63" s="92"/>
      <c r="CY63" s="22" t="e">
        <f>_xll.qlBlackFormulaImpliedStdDev("Call",CY84,CY84,DA84,,DA$47)/SQRT($A63)</f>
        <v>#VALUE!</v>
      </c>
      <c r="CZ63" s="22" t="e">
        <f>_xll.qlAbcdFunctionVolatility(CZ$37,0,$A63,$A63,CZ$32)</f>
        <v>#VALUE!</v>
      </c>
      <c r="DA63" s="41" t="e">
        <f>_xll.qlAbcdCalibrationK(CZ$29,$A63,CY63,CZ$32)</f>
        <v>#VALUE!</v>
      </c>
      <c r="DB63" s="92"/>
      <c r="DC63" s="22" t="e">
        <f>_xll.qlBlackFormulaImpliedStdDev("Call",DC84,DC84,DE84,,DE$47)/SQRT($A63)</f>
        <v>#VALUE!</v>
      </c>
      <c r="DD63" s="22" t="e">
        <f>_xll.qlAbcdFunctionVolatility(DD$37,0,$A63,$A63,DD$32)</f>
        <v>#VALUE!</v>
      </c>
      <c r="DE63" s="41" t="e">
        <f>_xll.qlAbcdCalibrationK(DD$29,$A63,DC63,DD$32)</f>
        <v>#VALUE!</v>
      </c>
      <c r="DF63" s="92"/>
      <c r="DG63" s="22" t="e">
        <f>_xll.qlBlackFormulaImpliedStdDev("Call",DG84,DG84,DI84,,DI$47)/SQRT($A63)</f>
        <v>#VALUE!</v>
      </c>
      <c r="DH63" s="22" t="e">
        <f>_xll.qlAbcdFunctionVolatility(DH$37,0,$A63,$A63,DH$32)</f>
        <v>#VALUE!</v>
      </c>
      <c r="DI63" s="41" t="e">
        <f>_xll.qlAbcdCalibrationK(DH$29,$A63,DG63,DH$32)</f>
        <v>#VALUE!</v>
      </c>
      <c r="DJ63" s="92"/>
      <c r="DK63" s="22" t="e">
        <f>_xll.qlBlackFormulaImpliedStdDev("Call",DK84,DK84,DM84,,DM$47)/SQRT($A63)</f>
        <v>#VALUE!</v>
      </c>
      <c r="DL63" s="22" t="e">
        <f>_xll.qlAbcdFunctionVolatility(DL$37,0,$A63,$A63,DL$32)</f>
        <v>#VALUE!</v>
      </c>
      <c r="DM63" s="41" t="e">
        <f>_xll.qlAbcdCalibrationK(DL$29,$A63,DK63,DL$32)</f>
        <v>#VALUE!</v>
      </c>
      <c r="DO63" s="22" t="e">
        <f>_xll.qlBlackFormulaImpliedStdDev("Call",DO84,DO84,DQ84,,DQ$47)/SQRT($A63)</f>
        <v>#VALUE!</v>
      </c>
      <c r="DP63" s="22" t="e">
        <f>_xll.qlAbcdFunctionVolatility(DP$37,0,$A63,$A63,DP$32)</f>
        <v>#VALUE!</v>
      </c>
      <c r="DQ63" s="41" t="e">
        <f>_xll.qlAbcdCalibrationK(DP$29,$A63,DO63,DP$32)</f>
        <v>#VALUE!</v>
      </c>
    </row>
    <row r="64" spans="1:121" x14ac:dyDescent="0.2">
      <c r="A64" s="94" t="e">
        <f>_xll.qlDayCounterYearFraction(_xll.qlTermStructureDayCounter(Vol),_xll.qlTermStructureReferenceDate(Vol),A85,,,Trigger)</f>
        <v>#VALUE!</v>
      </c>
      <c r="B64" s="15" t="s">
        <v>33</v>
      </c>
      <c r="C64" s="22" t="e">
        <f>_xll.qlBlackFormulaImpliedStdDev("Call",C85,C85,E85,,E$47)/SQRT($A64)</f>
        <v>#VALUE!</v>
      </c>
      <c r="D64" s="22" t="e">
        <f>_xll.qlAbcdFunctionVolatility(D$37,0,$A64,$A64,D$32)</f>
        <v>#VALUE!</v>
      </c>
      <c r="E64" s="41" t="e">
        <f>_xll.qlAbcdCalibrationK(D$29,$A64,C64,D$32)</f>
        <v>#VALUE!</v>
      </c>
      <c r="F64" s="106"/>
      <c r="G64" s="22" t="e">
        <f>_xll.qlBlackFormulaImpliedStdDev("Call",G85,G85,I85,,I$47)/SQRT($A64)</f>
        <v>#VALUE!</v>
      </c>
      <c r="H64" s="22" t="e">
        <f>_xll.qlAbcdFunctionVolatility(H$37,0,$A64,$A64,H$32)</f>
        <v>#VALUE!</v>
      </c>
      <c r="I64" s="41" t="e">
        <f>_xll.qlAbcdCalibrationK(H$29,$A64,G64,H$32)</f>
        <v>#VALUE!</v>
      </c>
      <c r="J64" s="107"/>
      <c r="K64" s="22" t="e">
        <f>_xll.qlBlackFormulaImpliedStdDev("Call",K85,K85,M85,,M$47)/SQRT($A64)</f>
        <v>#VALUE!</v>
      </c>
      <c r="L64" s="22" t="e">
        <f>_xll.qlAbcdFunctionVolatility(L$37,0,$A64,$A64,L$32)</f>
        <v>#VALUE!</v>
      </c>
      <c r="M64" s="41" t="e">
        <f>_xll.qlAbcdCalibrationK(L$29,$A64,K64,L$32)</f>
        <v>#VALUE!</v>
      </c>
      <c r="O64" s="22" t="e">
        <f>_xll.qlBlackFormulaImpliedStdDev("Call",O85,O85,Q85,,Q$47)/SQRT($A64)</f>
        <v>#VALUE!</v>
      </c>
      <c r="P64" s="22" t="e">
        <f>_xll.qlAbcdFunctionVolatility(P$37,0,$A64,$A64,P$32)</f>
        <v>#VALUE!</v>
      </c>
      <c r="Q64" s="41" t="e">
        <f>_xll.qlAbcdCalibrationK(P$29,$A64,O64,P$32)</f>
        <v>#VALUE!</v>
      </c>
      <c r="S64" s="22" t="e">
        <f>_xll.qlBlackFormulaImpliedStdDev("Call",S85,S85,U85,,U$47)/SQRT($A64)</f>
        <v>#VALUE!</v>
      </c>
      <c r="T64" s="22" t="e">
        <f>_xll.qlAbcdFunctionVolatility(T$37,0,$A64,$A64,T$32)</f>
        <v>#VALUE!</v>
      </c>
      <c r="U64" s="41" t="e">
        <f>_xll.qlAbcdCalibrationK(T$29,$A64,S64,T$32)</f>
        <v>#VALUE!</v>
      </c>
      <c r="W64" s="22" t="e">
        <f>_xll.qlBlackFormulaImpliedStdDev("Call",W85,W85,Y85,,Y$47)/SQRT($A64)</f>
        <v>#VALUE!</v>
      </c>
      <c r="X64" s="22" t="e">
        <f>_xll.qlAbcdFunctionVolatility(X$37,0,$A64,$A64,X$32)</f>
        <v>#VALUE!</v>
      </c>
      <c r="Y64" s="41" t="e">
        <f>_xll.qlAbcdCalibrationK(X$29,$A64,W64,X$32)</f>
        <v>#VALUE!</v>
      </c>
      <c r="AA64" s="22" t="e">
        <f>_xll.qlBlackFormulaImpliedStdDev("Call",AA85,AA85,AC85,,AC$47)/SQRT($A64)</f>
        <v>#VALUE!</v>
      </c>
      <c r="AB64" s="22" t="e">
        <f>_xll.qlAbcdFunctionVolatility(AB$37,0,$A64,$A64,AB$32)</f>
        <v>#VALUE!</v>
      </c>
      <c r="AC64" s="41" t="e">
        <f>_xll.qlAbcdCalibrationK(AB$29,$A64,AA64,AB$32)</f>
        <v>#VALUE!</v>
      </c>
      <c r="AE64" s="22" t="e">
        <f>_xll.qlBlackFormulaImpliedStdDev("Call",AE85,AE85,AG85,,AG$47)/SQRT($A64)</f>
        <v>#VALUE!</v>
      </c>
      <c r="AF64" s="22" t="e">
        <f>_xll.qlAbcdFunctionVolatility(AF$37,0,$A64,$A64,AF$32)</f>
        <v>#VALUE!</v>
      </c>
      <c r="AG64" s="41" t="e">
        <f>_xll.qlAbcdCalibrationK(AF$29,$A64,AE64,AF$32)</f>
        <v>#VALUE!</v>
      </c>
      <c r="AI64" s="22" t="e">
        <f>_xll.qlBlackFormulaImpliedStdDev("Call",AI85,AI85,AK85,,AK$47)/SQRT($A64)</f>
        <v>#VALUE!</v>
      </c>
      <c r="AJ64" s="22" t="e">
        <f>_xll.qlAbcdFunctionVolatility(AJ$37,0,$A64,$A64,AJ$32)</f>
        <v>#VALUE!</v>
      </c>
      <c r="AK64" s="41" t="e">
        <f>_xll.qlAbcdCalibrationK(AJ$29,$A64,AI64,AJ$32)</f>
        <v>#VALUE!</v>
      </c>
      <c r="AM64" s="22" t="e">
        <f>_xll.qlBlackFormulaImpliedStdDev("Call",AM85,AM85,AO85,,AO$47)/SQRT($A64)</f>
        <v>#VALUE!</v>
      </c>
      <c r="AN64" s="22" t="e">
        <f>_xll.qlAbcdFunctionVolatility(AN$37,0,$A64,$A64,AN$32)</f>
        <v>#VALUE!</v>
      </c>
      <c r="AO64" s="41" t="e">
        <f>_xll.qlAbcdCalibrationK(AN$29,$A64,AM64,AN$32)</f>
        <v>#VALUE!</v>
      </c>
      <c r="AP64" s="92"/>
      <c r="AQ64" s="22" t="e">
        <f>_xll.qlBlackFormulaImpliedStdDev("Call",AQ85,AQ85,AS85,,AS$47)/SQRT($A64)</f>
        <v>#VALUE!</v>
      </c>
      <c r="AR64" s="22" t="e">
        <f>_xll.qlAbcdFunctionVolatility(AR$37,0,$A64,$A64,AR$32)</f>
        <v>#VALUE!</v>
      </c>
      <c r="AS64" s="41" t="e">
        <f>_xll.qlAbcdCalibrationK(AR$29,$A64,AQ64,AR$32)</f>
        <v>#VALUE!</v>
      </c>
      <c r="AU64" s="22" t="e">
        <f>_xll.qlBlackFormulaImpliedStdDev("Call",AU85,AU85,AW85,,AW$47)/SQRT($A64)</f>
        <v>#VALUE!</v>
      </c>
      <c r="AV64" s="22" t="e">
        <f>_xll.qlAbcdFunctionVolatility(AV$37,0,$A64,$A64,AV$32)</f>
        <v>#VALUE!</v>
      </c>
      <c r="AW64" s="41" t="e">
        <f>_xll.qlAbcdCalibrationK(AV$29,$A64,AU64,AV$32)</f>
        <v>#VALUE!</v>
      </c>
      <c r="AY64" s="22" t="e">
        <f>_xll.qlBlackFormulaImpliedStdDev("Call",AY85,AY85,BA85,,BA$47)/SQRT($A64)</f>
        <v>#VALUE!</v>
      </c>
      <c r="AZ64" s="22" t="e">
        <f>_xll.qlAbcdFunctionVolatility(AZ$37,0,$A64,$A64,AZ$32)</f>
        <v>#VALUE!</v>
      </c>
      <c r="BA64" s="41" t="e">
        <f>_xll.qlAbcdCalibrationK(AZ$29,$A64,AY64,AZ$32)</f>
        <v>#VALUE!</v>
      </c>
      <c r="BB64" s="92"/>
      <c r="BC64" s="22" t="e">
        <f>_xll.qlBlackFormulaImpliedStdDev("Call",BC85,BC85,BE85,,BE$47)/SQRT($A64)</f>
        <v>#VALUE!</v>
      </c>
      <c r="BD64" s="22" t="e">
        <f>_xll.qlAbcdFunctionVolatility(BD$37,0,$A64,$A64,BD$32)</f>
        <v>#VALUE!</v>
      </c>
      <c r="BE64" s="41" t="e">
        <f>_xll.qlAbcdCalibrationK(BD$29,$A64,BC64,BD$32)</f>
        <v>#VALUE!</v>
      </c>
      <c r="BG64" s="22" t="e">
        <f>_xll.qlBlackFormulaImpliedStdDev("Call",BG85,BG85,BI85,,BI$47)/SQRT($A64)</f>
        <v>#VALUE!</v>
      </c>
      <c r="BH64" s="22" t="e">
        <f>_xll.qlAbcdFunctionVolatility(BH$37,0,$A64,$A64,BH$32)</f>
        <v>#VALUE!</v>
      </c>
      <c r="BI64" s="41" t="e">
        <f>_xll.qlAbcdCalibrationK(BH$29,$A64,BG64,BH$32)</f>
        <v>#VALUE!</v>
      </c>
      <c r="BJ64" s="92"/>
      <c r="BK64" s="22" t="e">
        <f>_xll.qlBlackFormulaImpliedStdDev("Call",BK85,BK85,BM85,,BM$47)/SQRT($A64)</f>
        <v>#VALUE!</v>
      </c>
      <c r="BL64" s="22" t="e">
        <f>_xll.qlAbcdFunctionVolatility(BL$37,0,$A64,$A64,BL$32)</f>
        <v>#VALUE!</v>
      </c>
      <c r="BM64" s="41" t="e">
        <f>_xll.qlAbcdCalibrationK(BL$29,$A64,BK64,BL$32)</f>
        <v>#VALUE!</v>
      </c>
      <c r="BN64" s="92"/>
      <c r="BO64" s="22" t="e">
        <f>_xll.qlBlackFormulaImpliedStdDev("Call",BO85,BO85,BQ85,,BQ$47)/SQRT($A64)</f>
        <v>#VALUE!</v>
      </c>
      <c r="BP64" s="22" t="e">
        <f>_xll.qlAbcdFunctionVolatility(BP$37,0,$A64,$A64,BP$32)</f>
        <v>#VALUE!</v>
      </c>
      <c r="BQ64" s="41" t="e">
        <f>_xll.qlAbcdCalibrationK(BP$29,$A64,BO64,BP$32)</f>
        <v>#VALUE!</v>
      </c>
      <c r="BR64" s="92"/>
      <c r="BS64" s="22" t="e">
        <f>_xll.qlBlackFormulaImpliedStdDev("Call",BS85,BS85,BU85,,BU$47)/SQRT($A64)</f>
        <v>#VALUE!</v>
      </c>
      <c r="BT64" s="22" t="e">
        <f>_xll.qlAbcdFunctionVolatility(BT$37,0,$A64,$A64,BT$32)</f>
        <v>#VALUE!</v>
      </c>
      <c r="BU64" s="41" t="e">
        <f>_xll.qlAbcdCalibrationK(BT$29,$A64,BS64,BT$32)</f>
        <v>#VALUE!</v>
      </c>
      <c r="BV64" s="92"/>
      <c r="BW64" s="22" t="e">
        <f>_xll.qlBlackFormulaImpliedStdDev("Call",BW85,BW85,BY85,,BY$47)/SQRT($A64)</f>
        <v>#VALUE!</v>
      </c>
      <c r="BX64" s="22" t="e">
        <f>_xll.qlAbcdFunctionVolatility(BX$37,0,$A64,$A64,BX$32)</f>
        <v>#VALUE!</v>
      </c>
      <c r="BY64" s="41" t="e">
        <f>_xll.qlAbcdCalibrationK(BX$29,$A64,BW64,BX$32)</f>
        <v>#VALUE!</v>
      </c>
      <c r="CA64" s="22" t="e">
        <f>_xll.qlBlackFormulaImpliedStdDev("Call",CA85,CA85,CC85,,CC$47)/SQRT($A64)</f>
        <v>#VALUE!</v>
      </c>
      <c r="CB64" s="22" t="e">
        <f>_xll.qlAbcdFunctionVolatility(CB$37,0,$A64,$A64,CB$32)</f>
        <v>#VALUE!</v>
      </c>
      <c r="CC64" s="41" t="e">
        <f>_xll.qlAbcdCalibrationK(CB$29,$A64,CA64,CB$32)</f>
        <v>#VALUE!</v>
      </c>
      <c r="CD64" s="92"/>
      <c r="CE64" s="22" t="e">
        <f>_xll.qlBlackFormulaImpliedStdDev("Call",CE85,CE85,CG85,,CG$47)/SQRT($A64)</f>
        <v>#VALUE!</v>
      </c>
      <c r="CF64" s="22" t="e">
        <f>_xll.qlAbcdFunctionVolatility(CF$37,0,$A64,$A64,CF$32)</f>
        <v>#VALUE!</v>
      </c>
      <c r="CG64" s="41" t="e">
        <f>_xll.qlAbcdCalibrationK(CF$29,$A64,CE64,CF$32)</f>
        <v>#VALUE!</v>
      </c>
      <c r="CH64" s="92"/>
      <c r="CI64" s="22" t="e">
        <f>_xll.qlBlackFormulaImpliedStdDev("Call",CI85,CI85,CK85,,CK$47)/SQRT($A64)</f>
        <v>#VALUE!</v>
      </c>
      <c r="CJ64" s="22" t="e">
        <f>_xll.qlAbcdFunctionVolatility(CJ$37,0,$A64,$A64,CJ$32)</f>
        <v>#VALUE!</v>
      </c>
      <c r="CK64" s="41" t="e">
        <f>_xll.qlAbcdCalibrationK(CJ$29,$A64,CI64,CJ$32)</f>
        <v>#VALUE!</v>
      </c>
      <c r="CL64" s="92"/>
      <c r="CM64" s="22" t="e">
        <f>_xll.qlBlackFormulaImpliedStdDev("Call",CM85,CM85,CO85,,CO$47)/SQRT($A64)</f>
        <v>#VALUE!</v>
      </c>
      <c r="CN64" s="22" t="e">
        <f>_xll.qlAbcdFunctionVolatility(CN$37,0,$A64,$A64,CN$32)</f>
        <v>#VALUE!</v>
      </c>
      <c r="CO64" s="41" t="e">
        <f>_xll.qlAbcdCalibrationK(CN$29,$A64,CM64,CN$32)</f>
        <v>#VALUE!</v>
      </c>
      <c r="CP64" s="92"/>
      <c r="CQ64" s="22" t="e">
        <f>_xll.qlBlackFormulaImpliedStdDev("Call",CQ85,CQ85,CS85,,CS$47)/SQRT($A64)</f>
        <v>#VALUE!</v>
      </c>
      <c r="CR64" s="22" t="e">
        <f>_xll.qlAbcdFunctionVolatility(CR$37,0,$A64,$A64,CR$32)</f>
        <v>#VALUE!</v>
      </c>
      <c r="CS64" s="41" t="e">
        <f>_xll.qlAbcdCalibrationK(CR$29,$A64,CQ64,CR$32)</f>
        <v>#VALUE!</v>
      </c>
      <c r="CU64" s="22" t="e">
        <f>_xll.qlBlackFormulaImpliedStdDev("Call",CU85,CU85,CW85,,CW$47)/SQRT($A64)</f>
        <v>#VALUE!</v>
      </c>
      <c r="CV64" s="22" t="e">
        <f>_xll.qlAbcdFunctionVolatility(CV$37,0,$A64,$A64,CV$32)</f>
        <v>#VALUE!</v>
      </c>
      <c r="CW64" s="41" t="e">
        <f>_xll.qlAbcdCalibrationK(CV$29,$A64,CU64,CV$32)</f>
        <v>#VALUE!</v>
      </c>
      <c r="CX64" s="92"/>
      <c r="CY64" s="22" t="e">
        <f>_xll.qlBlackFormulaImpliedStdDev("Call",CY85,CY85,DA85,,DA$47)/SQRT($A64)</f>
        <v>#VALUE!</v>
      </c>
      <c r="CZ64" s="22" t="e">
        <f>_xll.qlAbcdFunctionVolatility(CZ$37,0,$A64,$A64,CZ$32)</f>
        <v>#VALUE!</v>
      </c>
      <c r="DA64" s="41" t="e">
        <f>_xll.qlAbcdCalibrationK(CZ$29,$A64,CY64,CZ$32)</f>
        <v>#VALUE!</v>
      </c>
      <c r="DB64" s="92"/>
      <c r="DC64" s="22" t="e">
        <f>_xll.qlBlackFormulaImpliedStdDev("Call",DC85,DC85,DE85,,DE$47)/SQRT($A64)</f>
        <v>#VALUE!</v>
      </c>
      <c r="DD64" s="22" t="e">
        <f>_xll.qlAbcdFunctionVolatility(DD$37,0,$A64,$A64,DD$32)</f>
        <v>#VALUE!</v>
      </c>
      <c r="DE64" s="41" t="e">
        <f>_xll.qlAbcdCalibrationK(DD$29,$A64,DC64,DD$32)</f>
        <v>#VALUE!</v>
      </c>
      <c r="DF64" s="92"/>
      <c r="DG64" s="22" t="e">
        <f>_xll.qlBlackFormulaImpliedStdDev("Call",DG85,DG85,DI85,,DI$47)/SQRT($A64)</f>
        <v>#VALUE!</v>
      </c>
      <c r="DH64" s="22" t="e">
        <f>_xll.qlAbcdFunctionVolatility(DH$37,0,$A64,$A64,DH$32)</f>
        <v>#VALUE!</v>
      </c>
      <c r="DI64" s="41" t="e">
        <f>_xll.qlAbcdCalibrationK(DH$29,$A64,DG64,DH$32)</f>
        <v>#VALUE!</v>
      </c>
      <c r="DJ64" s="92"/>
      <c r="DK64" s="22" t="e">
        <f>_xll.qlBlackFormulaImpliedStdDev("Call",DK85,DK85,DM85,,DM$47)/SQRT($A64)</f>
        <v>#VALUE!</v>
      </c>
      <c r="DL64" s="22" t="e">
        <f>_xll.qlAbcdFunctionVolatility(DL$37,0,$A64,$A64,DL$32)</f>
        <v>#VALUE!</v>
      </c>
      <c r="DM64" s="41" t="e">
        <f>_xll.qlAbcdCalibrationK(DL$29,$A64,DK64,DL$32)</f>
        <v>#VALUE!</v>
      </c>
      <c r="DO64" s="22" t="e">
        <f>_xll.qlBlackFormulaImpliedStdDev("Call",DO85,DO85,DQ85,,DQ$47)/SQRT($A64)</f>
        <v>#VALUE!</v>
      </c>
      <c r="DP64" s="22" t="e">
        <f>_xll.qlAbcdFunctionVolatility(DP$37,0,$A64,$A64,DP$32)</f>
        <v>#VALUE!</v>
      </c>
      <c r="DQ64" s="41" t="e">
        <f>_xll.qlAbcdCalibrationK(DP$29,$A64,DO64,DP$32)</f>
        <v>#VALUE!</v>
      </c>
    </row>
    <row r="65" spans="1:121" x14ac:dyDescent="0.2">
      <c r="A65" s="94" t="e">
        <f>_xll.qlDayCounterYearFraction(_xll.qlTermStructureDayCounter(Vol),_xll.qlTermStructureReferenceDate(Vol),A86,,,Trigger)</f>
        <v>#VALUE!</v>
      </c>
      <c r="B65" s="15" t="s">
        <v>34</v>
      </c>
      <c r="C65" s="22" t="e">
        <f>_xll.qlBlackFormulaImpliedStdDev("Call",C86,C86,E86,,E$47)/SQRT($A65)</f>
        <v>#VALUE!</v>
      </c>
      <c r="D65" s="22" t="e">
        <f>_xll.qlAbcdFunctionVolatility(D$37,0,$A65,$A65,D$32)</f>
        <v>#VALUE!</v>
      </c>
      <c r="E65" s="41" t="e">
        <f>_xll.qlAbcdCalibrationK(D$29,$A65,C65,D$32)</f>
        <v>#VALUE!</v>
      </c>
      <c r="F65" s="106"/>
      <c r="G65" s="22" t="e">
        <f>_xll.qlBlackFormulaImpliedStdDev("Call",G86,G86,I86,,I$47)/SQRT($A65)</f>
        <v>#VALUE!</v>
      </c>
      <c r="H65" s="22" t="e">
        <f>_xll.qlAbcdFunctionVolatility(H$37,0,$A65,$A65,H$32)</f>
        <v>#VALUE!</v>
      </c>
      <c r="I65" s="41" t="e">
        <f>_xll.qlAbcdCalibrationK(H$29,$A65,G65,H$32)</f>
        <v>#VALUE!</v>
      </c>
      <c r="J65" s="107"/>
      <c r="K65" s="22" t="e">
        <f>_xll.qlBlackFormulaImpliedStdDev("Call",K86,K86,M86,,M$47)/SQRT($A65)</f>
        <v>#VALUE!</v>
      </c>
      <c r="L65" s="22" t="e">
        <f>_xll.qlAbcdFunctionVolatility(L$37,0,$A65,$A65,L$32)</f>
        <v>#VALUE!</v>
      </c>
      <c r="M65" s="41" t="e">
        <f>_xll.qlAbcdCalibrationK(L$29,$A65,K65,L$32)</f>
        <v>#VALUE!</v>
      </c>
      <c r="O65" s="22" t="e">
        <f>_xll.qlBlackFormulaImpliedStdDev("Call",O86,O86,Q86,,Q$47)/SQRT($A65)</f>
        <v>#VALUE!</v>
      </c>
      <c r="P65" s="22" t="e">
        <f>_xll.qlAbcdFunctionVolatility(P$37,0,$A65,$A65,P$32)</f>
        <v>#VALUE!</v>
      </c>
      <c r="Q65" s="41" t="e">
        <f>_xll.qlAbcdCalibrationK(P$29,$A65,O65,P$32)</f>
        <v>#VALUE!</v>
      </c>
      <c r="S65" s="22" t="e">
        <f>_xll.qlBlackFormulaImpliedStdDev("Call",S86,S86,U86,,U$47)/SQRT($A65)</f>
        <v>#VALUE!</v>
      </c>
      <c r="T65" s="22" t="e">
        <f>_xll.qlAbcdFunctionVolatility(T$37,0,$A65,$A65,T$32)</f>
        <v>#VALUE!</v>
      </c>
      <c r="U65" s="41" t="e">
        <f>_xll.qlAbcdCalibrationK(T$29,$A65,S65,T$32)</f>
        <v>#VALUE!</v>
      </c>
      <c r="W65" s="22" t="e">
        <f>_xll.qlBlackFormulaImpliedStdDev("Call",W86,W86,Y86,,Y$47)/SQRT($A65)</f>
        <v>#VALUE!</v>
      </c>
      <c r="X65" s="22" t="e">
        <f>_xll.qlAbcdFunctionVolatility(X$37,0,$A65,$A65,X$32)</f>
        <v>#VALUE!</v>
      </c>
      <c r="Y65" s="41" t="e">
        <f>_xll.qlAbcdCalibrationK(X$29,$A65,W65,X$32)</f>
        <v>#VALUE!</v>
      </c>
      <c r="AA65" s="22" t="e">
        <f>_xll.qlBlackFormulaImpliedStdDev("Call",AA86,AA86,AC86,,AC$47)/SQRT($A65)</f>
        <v>#VALUE!</v>
      </c>
      <c r="AB65" s="22" t="e">
        <f>_xll.qlAbcdFunctionVolatility(AB$37,0,$A65,$A65,AB$32)</f>
        <v>#VALUE!</v>
      </c>
      <c r="AC65" s="41" t="e">
        <f>_xll.qlAbcdCalibrationK(AB$29,$A65,AA65,AB$32)</f>
        <v>#VALUE!</v>
      </c>
      <c r="AE65" s="22" t="e">
        <f>_xll.qlBlackFormulaImpliedStdDev("Call",AE86,AE86,AG86,,AG$47)/SQRT($A65)</f>
        <v>#VALUE!</v>
      </c>
      <c r="AF65" s="22" t="e">
        <f>_xll.qlAbcdFunctionVolatility(AF$37,0,$A65,$A65,AF$32)</f>
        <v>#VALUE!</v>
      </c>
      <c r="AG65" s="41" t="e">
        <f>_xll.qlAbcdCalibrationK(AF$29,$A65,AE65,AF$32)</f>
        <v>#VALUE!</v>
      </c>
      <c r="AI65" s="22" t="e">
        <f>_xll.qlBlackFormulaImpliedStdDev("Call",AI86,AI86,AK86,,AK$47)/SQRT($A65)</f>
        <v>#VALUE!</v>
      </c>
      <c r="AJ65" s="22" t="e">
        <f>_xll.qlAbcdFunctionVolatility(AJ$37,0,$A65,$A65,AJ$32)</f>
        <v>#VALUE!</v>
      </c>
      <c r="AK65" s="41" t="e">
        <f>_xll.qlAbcdCalibrationK(AJ$29,$A65,AI65,AJ$32)</f>
        <v>#VALUE!</v>
      </c>
      <c r="AM65" s="22" t="e">
        <f>_xll.qlBlackFormulaImpliedStdDev("Call",AM86,AM86,AO86,,AO$47)/SQRT($A65)</f>
        <v>#VALUE!</v>
      </c>
      <c r="AN65" s="22" t="e">
        <f>_xll.qlAbcdFunctionVolatility(AN$37,0,$A65,$A65,AN$32)</f>
        <v>#VALUE!</v>
      </c>
      <c r="AO65" s="41" t="e">
        <f>_xll.qlAbcdCalibrationK(AN$29,$A65,AM65,AN$32)</f>
        <v>#VALUE!</v>
      </c>
      <c r="AP65" s="92"/>
      <c r="AQ65" s="22" t="e">
        <f>_xll.qlBlackFormulaImpliedStdDev("Call",AQ86,AQ86,AS86,,AS$47)/SQRT($A65)</f>
        <v>#VALUE!</v>
      </c>
      <c r="AR65" s="22" t="e">
        <f>_xll.qlAbcdFunctionVolatility(AR$37,0,$A65,$A65,AR$32)</f>
        <v>#VALUE!</v>
      </c>
      <c r="AS65" s="41" t="e">
        <f>_xll.qlAbcdCalibrationK(AR$29,$A65,AQ65,AR$32)</f>
        <v>#VALUE!</v>
      </c>
      <c r="AU65" s="22" t="e">
        <f>_xll.qlBlackFormulaImpliedStdDev("Call",AU86,AU86,AW86,,AW$47)/SQRT($A65)</f>
        <v>#VALUE!</v>
      </c>
      <c r="AV65" s="22" t="e">
        <f>_xll.qlAbcdFunctionVolatility(AV$37,0,$A65,$A65,AV$32)</f>
        <v>#VALUE!</v>
      </c>
      <c r="AW65" s="41" t="e">
        <f>_xll.qlAbcdCalibrationK(AV$29,$A65,AU65,AV$32)</f>
        <v>#VALUE!</v>
      </c>
      <c r="AY65" s="22" t="e">
        <f>_xll.qlBlackFormulaImpliedStdDev("Call",AY86,AY86,BA86,,BA$47)/SQRT($A65)</f>
        <v>#VALUE!</v>
      </c>
      <c r="AZ65" s="22" t="e">
        <f>_xll.qlAbcdFunctionVolatility(AZ$37,0,$A65,$A65,AZ$32)</f>
        <v>#VALUE!</v>
      </c>
      <c r="BA65" s="41" t="e">
        <f>_xll.qlAbcdCalibrationK(AZ$29,$A65,AY65,AZ$32)</f>
        <v>#VALUE!</v>
      </c>
      <c r="BB65" s="92"/>
      <c r="BC65" s="22" t="e">
        <f>_xll.qlBlackFormulaImpliedStdDev("Call",BC86,BC86,BE86,,BE$47)/SQRT($A65)</f>
        <v>#VALUE!</v>
      </c>
      <c r="BD65" s="22" t="e">
        <f>_xll.qlAbcdFunctionVolatility(BD$37,0,$A65,$A65,BD$32)</f>
        <v>#VALUE!</v>
      </c>
      <c r="BE65" s="41" t="e">
        <f>_xll.qlAbcdCalibrationK(BD$29,$A65,BC65,BD$32)</f>
        <v>#VALUE!</v>
      </c>
      <c r="BG65" s="22" t="e">
        <f>_xll.qlBlackFormulaImpliedStdDev("Call",BG86,BG86,BI86,,BI$47)/SQRT($A65)</f>
        <v>#VALUE!</v>
      </c>
      <c r="BH65" s="22" t="e">
        <f>_xll.qlAbcdFunctionVolatility(BH$37,0,$A65,$A65,BH$32)</f>
        <v>#VALUE!</v>
      </c>
      <c r="BI65" s="41" t="e">
        <f>_xll.qlAbcdCalibrationK(BH$29,$A65,BG65,BH$32)</f>
        <v>#VALUE!</v>
      </c>
      <c r="BJ65" s="92"/>
      <c r="BK65" s="22" t="e">
        <f>_xll.qlBlackFormulaImpliedStdDev("Call",BK86,BK86,BM86,,BM$47)/SQRT($A65)</f>
        <v>#VALUE!</v>
      </c>
      <c r="BL65" s="22" t="e">
        <f>_xll.qlAbcdFunctionVolatility(BL$37,0,$A65,$A65,BL$32)</f>
        <v>#VALUE!</v>
      </c>
      <c r="BM65" s="41" t="e">
        <f>_xll.qlAbcdCalibrationK(BL$29,$A65,BK65,BL$32)</f>
        <v>#VALUE!</v>
      </c>
      <c r="BN65" s="92"/>
      <c r="BO65" s="22" t="e">
        <f>_xll.qlBlackFormulaImpliedStdDev("Call",BO86,BO86,BQ86,,BQ$47)/SQRT($A65)</f>
        <v>#VALUE!</v>
      </c>
      <c r="BP65" s="22" t="e">
        <f>_xll.qlAbcdFunctionVolatility(BP$37,0,$A65,$A65,BP$32)</f>
        <v>#VALUE!</v>
      </c>
      <c r="BQ65" s="41" t="e">
        <f>_xll.qlAbcdCalibrationK(BP$29,$A65,BO65,BP$32)</f>
        <v>#VALUE!</v>
      </c>
      <c r="BR65" s="92"/>
      <c r="BS65" s="22" t="e">
        <f>_xll.qlBlackFormulaImpliedStdDev("Call",BS86,BS86,BU86,,BU$47)/SQRT($A65)</f>
        <v>#VALUE!</v>
      </c>
      <c r="BT65" s="22" t="e">
        <f>_xll.qlAbcdFunctionVolatility(BT$37,0,$A65,$A65,BT$32)</f>
        <v>#VALUE!</v>
      </c>
      <c r="BU65" s="41" t="e">
        <f>_xll.qlAbcdCalibrationK(BT$29,$A65,BS65,BT$32)</f>
        <v>#VALUE!</v>
      </c>
      <c r="BV65" s="92"/>
      <c r="BW65" s="22" t="e">
        <f>_xll.qlBlackFormulaImpliedStdDev("Call",BW86,BW86,BY86,,BY$47)/SQRT($A65)</f>
        <v>#VALUE!</v>
      </c>
      <c r="BX65" s="22" t="e">
        <f>_xll.qlAbcdFunctionVolatility(BX$37,0,$A65,$A65,BX$32)</f>
        <v>#VALUE!</v>
      </c>
      <c r="BY65" s="41" t="e">
        <f>_xll.qlAbcdCalibrationK(BX$29,$A65,BW65,BX$32)</f>
        <v>#VALUE!</v>
      </c>
      <c r="CA65" s="22" t="e">
        <f>_xll.qlBlackFormulaImpliedStdDev("Call",CA86,CA86,CC86,,CC$47)/SQRT($A65)</f>
        <v>#VALUE!</v>
      </c>
      <c r="CB65" s="22" t="e">
        <f>_xll.qlAbcdFunctionVolatility(CB$37,0,$A65,$A65,CB$32)</f>
        <v>#VALUE!</v>
      </c>
      <c r="CC65" s="41" t="e">
        <f>_xll.qlAbcdCalibrationK(CB$29,$A65,CA65,CB$32)</f>
        <v>#VALUE!</v>
      </c>
      <c r="CD65" s="92"/>
      <c r="CE65" s="22" t="e">
        <f>_xll.qlBlackFormulaImpliedStdDev("Call",CE86,CE86,CG86,,CG$47)/SQRT($A65)</f>
        <v>#VALUE!</v>
      </c>
      <c r="CF65" s="22" t="e">
        <f>_xll.qlAbcdFunctionVolatility(CF$37,0,$A65,$A65,CF$32)</f>
        <v>#VALUE!</v>
      </c>
      <c r="CG65" s="41" t="e">
        <f>_xll.qlAbcdCalibrationK(CF$29,$A65,CE65,CF$32)</f>
        <v>#VALUE!</v>
      </c>
      <c r="CH65" s="92"/>
      <c r="CI65" s="22" t="e">
        <f>_xll.qlBlackFormulaImpliedStdDev("Call",CI86,CI86,CK86,,CK$47)/SQRT($A65)</f>
        <v>#VALUE!</v>
      </c>
      <c r="CJ65" s="22" t="e">
        <f>_xll.qlAbcdFunctionVolatility(CJ$37,0,$A65,$A65,CJ$32)</f>
        <v>#VALUE!</v>
      </c>
      <c r="CK65" s="41" t="e">
        <f>_xll.qlAbcdCalibrationK(CJ$29,$A65,CI65,CJ$32)</f>
        <v>#VALUE!</v>
      </c>
      <c r="CL65" s="92"/>
      <c r="CM65" s="22" t="e">
        <f>_xll.qlBlackFormulaImpliedStdDev("Call",CM86,CM86,CO86,,CO$47)/SQRT($A65)</f>
        <v>#VALUE!</v>
      </c>
      <c r="CN65" s="22" t="e">
        <f>_xll.qlAbcdFunctionVolatility(CN$37,0,$A65,$A65,CN$32)</f>
        <v>#VALUE!</v>
      </c>
      <c r="CO65" s="41" t="e">
        <f>_xll.qlAbcdCalibrationK(CN$29,$A65,CM65,CN$32)</f>
        <v>#VALUE!</v>
      </c>
      <c r="CP65" s="92"/>
      <c r="CQ65" s="22" t="e">
        <f>_xll.qlBlackFormulaImpliedStdDev("Call",CQ86,CQ86,CS86,,CS$47)/SQRT($A65)</f>
        <v>#VALUE!</v>
      </c>
      <c r="CR65" s="22" t="e">
        <f>_xll.qlAbcdFunctionVolatility(CR$37,0,$A65,$A65,CR$32)</f>
        <v>#VALUE!</v>
      </c>
      <c r="CS65" s="41" t="e">
        <f>_xll.qlAbcdCalibrationK(CR$29,$A65,CQ65,CR$32)</f>
        <v>#VALUE!</v>
      </c>
      <c r="CU65" s="22" t="e">
        <f>_xll.qlBlackFormulaImpliedStdDev("Call",CU86,CU86,CW86,,CW$47)/SQRT($A65)</f>
        <v>#VALUE!</v>
      </c>
      <c r="CV65" s="22" t="e">
        <f>_xll.qlAbcdFunctionVolatility(CV$37,0,$A65,$A65,CV$32)</f>
        <v>#VALUE!</v>
      </c>
      <c r="CW65" s="41" t="e">
        <f>_xll.qlAbcdCalibrationK(CV$29,$A65,CU65,CV$32)</f>
        <v>#VALUE!</v>
      </c>
      <c r="CX65" s="92"/>
      <c r="CY65" s="22" t="e">
        <f>_xll.qlBlackFormulaImpliedStdDev("Call",CY86,CY86,DA86,,DA$47)/SQRT($A65)</f>
        <v>#VALUE!</v>
      </c>
      <c r="CZ65" s="22" t="e">
        <f>_xll.qlAbcdFunctionVolatility(CZ$37,0,$A65,$A65,CZ$32)</f>
        <v>#VALUE!</v>
      </c>
      <c r="DA65" s="41" t="e">
        <f>_xll.qlAbcdCalibrationK(CZ$29,$A65,CY65,CZ$32)</f>
        <v>#VALUE!</v>
      </c>
      <c r="DB65" s="92"/>
      <c r="DC65" s="22" t="e">
        <f>_xll.qlBlackFormulaImpliedStdDev("Call",DC86,DC86,DE86,,DE$47)/SQRT($A65)</f>
        <v>#VALUE!</v>
      </c>
      <c r="DD65" s="22" t="e">
        <f>_xll.qlAbcdFunctionVolatility(DD$37,0,$A65,$A65,DD$32)</f>
        <v>#VALUE!</v>
      </c>
      <c r="DE65" s="41" t="e">
        <f>_xll.qlAbcdCalibrationK(DD$29,$A65,DC65,DD$32)</f>
        <v>#VALUE!</v>
      </c>
      <c r="DF65" s="92"/>
      <c r="DG65" s="22" t="e">
        <f>_xll.qlBlackFormulaImpliedStdDev("Call",DG86,DG86,DI86,,DI$47)/SQRT($A65)</f>
        <v>#VALUE!</v>
      </c>
      <c r="DH65" s="22" t="e">
        <f>_xll.qlAbcdFunctionVolatility(DH$37,0,$A65,$A65,DH$32)</f>
        <v>#VALUE!</v>
      </c>
      <c r="DI65" s="41" t="e">
        <f>_xll.qlAbcdCalibrationK(DH$29,$A65,DG65,DH$32)</f>
        <v>#VALUE!</v>
      </c>
      <c r="DJ65" s="92"/>
      <c r="DK65" s="22" t="e">
        <f>_xll.qlBlackFormulaImpliedStdDev("Call",DK86,DK86,DM86,,DM$47)/SQRT($A65)</f>
        <v>#VALUE!</v>
      </c>
      <c r="DL65" s="22" t="e">
        <f>_xll.qlAbcdFunctionVolatility(DL$37,0,$A65,$A65,DL$32)</f>
        <v>#VALUE!</v>
      </c>
      <c r="DM65" s="41" t="e">
        <f>_xll.qlAbcdCalibrationK(DL$29,$A65,DK65,DL$32)</f>
        <v>#VALUE!</v>
      </c>
      <c r="DO65" s="22" t="e">
        <f>_xll.qlBlackFormulaImpliedStdDev("Call",DO86,DO86,DQ86,,DQ$47)/SQRT($A65)</f>
        <v>#VALUE!</v>
      </c>
      <c r="DP65" s="22" t="e">
        <f>_xll.qlAbcdFunctionVolatility(DP$37,0,$A65,$A65,DP$32)</f>
        <v>#VALUE!</v>
      </c>
      <c r="DQ65" s="41" t="e">
        <f>_xll.qlAbcdCalibrationK(DP$29,$A65,DO65,DP$32)</f>
        <v>#VALUE!</v>
      </c>
    </row>
    <row r="66" spans="1:121" x14ac:dyDescent="0.2">
      <c r="A66" s="94" t="e">
        <f>_xll.qlDayCounterYearFraction(_xll.qlTermStructureDayCounter(Vol),_xll.qlTermStructureReferenceDate(Vol),A87,,,Trigger)</f>
        <v>#VALUE!</v>
      </c>
      <c r="B66" s="15" t="s">
        <v>35</v>
      </c>
      <c r="C66" s="22" t="e">
        <f>_xll.qlBlackFormulaImpliedStdDev("Call",C87,C87,E87,,E$47)/SQRT($A66)</f>
        <v>#VALUE!</v>
      </c>
      <c r="D66" s="22" t="e">
        <f>_xll.qlAbcdFunctionVolatility(D$37,0,$A66,$A66,D$32)</f>
        <v>#VALUE!</v>
      </c>
      <c r="E66" s="41" t="e">
        <f>_xll.qlAbcdCalibrationK(D$29,$A66,C66,D$32)</f>
        <v>#VALUE!</v>
      </c>
      <c r="F66" s="106"/>
      <c r="G66" s="22" t="e">
        <f>_xll.qlBlackFormulaImpliedStdDev("Call",G87,G87,I87,,I$47)/SQRT($A66)</f>
        <v>#VALUE!</v>
      </c>
      <c r="H66" s="22" t="e">
        <f>_xll.qlAbcdFunctionVolatility(H$37,0,$A66,$A66,H$32)</f>
        <v>#VALUE!</v>
      </c>
      <c r="I66" s="41" t="e">
        <f>_xll.qlAbcdCalibrationK(H$29,$A66,G66,H$32)</f>
        <v>#VALUE!</v>
      </c>
      <c r="J66" s="107"/>
      <c r="K66" s="22" t="e">
        <f>_xll.qlBlackFormulaImpliedStdDev("Call",K87,K87,M87,,M$47)/SQRT($A66)</f>
        <v>#VALUE!</v>
      </c>
      <c r="L66" s="22" t="e">
        <f>_xll.qlAbcdFunctionVolatility(L$37,0,$A66,$A66,L$32)</f>
        <v>#VALUE!</v>
      </c>
      <c r="M66" s="41" t="e">
        <f>_xll.qlAbcdCalibrationK(L$29,$A66,K66,L$32)</f>
        <v>#VALUE!</v>
      </c>
      <c r="O66" s="22" t="e">
        <f>_xll.qlBlackFormulaImpliedStdDev("Call",O87,O87,Q87,,Q$47)/SQRT($A66)</f>
        <v>#VALUE!</v>
      </c>
      <c r="P66" s="22" t="e">
        <f>_xll.qlAbcdFunctionVolatility(P$37,0,$A66,$A66,P$32)</f>
        <v>#VALUE!</v>
      </c>
      <c r="Q66" s="41" t="e">
        <f>_xll.qlAbcdCalibrationK(P$29,$A66,O66,P$32)</f>
        <v>#VALUE!</v>
      </c>
      <c r="S66" s="22" t="e">
        <f>_xll.qlBlackFormulaImpliedStdDev("Call",S87,S87,U87,,U$47)/SQRT($A66)</f>
        <v>#VALUE!</v>
      </c>
      <c r="T66" s="22" t="e">
        <f>_xll.qlAbcdFunctionVolatility(T$37,0,$A66,$A66,T$32)</f>
        <v>#VALUE!</v>
      </c>
      <c r="U66" s="41" t="e">
        <f>_xll.qlAbcdCalibrationK(T$29,$A66,S66,T$32)</f>
        <v>#VALUE!</v>
      </c>
      <c r="W66" s="22" t="e">
        <f>_xll.qlBlackFormulaImpliedStdDev("Call",W87,W87,Y87,,Y$47)/SQRT($A66)</f>
        <v>#VALUE!</v>
      </c>
      <c r="X66" s="22" t="e">
        <f>_xll.qlAbcdFunctionVolatility(X$37,0,$A66,$A66,X$32)</f>
        <v>#VALUE!</v>
      </c>
      <c r="Y66" s="41" t="e">
        <f>_xll.qlAbcdCalibrationK(X$29,$A66,W66,X$32)</f>
        <v>#VALUE!</v>
      </c>
      <c r="AA66" s="22" t="e">
        <f>_xll.qlBlackFormulaImpliedStdDev("Call",AA87,AA87,AC87,,AC$47)/SQRT($A66)</f>
        <v>#VALUE!</v>
      </c>
      <c r="AB66" s="22" t="e">
        <f>_xll.qlAbcdFunctionVolatility(AB$37,0,$A66,$A66,AB$32)</f>
        <v>#VALUE!</v>
      </c>
      <c r="AC66" s="41" t="e">
        <f>_xll.qlAbcdCalibrationK(AB$29,$A66,AA66,AB$32)</f>
        <v>#VALUE!</v>
      </c>
      <c r="AE66" s="22" t="e">
        <f>_xll.qlBlackFormulaImpliedStdDev("Call",AE87,AE87,AG87,,AG$47)/SQRT($A66)</f>
        <v>#VALUE!</v>
      </c>
      <c r="AF66" s="22" t="e">
        <f>_xll.qlAbcdFunctionVolatility(AF$37,0,$A66,$A66,AF$32)</f>
        <v>#VALUE!</v>
      </c>
      <c r="AG66" s="41" t="e">
        <f>_xll.qlAbcdCalibrationK(AF$29,$A66,AE66,AF$32)</f>
        <v>#VALUE!</v>
      </c>
      <c r="AI66" s="22" t="e">
        <f>_xll.qlBlackFormulaImpliedStdDev("Call",AI87,AI87,AK87,,AK$47)/SQRT($A66)</f>
        <v>#VALUE!</v>
      </c>
      <c r="AJ66" s="22" t="e">
        <f>_xll.qlAbcdFunctionVolatility(AJ$37,0,$A66,$A66,AJ$32)</f>
        <v>#VALUE!</v>
      </c>
      <c r="AK66" s="41" t="e">
        <f>_xll.qlAbcdCalibrationK(AJ$29,$A66,AI66,AJ$32)</f>
        <v>#VALUE!</v>
      </c>
      <c r="AM66" s="22" t="e">
        <f>_xll.qlBlackFormulaImpliedStdDev("Call",AM87,AM87,AO87,,AO$47)/SQRT($A66)</f>
        <v>#VALUE!</v>
      </c>
      <c r="AN66" s="22" t="e">
        <f>_xll.qlAbcdFunctionVolatility(AN$37,0,$A66,$A66,AN$32)</f>
        <v>#VALUE!</v>
      </c>
      <c r="AO66" s="41" t="e">
        <f>_xll.qlAbcdCalibrationK(AN$29,$A66,AM66,AN$32)</f>
        <v>#VALUE!</v>
      </c>
      <c r="AP66" s="92"/>
      <c r="AQ66" s="22" t="e">
        <f>_xll.qlBlackFormulaImpliedStdDev("Call",AQ87,AQ87,AS87,,AS$47)/SQRT($A66)</f>
        <v>#VALUE!</v>
      </c>
      <c r="AR66" s="22" t="e">
        <f>_xll.qlAbcdFunctionVolatility(AR$37,0,$A66,$A66,AR$32)</f>
        <v>#VALUE!</v>
      </c>
      <c r="AS66" s="41" t="e">
        <f>_xll.qlAbcdCalibrationK(AR$29,$A66,AQ66,AR$32)</f>
        <v>#VALUE!</v>
      </c>
      <c r="AU66" s="22" t="e">
        <f>_xll.qlBlackFormulaImpliedStdDev("Call",AU87,AU87,AW87,,AW$47)/SQRT($A66)</f>
        <v>#VALUE!</v>
      </c>
      <c r="AV66" s="22" t="e">
        <f>_xll.qlAbcdFunctionVolatility(AV$37,0,$A66,$A66,AV$32)</f>
        <v>#VALUE!</v>
      </c>
      <c r="AW66" s="41" t="e">
        <f>_xll.qlAbcdCalibrationK(AV$29,$A66,AU66,AV$32)</f>
        <v>#VALUE!</v>
      </c>
      <c r="AY66" s="22" t="e">
        <f>_xll.qlBlackFormulaImpliedStdDev("Call",AY87,AY87,BA87,,BA$47)/SQRT($A66)</f>
        <v>#VALUE!</v>
      </c>
      <c r="AZ66" s="22" t="e">
        <f>_xll.qlAbcdFunctionVolatility(AZ$37,0,$A66,$A66,AZ$32)</f>
        <v>#VALUE!</v>
      </c>
      <c r="BA66" s="41" t="e">
        <f>_xll.qlAbcdCalibrationK(AZ$29,$A66,AY66,AZ$32)</f>
        <v>#VALUE!</v>
      </c>
      <c r="BB66" s="92"/>
      <c r="BC66" s="22" t="e">
        <f>_xll.qlBlackFormulaImpliedStdDev("Call",BC87,BC87,BE87,,BE$47)/SQRT($A66)</f>
        <v>#VALUE!</v>
      </c>
      <c r="BD66" s="22" t="e">
        <f>_xll.qlAbcdFunctionVolatility(BD$37,0,$A66,$A66,BD$32)</f>
        <v>#VALUE!</v>
      </c>
      <c r="BE66" s="41" t="e">
        <f>_xll.qlAbcdCalibrationK(BD$29,$A66,BC66,BD$32)</f>
        <v>#VALUE!</v>
      </c>
      <c r="BG66" s="22" t="e">
        <f>_xll.qlBlackFormulaImpliedStdDev("Call",BG87,BG87,BI87,,BI$47)/SQRT($A66)</f>
        <v>#VALUE!</v>
      </c>
      <c r="BH66" s="22" t="e">
        <f>_xll.qlAbcdFunctionVolatility(BH$37,0,$A66,$A66,BH$32)</f>
        <v>#VALUE!</v>
      </c>
      <c r="BI66" s="41" t="e">
        <f>_xll.qlAbcdCalibrationK(BH$29,$A66,BG66,BH$32)</f>
        <v>#VALUE!</v>
      </c>
      <c r="BJ66" s="92"/>
      <c r="BK66" s="22" t="e">
        <f>_xll.qlBlackFormulaImpliedStdDev("Call",BK87,BK87,BM87,,BM$47)/SQRT($A66)</f>
        <v>#VALUE!</v>
      </c>
      <c r="BL66" s="22" t="e">
        <f>_xll.qlAbcdFunctionVolatility(BL$37,0,$A66,$A66,BL$32)</f>
        <v>#VALUE!</v>
      </c>
      <c r="BM66" s="41" t="e">
        <f>_xll.qlAbcdCalibrationK(BL$29,$A66,BK66,BL$32)</f>
        <v>#VALUE!</v>
      </c>
      <c r="BN66" s="92"/>
      <c r="BO66" s="22" t="e">
        <f>_xll.qlBlackFormulaImpliedStdDev("Call",BO87,BO87,BQ87,,BQ$47)/SQRT($A66)</f>
        <v>#VALUE!</v>
      </c>
      <c r="BP66" s="22" t="e">
        <f>_xll.qlAbcdFunctionVolatility(BP$37,0,$A66,$A66,BP$32)</f>
        <v>#VALUE!</v>
      </c>
      <c r="BQ66" s="41" t="e">
        <f>_xll.qlAbcdCalibrationK(BP$29,$A66,BO66,BP$32)</f>
        <v>#VALUE!</v>
      </c>
      <c r="BR66" s="92"/>
      <c r="BS66" s="22" t="e">
        <f>_xll.qlBlackFormulaImpliedStdDev("Call",BS87,BS87,BU87,,BU$47)/SQRT($A66)</f>
        <v>#VALUE!</v>
      </c>
      <c r="BT66" s="22" t="e">
        <f>_xll.qlAbcdFunctionVolatility(BT$37,0,$A66,$A66,BT$32)</f>
        <v>#VALUE!</v>
      </c>
      <c r="BU66" s="41" t="e">
        <f>_xll.qlAbcdCalibrationK(BT$29,$A66,BS66,BT$32)</f>
        <v>#VALUE!</v>
      </c>
      <c r="BV66" s="92"/>
      <c r="BW66" s="22" t="e">
        <f>_xll.qlBlackFormulaImpliedStdDev("Call",BW87,BW87,BY87,,BY$47)/SQRT($A66)</f>
        <v>#VALUE!</v>
      </c>
      <c r="BX66" s="22" t="e">
        <f>_xll.qlAbcdFunctionVolatility(BX$37,0,$A66,$A66,BX$32)</f>
        <v>#VALUE!</v>
      </c>
      <c r="BY66" s="41" t="e">
        <f>_xll.qlAbcdCalibrationK(BX$29,$A66,BW66,BX$32)</f>
        <v>#VALUE!</v>
      </c>
      <c r="CA66" s="22" t="e">
        <f>_xll.qlBlackFormulaImpliedStdDev("Call",CA87,CA87,CC87,,CC$47)/SQRT($A66)</f>
        <v>#VALUE!</v>
      </c>
      <c r="CB66" s="22" t="e">
        <f>_xll.qlAbcdFunctionVolatility(CB$37,0,$A66,$A66,CB$32)</f>
        <v>#VALUE!</v>
      </c>
      <c r="CC66" s="41" t="e">
        <f>_xll.qlAbcdCalibrationK(CB$29,$A66,CA66,CB$32)</f>
        <v>#VALUE!</v>
      </c>
      <c r="CD66" s="92"/>
      <c r="CE66" s="22" t="e">
        <f>_xll.qlBlackFormulaImpliedStdDev("Call",CE87,CE87,CG87,,CG$47)/SQRT($A66)</f>
        <v>#VALUE!</v>
      </c>
      <c r="CF66" s="22" t="e">
        <f>_xll.qlAbcdFunctionVolatility(CF$37,0,$A66,$A66,CF$32)</f>
        <v>#VALUE!</v>
      </c>
      <c r="CG66" s="41" t="e">
        <f>_xll.qlAbcdCalibrationK(CF$29,$A66,CE66,CF$32)</f>
        <v>#VALUE!</v>
      </c>
      <c r="CH66" s="92"/>
      <c r="CI66" s="22" t="e">
        <f>_xll.qlBlackFormulaImpliedStdDev("Call",CI87,CI87,CK87,,CK$47)/SQRT($A66)</f>
        <v>#VALUE!</v>
      </c>
      <c r="CJ66" s="22" t="e">
        <f>_xll.qlAbcdFunctionVolatility(CJ$37,0,$A66,$A66,CJ$32)</f>
        <v>#VALUE!</v>
      </c>
      <c r="CK66" s="41" t="e">
        <f>_xll.qlAbcdCalibrationK(CJ$29,$A66,CI66,CJ$32)</f>
        <v>#VALUE!</v>
      </c>
      <c r="CL66" s="92"/>
      <c r="CM66" s="22" t="e">
        <f>_xll.qlBlackFormulaImpliedStdDev("Call",CM87,CM87,CO87,,CO$47)/SQRT($A66)</f>
        <v>#VALUE!</v>
      </c>
      <c r="CN66" s="22" t="e">
        <f>_xll.qlAbcdFunctionVolatility(CN$37,0,$A66,$A66,CN$32)</f>
        <v>#VALUE!</v>
      </c>
      <c r="CO66" s="41" t="e">
        <f>_xll.qlAbcdCalibrationK(CN$29,$A66,CM66,CN$32)</f>
        <v>#VALUE!</v>
      </c>
      <c r="CP66" s="92"/>
      <c r="CQ66" s="22" t="e">
        <f>_xll.qlBlackFormulaImpliedStdDev("Call",CQ87,CQ87,CS87,,CS$47)/SQRT($A66)</f>
        <v>#VALUE!</v>
      </c>
      <c r="CR66" s="22" t="e">
        <f>_xll.qlAbcdFunctionVolatility(CR$37,0,$A66,$A66,CR$32)</f>
        <v>#VALUE!</v>
      </c>
      <c r="CS66" s="41" t="e">
        <f>_xll.qlAbcdCalibrationK(CR$29,$A66,CQ66,CR$32)</f>
        <v>#VALUE!</v>
      </c>
      <c r="CU66" s="22" t="e">
        <f>_xll.qlBlackFormulaImpliedStdDev("Call",CU87,CU87,CW87,,CW$47)/SQRT($A66)</f>
        <v>#VALUE!</v>
      </c>
      <c r="CV66" s="22" t="e">
        <f>_xll.qlAbcdFunctionVolatility(CV$37,0,$A66,$A66,CV$32)</f>
        <v>#VALUE!</v>
      </c>
      <c r="CW66" s="41" t="e">
        <f>_xll.qlAbcdCalibrationK(CV$29,$A66,CU66,CV$32)</f>
        <v>#VALUE!</v>
      </c>
      <c r="CX66" s="92"/>
      <c r="CY66" s="22" t="e">
        <f>_xll.qlBlackFormulaImpliedStdDev("Call",CY87,CY87,DA87,,DA$47)/SQRT($A66)</f>
        <v>#VALUE!</v>
      </c>
      <c r="CZ66" s="22" t="e">
        <f>_xll.qlAbcdFunctionVolatility(CZ$37,0,$A66,$A66,CZ$32)</f>
        <v>#VALUE!</v>
      </c>
      <c r="DA66" s="41" t="e">
        <f>_xll.qlAbcdCalibrationK(CZ$29,$A66,CY66,CZ$32)</f>
        <v>#VALUE!</v>
      </c>
      <c r="DB66" s="92"/>
      <c r="DC66" s="22" t="e">
        <f>_xll.qlBlackFormulaImpliedStdDev("Call",DC87,DC87,DE87,,DE$47)/SQRT($A66)</f>
        <v>#VALUE!</v>
      </c>
      <c r="DD66" s="22" t="e">
        <f>_xll.qlAbcdFunctionVolatility(DD$37,0,$A66,$A66,DD$32)</f>
        <v>#VALUE!</v>
      </c>
      <c r="DE66" s="41" t="e">
        <f>_xll.qlAbcdCalibrationK(DD$29,$A66,DC66,DD$32)</f>
        <v>#VALUE!</v>
      </c>
      <c r="DF66" s="92"/>
      <c r="DG66" s="22" t="e">
        <f>_xll.qlBlackFormulaImpliedStdDev("Call",DG87,DG87,DI87,,DI$47)/SQRT($A66)</f>
        <v>#VALUE!</v>
      </c>
      <c r="DH66" s="22" t="e">
        <f>_xll.qlAbcdFunctionVolatility(DH$37,0,$A66,$A66,DH$32)</f>
        <v>#VALUE!</v>
      </c>
      <c r="DI66" s="41" t="e">
        <f>_xll.qlAbcdCalibrationK(DH$29,$A66,DG66,DH$32)</f>
        <v>#VALUE!</v>
      </c>
      <c r="DJ66" s="92"/>
      <c r="DK66" s="22" t="e">
        <f>_xll.qlBlackFormulaImpliedStdDev("Call",DK87,DK87,DM87,,DM$47)/SQRT($A66)</f>
        <v>#VALUE!</v>
      </c>
      <c r="DL66" s="22" t="e">
        <f>_xll.qlAbcdFunctionVolatility(DL$37,0,$A66,$A66,DL$32)</f>
        <v>#VALUE!</v>
      </c>
      <c r="DM66" s="41" t="e">
        <f>_xll.qlAbcdCalibrationK(DL$29,$A66,DK66,DL$32)</f>
        <v>#VALUE!</v>
      </c>
      <c r="DO66" s="22" t="e">
        <f>_xll.qlBlackFormulaImpliedStdDev("Call",DO87,DO87,DQ87,,DQ$47)/SQRT($A66)</f>
        <v>#VALUE!</v>
      </c>
      <c r="DP66" s="22" t="e">
        <f>_xll.qlAbcdFunctionVolatility(DP$37,0,$A66,$A66,DP$32)</f>
        <v>#VALUE!</v>
      </c>
      <c r="DQ66" s="41" t="e">
        <f>_xll.qlAbcdCalibrationK(DP$29,$A66,DO66,DP$32)</f>
        <v>#VALUE!</v>
      </c>
    </row>
    <row r="67" spans="1:121" x14ac:dyDescent="0.2">
      <c r="A67" s="94" t="e">
        <f>_xll.qlDayCounterYearFraction(_xll.qlTermStructureDayCounter(Vol),_xll.qlTermStructureReferenceDate(Vol),A88,,,Trigger)</f>
        <v>#VALUE!</v>
      </c>
      <c r="B67" s="15" t="s">
        <v>36</v>
      </c>
      <c r="C67" s="22" t="e">
        <f>_xll.qlBlackFormulaImpliedStdDev("Call",C88,C88,E88,,E$47)/SQRT($A67)</f>
        <v>#VALUE!</v>
      </c>
      <c r="D67" s="22" t="e">
        <f>_xll.qlAbcdFunctionVolatility(D$37,0,$A67,$A67,D$32)</f>
        <v>#VALUE!</v>
      </c>
      <c r="E67" s="41" t="e">
        <f>_xll.qlAbcdCalibrationK(D$29,$A67,C67,D$32)</f>
        <v>#VALUE!</v>
      </c>
      <c r="F67" s="106"/>
      <c r="G67" s="22" t="e">
        <f>_xll.qlBlackFormulaImpliedStdDev("Call",G88,G88,I88,,I$47)/SQRT($A67)</f>
        <v>#VALUE!</v>
      </c>
      <c r="H67" s="22" t="e">
        <f>_xll.qlAbcdFunctionVolatility(H$37,0,$A67,$A67,H$32)</f>
        <v>#VALUE!</v>
      </c>
      <c r="I67" s="41" t="e">
        <f>_xll.qlAbcdCalibrationK(H$29,$A67,G67,H$32)</f>
        <v>#VALUE!</v>
      </c>
      <c r="J67" s="107"/>
      <c r="K67" s="22" t="e">
        <f>_xll.qlBlackFormulaImpliedStdDev("Call",K88,K88,M88,,M$47)/SQRT($A67)</f>
        <v>#VALUE!</v>
      </c>
      <c r="L67" s="22" t="e">
        <f>_xll.qlAbcdFunctionVolatility(L$37,0,$A67,$A67,L$32)</f>
        <v>#VALUE!</v>
      </c>
      <c r="M67" s="41" t="e">
        <f>_xll.qlAbcdCalibrationK(L$29,$A67,K67,L$32)</f>
        <v>#VALUE!</v>
      </c>
      <c r="O67" s="22" t="e">
        <f>_xll.qlBlackFormulaImpliedStdDev("Call",O88,O88,Q88,,Q$47)/SQRT($A67)</f>
        <v>#VALUE!</v>
      </c>
      <c r="P67" s="22" t="e">
        <f>_xll.qlAbcdFunctionVolatility(P$37,0,$A67,$A67,P$32)</f>
        <v>#VALUE!</v>
      </c>
      <c r="Q67" s="41" t="e">
        <f>_xll.qlAbcdCalibrationK(P$29,$A67,O67,P$32)</f>
        <v>#VALUE!</v>
      </c>
      <c r="S67" s="22" t="e">
        <f>_xll.qlBlackFormulaImpliedStdDev("Call",S88,S88,U88,,U$47)/SQRT($A67)</f>
        <v>#VALUE!</v>
      </c>
      <c r="T67" s="22" t="e">
        <f>_xll.qlAbcdFunctionVolatility(T$37,0,$A67,$A67,T$32)</f>
        <v>#VALUE!</v>
      </c>
      <c r="U67" s="41" t="e">
        <f>_xll.qlAbcdCalibrationK(T$29,$A67,S67,T$32)</f>
        <v>#VALUE!</v>
      </c>
      <c r="W67" s="22" t="e">
        <f>_xll.qlBlackFormulaImpliedStdDev("Call",W88,W88,Y88,,Y$47)/SQRT($A67)</f>
        <v>#VALUE!</v>
      </c>
      <c r="X67" s="22" t="e">
        <f>_xll.qlAbcdFunctionVolatility(X$37,0,$A67,$A67,X$32)</f>
        <v>#VALUE!</v>
      </c>
      <c r="Y67" s="41" t="e">
        <f>_xll.qlAbcdCalibrationK(X$29,$A67,W67,X$32)</f>
        <v>#VALUE!</v>
      </c>
      <c r="AA67" s="22" t="e">
        <f>_xll.qlBlackFormulaImpliedStdDev("Call",AA88,AA88,AC88,,AC$47)/SQRT($A67)</f>
        <v>#VALUE!</v>
      </c>
      <c r="AB67" s="22" t="e">
        <f>_xll.qlAbcdFunctionVolatility(AB$37,0,$A67,$A67,AB$32)</f>
        <v>#VALUE!</v>
      </c>
      <c r="AC67" s="41" t="e">
        <f>_xll.qlAbcdCalibrationK(AB$29,$A67,AA67,AB$32)</f>
        <v>#VALUE!</v>
      </c>
      <c r="AE67" s="22" t="e">
        <f>_xll.qlBlackFormulaImpliedStdDev("Call",AE88,AE88,AG88,,AG$47)/SQRT($A67)</f>
        <v>#VALUE!</v>
      </c>
      <c r="AF67" s="22" t="e">
        <f>_xll.qlAbcdFunctionVolatility(AF$37,0,$A67,$A67,AF$32)</f>
        <v>#VALUE!</v>
      </c>
      <c r="AG67" s="41" t="e">
        <f>_xll.qlAbcdCalibrationK(AF$29,$A67,AE67,AF$32)</f>
        <v>#VALUE!</v>
      </c>
      <c r="AI67" s="22" t="e">
        <f>_xll.qlBlackFormulaImpliedStdDev("Call",AI88,AI88,AK88,,AK$47)/SQRT($A67)</f>
        <v>#VALUE!</v>
      </c>
      <c r="AJ67" s="22" t="e">
        <f>_xll.qlAbcdFunctionVolatility(AJ$37,0,$A67,$A67,AJ$32)</f>
        <v>#VALUE!</v>
      </c>
      <c r="AK67" s="41" t="e">
        <f>_xll.qlAbcdCalibrationK(AJ$29,$A67,AI67,AJ$32)</f>
        <v>#VALUE!</v>
      </c>
      <c r="AM67" s="22" t="e">
        <f>_xll.qlBlackFormulaImpliedStdDev("Call",AM88,AM88,AO88,,AO$47)/SQRT($A67)</f>
        <v>#VALUE!</v>
      </c>
      <c r="AN67" s="22" t="e">
        <f>_xll.qlAbcdFunctionVolatility(AN$37,0,$A67,$A67,AN$32)</f>
        <v>#VALUE!</v>
      </c>
      <c r="AO67" s="41" t="e">
        <f>_xll.qlAbcdCalibrationK(AN$29,$A67,AM67,AN$32)</f>
        <v>#VALUE!</v>
      </c>
      <c r="AP67" s="92"/>
      <c r="AQ67" s="22" t="e">
        <f>_xll.qlBlackFormulaImpliedStdDev("Call",AQ88,AQ88,AS88,,AS$47)/SQRT($A67)</f>
        <v>#VALUE!</v>
      </c>
      <c r="AR67" s="22" t="e">
        <f>_xll.qlAbcdFunctionVolatility(AR$37,0,$A67,$A67,AR$32)</f>
        <v>#VALUE!</v>
      </c>
      <c r="AS67" s="41" t="e">
        <f>_xll.qlAbcdCalibrationK(AR$29,$A67,AQ67,AR$32)</f>
        <v>#VALUE!</v>
      </c>
      <c r="AU67" s="22" t="e">
        <f>_xll.qlBlackFormulaImpliedStdDev("Call",AU88,AU88,AW88,,AW$47)/SQRT($A67)</f>
        <v>#VALUE!</v>
      </c>
      <c r="AV67" s="22" t="e">
        <f>_xll.qlAbcdFunctionVolatility(AV$37,0,$A67,$A67,AV$32)</f>
        <v>#VALUE!</v>
      </c>
      <c r="AW67" s="41" t="e">
        <f>_xll.qlAbcdCalibrationK(AV$29,$A67,AU67,AV$32)</f>
        <v>#VALUE!</v>
      </c>
      <c r="AY67" s="22" t="e">
        <f>_xll.qlBlackFormulaImpliedStdDev("Call",AY88,AY88,BA88,,BA$47)/SQRT($A67)</f>
        <v>#VALUE!</v>
      </c>
      <c r="AZ67" s="22" t="e">
        <f>_xll.qlAbcdFunctionVolatility(AZ$37,0,$A67,$A67,AZ$32)</f>
        <v>#VALUE!</v>
      </c>
      <c r="BA67" s="41" t="e">
        <f>_xll.qlAbcdCalibrationK(AZ$29,$A67,AY67,AZ$32)</f>
        <v>#VALUE!</v>
      </c>
      <c r="BB67" s="92"/>
      <c r="BC67" s="22" t="e">
        <f>_xll.qlBlackFormulaImpliedStdDev("Call",BC88,BC88,BE88,,BE$47)/SQRT($A67)</f>
        <v>#VALUE!</v>
      </c>
      <c r="BD67" s="22" t="e">
        <f>_xll.qlAbcdFunctionVolatility(BD$37,0,$A67,$A67,BD$32)</f>
        <v>#VALUE!</v>
      </c>
      <c r="BE67" s="41" t="e">
        <f>_xll.qlAbcdCalibrationK(BD$29,$A67,BC67,BD$32)</f>
        <v>#VALUE!</v>
      </c>
      <c r="BG67" s="22" t="e">
        <f>_xll.qlBlackFormulaImpliedStdDev("Call",BG88,BG88,BI88,,BI$47)/SQRT($A67)</f>
        <v>#VALUE!</v>
      </c>
      <c r="BH67" s="22" t="e">
        <f>_xll.qlAbcdFunctionVolatility(BH$37,0,$A67,$A67,BH$32)</f>
        <v>#VALUE!</v>
      </c>
      <c r="BI67" s="41" t="e">
        <f>_xll.qlAbcdCalibrationK(BH$29,$A67,BG67,BH$32)</f>
        <v>#VALUE!</v>
      </c>
      <c r="BJ67" s="92"/>
      <c r="BK67" s="22" t="e">
        <f>_xll.qlBlackFormulaImpliedStdDev("Call",BK88,BK88,BM88,,BM$47)/SQRT($A67)</f>
        <v>#VALUE!</v>
      </c>
      <c r="BL67" s="22" t="e">
        <f>_xll.qlAbcdFunctionVolatility(BL$37,0,$A67,$A67,BL$32)</f>
        <v>#VALUE!</v>
      </c>
      <c r="BM67" s="41" t="e">
        <f>_xll.qlAbcdCalibrationK(BL$29,$A67,BK67,BL$32)</f>
        <v>#VALUE!</v>
      </c>
      <c r="BN67" s="92"/>
      <c r="BO67" s="22" t="e">
        <f>_xll.qlBlackFormulaImpliedStdDev("Call",BO88,BO88,BQ88,,BQ$47)/SQRT($A67)</f>
        <v>#VALUE!</v>
      </c>
      <c r="BP67" s="22" t="e">
        <f>_xll.qlAbcdFunctionVolatility(BP$37,0,$A67,$A67,BP$32)</f>
        <v>#VALUE!</v>
      </c>
      <c r="BQ67" s="41" t="e">
        <f>_xll.qlAbcdCalibrationK(BP$29,$A67,BO67,BP$32)</f>
        <v>#VALUE!</v>
      </c>
      <c r="BR67" s="92"/>
      <c r="BS67" s="22" t="e">
        <f>_xll.qlBlackFormulaImpliedStdDev("Call",BS88,BS88,BU88,,BU$47)/SQRT($A67)</f>
        <v>#VALUE!</v>
      </c>
      <c r="BT67" s="22" t="e">
        <f>_xll.qlAbcdFunctionVolatility(BT$37,0,$A67,$A67,BT$32)</f>
        <v>#VALUE!</v>
      </c>
      <c r="BU67" s="41" t="e">
        <f>_xll.qlAbcdCalibrationK(BT$29,$A67,BS67,BT$32)</f>
        <v>#VALUE!</v>
      </c>
      <c r="BV67" s="92"/>
      <c r="BW67" s="22" t="e">
        <f>_xll.qlBlackFormulaImpliedStdDev("Call",BW88,BW88,BY88,,BY$47)/SQRT($A67)</f>
        <v>#VALUE!</v>
      </c>
      <c r="BX67" s="22" t="e">
        <f>_xll.qlAbcdFunctionVolatility(BX$37,0,$A67,$A67,BX$32)</f>
        <v>#VALUE!</v>
      </c>
      <c r="BY67" s="41" t="e">
        <f>_xll.qlAbcdCalibrationK(BX$29,$A67,BW67,BX$32)</f>
        <v>#VALUE!</v>
      </c>
      <c r="CA67" s="22" t="e">
        <f>_xll.qlBlackFormulaImpliedStdDev("Call",CA88,CA88,CC88,,CC$47)/SQRT($A67)</f>
        <v>#VALUE!</v>
      </c>
      <c r="CB67" s="22" t="e">
        <f>_xll.qlAbcdFunctionVolatility(CB$37,0,$A67,$A67,CB$32)</f>
        <v>#VALUE!</v>
      </c>
      <c r="CC67" s="41" t="e">
        <f>_xll.qlAbcdCalibrationK(CB$29,$A67,CA67,CB$32)</f>
        <v>#VALUE!</v>
      </c>
      <c r="CD67" s="92"/>
      <c r="CE67" s="22" t="e">
        <f>_xll.qlBlackFormulaImpliedStdDev("Call",CE88,CE88,CG88,,CG$47)/SQRT($A67)</f>
        <v>#VALUE!</v>
      </c>
      <c r="CF67" s="22" t="e">
        <f>_xll.qlAbcdFunctionVolatility(CF$37,0,$A67,$A67,CF$32)</f>
        <v>#VALUE!</v>
      </c>
      <c r="CG67" s="41" t="e">
        <f>_xll.qlAbcdCalibrationK(CF$29,$A67,CE67,CF$32)</f>
        <v>#VALUE!</v>
      </c>
      <c r="CH67" s="92"/>
      <c r="CI67" s="22" t="e">
        <f>_xll.qlBlackFormulaImpliedStdDev("Call",CI88,CI88,CK88,,CK$47)/SQRT($A67)</f>
        <v>#VALUE!</v>
      </c>
      <c r="CJ67" s="22" t="e">
        <f>_xll.qlAbcdFunctionVolatility(CJ$37,0,$A67,$A67,CJ$32)</f>
        <v>#VALUE!</v>
      </c>
      <c r="CK67" s="41" t="e">
        <f>_xll.qlAbcdCalibrationK(CJ$29,$A67,CI67,CJ$32)</f>
        <v>#VALUE!</v>
      </c>
      <c r="CL67" s="92"/>
      <c r="CM67" s="22" t="e">
        <f>_xll.qlBlackFormulaImpliedStdDev("Call",CM88,CM88,CO88,,CO$47)/SQRT($A67)</f>
        <v>#VALUE!</v>
      </c>
      <c r="CN67" s="22" t="e">
        <f>_xll.qlAbcdFunctionVolatility(CN$37,0,$A67,$A67,CN$32)</f>
        <v>#VALUE!</v>
      </c>
      <c r="CO67" s="41" t="e">
        <f>_xll.qlAbcdCalibrationK(CN$29,$A67,CM67,CN$32)</f>
        <v>#VALUE!</v>
      </c>
      <c r="CP67" s="92"/>
      <c r="CQ67" s="22" t="e">
        <f>_xll.qlBlackFormulaImpliedStdDev("Call",CQ88,CQ88,CS88,,CS$47)/SQRT($A67)</f>
        <v>#VALUE!</v>
      </c>
      <c r="CR67" s="22" t="e">
        <f>_xll.qlAbcdFunctionVolatility(CR$37,0,$A67,$A67,CR$32)</f>
        <v>#VALUE!</v>
      </c>
      <c r="CS67" s="41" t="e">
        <f>_xll.qlAbcdCalibrationK(CR$29,$A67,CQ67,CR$32)</f>
        <v>#VALUE!</v>
      </c>
      <c r="CU67" s="22" t="e">
        <f>_xll.qlBlackFormulaImpliedStdDev("Call",CU88,CU88,CW88,,CW$47)/SQRT($A67)</f>
        <v>#VALUE!</v>
      </c>
      <c r="CV67" s="22" t="e">
        <f>_xll.qlAbcdFunctionVolatility(CV$37,0,$A67,$A67,CV$32)</f>
        <v>#VALUE!</v>
      </c>
      <c r="CW67" s="41" t="e">
        <f>_xll.qlAbcdCalibrationK(CV$29,$A67,CU67,CV$32)</f>
        <v>#VALUE!</v>
      </c>
      <c r="CX67" s="92"/>
      <c r="CY67" s="22" t="e">
        <f>_xll.qlBlackFormulaImpliedStdDev("Call",CY88,CY88,DA88,,DA$47)/SQRT($A67)</f>
        <v>#VALUE!</v>
      </c>
      <c r="CZ67" s="22" t="e">
        <f>_xll.qlAbcdFunctionVolatility(CZ$37,0,$A67,$A67,CZ$32)</f>
        <v>#VALUE!</v>
      </c>
      <c r="DA67" s="41" t="e">
        <f>_xll.qlAbcdCalibrationK(CZ$29,$A67,CY67,CZ$32)</f>
        <v>#VALUE!</v>
      </c>
      <c r="DB67" s="92"/>
      <c r="DC67" s="22" t="e">
        <f>_xll.qlBlackFormulaImpliedStdDev("Call",DC88,DC88,DE88,,DE$47)/SQRT($A67)</f>
        <v>#VALUE!</v>
      </c>
      <c r="DD67" s="22" t="e">
        <f>_xll.qlAbcdFunctionVolatility(DD$37,0,$A67,$A67,DD$32)</f>
        <v>#VALUE!</v>
      </c>
      <c r="DE67" s="41" t="e">
        <f>_xll.qlAbcdCalibrationK(DD$29,$A67,DC67,DD$32)</f>
        <v>#VALUE!</v>
      </c>
      <c r="DF67" s="92"/>
      <c r="DG67" s="22" t="e">
        <f>_xll.qlBlackFormulaImpliedStdDev("Call",DG88,DG88,DI88,,DI$47)/SQRT($A67)</f>
        <v>#VALUE!</v>
      </c>
      <c r="DH67" s="22" t="e">
        <f>_xll.qlAbcdFunctionVolatility(DH$37,0,$A67,$A67,DH$32)</f>
        <v>#VALUE!</v>
      </c>
      <c r="DI67" s="41" t="e">
        <f>_xll.qlAbcdCalibrationK(DH$29,$A67,DG67,DH$32)</f>
        <v>#VALUE!</v>
      </c>
      <c r="DJ67" s="92"/>
      <c r="DK67" s="22" t="e">
        <f>_xll.qlBlackFormulaImpliedStdDev("Call",DK88,DK88,DM88,,DM$47)/SQRT($A67)</f>
        <v>#VALUE!</v>
      </c>
      <c r="DL67" s="22" t="e">
        <f>_xll.qlAbcdFunctionVolatility(DL$37,0,$A67,$A67,DL$32)</f>
        <v>#VALUE!</v>
      </c>
      <c r="DM67" s="41" t="e">
        <f>_xll.qlAbcdCalibrationK(DL$29,$A67,DK67,DL$32)</f>
        <v>#VALUE!</v>
      </c>
      <c r="DO67" s="22" t="e">
        <f>_xll.qlBlackFormulaImpliedStdDev("Call",DO88,DO88,DQ88,,DQ$47)/SQRT($A67)</f>
        <v>#VALUE!</v>
      </c>
      <c r="DP67" s="22" t="e">
        <f>_xll.qlAbcdFunctionVolatility(DP$37,0,$A67,$A67,DP$32)</f>
        <v>#VALUE!</v>
      </c>
      <c r="DQ67" s="41" t="e">
        <f>_xll.qlAbcdCalibrationK(DP$29,$A67,DO67,DP$32)</f>
        <v>#VALUE!</v>
      </c>
    </row>
    <row r="68" spans="1:121" x14ac:dyDescent="0.2">
      <c r="A68" s="95" t="e">
        <f>_xll.qlDayCounterYearFraction(_xll.qlTermStructureDayCounter(Vol),_xll.qlTermStructureReferenceDate(Vol),A89,,,Trigger)</f>
        <v>#VALUE!</v>
      </c>
      <c r="B68" s="16" t="s">
        <v>37</v>
      </c>
      <c r="C68" s="23" t="e">
        <f>_xll.qlBlackFormulaImpliedStdDev("Call",C89,C89,E89,,E$47)/SQRT($A68)</f>
        <v>#VALUE!</v>
      </c>
      <c r="D68" s="23" t="e">
        <f>_xll.qlAbcdFunctionVolatility(D$37,0,$A68,$A68,D$32)</f>
        <v>#VALUE!</v>
      </c>
      <c r="E68" s="42" t="e">
        <f>_xll.qlAbcdCalibrationK(D$29,$A68,C68,D$32)</f>
        <v>#VALUE!</v>
      </c>
      <c r="F68" s="106"/>
      <c r="G68" s="23" t="e">
        <f>_xll.qlBlackFormulaImpliedStdDev("Call",G89,G89,I89,,I$47)/SQRT($A68)</f>
        <v>#VALUE!</v>
      </c>
      <c r="H68" s="23" t="e">
        <f>_xll.qlAbcdFunctionVolatility(H$37,0,$A68,$A68,H$32)</f>
        <v>#VALUE!</v>
      </c>
      <c r="I68" s="42" t="e">
        <f>_xll.qlAbcdCalibrationK(H$29,$A68,G68,H$32)</f>
        <v>#VALUE!</v>
      </c>
      <c r="J68" s="107"/>
      <c r="K68" s="23" t="e">
        <f>_xll.qlBlackFormulaImpliedStdDev("Call",K89,K89,M89,,M$47)/SQRT($A68)</f>
        <v>#VALUE!</v>
      </c>
      <c r="L68" s="23" t="e">
        <f>_xll.qlAbcdFunctionVolatility(L$37,0,$A68,$A68,L$32)</f>
        <v>#VALUE!</v>
      </c>
      <c r="M68" s="42" t="e">
        <f>_xll.qlAbcdCalibrationK(L$29,$A68,K68,L$32)</f>
        <v>#VALUE!</v>
      </c>
      <c r="O68" s="23" t="e">
        <f>_xll.qlBlackFormulaImpliedStdDev("Call",O89,O89,Q89,,Q$47)/SQRT($A68)</f>
        <v>#VALUE!</v>
      </c>
      <c r="P68" s="23" t="e">
        <f>_xll.qlAbcdFunctionVolatility(P$37,0,$A68,$A68,P$32)</f>
        <v>#VALUE!</v>
      </c>
      <c r="Q68" s="42" t="e">
        <f>_xll.qlAbcdCalibrationK(P$29,$A68,O68,P$32)</f>
        <v>#VALUE!</v>
      </c>
      <c r="S68" s="23" t="e">
        <f>_xll.qlBlackFormulaImpliedStdDev("Call",S89,S89,U89,,U$47)/SQRT($A68)</f>
        <v>#VALUE!</v>
      </c>
      <c r="T68" s="23" t="e">
        <f>_xll.qlAbcdFunctionVolatility(T$37,0,$A68,$A68,T$32)</f>
        <v>#VALUE!</v>
      </c>
      <c r="U68" s="42" t="e">
        <f>_xll.qlAbcdCalibrationK(T$29,$A68,S68,T$32)</f>
        <v>#VALUE!</v>
      </c>
      <c r="W68" s="23" t="e">
        <f>_xll.qlBlackFormulaImpliedStdDev("Call",W89,W89,Y89,,Y$47)/SQRT($A68)</f>
        <v>#VALUE!</v>
      </c>
      <c r="X68" s="23" t="e">
        <f>_xll.qlAbcdFunctionVolatility(X$37,0,$A68,$A68,X$32)</f>
        <v>#VALUE!</v>
      </c>
      <c r="Y68" s="42" t="e">
        <f>_xll.qlAbcdCalibrationK(X$29,$A68,W68,X$32)</f>
        <v>#VALUE!</v>
      </c>
      <c r="AA68" s="23" t="e">
        <f>_xll.qlBlackFormulaImpliedStdDev("Call",AA89,AA89,AC89,,AC$47)/SQRT($A68)</f>
        <v>#VALUE!</v>
      </c>
      <c r="AB68" s="23" t="e">
        <f>_xll.qlAbcdFunctionVolatility(AB$37,0,$A68,$A68,AB$32)</f>
        <v>#VALUE!</v>
      </c>
      <c r="AC68" s="42" t="e">
        <f>_xll.qlAbcdCalibrationK(AB$29,$A68,AA68,AB$32)</f>
        <v>#VALUE!</v>
      </c>
      <c r="AE68" s="23" t="e">
        <f>_xll.qlBlackFormulaImpliedStdDev("Call",AE89,AE89,AG89,,AG$47)/SQRT($A68)</f>
        <v>#VALUE!</v>
      </c>
      <c r="AF68" s="23" t="e">
        <f>_xll.qlAbcdFunctionVolatility(AF$37,0,$A68,$A68,AF$32)</f>
        <v>#VALUE!</v>
      </c>
      <c r="AG68" s="42" t="e">
        <f>_xll.qlAbcdCalibrationK(AF$29,$A68,AE68,AF$32)</f>
        <v>#VALUE!</v>
      </c>
      <c r="AI68" s="23" t="e">
        <f>_xll.qlBlackFormulaImpliedStdDev("Call",AI89,AI89,AK89,,AK$47)/SQRT($A68)</f>
        <v>#VALUE!</v>
      </c>
      <c r="AJ68" s="23" t="e">
        <f>_xll.qlAbcdFunctionVolatility(AJ$37,0,$A68,$A68,AJ$32)</f>
        <v>#VALUE!</v>
      </c>
      <c r="AK68" s="42" t="e">
        <f>_xll.qlAbcdCalibrationK(AJ$29,$A68,AI68,AJ$32)</f>
        <v>#VALUE!</v>
      </c>
      <c r="AM68" s="23" t="e">
        <f>_xll.qlBlackFormulaImpliedStdDev("Call",AM89,AM89,AO89,,AO$47)/SQRT($A68)</f>
        <v>#VALUE!</v>
      </c>
      <c r="AN68" s="23" t="e">
        <f>_xll.qlAbcdFunctionVolatility(AN$37,0,$A68,$A68,AN$32)</f>
        <v>#VALUE!</v>
      </c>
      <c r="AO68" s="42" t="e">
        <f>_xll.qlAbcdCalibrationK(AN$29,$A68,AM68,AN$32)</f>
        <v>#VALUE!</v>
      </c>
      <c r="AP68" s="92"/>
      <c r="AQ68" s="23" t="e">
        <f>_xll.qlBlackFormulaImpliedStdDev("Call",AQ89,AQ89,AS89,,AS$47)/SQRT($A68)</f>
        <v>#VALUE!</v>
      </c>
      <c r="AR68" s="23" t="e">
        <f>_xll.qlAbcdFunctionVolatility(AR$37,0,$A68,$A68,AR$32)</f>
        <v>#VALUE!</v>
      </c>
      <c r="AS68" s="42" t="e">
        <f>_xll.qlAbcdCalibrationK(AR$29,$A68,AQ68,AR$32)</f>
        <v>#VALUE!</v>
      </c>
      <c r="AU68" s="23" t="e">
        <f>_xll.qlBlackFormulaImpliedStdDev("Call",AU89,AU89,AW89,,AW$47)/SQRT($A68)</f>
        <v>#VALUE!</v>
      </c>
      <c r="AV68" s="23" t="e">
        <f>_xll.qlAbcdFunctionVolatility(AV$37,0,$A68,$A68,AV$32)</f>
        <v>#VALUE!</v>
      </c>
      <c r="AW68" s="42" t="e">
        <f>_xll.qlAbcdCalibrationK(AV$29,$A68,AU68,AV$32)</f>
        <v>#VALUE!</v>
      </c>
      <c r="AY68" s="23" t="e">
        <f>_xll.qlBlackFormulaImpliedStdDev("Call",AY89,AY89,BA89,,BA$47)/SQRT($A68)</f>
        <v>#VALUE!</v>
      </c>
      <c r="AZ68" s="23" t="e">
        <f>_xll.qlAbcdFunctionVolatility(AZ$37,0,$A68,$A68,AZ$32)</f>
        <v>#VALUE!</v>
      </c>
      <c r="BA68" s="42" t="e">
        <f>_xll.qlAbcdCalibrationK(AZ$29,$A68,AY68,AZ$32)</f>
        <v>#VALUE!</v>
      </c>
      <c r="BB68" s="92"/>
      <c r="BC68" s="23" t="e">
        <f>_xll.qlBlackFormulaImpliedStdDev("Call",BC89,BC89,BE89,,BE$47)/SQRT($A68)</f>
        <v>#VALUE!</v>
      </c>
      <c r="BD68" s="23" t="e">
        <f>_xll.qlAbcdFunctionVolatility(BD$37,0,$A68,$A68,BD$32)</f>
        <v>#VALUE!</v>
      </c>
      <c r="BE68" s="42" t="e">
        <f>_xll.qlAbcdCalibrationK(BD$29,$A68,BC68,BD$32)</f>
        <v>#VALUE!</v>
      </c>
      <c r="BG68" s="23" t="e">
        <f>_xll.qlBlackFormulaImpliedStdDev("Call",BG89,BG89,BI89,,BI$47)/SQRT($A68)</f>
        <v>#VALUE!</v>
      </c>
      <c r="BH68" s="23" t="e">
        <f>_xll.qlAbcdFunctionVolatility(BH$37,0,$A68,$A68,BH$32)</f>
        <v>#VALUE!</v>
      </c>
      <c r="BI68" s="42" t="e">
        <f>_xll.qlAbcdCalibrationK(BH$29,$A68,BG68,BH$32)</f>
        <v>#VALUE!</v>
      </c>
      <c r="BJ68" s="92"/>
      <c r="BK68" s="23" t="e">
        <f>_xll.qlBlackFormulaImpliedStdDev("Call",BK89,BK89,BM89,,BM$47)/SQRT($A68)</f>
        <v>#VALUE!</v>
      </c>
      <c r="BL68" s="23" t="e">
        <f>_xll.qlAbcdFunctionVolatility(BL$37,0,$A68,$A68,BL$32)</f>
        <v>#VALUE!</v>
      </c>
      <c r="BM68" s="42" t="e">
        <f>_xll.qlAbcdCalibrationK(BL$29,$A68,BK68,BL$32)</f>
        <v>#VALUE!</v>
      </c>
      <c r="BN68" s="92"/>
      <c r="BO68" s="23" t="e">
        <f>_xll.qlBlackFormulaImpliedStdDev("Call",BO89,BO89,BQ89,,BQ$47)/SQRT($A68)</f>
        <v>#VALUE!</v>
      </c>
      <c r="BP68" s="23" t="e">
        <f>_xll.qlAbcdFunctionVolatility(BP$37,0,$A68,$A68,BP$32)</f>
        <v>#VALUE!</v>
      </c>
      <c r="BQ68" s="42" t="e">
        <f>_xll.qlAbcdCalibrationK(BP$29,$A68,BO68,BP$32)</f>
        <v>#VALUE!</v>
      </c>
      <c r="BR68" s="92"/>
      <c r="BS68" s="23" t="e">
        <f>_xll.qlBlackFormulaImpliedStdDev("Call",BS89,BS89,BU89,,BU$47)/SQRT($A68)</f>
        <v>#VALUE!</v>
      </c>
      <c r="BT68" s="23" t="e">
        <f>_xll.qlAbcdFunctionVolatility(BT$37,0,$A68,$A68,BT$32)</f>
        <v>#VALUE!</v>
      </c>
      <c r="BU68" s="42" t="e">
        <f>_xll.qlAbcdCalibrationK(BT$29,$A68,BS68,BT$32)</f>
        <v>#VALUE!</v>
      </c>
      <c r="BV68" s="92"/>
      <c r="BW68" s="23" t="e">
        <f>_xll.qlBlackFormulaImpliedStdDev("Call",BW89,BW89,BY89,,BY$47)/SQRT($A68)</f>
        <v>#VALUE!</v>
      </c>
      <c r="BX68" s="23" t="e">
        <f>_xll.qlAbcdFunctionVolatility(BX$37,0,$A68,$A68,BX$32)</f>
        <v>#VALUE!</v>
      </c>
      <c r="BY68" s="42" t="e">
        <f>_xll.qlAbcdCalibrationK(BX$29,$A68,BW68,BX$32)</f>
        <v>#VALUE!</v>
      </c>
      <c r="CA68" s="23" t="e">
        <f>_xll.qlBlackFormulaImpliedStdDev("Call",CA89,CA89,CC89,,CC$47)/SQRT($A68)</f>
        <v>#VALUE!</v>
      </c>
      <c r="CB68" s="23" t="e">
        <f>_xll.qlAbcdFunctionVolatility(CB$37,0,$A68,$A68,CB$32)</f>
        <v>#VALUE!</v>
      </c>
      <c r="CC68" s="42" t="e">
        <f>_xll.qlAbcdCalibrationK(CB$29,$A68,CA68,CB$32)</f>
        <v>#VALUE!</v>
      </c>
      <c r="CD68" s="92"/>
      <c r="CE68" s="23" t="e">
        <f>_xll.qlBlackFormulaImpliedStdDev("Call",CE89,CE89,CG89,,CG$47)/SQRT($A68)</f>
        <v>#VALUE!</v>
      </c>
      <c r="CF68" s="23" t="e">
        <f>_xll.qlAbcdFunctionVolatility(CF$37,0,$A68,$A68,CF$32)</f>
        <v>#VALUE!</v>
      </c>
      <c r="CG68" s="42" t="e">
        <f>_xll.qlAbcdCalibrationK(CF$29,$A68,CE68,CF$32)</f>
        <v>#VALUE!</v>
      </c>
      <c r="CH68" s="92"/>
      <c r="CI68" s="23" t="e">
        <f>_xll.qlBlackFormulaImpliedStdDev("Call",CI89,CI89,CK89,,CK$47)/SQRT($A68)</f>
        <v>#VALUE!</v>
      </c>
      <c r="CJ68" s="23" t="e">
        <f>_xll.qlAbcdFunctionVolatility(CJ$37,0,$A68,$A68,CJ$32)</f>
        <v>#VALUE!</v>
      </c>
      <c r="CK68" s="42" t="e">
        <f>_xll.qlAbcdCalibrationK(CJ$29,$A68,CI68,CJ$32)</f>
        <v>#VALUE!</v>
      </c>
      <c r="CL68" s="92"/>
      <c r="CM68" s="23" t="e">
        <f>_xll.qlBlackFormulaImpliedStdDev("Call",CM89,CM89,CO89,,CO$47)/SQRT($A68)</f>
        <v>#VALUE!</v>
      </c>
      <c r="CN68" s="23" t="e">
        <f>_xll.qlAbcdFunctionVolatility(CN$37,0,$A68,$A68,CN$32)</f>
        <v>#VALUE!</v>
      </c>
      <c r="CO68" s="42" t="e">
        <f>_xll.qlAbcdCalibrationK(CN$29,$A68,CM68,CN$32)</f>
        <v>#VALUE!</v>
      </c>
      <c r="CP68" s="92"/>
      <c r="CQ68" s="23" t="e">
        <f>_xll.qlBlackFormulaImpliedStdDev("Call",CQ89,CQ89,CS89,,CS$47)/SQRT($A68)</f>
        <v>#VALUE!</v>
      </c>
      <c r="CR68" s="23" t="e">
        <f>_xll.qlAbcdFunctionVolatility(CR$37,0,$A68,$A68,CR$32)</f>
        <v>#VALUE!</v>
      </c>
      <c r="CS68" s="42" t="e">
        <f>_xll.qlAbcdCalibrationK(CR$29,$A68,CQ68,CR$32)</f>
        <v>#VALUE!</v>
      </c>
      <c r="CU68" s="23" t="e">
        <f>_xll.qlBlackFormulaImpliedStdDev("Call",CU89,CU89,CW89,,CW$47)/SQRT($A68)</f>
        <v>#VALUE!</v>
      </c>
      <c r="CV68" s="23" t="e">
        <f>_xll.qlAbcdFunctionVolatility(CV$37,0,$A68,$A68,CV$32)</f>
        <v>#VALUE!</v>
      </c>
      <c r="CW68" s="42" t="e">
        <f>_xll.qlAbcdCalibrationK(CV$29,$A68,CU68,CV$32)</f>
        <v>#VALUE!</v>
      </c>
      <c r="CX68" s="92"/>
      <c r="CY68" s="23" t="e">
        <f>_xll.qlBlackFormulaImpliedStdDev("Call",CY89,CY89,DA89,,DA$47)/SQRT($A68)</f>
        <v>#VALUE!</v>
      </c>
      <c r="CZ68" s="23" t="e">
        <f>_xll.qlAbcdFunctionVolatility(CZ$37,0,$A68,$A68,CZ$32)</f>
        <v>#VALUE!</v>
      </c>
      <c r="DA68" s="42" t="e">
        <f>_xll.qlAbcdCalibrationK(CZ$29,$A68,CY68,CZ$32)</f>
        <v>#VALUE!</v>
      </c>
      <c r="DB68" s="92"/>
      <c r="DC68" s="23" t="e">
        <f>_xll.qlBlackFormulaImpliedStdDev("Call",DC89,DC89,DE89,,DE$47)/SQRT($A68)</f>
        <v>#VALUE!</v>
      </c>
      <c r="DD68" s="23" t="e">
        <f>_xll.qlAbcdFunctionVolatility(DD$37,0,$A68,$A68,DD$32)</f>
        <v>#VALUE!</v>
      </c>
      <c r="DE68" s="42" t="e">
        <f>_xll.qlAbcdCalibrationK(DD$29,$A68,DC68,DD$32)</f>
        <v>#VALUE!</v>
      </c>
      <c r="DF68" s="92"/>
      <c r="DG68" s="23" t="e">
        <f>_xll.qlBlackFormulaImpliedStdDev("Call",DG89,DG89,DI89,,DI$47)/SQRT($A68)</f>
        <v>#VALUE!</v>
      </c>
      <c r="DH68" s="23" t="e">
        <f>_xll.qlAbcdFunctionVolatility(DH$37,0,$A68,$A68,DH$32)</f>
        <v>#VALUE!</v>
      </c>
      <c r="DI68" s="42" t="e">
        <f>_xll.qlAbcdCalibrationK(DH$29,$A68,DG68,DH$32)</f>
        <v>#VALUE!</v>
      </c>
      <c r="DJ68" s="92"/>
      <c r="DK68" s="23" t="e">
        <f>_xll.qlBlackFormulaImpliedStdDev("Call",DK89,DK89,DM89,,DM$47)/SQRT($A68)</f>
        <v>#VALUE!</v>
      </c>
      <c r="DL68" s="23" t="e">
        <f>_xll.qlAbcdFunctionVolatility(DL$37,0,$A68,$A68,DL$32)</f>
        <v>#VALUE!</v>
      </c>
      <c r="DM68" s="42" t="e">
        <f>_xll.qlAbcdCalibrationK(DL$29,$A68,DK68,DL$32)</f>
        <v>#VALUE!</v>
      </c>
      <c r="DO68" s="23" t="e">
        <f>_xll.qlBlackFormulaImpliedStdDev("Call",DO89,DO89,DQ89,,DQ$47)/SQRT($A68)</f>
        <v>#VALUE!</v>
      </c>
      <c r="DP68" s="23" t="e">
        <f>_xll.qlAbcdFunctionVolatility(DP$37,0,$A68,$A68,DP$32)</f>
        <v>#VALUE!</v>
      </c>
      <c r="DQ68" s="42" t="e">
        <f>_xll.qlAbcdCalibrationK(DP$29,$A68,DO68,DP$32)</f>
        <v>#VALUE!</v>
      </c>
    </row>
    <row r="69" spans="1:121" ht="12.75" customHeight="1" x14ac:dyDescent="0.2">
      <c r="A69" s="98" t="s">
        <v>73</v>
      </c>
      <c r="B69" s="73"/>
      <c r="C69" s="72" t="s">
        <v>50</v>
      </c>
      <c r="D69" s="10" t="s">
        <v>39</v>
      </c>
      <c r="E69" s="10" t="s">
        <v>66</v>
      </c>
      <c r="F69" s="7"/>
      <c r="G69" s="72" t="s">
        <v>50</v>
      </c>
      <c r="H69" s="10" t="s">
        <v>39</v>
      </c>
      <c r="I69" s="10" t="s">
        <v>66</v>
      </c>
      <c r="J69" s="7"/>
      <c r="K69" s="72" t="s">
        <v>50</v>
      </c>
      <c r="L69" s="10" t="s">
        <v>39</v>
      </c>
      <c r="M69" s="10" t="s">
        <v>66</v>
      </c>
      <c r="N69" s="7"/>
      <c r="O69" s="72" t="s">
        <v>50</v>
      </c>
      <c r="P69" s="10" t="s">
        <v>39</v>
      </c>
      <c r="Q69" s="10" t="s">
        <v>66</v>
      </c>
      <c r="R69" s="7"/>
      <c r="S69" s="72" t="s">
        <v>50</v>
      </c>
      <c r="T69" s="10" t="s">
        <v>39</v>
      </c>
      <c r="U69" s="10" t="s">
        <v>66</v>
      </c>
      <c r="V69" s="7"/>
      <c r="W69" s="72" t="s">
        <v>50</v>
      </c>
      <c r="X69" s="10" t="s">
        <v>39</v>
      </c>
      <c r="Y69" s="10" t="s">
        <v>66</v>
      </c>
      <c r="Z69" s="7"/>
      <c r="AA69" s="72" t="s">
        <v>50</v>
      </c>
      <c r="AB69" s="10" t="s">
        <v>39</v>
      </c>
      <c r="AC69" s="10" t="s">
        <v>66</v>
      </c>
      <c r="AD69" s="7"/>
      <c r="AE69" s="72" t="s">
        <v>50</v>
      </c>
      <c r="AF69" s="10" t="s">
        <v>39</v>
      </c>
      <c r="AG69" s="10" t="s">
        <v>66</v>
      </c>
      <c r="AH69" s="7"/>
      <c r="AI69" s="72" t="s">
        <v>50</v>
      </c>
      <c r="AJ69" s="10" t="s">
        <v>39</v>
      </c>
      <c r="AK69" s="10" t="s">
        <v>66</v>
      </c>
      <c r="AL69" s="7"/>
      <c r="AM69" s="72" t="s">
        <v>50</v>
      </c>
      <c r="AN69" s="10" t="s">
        <v>39</v>
      </c>
      <c r="AO69" s="10" t="s">
        <v>66</v>
      </c>
      <c r="AP69" s="91"/>
      <c r="AQ69" s="72" t="s">
        <v>50</v>
      </c>
      <c r="AR69" s="10" t="s">
        <v>39</v>
      </c>
      <c r="AS69" s="10" t="s">
        <v>66</v>
      </c>
      <c r="AT69" s="7"/>
      <c r="AU69" s="72" t="s">
        <v>50</v>
      </c>
      <c r="AV69" s="10" t="s">
        <v>39</v>
      </c>
      <c r="AW69" s="10" t="s">
        <v>66</v>
      </c>
      <c r="AX69" s="91"/>
      <c r="AY69" s="72" t="s">
        <v>50</v>
      </c>
      <c r="AZ69" s="10" t="s">
        <v>39</v>
      </c>
      <c r="BA69" s="10" t="s">
        <v>66</v>
      </c>
      <c r="BB69" s="91"/>
      <c r="BC69" s="72" t="s">
        <v>50</v>
      </c>
      <c r="BD69" s="10" t="s">
        <v>39</v>
      </c>
      <c r="BE69" s="10" t="s">
        <v>66</v>
      </c>
      <c r="BF69" s="7"/>
      <c r="BG69" s="72" t="s">
        <v>50</v>
      </c>
      <c r="BH69" s="10" t="s">
        <v>39</v>
      </c>
      <c r="BI69" s="10" t="s">
        <v>66</v>
      </c>
      <c r="BJ69" s="91"/>
      <c r="BK69" s="72" t="s">
        <v>50</v>
      </c>
      <c r="BL69" s="10" t="s">
        <v>39</v>
      </c>
      <c r="BM69" s="10" t="s">
        <v>66</v>
      </c>
      <c r="BN69" s="91"/>
      <c r="BO69" s="72" t="s">
        <v>50</v>
      </c>
      <c r="BP69" s="10" t="s">
        <v>39</v>
      </c>
      <c r="BQ69" s="10" t="s">
        <v>66</v>
      </c>
      <c r="BR69" s="91"/>
      <c r="BS69" s="72" t="s">
        <v>50</v>
      </c>
      <c r="BT69" s="10" t="s">
        <v>39</v>
      </c>
      <c r="BU69" s="10" t="s">
        <v>66</v>
      </c>
      <c r="BV69" s="91"/>
      <c r="BW69" s="72" t="s">
        <v>50</v>
      </c>
      <c r="BX69" s="10" t="s">
        <v>39</v>
      </c>
      <c r="BY69" s="10" t="s">
        <v>66</v>
      </c>
      <c r="BZ69" s="7"/>
      <c r="CA69" s="72" t="s">
        <v>50</v>
      </c>
      <c r="CB69" s="10" t="s">
        <v>39</v>
      </c>
      <c r="CC69" s="10" t="s">
        <v>66</v>
      </c>
      <c r="CD69" s="91"/>
      <c r="CE69" s="72" t="s">
        <v>50</v>
      </c>
      <c r="CF69" s="10" t="s">
        <v>39</v>
      </c>
      <c r="CG69" s="10" t="s">
        <v>66</v>
      </c>
      <c r="CH69" s="91"/>
      <c r="CI69" s="72" t="s">
        <v>50</v>
      </c>
      <c r="CJ69" s="10" t="s">
        <v>39</v>
      </c>
      <c r="CK69" s="10" t="s">
        <v>66</v>
      </c>
      <c r="CL69" s="91"/>
      <c r="CM69" s="72" t="s">
        <v>50</v>
      </c>
      <c r="CN69" s="10" t="s">
        <v>39</v>
      </c>
      <c r="CO69" s="10" t="s">
        <v>66</v>
      </c>
      <c r="CP69" s="91"/>
      <c r="CQ69" s="72" t="s">
        <v>50</v>
      </c>
      <c r="CR69" s="10" t="s">
        <v>39</v>
      </c>
      <c r="CS69" s="10" t="s">
        <v>66</v>
      </c>
      <c r="CT69" s="7"/>
      <c r="CU69" s="72" t="s">
        <v>50</v>
      </c>
      <c r="CV69" s="10" t="s">
        <v>39</v>
      </c>
      <c r="CW69" s="10" t="s">
        <v>66</v>
      </c>
      <c r="CX69" s="91"/>
      <c r="CY69" s="72" t="s">
        <v>50</v>
      </c>
      <c r="CZ69" s="10" t="s">
        <v>39</v>
      </c>
      <c r="DA69" s="10" t="s">
        <v>66</v>
      </c>
      <c r="DB69" s="91"/>
      <c r="DC69" s="72" t="s">
        <v>50</v>
      </c>
      <c r="DD69" s="10" t="s">
        <v>39</v>
      </c>
      <c r="DE69" s="10" t="s">
        <v>66</v>
      </c>
      <c r="DF69" s="91"/>
      <c r="DG69" s="72" t="s">
        <v>50</v>
      </c>
      <c r="DH69" s="10" t="s">
        <v>39</v>
      </c>
      <c r="DI69" s="10" t="s">
        <v>66</v>
      </c>
      <c r="DJ69" s="91"/>
      <c r="DK69" s="72" t="s">
        <v>50</v>
      </c>
      <c r="DL69" s="10" t="s">
        <v>39</v>
      </c>
      <c r="DM69" s="10" t="s">
        <v>66</v>
      </c>
      <c r="DN69" s="7"/>
      <c r="DO69" s="72" t="s">
        <v>50</v>
      </c>
      <c r="DP69" s="10" t="s">
        <v>39</v>
      </c>
      <c r="DQ69" s="10" t="s">
        <v>66</v>
      </c>
    </row>
    <row r="70" spans="1:121" x14ac:dyDescent="0.2">
      <c r="A70" s="102" t="e">
        <f t="array" ref="A70:A89">_xll.qlSwaptionVTSMatrixOptionDates(Vol,Trigger)</f>
        <v>#NUM!</v>
      </c>
      <c r="B70" s="99" t="s">
        <v>21</v>
      </c>
      <c r="C70" s="18" t="e">
        <f>_xll.qlIndexFixing(C$46,$A70,,Trigger)</f>
        <v>#NUM!</v>
      </c>
      <c r="D70" s="21" t="e">
        <f>_xll.qlSwaptionVTSVolatility2(Vol,$B70,C$47,,,Trigger)</f>
        <v>#NUM!</v>
      </c>
      <c r="E70" s="74" t="e">
        <f>_xll.qlBlackFormula("Call",C70,C70,D70*SQRT($A49),,,Trigger)</f>
        <v>#VALUE!</v>
      </c>
      <c r="F70" s="7"/>
      <c r="G70" s="18" t="e">
        <f>_xll.qlIndexFixing(G$46,$A70,,Trigger)</f>
        <v>#NUM!</v>
      </c>
      <c r="H70" s="21" t="e">
        <f>_xll.qlSwaptionVTSVolatility2(Vol,$B70,G$47,,,Trigger)</f>
        <v>#NUM!</v>
      </c>
      <c r="I70" s="74" t="e">
        <f>_xll.qlBlackFormula("Call",G70,G70,H70*SQRT($A49),,,Trigger)</f>
        <v>#VALUE!</v>
      </c>
      <c r="J70" s="7"/>
      <c r="K70" s="18" t="e">
        <f>_xll.qlIndexFixing(K$46,$A70,,Trigger)</f>
        <v>#NUM!</v>
      </c>
      <c r="L70" s="21" t="e">
        <f>_xll.qlSwaptionVTSVolatility2(Vol,$B70,K$47,,,Trigger)</f>
        <v>#NUM!</v>
      </c>
      <c r="M70" s="74" t="e">
        <f>_xll.qlBlackFormula("Call",K70,K70,L70*SQRT($A49),,,Trigger)</f>
        <v>#VALUE!</v>
      </c>
      <c r="N70" s="7"/>
      <c r="O70" s="18" t="e">
        <f>_xll.qlIndexFixing(O$46,$A70,,Trigger)</f>
        <v>#NUM!</v>
      </c>
      <c r="P70" s="21" t="e">
        <f>_xll.qlSwaptionVTSVolatility2(Vol,$B70,O$47,,,Trigger)</f>
        <v>#NUM!</v>
      </c>
      <c r="Q70" s="74" t="e">
        <f>_xll.qlBlackFormula("Call",O70,O70,P70*SQRT($A49),,,Trigger)</f>
        <v>#VALUE!</v>
      </c>
      <c r="R70" s="7"/>
      <c r="S70" s="18" t="e">
        <f>_xll.qlIndexFixing(S$46,$A70,,Trigger)</f>
        <v>#NUM!</v>
      </c>
      <c r="T70" s="21" t="e">
        <f>_xll.qlSwaptionVTSVolatility2(Vol,$B70,S$47,,,Trigger)</f>
        <v>#NUM!</v>
      </c>
      <c r="U70" s="74" t="e">
        <f>_xll.qlBlackFormula("Call",S70,S70,T70*SQRT($A49),,,Trigger)</f>
        <v>#VALUE!</v>
      </c>
      <c r="V70" s="7"/>
      <c r="W70" s="18" t="e">
        <f>_xll.qlIndexFixing(W$46,$A70,,Trigger)</f>
        <v>#NUM!</v>
      </c>
      <c r="X70" s="21" t="e">
        <f>_xll.qlSwaptionVTSVolatility2(Vol,$B70,W$47,,,Trigger)</f>
        <v>#NUM!</v>
      </c>
      <c r="Y70" s="74" t="e">
        <f>_xll.qlBlackFormula("Call",W70,W70,X70*SQRT($A49),,,Trigger)</f>
        <v>#VALUE!</v>
      </c>
      <c r="Z70" s="7"/>
      <c r="AA70" s="18" t="e">
        <f>_xll.qlIndexFixing(AA$46,$A70,,Trigger)</f>
        <v>#NUM!</v>
      </c>
      <c r="AB70" s="21" t="e">
        <f>_xll.qlSwaptionVTSVolatility2(Vol,$B70,AA$47,,,Trigger)</f>
        <v>#NUM!</v>
      </c>
      <c r="AC70" s="74" t="e">
        <f>_xll.qlBlackFormula("Call",AA70,AA70,AB70*SQRT($A49),,,Trigger)</f>
        <v>#VALUE!</v>
      </c>
      <c r="AD70" s="7"/>
      <c r="AE70" s="18" t="e">
        <f>_xll.qlIndexFixing(AE$46,$A70,,Trigger)</f>
        <v>#NUM!</v>
      </c>
      <c r="AF70" s="21" t="e">
        <f>_xll.qlSwaptionVTSVolatility2(Vol,$B70,AE$47,,,Trigger)</f>
        <v>#NUM!</v>
      </c>
      <c r="AG70" s="74" t="e">
        <f>_xll.qlBlackFormula("Call",AE70,AE70,AF70*SQRT($A49),,,Trigger)</f>
        <v>#VALUE!</v>
      </c>
      <c r="AH70" s="7"/>
      <c r="AI70" s="18" t="e">
        <f>_xll.qlIndexFixing(AI$46,$A70,,Trigger)</f>
        <v>#NUM!</v>
      </c>
      <c r="AJ70" s="21" t="e">
        <f>_xll.qlSwaptionVTSVolatility2(Vol,$B70,AI$47,,,Trigger)</f>
        <v>#NUM!</v>
      </c>
      <c r="AK70" s="74" t="e">
        <f>_xll.qlBlackFormula("Call",AI70,AI70,AJ70*SQRT($A49),,,Trigger)</f>
        <v>#VALUE!</v>
      </c>
      <c r="AL70" s="7"/>
      <c r="AM70" s="18" t="e">
        <f>_xll.qlIndexFixing(AM$46,$A70,,Trigger)</f>
        <v>#NUM!</v>
      </c>
      <c r="AN70" s="21" t="e">
        <f>_xll.qlSwaptionVTSVolatility2(Vol,$B70,AM$47,,,Trigger)</f>
        <v>#NUM!</v>
      </c>
      <c r="AO70" s="74" t="e">
        <f>_xll.qlBlackFormula("Call",AM70,AM70,AN70*SQRT($A49),,,Trigger)</f>
        <v>#VALUE!</v>
      </c>
      <c r="AP70" s="93"/>
      <c r="AQ70" s="18" t="e">
        <f>_xll.qlIndexFixing(AQ$46,$A70,,Trigger)</f>
        <v>#NUM!</v>
      </c>
      <c r="AR70" s="21" t="e">
        <f>_xll.qlSwaptionVTSVolatility2(Vol,$B70,AQ$47,,,Trigger)</f>
        <v>#NUM!</v>
      </c>
      <c r="AS70" s="74" t="e">
        <f>_xll.qlBlackFormula("Call",AQ70,AQ70,AR70*SQRT($A49),,,Trigger)</f>
        <v>#VALUE!</v>
      </c>
      <c r="AT70" s="7"/>
      <c r="AU70" s="18" t="e">
        <f>_xll.qlIndexFixing(AU$46,$A70,,Trigger)</f>
        <v>#NUM!</v>
      </c>
      <c r="AV70" s="21" t="e">
        <f>_xll.qlSwaptionVTSVolatility2(Vol,$B70,AU$47,,,Trigger)</f>
        <v>#NUM!</v>
      </c>
      <c r="AW70" s="74" t="e">
        <f>_xll.qlBlackFormula("Call",AU70,AU70,AV70*SQRT($A49),,,Trigger)</f>
        <v>#VALUE!</v>
      </c>
      <c r="AX70" s="93"/>
      <c r="AY70" s="18" t="e">
        <f>_xll.qlIndexFixing(AY$46,$A70,,Trigger)</f>
        <v>#NUM!</v>
      </c>
      <c r="AZ70" s="21" t="e">
        <f>_xll.qlSwaptionVTSVolatility2(Vol,$B70,AY$47,,,Trigger)</f>
        <v>#NUM!</v>
      </c>
      <c r="BA70" s="74" t="e">
        <f>_xll.qlBlackFormula("Call",AY70,AY70,AZ70*SQRT($A49),,,Trigger)</f>
        <v>#VALUE!</v>
      </c>
      <c r="BB70" s="93"/>
      <c r="BC70" s="18" t="e">
        <f>_xll.qlIndexFixing(BC$46,$A70,,Trigger)</f>
        <v>#NUM!</v>
      </c>
      <c r="BD70" s="21" t="e">
        <f>_xll.qlSwaptionVTSVolatility2(Vol,$B70,BC$47,,,Trigger)</f>
        <v>#NUM!</v>
      </c>
      <c r="BE70" s="74" t="e">
        <f>_xll.qlBlackFormula("Call",BC70,BC70,BD70*SQRT($A49),,,Trigger)</f>
        <v>#VALUE!</v>
      </c>
      <c r="BF70" s="7"/>
      <c r="BG70" s="18" t="e">
        <f>_xll.qlIndexFixing(BG$46,$A70,,Trigger)</f>
        <v>#NUM!</v>
      </c>
      <c r="BH70" s="21" t="e">
        <f>_xll.qlSwaptionVTSVolatility2(Vol,$B70,BG$47,,,Trigger)</f>
        <v>#NUM!</v>
      </c>
      <c r="BI70" s="74" t="e">
        <f>_xll.qlBlackFormula("Call",BG70,BG70,BH70*SQRT($A49),,,Trigger)</f>
        <v>#VALUE!</v>
      </c>
      <c r="BJ70" s="93"/>
      <c r="BK70" s="18" t="e">
        <f>_xll.qlIndexFixing(BK$46,$A70,,Trigger)</f>
        <v>#NUM!</v>
      </c>
      <c r="BL70" s="21" t="e">
        <f>_xll.qlSwaptionVTSVolatility2(Vol,$B70,BK$47,,,Trigger)</f>
        <v>#NUM!</v>
      </c>
      <c r="BM70" s="74" t="e">
        <f>_xll.qlBlackFormula("Call",BK70,BK70,BL70*SQRT($A49),,,Trigger)</f>
        <v>#VALUE!</v>
      </c>
      <c r="BN70" s="93"/>
      <c r="BO70" s="18" t="e">
        <f>_xll.qlIndexFixing(BO$46,$A70,,Trigger)</f>
        <v>#NUM!</v>
      </c>
      <c r="BP70" s="21" t="e">
        <f>_xll.qlSwaptionVTSVolatility2(Vol,$B70,BO$47,,,Trigger)</f>
        <v>#NUM!</v>
      </c>
      <c r="BQ70" s="74" t="e">
        <f>_xll.qlBlackFormula("Call",BO70,BO70,BP70*SQRT($A49),,,Trigger)</f>
        <v>#VALUE!</v>
      </c>
      <c r="BR70" s="93"/>
      <c r="BS70" s="18" t="e">
        <f>_xll.qlIndexFixing(BS$46,$A70,,Trigger)</f>
        <v>#NUM!</v>
      </c>
      <c r="BT70" s="21" t="e">
        <f>_xll.qlSwaptionVTSVolatility2(Vol,$B70,BS$47,,,Trigger)</f>
        <v>#NUM!</v>
      </c>
      <c r="BU70" s="74" t="e">
        <f>_xll.qlBlackFormula("Call",BS70,BS70,BT70*SQRT($A49),,,Trigger)</f>
        <v>#VALUE!</v>
      </c>
      <c r="BV70" s="93"/>
      <c r="BW70" s="18" t="e">
        <f>_xll.qlIndexFixing(BW$46,$A70,,Trigger)</f>
        <v>#NUM!</v>
      </c>
      <c r="BX70" s="21" t="e">
        <f>_xll.qlSwaptionVTSVolatility2(Vol,$B70,BW$47,,,Trigger)</f>
        <v>#NUM!</v>
      </c>
      <c r="BY70" s="74" t="e">
        <f>_xll.qlBlackFormula("Call",BW70,BW70,BX70*SQRT($A49),,,Trigger)</f>
        <v>#VALUE!</v>
      </c>
      <c r="BZ70" s="7"/>
      <c r="CA70" s="18" t="e">
        <f>_xll.qlIndexFixing(CA$46,$A70,,Trigger)</f>
        <v>#NUM!</v>
      </c>
      <c r="CB70" s="21" t="e">
        <f>_xll.qlSwaptionVTSVolatility2(Vol,$B70,CA$47,,,Trigger)</f>
        <v>#NUM!</v>
      </c>
      <c r="CC70" s="74" t="e">
        <f>_xll.qlBlackFormula("Call",CA70,CA70,CB70*SQRT($A49),,,Trigger)</f>
        <v>#VALUE!</v>
      </c>
      <c r="CD70" s="93"/>
      <c r="CE70" s="18" t="e">
        <f>_xll.qlIndexFixing(CE$46,$A70,,Trigger)</f>
        <v>#NUM!</v>
      </c>
      <c r="CF70" s="21" t="e">
        <f>_xll.qlSwaptionVTSVolatility2(Vol,$B70,CE$47,,,Trigger)</f>
        <v>#NUM!</v>
      </c>
      <c r="CG70" s="74" t="e">
        <f>_xll.qlBlackFormula("Call",CE70,CE70,CF70*SQRT($A49),,,Trigger)</f>
        <v>#VALUE!</v>
      </c>
      <c r="CH70" s="93"/>
      <c r="CI70" s="18" t="e">
        <f>_xll.qlIndexFixing(CI$46,$A70,,Trigger)</f>
        <v>#NUM!</v>
      </c>
      <c r="CJ70" s="21" t="e">
        <f>_xll.qlSwaptionVTSVolatility2(Vol,$B70,CI$47,,,Trigger)</f>
        <v>#NUM!</v>
      </c>
      <c r="CK70" s="74" t="e">
        <f>_xll.qlBlackFormula("Call",CI70,CI70,CJ70*SQRT($A49),,,Trigger)</f>
        <v>#VALUE!</v>
      </c>
      <c r="CL70" s="93"/>
      <c r="CM70" s="18" t="e">
        <f>_xll.qlIndexFixing(CM$46,$A70,,Trigger)</f>
        <v>#NUM!</v>
      </c>
      <c r="CN70" s="21" t="e">
        <f>_xll.qlSwaptionVTSVolatility2(Vol,$B70,CM$47,,,Trigger)</f>
        <v>#NUM!</v>
      </c>
      <c r="CO70" s="74" t="e">
        <f>_xll.qlBlackFormula("Call",CM70,CM70,CN70*SQRT($A49),,,Trigger)</f>
        <v>#VALUE!</v>
      </c>
      <c r="CP70" s="93"/>
      <c r="CQ70" s="18" t="e">
        <f>_xll.qlIndexFixing(CQ$46,$A70,,Trigger)</f>
        <v>#NUM!</v>
      </c>
      <c r="CR70" s="21" t="e">
        <f>_xll.qlSwaptionVTSVolatility2(Vol,$B70,CQ$47,,,Trigger)</f>
        <v>#NUM!</v>
      </c>
      <c r="CS70" s="74" t="e">
        <f>_xll.qlBlackFormula("Call",CQ70,CQ70,CR70*SQRT($A49),,,Trigger)</f>
        <v>#VALUE!</v>
      </c>
      <c r="CT70" s="7"/>
      <c r="CU70" s="18" t="e">
        <f>_xll.qlIndexFixing(CU$46,$A70,,Trigger)</f>
        <v>#NUM!</v>
      </c>
      <c r="CV70" s="21" t="e">
        <f>_xll.qlSwaptionVTSVolatility2(Vol,$B70,CU$47,,,Trigger)</f>
        <v>#NUM!</v>
      </c>
      <c r="CW70" s="74" t="e">
        <f>_xll.qlBlackFormula("Call",CU70,CU70,CV70*SQRT($A49),,,Trigger)</f>
        <v>#VALUE!</v>
      </c>
      <c r="CX70" s="93"/>
      <c r="CY70" s="18" t="e">
        <f>_xll.qlIndexFixing(CY$46,$A70,,Trigger)</f>
        <v>#NUM!</v>
      </c>
      <c r="CZ70" s="21" t="e">
        <f>_xll.qlSwaptionVTSVolatility2(Vol,$B70,CY$47,,,Trigger)</f>
        <v>#NUM!</v>
      </c>
      <c r="DA70" s="74" t="e">
        <f>_xll.qlBlackFormula("Call",CY70,CY70,CZ70*SQRT($A49),,,Trigger)</f>
        <v>#VALUE!</v>
      </c>
      <c r="DB70" s="93"/>
      <c r="DC70" s="18" t="e">
        <f>_xll.qlIndexFixing(DC$46,$A70,,Trigger)</f>
        <v>#NUM!</v>
      </c>
      <c r="DD70" s="21" t="e">
        <f>_xll.qlSwaptionVTSVolatility2(Vol,$B70,DC$47,,,Trigger)</f>
        <v>#NUM!</v>
      </c>
      <c r="DE70" s="74" t="e">
        <f>_xll.qlBlackFormula("Call",DC70,DC70,DD70*SQRT($A49),,,Trigger)</f>
        <v>#VALUE!</v>
      </c>
      <c r="DF70" s="93"/>
      <c r="DG70" s="18" t="e">
        <f>_xll.qlIndexFixing(DG$46,$A70,,Trigger)</f>
        <v>#NUM!</v>
      </c>
      <c r="DH70" s="21" t="e">
        <f>_xll.qlSwaptionVTSVolatility2(Vol,$B70,DG$47,,,Trigger)</f>
        <v>#NUM!</v>
      </c>
      <c r="DI70" s="74" t="e">
        <f>_xll.qlBlackFormula("Call",DG70,DG70,DH70*SQRT($A49),,,Trigger)</f>
        <v>#VALUE!</v>
      </c>
      <c r="DJ70" s="93"/>
      <c r="DK70" s="18" t="e">
        <f>_xll.qlIndexFixing(DK$46,$A70,,Trigger)</f>
        <v>#NUM!</v>
      </c>
      <c r="DL70" s="21" t="e">
        <f>_xll.qlSwaptionVTSVolatility2(Vol,$B70,DK$47,,,Trigger)</f>
        <v>#NUM!</v>
      </c>
      <c r="DM70" s="74" t="e">
        <f>_xll.qlBlackFormula("Call",DK70,DK70,DL70*SQRT($A49),,,Trigger)</f>
        <v>#VALUE!</v>
      </c>
      <c r="DN70" s="7"/>
      <c r="DO70" s="18" t="e">
        <f>_xll.qlIndexFixing(DO$46,$A70,,Trigger)</f>
        <v>#NUM!</v>
      </c>
      <c r="DP70" s="21" t="e">
        <f>_xll.qlSwaptionVTSVolatility2(Vol,$B70,DO$47,,,Trigger)</f>
        <v>#NUM!</v>
      </c>
      <c r="DQ70" s="74" t="e">
        <f>_xll.qlBlackFormula("Call",DO70,DO70,DP70*SQRT($A49),,,Trigger)</f>
        <v>#VALUE!</v>
      </c>
    </row>
    <row r="71" spans="1:121" x14ac:dyDescent="0.2">
      <c r="A71" s="100" t="e">
        <v>#NUM!</v>
      </c>
      <c r="B71" s="15" t="s">
        <v>22</v>
      </c>
      <c r="C71" s="19" t="e">
        <f>_xll.qlIndexFixing(C$46,$A71,,Trigger)</f>
        <v>#NUM!</v>
      </c>
      <c r="D71" s="22" t="e">
        <f>_xll.qlSwaptionVTSVolatility2(Vol,$B71,C$47,,,Trigger)</f>
        <v>#NUM!</v>
      </c>
      <c r="E71" s="75" t="e">
        <f>_xll.qlBlackFormula("Call",C71,C71,D71*SQRT($A50),,,Trigger)</f>
        <v>#VALUE!</v>
      </c>
      <c r="F71" s="7"/>
      <c r="G71" s="19" t="e">
        <f>_xll.qlIndexFixing(G$46,$A71,,Trigger)</f>
        <v>#NUM!</v>
      </c>
      <c r="H71" s="22" t="e">
        <f>_xll.qlSwaptionVTSVolatility2(Vol,$B71,G$47,,,Trigger)</f>
        <v>#NUM!</v>
      </c>
      <c r="I71" s="75" t="e">
        <f>_xll.qlBlackFormula("Call",G71,G71,H71*SQRT($A50),,,Trigger)</f>
        <v>#VALUE!</v>
      </c>
      <c r="J71" s="7"/>
      <c r="K71" s="19" t="e">
        <f>_xll.qlIndexFixing(K$46,$A71,,Trigger)</f>
        <v>#NUM!</v>
      </c>
      <c r="L71" s="22" t="e">
        <f>_xll.qlSwaptionVTSVolatility2(Vol,$B71,K$47,,,Trigger)</f>
        <v>#NUM!</v>
      </c>
      <c r="M71" s="75" t="e">
        <f>_xll.qlBlackFormula("Call",K71,K71,L71*SQRT($A50),,,Trigger)</f>
        <v>#VALUE!</v>
      </c>
      <c r="N71" s="7"/>
      <c r="O71" s="19" t="e">
        <f>_xll.qlIndexFixing(O$46,$A71,,Trigger)</f>
        <v>#NUM!</v>
      </c>
      <c r="P71" s="22" t="e">
        <f>_xll.qlSwaptionVTSVolatility2(Vol,$B71,O$47,,,Trigger)</f>
        <v>#NUM!</v>
      </c>
      <c r="Q71" s="75" t="e">
        <f>_xll.qlBlackFormula("Call",O71,O71,P71*SQRT($A50),,,Trigger)</f>
        <v>#VALUE!</v>
      </c>
      <c r="R71" s="7"/>
      <c r="S71" s="19" t="e">
        <f>_xll.qlIndexFixing(S$46,$A71,,Trigger)</f>
        <v>#NUM!</v>
      </c>
      <c r="T71" s="22" t="e">
        <f>_xll.qlSwaptionVTSVolatility2(Vol,$B71,S$47,,,Trigger)</f>
        <v>#NUM!</v>
      </c>
      <c r="U71" s="75" t="e">
        <f>_xll.qlBlackFormula("Call",S71,S71,T71*SQRT($A50),,,Trigger)</f>
        <v>#VALUE!</v>
      </c>
      <c r="V71" s="7"/>
      <c r="W71" s="19" t="e">
        <f>_xll.qlIndexFixing(W$46,$A71,,Trigger)</f>
        <v>#NUM!</v>
      </c>
      <c r="X71" s="22" t="e">
        <f>_xll.qlSwaptionVTSVolatility2(Vol,$B71,W$47,,,Trigger)</f>
        <v>#NUM!</v>
      </c>
      <c r="Y71" s="75" t="e">
        <f>_xll.qlBlackFormula("Call",W71,W71,X71*SQRT($A50),,,Trigger)</f>
        <v>#VALUE!</v>
      </c>
      <c r="Z71" s="7"/>
      <c r="AA71" s="19" t="e">
        <f>_xll.qlIndexFixing(AA$46,$A71,,Trigger)</f>
        <v>#NUM!</v>
      </c>
      <c r="AB71" s="22" t="e">
        <f>_xll.qlSwaptionVTSVolatility2(Vol,$B71,AA$47,,,Trigger)</f>
        <v>#NUM!</v>
      </c>
      <c r="AC71" s="75" t="e">
        <f>_xll.qlBlackFormula("Call",AA71,AA71,AB71*SQRT($A50),,,Trigger)</f>
        <v>#VALUE!</v>
      </c>
      <c r="AD71" s="7"/>
      <c r="AE71" s="19" t="e">
        <f>_xll.qlIndexFixing(AE$46,$A71,,Trigger)</f>
        <v>#NUM!</v>
      </c>
      <c r="AF71" s="22" t="e">
        <f>_xll.qlSwaptionVTSVolatility2(Vol,$B71,AE$47,,,Trigger)</f>
        <v>#NUM!</v>
      </c>
      <c r="AG71" s="75" t="e">
        <f>_xll.qlBlackFormula("Call",AE71,AE71,AF71*SQRT($A50),,,Trigger)</f>
        <v>#VALUE!</v>
      </c>
      <c r="AH71" s="7"/>
      <c r="AI71" s="19" t="e">
        <f>_xll.qlIndexFixing(AI$46,$A71,,Trigger)</f>
        <v>#NUM!</v>
      </c>
      <c r="AJ71" s="22" t="e">
        <f>_xll.qlSwaptionVTSVolatility2(Vol,$B71,AI$47,,,Trigger)</f>
        <v>#NUM!</v>
      </c>
      <c r="AK71" s="75" t="e">
        <f>_xll.qlBlackFormula("Call",AI71,AI71,AJ71*SQRT($A50),,,Trigger)</f>
        <v>#VALUE!</v>
      </c>
      <c r="AL71" s="7"/>
      <c r="AM71" s="19" t="e">
        <f>_xll.qlIndexFixing(AM$46,$A71,,Trigger)</f>
        <v>#NUM!</v>
      </c>
      <c r="AN71" s="22" t="e">
        <f>_xll.qlSwaptionVTSVolatility2(Vol,$B71,AM$47,,,Trigger)</f>
        <v>#NUM!</v>
      </c>
      <c r="AO71" s="75" t="e">
        <f>_xll.qlBlackFormula("Call",AM71,AM71,AN71*SQRT($A50),,,Trigger)</f>
        <v>#VALUE!</v>
      </c>
      <c r="AP71" s="93"/>
      <c r="AQ71" s="19" t="e">
        <f>_xll.qlIndexFixing(AQ$46,$A71,,Trigger)</f>
        <v>#NUM!</v>
      </c>
      <c r="AR71" s="22" t="e">
        <f>_xll.qlSwaptionVTSVolatility2(Vol,$B71,AQ$47,,,Trigger)</f>
        <v>#NUM!</v>
      </c>
      <c r="AS71" s="75" t="e">
        <f>_xll.qlBlackFormula("Call",AQ71,AQ71,AR71*SQRT($A50),,,Trigger)</f>
        <v>#VALUE!</v>
      </c>
      <c r="AT71" s="7"/>
      <c r="AU71" s="19" t="e">
        <f>_xll.qlIndexFixing(AU$46,$A71,,Trigger)</f>
        <v>#NUM!</v>
      </c>
      <c r="AV71" s="22" t="e">
        <f>_xll.qlSwaptionVTSVolatility2(Vol,$B71,AU$47,,,Trigger)</f>
        <v>#NUM!</v>
      </c>
      <c r="AW71" s="75" t="e">
        <f>_xll.qlBlackFormula("Call",AU71,AU71,AV71*SQRT($A50),,,Trigger)</f>
        <v>#VALUE!</v>
      </c>
      <c r="AX71" s="93"/>
      <c r="AY71" s="19" t="e">
        <f>_xll.qlIndexFixing(AY$46,$A71,,Trigger)</f>
        <v>#NUM!</v>
      </c>
      <c r="AZ71" s="22" t="e">
        <f>_xll.qlSwaptionVTSVolatility2(Vol,$B71,AY$47,,,Trigger)</f>
        <v>#NUM!</v>
      </c>
      <c r="BA71" s="75" t="e">
        <f>_xll.qlBlackFormula("Call",AY71,AY71,AZ71*SQRT($A50),,,Trigger)</f>
        <v>#VALUE!</v>
      </c>
      <c r="BB71" s="93"/>
      <c r="BC71" s="19" t="e">
        <f>_xll.qlIndexFixing(BC$46,$A71,,Trigger)</f>
        <v>#NUM!</v>
      </c>
      <c r="BD71" s="22" t="e">
        <f>_xll.qlSwaptionVTSVolatility2(Vol,$B71,BC$47,,,Trigger)</f>
        <v>#NUM!</v>
      </c>
      <c r="BE71" s="75" t="e">
        <f>_xll.qlBlackFormula("Call",BC71,BC71,BD71*SQRT($A50),,,Trigger)</f>
        <v>#VALUE!</v>
      </c>
      <c r="BF71" s="7"/>
      <c r="BG71" s="19" t="e">
        <f>_xll.qlIndexFixing(BG$46,$A71,,Trigger)</f>
        <v>#NUM!</v>
      </c>
      <c r="BH71" s="22" t="e">
        <f>_xll.qlSwaptionVTSVolatility2(Vol,$B71,BG$47,,,Trigger)</f>
        <v>#NUM!</v>
      </c>
      <c r="BI71" s="75" t="e">
        <f>_xll.qlBlackFormula("Call",BG71,BG71,BH71*SQRT($A50),,,Trigger)</f>
        <v>#VALUE!</v>
      </c>
      <c r="BJ71" s="93"/>
      <c r="BK71" s="19" t="e">
        <f>_xll.qlIndexFixing(BK$46,$A71,,Trigger)</f>
        <v>#NUM!</v>
      </c>
      <c r="BL71" s="22" t="e">
        <f>_xll.qlSwaptionVTSVolatility2(Vol,$B71,BK$47,,,Trigger)</f>
        <v>#NUM!</v>
      </c>
      <c r="BM71" s="75" t="e">
        <f>_xll.qlBlackFormula("Call",BK71,BK71,BL71*SQRT($A50),,,Trigger)</f>
        <v>#VALUE!</v>
      </c>
      <c r="BN71" s="93"/>
      <c r="BO71" s="19" t="e">
        <f>_xll.qlIndexFixing(BO$46,$A71,,Trigger)</f>
        <v>#NUM!</v>
      </c>
      <c r="BP71" s="22" t="e">
        <f>_xll.qlSwaptionVTSVolatility2(Vol,$B71,BO$47,,,Trigger)</f>
        <v>#NUM!</v>
      </c>
      <c r="BQ71" s="75" t="e">
        <f>_xll.qlBlackFormula("Call",BO71,BO71,BP71*SQRT($A50),,,Trigger)</f>
        <v>#VALUE!</v>
      </c>
      <c r="BR71" s="93"/>
      <c r="BS71" s="19" t="e">
        <f>_xll.qlIndexFixing(BS$46,$A71,,Trigger)</f>
        <v>#NUM!</v>
      </c>
      <c r="BT71" s="22" t="e">
        <f>_xll.qlSwaptionVTSVolatility2(Vol,$B71,BS$47,,,Trigger)</f>
        <v>#NUM!</v>
      </c>
      <c r="BU71" s="75" t="e">
        <f>_xll.qlBlackFormula("Call",BS71,BS71,BT71*SQRT($A50),,,Trigger)</f>
        <v>#VALUE!</v>
      </c>
      <c r="BV71" s="93"/>
      <c r="BW71" s="19" t="e">
        <f>_xll.qlIndexFixing(BW$46,$A71,,Trigger)</f>
        <v>#NUM!</v>
      </c>
      <c r="BX71" s="22" t="e">
        <f>_xll.qlSwaptionVTSVolatility2(Vol,$B71,BW$47,,,Trigger)</f>
        <v>#NUM!</v>
      </c>
      <c r="BY71" s="75" t="e">
        <f>_xll.qlBlackFormula("Call",BW71,BW71,BX71*SQRT($A50),,,Trigger)</f>
        <v>#VALUE!</v>
      </c>
      <c r="BZ71" s="7"/>
      <c r="CA71" s="19" t="e">
        <f>_xll.qlIndexFixing(CA$46,$A71,,Trigger)</f>
        <v>#NUM!</v>
      </c>
      <c r="CB71" s="22" t="e">
        <f>_xll.qlSwaptionVTSVolatility2(Vol,$B71,CA$47,,,Trigger)</f>
        <v>#NUM!</v>
      </c>
      <c r="CC71" s="75" t="e">
        <f>_xll.qlBlackFormula("Call",CA71,CA71,CB71*SQRT($A50),,,Trigger)</f>
        <v>#VALUE!</v>
      </c>
      <c r="CD71" s="93"/>
      <c r="CE71" s="19" t="e">
        <f>_xll.qlIndexFixing(CE$46,$A71,,Trigger)</f>
        <v>#NUM!</v>
      </c>
      <c r="CF71" s="22" t="e">
        <f>_xll.qlSwaptionVTSVolatility2(Vol,$B71,CE$47,,,Trigger)</f>
        <v>#NUM!</v>
      </c>
      <c r="CG71" s="75" t="e">
        <f>_xll.qlBlackFormula("Call",CE71,CE71,CF71*SQRT($A50),,,Trigger)</f>
        <v>#VALUE!</v>
      </c>
      <c r="CH71" s="93"/>
      <c r="CI71" s="19" t="e">
        <f>_xll.qlIndexFixing(CI$46,$A71,,Trigger)</f>
        <v>#NUM!</v>
      </c>
      <c r="CJ71" s="22" t="e">
        <f>_xll.qlSwaptionVTSVolatility2(Vol,$B71,CI$47,,,Trigger)</f>
        <v>#NUM!</v>
      </c>
      <c r="CK71" s="75" t="e">
        <f>_xll.qlBlackFormula("Call",CI71,CI71,CJ71*SQRT($A50),,,Trigger)</f>
        <v>#VALUE!</v>
      </c>
      <c r="CL71" s="93"/>
      <c r="CM71" s="19" t="e">
        <f>_xll.qlIndexFixing(CM$46,$A71,,Trigger)</f>
        <v>#NUM!</v>
      </c>
      <c r="CN71" s="22" t="e">
        <f>_xll.qlSwaptionVTSVolatility2(Vol,$B71,CM$47,,,Trigger)</f>
        <v>#NUM!</v>
      </c>
      <c r="CO71" s="75" t="e">
        <f>_xll.qlBlackFormula("Call",CM71,CM71,CN71*SQRT($A50),,,Trigger)</f>
        <v>#VALUE!</v>
      </c>
      <c r="CP71" s="93"/>
      <c r="CQ71" s="19" t="e">
        <f>_xll.qlIndexFixing(CQ$46,$A71,,Trigger)</f>
        <v>#NUM!</v>
      </c>
      <c r="CR71" s="22" t="e">
        <f>_xll.qlSwaptionVTSVolatility2(Vol,$B71,CQ$47,,,Trigger)</f>
        <v>#NUM!</v>
      </c>
      <c r="CS71" s="75" t="e">
        <f>_xll.qlBlackFormula("Call",CQ71,CQ71,CR71*SQRT($A50),,,Trigger)</f>
        <v>#VALUE!</v>
      </c>
      <c r="CT71" s="7"/>
      <c r="CU71" s="19" t="e">
        <f>_xll.qlIndexFixing(CU$46,$A71,,Trigger)</f>
        <v>#NUM!</v>
      </c>
      <c r="CV71" s="22" t="e">
        <f>_xll.qlSwaptionVTSVolatility2(Vol,$B71,CU$47,,,Trigger)</f>
        <v>#NUM!</v>
      </c>
      <c r="CW71" s="75" t="e">
        <f>_xll.qlBlackFormula("Call",CU71,CU71,CV71*SQRT($A50),,,Trigger)</f>
        <v>#VALUE!</v>
      </c>
      <c r="CX71" s="93"/>
      <c r="CY71" s="19" t="e">
        <f>_xll.qlIndexFixing(CY$46,$A71,,Trigger)</f>
        <v>#NUM!</v>
      </c>
      <c r="CZ71" s="22" t="e">
        <f>_xll.qlSwaptionVTSVolatility2(Vol,$B71,CY$47,,,Trigger)</f>
        <v>#NUM!</v>
      </c>
      <c r="DA71" s="75" t="e">
        <f>_xll.qlBlackFormula("Call",CY71,CY71,CZ71*SQRT($A50),,,Trigger)</f>
        <v>#VALUE!</v>
      </c>
      <c r="DB71" s="93"/>
      <c r="DC71" s="19" t="e">
        <f>_xll.qlIndexFixing(DC$46,$A71,,Trigger)</f>
        <v>#NUM!</v>
      </c>
      <c r="DD71" s="22" t="e">
        <f>_xll.qlSwaptionVTSVolatility2(Vol,$B71,DC$47,,,Trigger)</f>
        <v>#NUM!</v>
      </c>
      <c r="DE71" s="75" t="e">
        <f>_xll.qlBlackFormula("Call",DC71,DC71,DD71*SQRT($A50),,,Trigger)</f>
        <v>#VALUE!</v>
      </c>
      <c r="DF71" s="93"/>
      <c r="DG71" s="19" t="e">
        <f>_xll.qlIndexFixing(DG$46,$A71,,Trigger)</f>
        <v>#NUM!</v>
      </c>
      <c r="DH71" s="22" t="e">
        <f>_xll.qlSwaptionVTSVolatility2(Vol,$B71,DG$47,,,Trigger)</f>
        <v>#NUM!</v>
      </c>
      <c r="DI71" s="75" t="e">
        <f>_xll.qlBlackFormula("Call",DG71,DG71,DH71*SQRT($A50),,,Trigger)</f>
        <v>#VALUE!</v>
      </c>
      <c r="DJ71" s="93"/>
      <c r="DK71" s="19" t="e">
        <f>_xll.qlIndexFixing(DK$46,$A71,,Trigger)</f>
        <v>#NUM!</v>
      </c>
      <c r="DL71" s="22" t="e">
        <f>_xll.qlSwaptionVTSVolatility2(Vol,$B71,DK$47,,,Trigger)</f>
        <v>#NUM!</v>
      </c>
      <c r="DM71" s="75" t="e">
        <f>_xll.qlBlackFormula("Call",DK71,DK71,DL71*SQRT($A50),,,Trigger)</f>
        <v>#VALUE!</v>
      </c>
      <c r="DN71" s="7"/>
      <c r="DO71" s="19" t="e">
        <f>_xll.qlIndexFixing(DO$46,$A71,,Trigger)</f>
        <v>#NUM!</v>
      </c>
      <c r="DP71" s="22" t="e">
        <f>_xll.qlSwaptionVTSVolatility2(Vol,$B71,DO$47,,,Trigger)</f>
        <v>#NUM!</v>
      </c>
      <c r="DQ71" s="75" t="e">
        <f>_xll.qlBlackFormula("Call",DO71,DO71,DP71*SQRT($A50),,,Trigger)</f>
        <v>#VALUE!</v>
      </c>
    </row>
    <row r="72" spans="1:121" x14ac:dyDescent="0.2">
      <c r="A72" s="100" t="e">
        <v>#NUM!</v>
      </c>
      <c r="B72" s="15" t="s">
        <v>23</v>
      </c>
      <c r="C72" s="19" t="e">
        <f>_xll.qlIndexFixing(C$46,$A72,,Trigger)</f>
        <v>#NUM!</v>
      </c>
      <c r="D72" s="22" t="e">
        <f>_xll.qlSwaptionVTSVolatility2(Vol,$B72,C$47,,,Trigger)</f>
        <v>#NUM!</v>
      </c>
      <c r="E72" s="75" t="e">
        <f>_xll.qlBlackFormula("Call",C72,C72,D72*SQRT($A51),,,Trigger)</f>
        <v>#VALUE!</v>
      </c>
      <c r="F72" s="7"/>
      <c r="G72" s="19" t="e">
        <f>_xll.qlIndexFixing(G$46,$A72,,Trigger)</f>
        <v>#NUM!</v>
      </c>
      <c r="H72" s="22" t="e">
        <f>_xll.qlSwaptionVTSVolatility2(Vol,$B72,G$47,,,Trigger)</f>
        <v>#NUM!</v>
      </c>
      <c r="I72" s="75" t="e">
        <f>_xll.qlBlackFormula("Call",G72,G72,H72*SQRT($A51),,,Trigger)</f>
        <v>#VALUE!</v>
      </c>
      <c r="J72" s="7"/>
      <c r="K72" s="19" t="e">
        <f>_xll.qlIndexFixing(K$46,$A72,,Trigger)</f>
        <v>#NUM!</v>
      </c>
      <c r="L72" s="22" t="e">
        <f>_xll.qlSwaptionVTSVolatility2(Vol,$B72,K$47,,,Trigger)</f>
        <v>#NUM!</v>
      </c>
      <c r="M72" s="75" t="e">
        <f>_xll.qlBlackFormula("Call",K72,K72,L72*SQRT($A51),,,Trigger)</f>
        <v>#VALUE!</v>
      </c>
      <c r="N72" s="7"/>
      <c r="O72" s="19" t="e">
        <f>_xll.qlIndexFixing(O$46,$A72,,Trigger)</f>
        <v>#NUM!</v>
      </c>
      <c r="P72" s="22" t="e">
        <f>_xll.qlSwaptionVTSVolatility2(Vol,$B72,O$47,,,Trigger)</f>
        <v>#NUM!</v>
      </c>
      <c r="Q72" s="75" t="e">
        <f>_xll.qlBlackFormula("Call",O72,O72,P72*SQRT($A51),,,Trigger)</f>
        <v>#VALUE!</v>
      </c>
      <c r="R72" s="7"/>
      <c r="S72" s="19" t="e">
        <f>_xll.qlIndexFixing(S$46,$A72,,Trigger)</f>
        <v>#NUM!</v>
      </c>
      <c r="T72" s="22" t="e">
        <f>_xll.qlSwaptionVTSVolatility2(Vol,$B72,S$47,,,Trigger)</f>
        <v>#NUM!</v>
      </c>
      <c r="U72" s="75" t="e">
        <f>_xll.qlBlackFormula("Call",S72,S72,T72*SQRT($A51),,,Trigger)</f>
        <v>#VALUE!</v>
      </c>
      <c r="V72" s="7"/>
      <c r="W72" s="19" t="e">
        <f>_xll.qlIndexFixing(W$46,$A72,,Trigger)</f>
        <v>#NUM!</v>
      </c>
      <c r="X72" s="22" t="e">
        <f>_xll.qlSwaptionVTSVolatility2(Vol,$B72,W$47,,,Trigger)</f>
        <v>#NUM!</v>
      </c>
      <c r="Y72" s="75" t="e">
        <f>_xll.qlBlackFormula("Call",W72,W72,X72*SQRT($A51),,,Trigger)</f>
        <v>#VALUE!</v>
      </c>
      <c r="Z72" s="7"/>
      <c r="AA72" s="19" t="e">
        <f>_xll.qlIndexFixing(AA$46,$A72,,Trigger)</f>
        <v>#NUM!</v>
      </c>
      <c r="AB72" s="22" t="e">
        <f>_xll.qlSwaptionVTSVolatility2(Vol,$B72,AA$47,,,Trigger)</f>
        <v>#NUM!</v>
      </c>
      <c r="AC72" s="75" t="e">
        <f>_xll.qlBlackFormula("Call",AA72,AA72,AB72*SQRT($A51),,,Trigger)</f>
        <v>#VALUE!</v>
      </c>
      <c r="AD72" s="7"/>
      <c r="AE72" s="19" t="e">
        <f>_xll.qlIndexFixing(AE$46,$A72,,Trigger)</f>
        <v>#NUM!</v>
      </c>
      <c r="AF72" s="22" t="e">
        <f>_xll.qlSwaptionVTSVolatility2(Vol,$B72,AE$47,,,Trigger)</f>
        <v>#NUM!</v>
      </c>
      <c r="AG72" s="75" t="e">
        <f>_xll.qlBlackFormula("Call",AE72,AE72,AF72*SQRT($A51),,,Trigger)</f>
        <v>#VALUE!</v>
      </c>
      <c r="AH72" s="7"/>
      <c r="AI72" s="19" t="e">
        <f>_xll.qlIndexFixing(AI$46,$A72,,Trigger)</f>
        <v>#NUM!</v>
      </c>
      <c r="AJ72" s="22" t="e">
        <f>_xll.qlSwaptionVTSVolatility2(Vol,$B72,AI$47,,,Trigger)</f>
        <v>#NUM!</v>
      </c>
      <c r="AK72" s="75" t="e">
        <f>_xll.qlBlackFormula("Call",AI72,AI72,AJ72*SQRT($A51),,,Trigger)</f>
        <v>#VALUE!</v>
      </c>
      <c r="AL72" s="7"/>
      <c r="AM72" s="19" t="e">
        <f>_xll.qlIndexFixing(AM$46,$A72,,Trigger)</f>
        <v>#NUM!</v>
      </c>
      <c r="AN72" s="22" t="e">
        <f>_xll.qlSwaptionVTSVolatility2(Vol,$B72,AM$47,,,Trigger)</f>
        <v>#NUM!</v>
      </c>
      <c r="AO72" s="75" t="e">
        <f>_xll.qlBlackFormula("Call",AM72,AM72,AN72*SQRT($A51),,,Trigger)</f>
        <v>#VALUE!</v>
      </c>
      <c r="AP72" s="93"/>
      <c r="AQ72" s="19" t="e">
        <f>_xll.qlIndexFixing(AQ$46,$A72,,Trigger)</f>
        <v>#NUM!</v>
      </c>
      <c r="AR72" s="22" t="e">
        <f>_xll.qlSwaptionVTSVolatility2(Vol,$B72,AQ$47,,,Trigger)</f>
        <v>#NUM!</v>
      </c>
      <c r="AS72" s="75" t="e">
        <f>_xll.qlBlackFormula("Call",AQ72,AQ72,AR72*SQRT($A51),,,Trigger)</f>
        <v>#VALUE!</v>
      </c>
      <c r="AT72" s="7"/>
      <c r="AU72" s="19" t="e">
        <f>_xll.qlIndexFixing(AU$46,$A72,,Trigger)</f>
        <v>#NUM!</v>
      </c>
      <c r="AV72" s="22" t="e">
        <f>_xll.qlSwaptionVTSVolatility2(Vol,$B72,AU$47,,,Trigger)</f>
        <v>#NUM!</v>
      </c>
      <c r="AW72" s="75" t="e">
        <f>_xll.qlBlackFormula("Call",AU72,AU72,AV72*SQRT($A51),,,Trigger)</f>
        <v>#VALUE!</v>
      </c>
      <c r="AX72" s="93"/>
      <c r="AY72" s="19" t="e">
        <f>_xll.qlIndexFixing(AY$46,$A72,,Trigger)</f>
        <v>#NUM!</v>
      </c>
      <c r="AZ72" s="22" t="e">
        <f>_xll.qlSwaptionVTSVolatility2(Vol,$B72,AY$47,,,Trigger)</f>
        <v>#NUM!</v>
      </c>
      <c r="BA72" s="75" t="e">
        <f>_xll.qlBlackFormula("Call",AY72,AY72,AZ72*SQRT($A51),,,Trigger)</f>
        <v>#VALUE!</v>
      </c>
      <c r="BB72" s="93"/>
      <c r="BC72" s="19" t="e">
        <f>_xll.qlIndexFixing(BC$46,$A72,,Trigger)</f>
        <v>#NUM!</v>
      </c>
      <c r="BD72" s="22" t="e">
        <f>_xll.qlSwaptionVTSVolatility2(Vol,$B72,BC$47,,,Trigger)</f>
        <v>#NUM!</v>
      </c>
      <c r="BE72" s="75" t="e">
        <f>_xll.qlBlackFormula("Call",BC72,BC72,BD72*SQRT($A51),,,Trigger)</f>
        <v>#VALUE!</v>
      </c>
      <c r="BF72" s="7"/>
      <c r="BG72" s="19" t="e">
        <f>_xll.qlIndexFixing(BG$46,$A72,,Trigger)</f>
        <v>#NUM!</v>
      </c>
      <c r="BH72" s="22" t="e">
        <f>_xll.qlSwaptionVTSVolatility2(Vol,$B72,BG$47,,,Trigger)</f>
        <v>#NUM!</v>
      </c>
      <c r="BI72" s="75" t="e">
        <f>_xll.qlBlackFormula("Call",BG72,BG72,BH72*SQRT($A51),,,Trigger)</f>
        <v>#VALUE!</v>
      </c>
      <c r="BJ72" s="93"/>
      <c r="BK72" s="19" t="e">
        <f>_xll.qlIndexFixing(BK$46,$A72,,Trigger)</f>
        <v>#NUM!</v>
      </c>
      <c r="BL72" s="22" t="e">
        <f>_xll.qlSwaptionVTSVolatility2(Vol,$B72,BK$47,,,Trigger)</f>
        <v>#NUM!</v>
      </c>
      <c r="BM72" s="75" t="e">
        <f>_xll.qlBlackFormula("Call",BK72,BK72,BL72*SQRT($A51),,,Trigger)</f>
        <v>#VALUE!</v>
      </c>
      <c r="BN72" s="93"/>
      <c r="BO72" s="19" t="e">
        <f>_xll.qlIndexFixing(BO$46,$A72,,Trigger)</f>
        <v>#NUM!</v>
      </c>
      <c r="BP72" s="22" t="e">
        <f>_xll.qlSwaptionVTSVolatility2(Vol,$B72,BO$47,,,Trigger)</f>
        <v>#NUM!</v>
      </c>
      <c r="BQ72" s="75" t="e">
        <f>_xll.qlBlackFormula("Call",BO72,BO72,BP72*SQRT($A51),,,Trigger)</f>
        <v>#VALUE!</v>
      </c>
      <c r="BR72" s="93"/>
      <c r="BS72" s="19" t="e">
        <f>_xll.qlIndexFixing(BS$46,$A72,,Trigger)</f>
        <v>#NUM!</v>
      </c>
      <c r="BT72" s="22" t="e">
        <f>_xll.qlSwaptionVTSVolatility2(Vol,$B72,BS$47,,,Trigger)</f>
        <v>#NUM!</v>
      </c>
      <c r="BU72" s="75" t="e">
        <f>_xll.qlBlackFormula("Call",BS72,BS72,BT72*SQRT($A51),,,Trigger)</f>
        <v>#VALUE!</v>
      </c>
      <c r="BV72" s="93"/>
      <c r="BW72" s="19" t="e">
        <f>_xll.qlIndexFixing(BW$46,$A72,,Trigger)</f>
        <v>#NUM!</v>
      </c>
      <c r="BX72" s="22" t="e">
        <f>_xll.qlSwaptionVTSVolatility2(Vol,$B72,BW$47,,,Trigger)</f>
        <v>#NUM!</v>
      </c>
      <c r="BY72" s="75" t="e">
        <f>_xll.qlBlackFormula("Call",BW72,BW72,BX72*SQRT($A51),,,Trigger)</f>
        <v>#VALUE!</v>
      </c>
      <c r="BZ72" s="7"/>
      <c r="CA72" s="19" t="e">
        <f>_xll.qlIndexFixing(CA$46,$A72,,Trigger)</f>
        <v>#NUM!</v>
      </c>
      <c r="CB72" s="22" t="e">
        <f>_xll.qlSwaptionVTSVolatility2(Vol,$B72,CA$47,,,Trigger)</f>
        <v>#NUM!</v>
      </c>
      <c r="CC72" s="75" t="e">
        <f>_xll.qlBlackFormula("Call",CA72,CA72,CB72*SQRT($A51),,,Trigger)</f>
        <v>#VALUE!</v>
      </c>
      <c r="CD72" s="93"/>
      <c r="CE72" s="19" t="e">
        <f>_xll.qlIndexFixing(CE$46,$A72,,Trigger)</f>
        <v>#NUM!</v>
      </c>
      <c r="CF72" s="22" t="e">
        <f>_xll.qlSwaptionVTSVolatility2(Vol,$B72,CE$47,,,Trigger)</f>
        <v>#NUM!</v>
      </c>
      <c r="CG72" s="75" t="e">
        <f>_xll.qlBlackFormula("Call",CE72,CE72,CF72*SQRT($A51),,,Trigger)</f>
        <v>#VALUE!</v>
      </c>
      <c r="CH72" s="93"/>
      <c r="CI72" s="19" t="e">
        <f>_xll.qlIndexFixing(CI$46,$A72,,Trigger)</f>
        <v>#NUM!</v>
      </c>
      <c r="CJ72" s="22" t="e">
        <f>_xll.qlSwaptionVTSVolatility2(Vol,$B72,CI$47,,,Trigger)</f>
        <v>#NUM!</v>
      </c>
      <c r="CK72" s="75" t="e">
        <f>_xll.qlBlackFormula("Call",CI72,CI72,CJ72*SQRT($A51),,,Trigger)</f>
        <v>#VALUE!</v>
      </c>
      <c r="CL72" s="93"/>
      <c r="CM72" s="19" t="e">
        <f>_xll.qlIndexFixing(CM$46,$A72,,Trigger)</f>
        <v>#NUM!</v>
      </c>
      <c r="CN72" s="22" t="e">
        <f>_xll.qlSwaptionVTSVolatility2(Vol,$B72,CM$47,,,Trigger)</f>
        <v>#NUM!</v>
      </c>
      <c r="CO72" s="75" t="e">
        <f>_xll.qlBlackFormula("Call",CM72,CM72,CN72*SQRT($A51),,,Trigger)</f>
        <v>#VALUE!</v>
      </c>
      <c r="CP72" s="93"/>
      <c r="CQ72" s="19" t="e">
        <f>_xll.qlIndexFixing(CQ$46,$A72,,Trigger)</f>
        <v>#NUM!</v>
      </c>
      <c r="CR72" s="22" t="e">
        <f>_xll.qlSwaptionVTSVolatility2(Vol,$B72,CQ$47,,,Trigger)</f>
        <v>#NUM!</v>
      </c>
      <c r="CS72" s="75" t="e">
        <f>_xll.qlBlackFormula("Call",CQ72,CQ72,CR72*SQRT($A51),,,Trigger)</f>
        <v>#VALUE!</v>
      </c>
      <c r="CT72" s="7"/>
      <c r="CU72" s="19" t="e">
        <f>_xll.qlIndexFixing(CU$46,$A72,,Trigger)</f>
        <v>#NUM!</v>
      </c>
      <c r="CV72" s="22" t="e">
        <f>_xll.qlSwaptionVTSVolatility2(Vol,$B72,CU$47,,,Trigger)</f>
        <v>#NUM!</v>
      </c>
      <c r="CW72" s="75" t="e">
        <f>_xll.qlBlackFormula("Call",CU72,CU72,CV72*SQRT($A51),,,Trigger)</f>
        <v>#VALUE!</v>
      </c>
      <c r="CX72" s="93"/>
      <c r="CY72" s="19" t="e">
        <f>_xll.qlIndexFixing(CY$46,$A72,,Trigger)</f>
        <v>#NUM!</v>
      </c>
      <c r="CZ72" s="22" t="e">
        <f>_xll.qlSwaptionVTSVolatility2(Vol,$B72,CY$47,,,Trigger)</f>
        <v>#NUM!</v>
      </c>
      <c r="DA72" s="75" t="e">
        <f>_xll.qlBlackFormula("Call",CY72,CY72,CZ72*SQRT($A51),,,Trigger)</f>
        <v>#VALUE!</v>
      </c>
      <c r="DB72" s="93"/>
      <c r="DC72" s="19" t="e">
        <f>_xll.qlIndexFixing(DC$46,$A72,,Trigger)</f>
        <v>#NUM!</v>
      </c>
      <c r="DD72" s="22" t="e">
        <f>_xll.qlSwaptionVTSVolatility2(Vol,$B72,DC$47,,,Trigger)</f>
        <v>#NUM!</v>
      </c>
      <c r="DE72" s="75" t="e">
        <f>_xll.qlBlackFormula("Call",DC72,DC72,DD72*SQRT($A51),,,Trigger)</f>
        <v>#VALUE!</v>
      </c>
      <c r="DF72" s="93"/>
      <c r="DG72" s="19" t="e">
        <f>_xll.qlIndexFixing(DG$46,$A72,,Trigger)</f>
        <v>#NUM!</v>
      </c>
      <c r="DH72" s="22" t="e">
        <f>_xll.qlSwaptionVTSVolatility2(Vol,$B72,DG$47,,,Trigger)</f>
        <v>#NUM!</v>
      </c>
      <c r="DI72" s="75" t="e">
        <f>_xll.qlBlackFormula("Call",DG72,DG72,DH72*SQRT($A51),,,Trigger)</f>
        <v>#VALUE!</v>
      </c>
      <c r="DJ72" s="93"/>
      <c r="DK72" s="19" t="e">
        <f>_xll.qlIndexFixing(DK$46,$A72,,Trigger)</f>
        <v>#NUM!</v>
      </c>
      <c r="DL72" s="22" t="e">
        <f>_xll.qlSwaptionVTSVolatility2(Vol,$B72,DK$47,,,Trigger)</f>
        <v>#NUM!</v>
      </c>
      <c r="DM72" s="75" t="e">
        <f>_xll.qlBlackFormula("Call",DK72,DK72,DL72*SQRT($A51),,,Trigger)</f>
        <v>#VALUE!</v>
      </c>
      <c r="DN72" s="7"/>
      <c r="DO72" s="19" t="e">
        <f>_xll.qlIndexFixing(DO$46,$A72,,Trigger)</f>
        <v>#NUM!</v>
      </c>
      <c r="DP72" s="22" t="e">
        <f>_xll.qlSwaptionVTSVolatility2(Vol,$B72,DO$47,,,Trigger)</f>
        <v>#NUM!</v>
      </c>
      <c r="DQ72" s="75" t="e">
        <f>_xll.qlBlackFormula("Call",DO72,DO72,DP72*SQRT($A51),,,Trigger)</f>
        <v>#VALUE!</v>
      </c>
    </row>
    <row r="73" spans="1:121" x14ac:dyDescent="0.2">
      <c r="A73" s="100" t="e">
        <v>#NUM!</v>
      </c>
      <c r="B73" s="15" t="s">
        <v>24</v>
      </c>
      <c r="C73" s="19" t="e">
        <f>_xll.qlIndexFixing(C$46,$A73,,Trigger)</f>
        <v>#NUM!</v>
      </c>
      <c r="D73" s="22" t="e">
        <f>_xll.qlSwaptionVTSVolatility2(Vol,$B73,C$47,,,Trigger)</f>
        <v>#NUM!</v>
      </c>
      <c r="E73" s="75" t="e">
        <f>_xll.qlBlackFormula("Call",C73,C73,D73*SQRT($A52),,,Trigger)</f>
        <v>#VALUE!</v>
      </c>
      <c r="G73" s="19" t="e">
        <f>_xll.qlIndexFixing(G$46,$A73,,Trigger)</f>
        <v>#NUM!</v>
      </c>
      <c r="H73" s="22" t="e">
        <f>_xll.qlSwaptionVTSVolatility2(Vol,$B73,G$47,,,Trigger)</f>
        <v>#NUM!</v>
      </c>
      <c r="I73" s="75" t="e">
        <f>_xll.qlBlackFormula("Call",G73,G73,H73*SQRT($A52),,,Trigger)</f>
        <v>#VALUE!</v>
      </c>
      <c r="K73" s="19" t="e">
        <f>_xll.qlIndexFixing(K$46,$A73,,Trigger)</f>
        <v>#NUM!</v>
      </c>
      <c r="L73" s="22" t="e">
        <f>_xll.qlSwaptionVTSVolatility2(Vol,$B73,K$47,,,Trigger)</f>
        <v>#NUM!</v>
      </c>
      <c r="M73" s="75" t="e">
        <f>_xll.qlBlackFormula("Call",K73,K73,L73*SQRT($A52),,,Trigger)</f>
        <v>#VALUE!</v>
      </c>
      <c r="O73" s="19" t="e">
        <f>_xll.qlIndexFixing(O$46,$A73,,Trigger)</f>
        <v>#NUM!</v>
      </c>
      <c r="P73" s="22" t="e">
        <f>_xll.qlSwaptionVTSVolatility2(Vol,$B73,O$47,,,Trigger)</f>
        <v>#NUM!</v>
      </c>
      <c r="Q73" s="75" t="e">
        <f>_xll.qlBlackFormula("Call",O73,O73,P73*SQRT($A52),,,Trigger)</f>
        <v>#VALUE!</v>
      </c>
      <c r="S73" s="19" t="e">
        <f>_xll.qlIndexFixing(S$46,$A73,,Trigger)</f>
        <v>#NUM!</v>
      </c>
      <c r="T73" s="22" t="e">
        <f>_xll.qlSwaptionVTSVolatility2(Vol,$B73,S$47,,,Trigger)</f>
        <v>#NUM!</v>
      </c>
      <c r="U73" s="75" t="e">
        <f>_xll.qlBlackFormula("Call",S73,S73,T73*SQRT($A52),,,Trigger)</f>
        <v>#VALUE!</v>
      </c>
      <c r="W73" s="19" t="e">
        <f>_xll.qlIndexFixing(W$46,$A73,,Trigger)</f>
        <v>#NUM!</v>
      </c>
      <c r="X73" s="22" t="e">
        <f>_xll.qlSwaptionVTSVolatility2(Vol,$B73,W$47,,,Trigger)</f>
        <v>#NUM!</v>
      </c>
      <c r="Y73" s="75" t="e">
        <f>_xll.qlBlackFormula("Call",W73,W73,X73*SQRT($A52),,,Trigger)</f>
        <v>#VALUE!</v>
      </c>
      <c r="AA73" s="19" t="e">
        <f>_xll.qlIndexFixing(AA$46,$A73,,Trigger)</f>
        <v>#NUM!</v>
      </c>
      <c r="AB73" s="22" t="e">
        <f>_xll.qlSwaptionVTSVolatility2(Vol,$B73,AA$47,,,Trigger)</f>
        <v>#NUM!</v>
      </c>
      <c r="AC73" s="75" t="e">
        <f>_xll.qlBlackFormula("Call",AA73,AA73,AB73*SQRT($A52),,,Trigger)</f>
        <v>#VALUE!</v>
      </c>
      <c r="AE73" s="19" t="e">
        <f>_xll.qlIndexFixing(AE$46,$A73,,Trigger)</f>
        <v>#NUM!</v>
      </c>
      <c r="AF73" s="22" t="e">
        <f>_xll.qlSwaptionVTSVolatility2(Vol,$B73,AE$47,,,Trigger)</f>
        <v>#NUM!</v>
      </c>
      <c r="AG73" s="75" t="e">
        <f>_xll.qlBlackFormula("Call",AE73,AE73,AF73*SQRT($A52),,,Trigger)</f>
        <v>#VALUE!</v>
      </c>
      <c r="AI73" s="19" t="e">
        <f>_xll.qlIndexFixing(AI$46,$A73,,Trigger)</f>
        <v>#NUM!</v>
      </c>
      <c r="AJ73" s="22" t="e">
        <f>_xll.qlSwaptionVTSVolatility2(Vol,$B73,AI$47,,,Trigger)</f>
        <v>#NUM!</v>
      </c>
      <c r="AK73" s="75" t="e">
        <f>_xll.qlBlackFormula("Call",AI73,AI73,AJ73*SQRT($A52),,,Trigger)</f>
        <v>#VALUE!</v>
      </c>
      <c r="AM73" s="19" t="e">
        <f>_xll.qlIndexFixing(AM$46,$A73,,Trigger)</f>
        <v>#NUM!</v>
      </c>
      <c r="AN73" s="22" t="e">
        <f>_xll.qlSwaptionVTSVolatility2(Vol,$B73,AM$47,,,Trigger)</f>
        <v>#NUM!</v>
      </c>
      <c r="AO73" s="75" t="e">
        <f>_xll.qlBlackFormula("Call",AM73,AM73,AN73*SQRT($A52),,,Trigger)</f>
        <v>#VALUE!</v>
      </c>
      <c r="AP73" s="93"/>
      <c r="AQ73" s="19" t="e">
        <f>_xll.qlIndexFixing(AQ$46,$A73,,Trigger)</f>
        <v>#NUM!</v>
      </c>
      <c r="AR73" s="22" t="e">
        <f>_xll.qlSwaptionVTSVolatility2(Vol,$B73,AQ$47,,,Trigger)</f>
        <v>#NUM!</v>
      </c>
      <c r="AS73" s="75" t="e">
        <f>_xll.qlBlackFormula("Call",AQ73,AQ73,AR73*SQRT($A52),,,Trigger)</f>
        <v>#VALUE!</v>
      </c>
      <c r="AU73" s="19" t="e">
        <f>_xll.qlIndexFixing(AU$46,$A73,,Trigger)</f>
        <v>#NUM!</v>
      </c>
      <c r="AV73" s="22" t="e">
        <f>_xll.qlSwaptionVTSVolatility2(Vol,$B73,AU$47,,,Trigger)</f>
        <v>#NUM!</v>
      </c>
      <c r="AW73" s="75" t="e">
        <f>_xll.qlBlackFormula("Call",AU73,AU73,AV73*SQRT($A52),,,Trigger)</f>
        <v>#VALUE!</v>
      </c>
      <c r="AX73" s="93"/>
      <c r="AY73" s="19" t="e">
        <f>_xll.qlIndexFixing(AY$46,$A73,,Trigger)</f>
        <v>#NUM!</v>
      </c>
      <c r="AZ73" s="22" t="e">
        <f>_xll.qlSwaptionVTSVolatility2(Vol,$B73,AY$47,,,Trigger)</f>
        <v>#NUM!</v>
      </c>
      <c r="BA73" s="75" t="e">
        <f>_xll.qlBlackFormula("Call",AY73,AY73,AZ73*SQRT($A52),,,Trigger)</f>
        <v>#VALUE!</v>
      </c>
      <c r="BB73" s="93"/>
      <c r="BC73" s="19" t="e">
        <f>_xll.qlIndexFixing(BC$46,$A73,,Trigger)</f>
        <v>#NUM!</v>
      </c>
      <c r="BD73" s="22" t="e">
        <f>_xll.qlSwaptionVTSVolatility2(Vol,$B73,BC$47,,,Trigger)</f>
        <v>#NUM!</v>
      </c>
      <c r="BE73" s="75" t="e">
        <f>_xll.qlBlackFormula("Call",BC73,BC73,BD73*SQRT($A52),,,Trigger)</f>
        <v>#VALUE!</v>
      </c>
      <c r="BG73" s="19" t="e">
        <f>_xll.qlIndexFixing(BG$46,$A73,,Trigger)</f>
        <v>#NUM!</v>
      </c>
      <c r="BH73" s="22" t="e">
        <f>_xll.qlSwaptionVTSVolatility2(Vol,$B73,BG$47,,,Trigger)</f>
        <v>#NUM!</v>
      </c>
      <c r="BI73" s="75" t="e">
        <f>_xll.qlBlackFormula("Call",BG73,BG73,BH73*SQRT($A52),,,Trigger)</f>
        <v>#VALUE!</v>
      </c>
      <c r="BJ73" s="93"/>
      <c r="BK73" s="19" t="e">
        <f>_xll.qlIndexFixing(BK$46,$A73,,Trigger)</f>
        <v>#NUM!</v>
      </c>
      <c r="BL73" s="22" t="e">
        <f>_xll.qlSwaptionVTSVolatility2(Vol,$B73,BK$47,,,Trigger)</f>
        <v>#NUM!</v>
      </c>
      <c r="BM73" s="75" t="e">
        <f>_xll.qlBlackFormula("Call",BK73,BK73,BL73*SQRT($A52),,,Trigger)</f>
        <v>#VALUE!</v>
      </c>
      <c r="BN73" s="93"/>
      <c r="BO73" s="19" t="e">
        <f>_xll.qlIndexFixing(BO$46,$A73,,Trigger)</f>
        <v>#NUM!</v>
      </c>
      <c r="BP73" s="22" t="e">
        <f>_xll.qlSwaptionVTSVolatility2(Vol,$B73,BO$47,,,Trigger)</f>
        <v>#NUM!</v>
      </c>
      <c r="BQ73" s="75" t="e">
        <f>_xll.qlBlackFormula("Call",BO73,BO73,BP73*SQRT($A52),,,Trigger)</f>
        <v>#VALUE!</v>
      </c>
      <c r="BR73" s="93"/>
      <c r="BS73" s="19" t="e">
        <f>_xll.qlIndexFixing(BS$46,$A73,,Trigger)</f>
        <v>#NUM!</v>
      </c>
      <c r="BT73" s="22" t="e">
        <f>_xll.qlSwaptionVTSVolatility2(Vol,$B73,BS$47,,,Trigger)</f>
        <v>#NUM!</v>
      </c>
      <c r="BU73" s="75" t="e">
        <f>_xll.qlBlackFormula("Call",BS73,BS73,BT73*SQRT($A52),,,Trigger)</f>
        <v>#VALUE!</v>
      </c>
      <c r="BV73" s="93"/>
      <c r="BW73" s="19" t="e">
        <f>_xll.qlIndexFixing(BW$46,$A73,,Trigger)</f>
        <v>#NUM!</v>
      </c>
      <c r="BX73" s="22" t="e">
        <f>_xll.qlSwaptionVTSVolatility2(Vol,$B73,BW$47,,,Trigger)</f>
        <v>#NUM!</v>
      </c>
      <c r="BY73" s="75" t="e">
        <f>_xll.qlBlackFormula("Call",BW73,BW73,BX73*SQRT($A52),,,Trigger)</f>
        <v>#VALUE!</v>
      </c>
      <c r="CA73" s="19" t="e">
        <f>_xll.qlIndexFixing(CA$46,$A73,,Trigger)</f>
        <v>#NUM!</v>
      </c>
      <c r="CB73" s="22" t="e">
        <f>_xll.qlSwaptionVTSVolatility2(Vol,$B73,CA$47,,,Trigger)</f>
        <v>#NUM!</v>
      </c>
      <c r="CC73" s="75" t="e">
        <f>_xll.qlBlackFormula("Call",CA73,CA73,CB73*SQRT($A52),,,Trigger)</f>
        <v>#VALUE!</v>
      </c>
      <c r="CD73" s="93"/>
      <c r="CE73" s="19" t="e">
        <f>_xll.qlIndexFixing(CE$46,$A73,,Trigger)</f>
        <v>#NUM!</v>
      </c>
      <c r="CF73" s="22" t="e">
        <f>_xll.qlSwaptionVTSVolatility2(Vol,$B73,CE$47,,,Trigger)</f>
        <v>#NUM!</v>
      </c>
      <c r="CG73" s="75" t="e">
        <f>_xll.qlBlackFormula("Call",CE73,CE73,CF73*SQRT($A52),,,Trigger)</f>
        <v>#VALUE!</v>
      </c>
      <c r="CH73" s="93"/>
      <c r="CI73" s="19" t="e">
        <f>_xll.qlIndexFixing(CI$46,$A73,,Trigger)</f>
        <v>#NUM!</v>
      </c>
      <c r="CJ73" s="22" t="e">
        <f>_xll.qlSwaptionVTSVolatility2(Vol,$B73,CI$47,,,Trigger)</f>
        <v>#NUM!</v>
      </c>
      <c r="CK73" s="75" t="e">
        <f>_xll.qlBlackFormula("Call",CI73,CI73,CJ73*SQRT($A52),,,Trigger)</f>
        <v>#VALUE!</v>
      </c>
      <c r="CL73" s="93"/>
      <c r="CM73" s="19" t="e">
        <f>_xll.qlIndexFixing(CM$46,$A73,,Trigger)</f>
        <v>#NUM!</v>
      </c>
      <c r="CN73" s="22" t="e">
        <f>_xll.qlSwaptionVTSVolatility2(Vol,$B73,CM$47,,,Trigger)</f>
        <v>#NUM!</v>
      </c>
      <c r="CO73" s="75" t="e">
        <f>_xll.qlBlackFormula("Call",CM73,CM73,CN73*SQRT($A52),,,Trigger)</f>
        <v>#VALUE!</v>
      </c>
      <c r="CP73" s="93"/>
      <c r="CQ73" s="19" t="e">
        <f>_xll.qlIndexFixing(CQ$46,$A73,,Trigger)</f>
        <v>#NUM!</v>
      </c>
      <c r="CR73" s="22" t="e">
        <f>_xll.qlSwaptionVTSVolatility2(Vol,$B73,CQ$47,,,Trigger)</f>
        <v>#NUM!</v>
      </c>
      <c r="CS73" s="75" t="e">
        <f>_xll.qlBlackFormula("Call",CQ73,CQ73,CR73*SQRT($A52),,,Trigger)</f>
        <v>#VALUE!</v>
      </c>
      <c r="CU73" s="19" t="e">
        <f>_xll.qlIndexFixing(CU$46,$A73,,Trigger)</f>
        <v>#NUM!</v>
      </c>
      <c r="CV73" s="22" t="e">
        <f>_xll.qlSwaptionVTSVolatility2(Vol,$B73,CU$47,,,Trigger)</f>
        <v>#NUM!</v>
      </c>
      <c r="CW73" s="75" t="e">
        <f>_xll.qlBlackFormula("Call",CU73,CU73,CV73*SQRT($A52),,,Trigger)</f>
        <v>#VALUE!</v>
      </c>
      <c r="CX73" s="93"/>
      <c r="CY73" s="19" t="e">
        <f>_xll.qlIndexFixing(CY$46,$A73,,Trigger)</f>
        <v>#NUM!</v>
      </c>
      <c r="CZ73" s="22" t="e">
        <f>_xll.qlSwaptionVTSVolatility2(Vol,$B73,CY$47,,,Trigger)</f>
        <v>#NUM!</v>
      </c>
      <c r="DA73" s="75" t="e">
        <f>_xll.qlBlackFormula("Call",CY73,CY73,CZ73*SQRT($A52),,,Trigger)</f>
        <v>#VALUE!</v>
      </c>
      <c r="DB73" s="93"/>
      <c r="DC73" s="19" t="e">
        <f>_xll.qlIndexFixing(DC$46,$A73,,Trigger)</f>
        <v>#NUM!</v>
      </c>
      <c r="DD73" s="22" t="e">
        <f>_xll.qlSwaptionVTSVolatility2(Vol,$B73,DC$47,,,Trigger)</f>
        <v>#NUM!</v>
      </c>
      <c r="DE73" s="75" t="e">
        <f>_xll.qlBlackFormula("Call",DC73,DC73,DD73*SQRT($A52),,,Trigger)</f>
        <v>#VALUE!</v>
      </c>
      <c r="DF73" s="93"/>
      <c r="DG73" s="19" t="e">
        <f>_xll.qlIndexFixing(DG$46,$A73,,Trigger)</f>
        <v>#NUM!</v>
      </c>
      <c r="DH73" s="22" t="e">
        <f>_xll.qlSwaptionVTSVolatility2(Vol,$B73,DG$47,,,Trigger)</f>
        <v>#NUM!</v>
      </c>
      <c r="DI73" s="75" t="e">
        <f>_xll.qlBlackFormula("Call",DG73,DG73,DH73*SQRT($A52),,,Trigger)</f>
        <v>#VALUE!</v>
      </c>
      <c r="DJ73" s="93"/>
      <c r="DK73" s="19" t="e">
        <f>_xll.qlIndexFixing(DK$46,$A73,,Trigger)</f>
        <v>#NUM!</v>
      </c>
      <c r="DL73" s="22" t="e">
        <f>_xll.qlSwaptionVTSVolatility2(Vol,$B73,DK$47,,,Trigger)</f>
        <v>#NUM!</v>
      </c>
      <c r="DM73" s="75" t="e">
        <f>_xll.qlBlackFormula("Call",DK73,DK73,DL73*SQRT($A52),,,Trigger)</f>
        <v>#VALUE!</v>
      </c>
      <c r="DO73" s="19" t="e">
        <f>_xll.qlIndexFixing(DO$46,$A73,,Trigger)</f>
        <v>#NUM!</v>
      </c>
      <c r="DP73" s="22" t="e">
        <f>_xll.qlSwaptionVTSVolatility2(Vol,$B73,DO$47,,,Trigger)</f>
        <v>#NUM!</v>
      </c>
      <c r="DQ73" s="75" t="e">
        <f>_xll.qlBlackFormula("Call",DO73,DO73,DP73*SQRT($A52),,,Trigger)</f>
        <v>#VALUE!</v>
      </c>
    </row>
    <row r="74" spans="1:121" x14ac:dyDescent="0.2">
      <c r="A74" s="100" t="e">
        <v>#NUM!</v>
      </c>
      <c r="B74" s="15" t="s">
        <v>25</v>
      </c>
      <c r="C74" s="19" t="e">
        <f>_xll.qlIndexFixing(C$46,$A74,,Trigger)</f>
        <v>#NUM!</v>
      </c>
      <c r="D74" s="22" t="e">
        <f>_xll.qlSwaptionVTSVolatility2(Vol,$B74,C$47,,,Trigger)</f>
        <v>#NUM!</v>
      </c>
      <c r="E74" s="75" t="e">
        <f>_xll.qlBlackFormula("Call",C74,C74,D74*SQRT($A53),,,Trigger)</f>
        <v>#VALUE!</v>
      </c>
      <c r="G74" s="19" t="e">
        <f>_xll.qlIndexFixing(G$46,$A74,,Trigger)</f>
        <v>#NUM!</v>
      </c>
      <c r="H74" s="22" t="e">
        <f>_xll.qlSwaptionVTSVolatility2(Vol,$B74,G$47,,,Trigger)</f>
        <v>#NUM!</v>
      </c>
      <c r="I74" s="75" t="e">
        <f>_xll.qlBlackFormula("Call",G74,G74,H74*SQRT($A53),,,Trigger)</f>
        <v>#VALUE!</v>
      </c>
      <c r="K74" s="19" t="e">
        <f>_xll.qlIndexFixing(K$46,$A74,,Trigger)</f>
        <v>#NUM!</v>
      </c>
      <c r="L74" s="22" t="e">
        <f>_xll.qlSwaptionVTSVolatility2(Vol,$B74,K$47,,,Trigger)</f>
        <v>#NUM!</v>
      </c>
      <c r="M74" s="75" t="e">
        <f>_xll.qlBlackFormula("Call",K74,K74,L74*SQRT($A53),,,Trigger)</f>
        <v>#VALUE!</v>
      </c>
      <c r="O74" s="19" t="e">
        <f>_xll.qlIndexFixing(O$46,$A74,,Trigger)</f>
        <v>#NUM!</v>
      </c>
      <c r="P74" s="22" t="e">
        <f>_xll.qlSwaptionVTSVolatility2(Vol,$B74,O$47,,,Trigger)</f>
        <v>#NUM!</v>
      </c>
      <c r="Q74" s="75" t="e">
        <f>_xll.qlBlackFormula("Call",O74,O74,P74*SQRT($A53),,,Trigger)</f>
        <v>#VALUE!</v>
      </c>
      <c r="S74" s="19" t="e">
        <f>_xll.qlIndexFixing(S$46,$A74,,Trigger)</f>
        <v>#NUM!</v>
      </c>
      <c r="T74" s="22" t="e">
        <f>_xll.qlSwaptionVTSVolatility2(Vol,$B74,S$47,,,Trigger)</f>
        <v>#NUM!</v>
      </c>
      <c r="U74" s="75" t="e">
        <f>_xll.qlBlackFormula("Call",S74,S74,T74*SQRT($A53),,,Trigger)</f>
        <v>#VALUE!</v>
      </c>
      <c r="W74" s="19" t="e">
        <f>_xll.qlIndexFixing(W$46,$A74,,Trigger)</f>
        <v>#NUM!</v>
      </c>
      <c r="X74" s="22" t="e">
        <f>_xll.qlSwaptionVTSVolatility2(Vol,$B74,W$47,,,Trigger)</f>
        <v>#NUM!</v>
      </c>
      <c r="Y74" s="75" t="e">
        <f>_xll.qlBlackFormula("Call",W74,W74,X74*SQRT($A53),,,Trigger)</f>
        <v>#VALUE!</v>
      </c>
      <c r="AA74" s="19" t="e">
        <f>_xll.qlIndexFixing(AA$46,$A74,,Trigger)</f>
        <v>#NUM!</v>
      </c>
      <c r="AB74" s="22" t="e">
        <f>_xll.qlSwaptionVTSVolatility2(Vol,$B74,AA$47,,,Trigger)</f>
        <v>#NUM!</v>
      </c>
      <c r="AC74" s="75" t="e">
        <f>_xll.qlBlackFormula("Call",AA74,AA74,AB74*SQRT($A53),,,Trigger)</f>
        <v>#VALUE!</v>
      </c>
      <c r="AE74" s="19" t="e">
        <f>_xll.qlIndexFixing(AE$46,$A74,,Trigger)</f>
        <v>#NUM!</v>
      </c>
      <c r="AF74" s="22" t="e">
        <f>_xll.qlSwaptionVTSVolatility2(Vol,$B74,AE$47,,,Trigger)</f>
        <v>#NUM!</v>
      </c>
      <c r="AG74" s="75" t="e">
        <f>_xll.qlBlackFormula("Call",AE74,AE74,AF74*SQRT($A53),,,Trigger)</f>
        <v>#VALUE!</v>
      </c>
      <c r="AI74" s="19" t="e">
        <f>_xll.qlIndexFixing(AI$46,$A74,,Trigger)</f>
        <v>#NUM!</v>
      </c>
      <c r="AJ74" s="22" t="e">
        <f>_xll.qlSwaptionVTSVolatility2(Vol,$B74,AI$47,,,Trigger)</f>
        <v>#NUM!</v>
      </c>
      <c r="AK74" s="75" t="e">
        <f>_xll.qlBlackFormula("Call",AI74,AI74,AJ74*SQRT($A53),,,Trigger)</f>
        <v>#VALUE!</v>
      </c>
      <c r="AM74" s="19" t="e">
        <f>_xll.qlIndexFixing(AM$46,$A74,,Trigger)</f>
        <v>#NUM!</v>
      </c>
      <c r="AN74" s="22" t="e">
        <f>_xll.qlSwaptionVTSVolatility2(Vol,$B74,AM$47,,,Trigger)</f>
        <v>#NUM!</v>
      </c>
      <c r="AO74" s="75" t="e">
        <f>_xll.qlBlackFormula("Call",AM74,AM74,AN74*SQRT($A53),,,Trigger)</f>
        <v>#VALUE!</v>
      </c>
      <c r="AP74" s="93"/>
      <c r="AQ74" s="19" t="e">
        <f>_xll.qlIndexFixing(AQ$46,$A74,,Trigger)</f>
        <v>#NUM!</v>
      </c>
      <c r="AR74" s="22" t="e">
        <f>_xll.qlSwaptionVTSVolatility2(Vol,$B74,AQ$47,,,Trigger)</f>
        <v>#NUM!</v>
      </c>
      <c r="AS74" s="75" t="e">
        <f>_xll.qlBlackFormula("Call",AQ74,AQ74,AR74*SQRT($A53),,,Trigger)</f>
        <v>#VALUE!</v>
      </c>
      <c r="AU74" s="19" t="e">
        <f>_xll.qlIndexFixing(AU$46,$A74,,Trigger)</f>
        <v>#NUM!</v>
      </c>
      <c r="AV74" s="22" t="e">
        <f>_xll.qlSwaptionVTSVolatility2(Vol,$B74,AU$47,,,Trigger)</f>
        <v>#NUM!</v>
      </c>
      <c r="AW74" s="75" t="e">
        <f>_xll.qlBlackFormula("Call",AU74,AU74,AV74*SQRT($A53),,,Trigger)</f>
        <v>#VALUE!</v>
      </c>
      <c r="AX74" s="93"/>
      <c r="AY74" s="19" t="e">
        <f>_xll.qlIndexFixing(AY$46,$A74,,Trigger)</f>
        <v>#NUM!</v>
      </c>
      <c r="AZ74" s="22" t="e">
        <f>_xll.qlSwaptionVTSVolatility2(Vol,$B74,AY$47,,,Trigger)</f>
        <v>#NUM!</v>
      </c>
      <c r="BA74" s="75" t="e">
        <f>_xll.qlBlackFormula("Call",AY74,AY74,AZ74*SQRT($A53),,,Trigger)</f>
        <v>#VALUE!</v>
      </c>
      <c r="BB74" s="93"/>
      <c r="BC74" s="19" t="e">
        <f>_xll.qlIndexFixing(BC$46,$A74,,Trigger)</f>
        <v>#NUM!</v>
      </c>
      <c r="BD74" s="22" t="e">
        <f>_xll.qlSwaptionVTSVolatility2(Vol,$B74,BC$47,,,Trigger)</f>
        <v>#NUM!</v>
      </c>
      <c r="BE74" s="75" t="e">
        <f>_xll.qlBlackFormula("Call",BC74,BC74,BD74*SQRT($A53),,,Trigger)</f>
        <v>#VALUE!</v>
      </c>
      <c r="BG74" s="19" t="e">
        <f>_xll.qlIndexFixing(BG$46,$A74,,Trigger)</f>
        <v>#NUM!</v>
      </c>
      <c r="BH74" s="22" t="e">
        <f>_xll.qlSwaptionVTSVolatility2(Vol,$B74,BG$47,,,Trigger)</f>
        <v>#NUM!</v>
      </c>
      <c r="BI74" s="75" t="e">
        <f>_xll.qlBlackFormula("Call",BG74,BG74,BH74*SQRT($A53),,,Trigger)</f>
        <v>#VALUE!</v>
      </c>
      <c r="BJ74" s="93"/>
      <c r="BK74" s="19" t="e">
        <f>_xll.qlIndexFixing(BK$46,$A74,,Trigger)</f>
        <v>#NUM!</v>
      </c>
      <c r="BL74" s="22" t="e">
        <f>_xll.qlSwaptionVTSVolatility2(Vol,$B74,BK$47,,,Trigger)</f>
        <v>#NUM!</v>
      </c>
      <c r="BM74" s="75" t="e">
        <f>_xll.qlBlackFormula("Call",BK74,BK74,BL74*SQRT($A53),,,Trigger)</f>
        <v>#VALUE!</v>
      </c>
      <c r="BN74" s="93"/>
      <c r="BO74" s="19" t="e">
        <f>_xll.qlIndexFixing(BO$46,$A74,,Trigger)</f>
        <v>#NUM!</v>
      </c>
      <c r="BP74" s="22" t="e">
        <f>_xll.qlSwaptionVTSVolatility2(Vol,$B74,BO$47,,,Trigger)</f>
        <v>#NUM!</v>
      </c>
      <c r="BQ74" s="75" t="e">
        <f>_xll.qlBlackFormula("Call",BO74,BO74,BP74*SQRT($A53),,,Trigger)</f>
        <v>#VALUE!</v>
      </c>
      <c r="BR74" s="93"/>
      <c r="BS74" s="19" t="e">
        <f>_xll.qlIndexFixing(BS$46,$A74,,Trigger)</f>
        <v>#NUM!</v>
      </c>
      <c r="BT74" s="22" t="e">
        <f>_xll.qlSwaptionVTSVolatility2(Vol,$B74,BS$47,,,Trigger)</f>
        <v>#NUM!</v>
      </c>
      <c r="BU74" s="75" t="e">
        <f>_xll.qlBlackFormula("Call",BS74,BS74,BT74*SQRT($A53),,,Trigger)</f>
        <v>#VALUE!</v>
      </c>
      <c r="BV74" s="93"/>
      <c r="BW74" s="19" t="e">
        <f>_xll.qlIndexFixing(BW$46,$A74,,Trigger)</f>
        <v>#NUM!</v>
      </c>
      <c r="BX74" s="22" t="e">
        <f>_xll.qlSwaptionVTSVolatility2(Vol,$B74,BW$47,,,Trigger)</f>
        <v>#NUM!</v>
      </c>
      <c r="BY74" s="75" t="e">
        <f>_xll.qlBlackFormula("Call",BW74,BW74,BX74*SQRT($A53),,,Trigger)</f>
        <v>#VALUE!</v>
      </c>
      <c r="CA74" s="19" t="e">
        <f>_xll.qlIndexFixing(CA$46,$A74,,Trigger)</f>
        <v>#NUM!</v>
      </c>
      <c r="CB74" s="22" t="e">
        <f>_xll.qlSwaptionVTSVolatility2(Vol,$B74,CA$47,,,Trigger)</f>
        <v>#NUM!</v>
      </c>
      <c r="CC74" s="75" t="e">
        <f>_xll.qlBlackFormula("Call",CA74,CA74,CB74*SQRT($A53),,,Trigger)</f>
        <v>#VALUE!</v>
      </c>
      <c r="CD74" s="93"/>
      <c r="CE74" s="19" t="e">
        <f>_xll.qlIndexFixing(CE$46,$A74,,Trigger)</f>
        <v>#NUM!</v>
      </c>
      <c r="CF74" s="22" t="e">
        <f>_xll.qlSwaptionVTSVolatility2(Vol,$B74,CE$47,,,Trigger)</f>
        <v>#NUM!</v>
      </c>
      <c r="CG74" s="75" t="e">
        <f>_xll.qlBlackFormula("Call",CE74,CE74,CF74*SQRT($A53),,,Trigger)</f>
        <v>#VALUE!</v>
      </c>
      <c r="CH74" s="93"/>
      <c r="CI74" s="19" t="e">
        <f>_xll.qlIndexFixing(CI$46,$A74,,Trigger)</f>
        <v>#NUM!</v>
      </c>
      <c r="CJ74" s="22" t="e">
        <f>_xll.qlSwaptionVTSVolatility2(Vol,$B74,CI$47,,,Trigger)</f>
        <v>#NUM!</v>
      </c>
      <c r="CK74" s="75" t="e">
        <f>_xll.qlBlackFormula("Call",CI74,CI74,CJ74*SQRT($A53),,,Trigger)</f>
        <v>#VALUE!</v>
      </c>
      <c r="CL74" s="93"/>
      <c r="CM74" s="19" t="e">
        <f>_xll.qlIndexFixing(CM$46,$A74,,Trigger)</f>
        <v>#NUM!</v>
      </c>
      <c r="CN74" s="22" t="e">
        <f>_xll.qlSwaptionVTSVolatility2(Vol,$B74,CM$47,,,Trigger)</f>
        <v>#NUM!</v>
      </c>
      <c r="CO74" s="75" t="e">
        <f>_xll.qlBlackFormula("Call",CM74,CM74,CN74*SQRT($A53),,,Trigger)</f>
        <v>#VALUE!</v>
      </c>
      <c r="CP74" s="93"/>
      <c r="CQ74" s="19" t="e">
        <f>_xll.qlIndexFixing(CQ$46,$A74,,Trigger)</f>
        <v>#NUM!</v>
      </c>
      <c r="CR74" s="22" t="e">
        <f>_xll.qlSwaptionVTSVolatility2(Vol,$B74,CQ$47,,,Trigger)</f>
        <v>#NUM!</v>
      </c>
      <c r="CS74" s="75" t="e">
        <f>_xll.qlBlackFormula("Call",CQ74,CQ74,CR74*SQRT($A53),,,Trigger)</f>
        <v>#VALUE!</v>
      </c>
      <c r="CU74" s="19" t="e">
        <f>_xll.qlIndexFixing(CU$46,$A74,,Trigger)</f>
        <v>#NUM!</v>
      </c>
      <c r="CV74" s="22" t="e">
        <f>_xll.qlSwaptionVTSVolatility2(Vol,$B74,CU$47,,,Trigger)</f>
        <v>#NUM!</v>
      </c>
      <c r="CW74" s="75" t="e">
        <f>_xll.qlBlackFormula("Call",CU74,CU74,CV74*SQRT($A53),,,Trigger)</f>
        <v>#VALUE!</v>
      </c>
      <c r="CX74" s="93"/>
      <c r="CY74" s="19" t="e">
        <f>_xll.qlIndexFixing(CY$46,$A74,,Trigger)</f>
        <v>#NUM!</v>
      </c>
      <c r="CZ74" s="22" t="e">
        <f>_xll.qlSwaptionVTSVolatility2(Vol,$B74,CY$47,,,Trigger)</f>
        <v>#NUM!</v>
      </c>
      <c r="DA74" s="75" t="e">
        <f>_xll.qlBlackFormula("Call",CY74,CY74,CZ74*SQRT($A53),,,Trigger)</f>
        <v>#VALUE!</v>
      </c>
      <c r="DB74" s="93"/>
      <c r="DC74" s="19" t="e">
        <f>_xll.qlIndexFixing(DC$46,$A74,,Trigger)</f>
        <v>#NUM!</v>
      </c>
      <c r="DD74" s="22" t="e">
        <f>_xll.qlSwaptionVTSVolatility2(Vol,$B74,DC$47,,,Trigger)</f>
        <v>#NUM!</v>
      </c>
      <c r="DE74" s="75" t="e">
        <f>_xll.qlBlackFormula("Call",DC74,DC74,DD74*SQRT($A53),,,Trigger)</f>
        <v>#VALUE!</v>
      </c>
      <c r="DF74" s="93"/>
      <c r="DG74" s="19" t="e">
        <f>_xll.qlIndexFixing(DG$46,$A74,,Trigger)</f>
        <v>#NUM!</v>
      </c>
      <c r="DH74" s="22" t="e">
        <f>_xll.qlSwaptionVTSVolatility2(Vol,$B74,DG$47,,,Trigger)</f>
        <v>#NUM!</v>
      </c>
      <c r="DI74" s="75" t="e">
        <f>_xll.qlBlackFormula("Call",DG74,DG74,DH74*SQRT($A53),,,Trigger)</f>
        <v>#VALUE!</v>
      </c>
      <c r="DJ74" s="93"/>
      <c r="DK74" s="19" t="e">
        <f>_xll.qlIndexFixing(DK$46,$A74,,Trigger)</f>
        <v>#NUM!</v>
      </c>
      <c r="DL74" s="22" t="e">
        <f>_xll.qlSwaptionVTSVolatility2(Vol,$B74,DK$47,,,Trigger)</f>
        <v>#NUM!</v>
      </c>
      <c r="DM74" s="75" t="e">
        <f>_xll.qlBlackFormula("Call",DK74,DK74,DL74*SQRT($A53),,,Trigger)</f>
        <v>#VALUE!</v>
      </c>
      <c r="DO74" s="19" t="e">
        <f>_xll.qlIndexFixing(DO$46,$A74,,Trigger)</f>
        <v>#NUM!</v>
      </c>
      <c r="DP74" s="22" t="e">
        <f>_xll.qlSwaptionVTSVolatility2(Vol,$B74,DO$47,,,Trigger)</f>
        <v>#NUM!</v>
      </c>
      <c r="DQ74" s="75" t="e">
        <f>_xll.qlBlackFormula("Call",DO74,DO74,DP74*SQRT($A53),,,Trigger)</f>
        <v>#VALUE!</v>
      </c>
    </row>
    <row r="75" spans="1:121" x14ac:dyDescent="0.2">
      <c r="A75" s="100" t="e">
        <v>#NUM!</v>
      </c>
      <c r="B75" s="15" t="s">
        <v>26</v>
      </c>
      <c r="C75" s="19" t="e">
        <f>_xll.qlIndexFixing(C$46,$A75,,Trigger)</f>
        <v>#NUM!</v>
      </c>
      <c r="D75" s="22" t="e">
        <f>_xll.qlSwaptionVTSVolatility2(Vol,$B75,C$47,,,Trigger)</f>
        <v>#NUM!</v>
      </c>
      <c r="E75" s="75" t="e">
        <f>_xll.qlBlackFormula("Call",C75,C75,D75*SQRT($A54),,,Trigger)</f>
        <v>#VALUE!</v>
      </c>
      <c r="G75" s="19" t="e">
        <f>_xll.qlIndexFixing(G$46,$A75,,Trigger)</f>
        <v>#NUM!</v>
      </c>
      <c r="H75" s="22" t="e">
        <f>_xll.qlSwaptionVTSVolatility2(Vol,$B75,G$47,,,Trigger)</f>
        <v>#NUM!</v>
      </c>
      <c r="I75" s="75" t="e">
        <f>_xll.qlBlackFormula("Call",G75,G75,H75*SQRT($A54),,,Trigger)</f>
        <v>#VALUE!</v>
      </c>
      <c r="K75" s="19" t="e">
        <f>_xll.qlIndexFixing(K$46,$A75,,Trigger)</f>
        <v>#NUM!</v>
      </c>
      <c r="L75" s="22" t="e">
        <f>_xll.qlSwaptionVTSVolatility2(Vol,$B75,K$47,,,Trigger)</f>
        <v>#NUM!</v>
      </c>
      <c r="M75" s="75" t="e">
        <f>_xll.qlBlackFormula("Call",K75,K75,L75*SQRT($A54),,,Trigger)</f>
        <v>#VALUE!</v>
      </c>
      <c r="O75" s="19" t="e">
        <f>_xll.qlIndexFixing(O$46,$A75,,Trigger)</f>
        <v>#NUM!</v>
      </c>
      <c r="P75" s="22" t="e">
        <f>_xll.qlSwaptionVTSVolatility2(Vol,$B75,O$47,,,Trigger)</f>
        <v>#NUM!</v>
      </c>
      <c r="Q75" s="75" t="e">
        <f>_xll.qlBlackFormula("Call",O75,O75,P75*SQRT($A54),,,Trigger)</f>
        <v>#VALUE!</v>
      </c>
      <c r="S75" s="19" t="e">
        <f>_xll.qlIndexFixing(S$46,$A75,,Trigger)</f>
        <v>#NUM!</v>
      </c>
      <c r="T75" s="22" t="e">
        <f>_xll.qlSwaptionVTSVolatility2(Vol,$B75,S$47,,,Trigger)</f>
        <v>#NUM!</v>
      </c>
      <c r="U75" s="75" t="e">
        <f>_xll.qlBlackFormula("Call",S75,S75,T75*SQRT($A54),,,Trigger)</f>
        <v>#VALUE!</v>
      </c>
      <c r="W75" s="19" t="e">
        <f>_xll.qlIndexFixing(W$46,$A75,,Trigger)</f>
        <v>#NUM!</v>
      </c>
      <c r="X75" s="22" t="e">
        <f>_xll.qlSwaptionVTSVolatility2(Vol,$B75,W$47,,,Trigger)</f>
        <v>#NUM!</v>
      </c>
      <c r="Y75" s="75" t="e">
        <f>_xll.qlBlackFormula("Call",W75,W75,X75*SQRT($A54),,,Trigger)</f>
        <v>#VALUE!</v>
      </c>
      <c r="AA75" s="19" t="e">
        <f>_xll.qlIndexFixing(AA$46,$A75,,Trigger)</f>
        <v>#NUM!</v>
      </c>
      <c r="AB75" s="22" t="e">
        <f>_xll.qlSwaptionVTSVolatility2(Vol,$B75,AA$47,,,Trigger)</f>
        <v>#NUM!</v>
      </c>
      <c r="AC75" s="75" t="e">
        <f>_xll.qlBlackFormula("Call",AA75,AA75,AB75*SQRT($A54),,,Trigger)</f>
        <v>#VALUE!</v>
      </c>
      <c r="AE75" s="19" t="e">
        <f>_xll.qlIndexFixing(AE$46,$A75,,Trigger)</f>
        <v>#NUM!</v>
      </c>
      <c r="AF75" s="22" t="e">
        <f>_xll.qlSwaptionVTSVolatility2(Vol,$B75,AE$47,,,Trigger)</f>
        <v>#NUM!</v>
      </c>
      <c r="AG75" s="75" t="e">
        <f>_xll.qlBlackFormula("Call",AE75,AE75,AF75*SQRT($A54),,,Trigger)</f>
        <v>#VALUE!</v>
      </c>
      <c r="AI75" s="19" t="e">
        <f>_xll.qlIndexFixing(AI$46,$A75,,Trigger)</f>
        <v>#NUM!</v>
      </c>
      <c r="AJ75" s="22" t="e">
        <f>_xll.qlSwaptionVTSVolatility2(Vol,$B75,AI$47,,,Trigger)</f>
        <v>#NUM!</v>
      </c>
      <c r="AK75" s="75" t="e">
        <f>_xll.qlBlackFormula("Call",AI75,AI75,AJ75*SQRT($A54),,,Trigger)</f>
        <v>#VALUE!</v>
      </c>
      <c r="AM75" s="19" t="e">
        <f>_xll.qlIndexFixing(AM$46,$A75,,Trigger)</f>
        <v>#NUM!</v>
      </c>
      <c r="AN75" s="22" t="e">
        <f>_xll.qlSwaptionVTSVolatility2(Vol,$B75,AM$47,,,Trigger)</f>
        <v>#NUM!</v>
      </c>
      <c r="AO75" s="75" t="e">
        <f>_xll.qlBlackFormula("Call",AM75,AM75,AN75*SQRT($A54),,,Trigger)</f>
        <v>#VALUE!</v>
      </c>
      <c r="AP75" s="93"/>
      <c r="AQ75" s="19" t="e">
        <f>_xll.qlIndexFixing(AQ$46,$A75,,Trigger)</f>
        <v>#NUM!</v>
      </c>
      <c r="AR75" s="22" t="e">
        <f>_xll.qlSwaptionVTSVolatility2(Vol,$B75,AQ$47,,,Trigger)</f>
        <v>#NUM!</v>
      </c>
      <c r="AS75" s="75" t="e">
        <f>_xll.qlBlackFormula("Call",AQ75,AQ75,AR75*SQRT($A54),,,Trigger)</f>
        <v>#VALUE!</v>
      </c>
      <c r="AU75" s="19" t="e">
        <f>_xll.qlIndexFixing(AU$46,$A75,,Trigger)</f>
        <v>#NUM!</v>
      </c>
      <c r="AV75" s="22" t="e">
        <f>_xll.qlSwaptionVTSVolatility2(Vol,$B75,AU$47,,,Trigger)</f>
        <v>#NUM!</v>
      </c>
      <c r="AW75" s="75" t="e">
        <f>_xll.qlBlackFormula("Call",AU75,AU75,AV75*SQRT($A54),,,Trigger)</f>
        <v>#VALUE!</v>
      </c>
      <c r="AX75" s="93"/>
      <c r="AY75" s="19" t="e">
        <f>_xll.qlIndexFixing(AY$46,$A75,,Trigger)</f>
        <v>#NUM!</v>
      </c>
      <c r="AZ75" s="22" t="e">
        <f>_xll.qlSwaptionVTSVolatility2(Vol,$B75,AY$47,,,Trigger)</f>
        <v>#NUM!</v>
      </c>
      <c r="BA75" s="75" t="e">
        <f>_xll.qlBlackFormula("Call",AY75,AY75,AZ75*SQRT($A54),,,Trigger)</f>
        <v>#VALUE!</v>
      </c>
      <c r="BB75" s="93"/>
      <c r="BC75" s="19" t="e">
        <f>_xll.qlIndexFixing(BC$46,$A75,,Trigger)</f>
        <v>#NUM!</v>
      </c>
      <c r="BD75" s="22" t="e">
        <f>_xll.qlSwaptionVTSVolatility2(Vol,$B75,BC$47,,,Trigger)</f>
        <v>#NUM!</v>
      </c>
      <c r="BE75" s="75" t="e">
        <f>_xll.qlBlackFormula("Call",BC75,BC75,BD75*SQRT($A54),,,Trigger)</f>
        <v>#VALUE!</v>
      </c>
      <c r="BG75" s="19" t="e">
        <f>_xll.qlIndexFixing(BG$46,$A75,,Trigger)</f>
        <v>#NUM!</v>
      </c>
      <c r="BH75" s="22" t="e">
        <f>_xll.qlSwaptionVTSVolatility2(Vol,$B75,BG$47,,,Trigger)</f>
        <v>#NUM!</v>
      </c>
      <c r="BI75" s="75" t="e">
        <f>_xll.qlBlackFormula("Call",BG75,BG75,BH75*SQRT($A54),,,Trigger)</f>
        <v>#VALUE!</v>
      </c>
      <c r="BJ75" s="93"/>
      <c r="BK75" s="19" t="e">
        <f>_xll.qlIndexFixing(BK$46,$A75,,Trigger)</f>
        <v>#NUM!</v>
      </c>
      <c r="BL75" s="22" t="e">
        <f>_xll.qlSwaptionVTSVolatility2(Vol,$B75,BK$47,,,Trigger)</f>
        <v>#NUM!</v>
      </c>
      <c r="BM75" s="75" t="e">
        <f>_xll.qlBlackFormula("Call",BK75,BK75,BL75*SQRT($A54),,,Trigger)</f>
        <v>#VALUE!</v>
      </c>
      <c r="BN75" s="93"/>
      <c r="BO75" s="19" t="e">
        <f>_xll.qlIndexFixing(BO$46,$A75,,Trigger)</f>
        <v>#NUM!</v>
      </c>
      <c r="BP75" s="22" t="e">
        <f>_xll.qlSwaptionVTSVolatility2(Vol,$B75,BO$47,,,Trigger)</f>
        <v>#NUM!</v>
      </c>
      <c r="BQ75" s="75" t="e">
        <f>_xll.qlBlackFormula("Call",BO75,BO75,BP75*SQRT($A54),,,Trigger)</f>
        <v>#VALUE!</v>
      </c>
      <c r="BR75" s="93"/>
      <c r="BS75" s="19" t="e">
        <f>_xll.qlIndexFixing(BS$46,$A75,,Trigger)</f>
        <v>#NUM!</v>
      </c>
      <c r="BT75" s="22" t="e">
        <f>_xll.qlSwaptionVTSVolatility2(Vol,$B75,BS$47,,,Trigger)</f>
        <v>#NUM!</v>
      </c>
      <c r="BU75" s="75" t="e">
        <f>_xll.qlBlackFormula("Call",BS75,BS75,BT75*SQRT($A54),,,Trigger)</f>
        <v>#VALUE!</v>
      </c>
      <c r="BV75" s="93"/>
      <c r="BW75" s="19" t="e">
        <f>_xll.qlIndexFixing(BW$46,$A75,,Trigger)</f>
        <v>#NUM!</v>
      </c>
      <c r="BX75" s="22" t="e">
        <f>_xll.qlSwaptionVTSVolatility2(Vol,$B75,BW$47,,,Trigger)</f>
        <v>#NUM!</v>
      </c>
      <c r="BY75" s="75" t="e">
        <f>_xll.qlBlackFormula("Call",BW75,BW75,BX75*SQRT($A54),,,Trigger)</f>
        <v>#VALUE!</v>
      </c>
      <c r="CA75" s="19" t="e">
        <f>_xll.qlIndexFixing(CA$46,$A75,,Trigger)</f>
        <v>#NUM!</v>
      </c>
      <c r="CB75" s="22" t="e">
        <f>_xll.qlSwaptionVTSVolatility2(Vol,$B75,CA$47,,,Trigger)</f>
        <v>#NUM!</v>
      </c>
      <c r="CC75" s="75" t="e">
        <f>_xll.qlBlackFormula("Call",CA75,CA75,CB75*SQRT($A54),,,Trigger)</f>
        <v>#VALUE!</v>
      </c>
      <c r="CD75" s="93"/>
      <c r="CE75" s="19" t="e">
        <f>_xll.qlIndexFixing(CE$46,$A75,,Trigger)</f>
        <v>#NUM!</v>
      </c>
      <c r="CF75" s="22" t="e">
        <f>_xll.qlSwaptionVTSVolatility2(Vol,$B75,CE$47,,,Trigger)</f>
        <v>#NUM!</v>
      </c>
      <c r="CG75" s="75" t="e">
        <f>_xll.qlBlackFormula("Call",CE75,CE75,CF75*SQRT($A54),,,Trigger)</f>
        <v>#VALUE!</v>
      </c>
      <c r="CH75" s="93"/>
      <c r="CI75" s="19" t="e">
        <f>_xll.qlIndexFixing(CI$46,$A75,,Trigger)</f>
        <v>#NUM!</v>
      </c>
      <c r="CJ75" s="22" t="e">
        <f>_xll.qlSwaptionVTSVolatility2(Vol,$B75,CI$47,,,Trigger)</f>
        <v>#NUM!</v>
      </c>
      <c r="CK75" s="75" t="e">
        <f>_xll.qlBlackFormula("Call",CI75,CI75,CJ75*SQRT($A54),,,Trigger)</f>
        <v>#VALUE!</v>
      </c>
      <c r="CL75" s="93"/>
      <c r="CM75" s="19" t="e">
        <f>_xll.qlIndexFixing(CM$46,$A75,,Trigger)</f>
        <v>#NUM!</v>
      </c>
      <c r="CN75" s="22" t="e">
        <f>_xll.qlSwaptionVTSVolatility2(Vol,$B75,CM$47,,,Trigger)</f>
        <v>#NUM!</v>
      </c>
      <c r="CO75" s="75" t="e">
        <f>_xll.qlBlackFormula("Call",CM75,CM75,CN75*SQRT($A54),,,Trigger)</f>
        <v>#VALUE!</v>
      </c>
      <c r="CP75" s="93"/>
      <c r="CQ75" s="19" t="e">
        <f>_xll.qlIndexFixing(CQ$46,$A75,,Trigger)</f>
        <v>#NUM!</v>
      </c>
      <c r="CR75" s="22" t="e">
        <f>_xll.qlSwaptionVTSVolatility2(Vol,$B75,CQ$47,,,Trigger)</f>
        <v>#NUM!</v>
      </c>
      <c r="CS75" s="75" t="e">
        <f>_xll.qlBlackFormula("Call",CQ75,CQ75,CR75*SQRT($A54),,,Trigger)</f>
        <v>#VALUE!</v>
      </c>
      <c r="CU75" s="19" t="e">
        <f>_xll.qlIndexFixing(CU$46,$A75,,Trigger)</f>
        <v>#NUM!</v>
      </c>
      <c r="CV75" s="22" t="e">
        <f>_xll.qlSwaptionVTSVolatility2(Vol,$B75,CU$47,,,Trigger)</f>
        <v>#NUM!</v>
      </c>
      <c r="CW75" s="75" t="e">
        <f>_xll.qlBlackFormula("Call",CU75,CU75,CV75*SQRT($A54),,,Trigger)</f>
        <v>#VALUE!</v>
      </c>
      <c r="CX75" s="93"/>
      <c r="CY75" s="19" t="e">
        <f>_xll.qlIndexFixing(CY$46,$A75,,Trigger)</f>
        <v>#NUM!</v>
      </c>
      <c r="CZ75" s="22" t="e">
        <f>_xll.qlSwaptionVTSVolatility2(Vol,$B75,CY$47,,,Trigger)</f>
        <v>#NUM!</v>
      </c>
      <c r="DA75" s="75" t="e">
        <f>_xll.qlBlackFormula("Call",CY75,CY75,CZ75*SQRT($A54),,,Trigger)</f>
        <v>#VALUE!</v>
      </c>
      <c r="DB75" s="93"/>
      <c r="DC75" s="19" t="e">
        <f>_xll.qlIndexFixing(DC$46,$A75,,Trigger)</f>
        <v>#NUM!</v>
      </c>
      <c r="DD75" s="22" t="e">
        <f>_xll.qlSwaptionVTSVolatility2(Vol,$B75,DC$47,,,Trigger)</f>
        <v>#NUM!</v>
      </c>
      <c r="DE75" s="75" t="e">
        <f>_xll.qlBlackFormula("Call",DC75,DC75,DD75*SQRT($A54),,,Trigger)</f>
        <v>#VALUE!</v>
      </c>
      <c r="DF75" s="93"/>
      <c r="DG75" s="19" t="e">
        <f>_xll.qlIndexFixing(DG$46,$A75,,Trigger)</f>
        <v>#NUM!</v>
      </c>
      <c r="DH75" s="22" t="e">
        <f>_xll.qlSwaptionVTSVolatility2(Vol,$B75,DG$47,,,Trigger)</f>
        <v>#NUM!</v>
      </c>
      <c r="DI75" s="75" t="e">
        <f>_xll.qlBlackFormula("Call",DG75,DG75,DH75*SQRT($A54),,,Trigger)</f>
        <v>#VALUE!</v>
      </c>
      <c r="DJ75" s="93"/>
      <c r="DK75" s="19" t="e">
        <f>_xll.qlIndexFixing(DK$46,$A75,,Trigger)</f>
        <v>#NUM!</v>
      </c>
      <c r="DL75" s="22" t="e">
        <f>_xll.qlSwaptionVTSVolatility2(Vol,$B75,DK$47,,,Trigger)</f>
        <v>#NUM!</v>
      </c>
      <c r="DM75" s="75" t="e">
        <f>_xll.qlBlackFormula("Call",DK75,DK75,DL75*SQRT($A54),,,Trigger)</f>
        <v>#VALUE!</v>
      </c>
      <c r="DO75" s="19" t="e">
        <f>_xll.qlIndexFixing(DO$46,$A75,,Trigger)</f>
        <v>#NUM!</v>
      </c>
      <c r="DP75" s="22" t="e">
        <f>_xll.qlSwaptionVTSVolatility2(Vol,$B75,DO$47,,,Trigger)</f>
        <v>#NUM!</v>
      </c>
      <c r="DQ75" s="75" t="e">
        <f>_xll.qlBlackFormula("Call",DO75,DO75,DP75*SQRT($A54),,,Trigger)</f>
        <v>#VALUE!</v>
      </c>
    </row>
    <row r="76" spans="1:121" x14ac:dyDescent="0.2">
      <c r="A76" s="100" t="e">
        <v>#NUM!</v>
      </c>
      <c r="B76" s="15" t="s">
        <v>27</v>
      </c>
      <c r="C76" s="19" t="e">
        <f>_xll.qlIndexFixing(C$46,$A76,,Trigger)</f>
        <v>#NUM!</v>
      </c>
      <c r="D76" s="22" t="e">
        <f>_xll.qlSwaptionVTSVolatility2(Vol,$B76,C$47,,,Trigger)</f>
        <v>#NUM!</v>
      </c>
      <c r="E76" s="75" t="e">
        <f>_xll.qlBlackFormula("Call",C76,C76,D76*SQRT($A55),,,Trigger)</f>
        <v>#VALUE!</v>
      </c>
      <c r="G76" s="19" t="e">
        <f>_xll.qlIndexFixing(G$46,$A76,,Trigger)</f>
        <v>#NUM!</v>
      </c>
      <c r="H76" s="22" t="e">
        <f>_xll.qlSwaptionVTSVolatility2(Vol,$B76,G$47,,,Trigger)</f>
        <v>#NUM!</v>
      </c>
      <c r="I76" s="75" t="e">
        <f>_xll.qlBlackFormula("Call",G76,G76,H76*SQRT($A55),,,Trigger)</f>
        <v>#VALUE!</v>
      </c>
      <c r="K76" s="19" t="e">
        <f>_xll.qlIndexFixing(K$46,$A76,,Trigger)</f>
        <v>#NUM!</v>
      </c>
      <c r="L76" s="22" t="e">
        <f>_xll.qlSwaptionVTSVolatility2(Vol,$B76,K$47,,,Trigger)</f>
        <v>#NUM!</v>
      </c>
      <c r="M76" s="75" t="e">
        <f>_xll.qlBlackFormula("Call",K76,K76,L76*SQRT($A55),,,Trigger)</f>
        <v>#VALUE!</v>
      </c>
      <c r="O76" s="19" t="e">
        <f>_xll.qlIndexFixing(O$46,$A76,,Trigger)</f>
        <v>#NUM!</v>
      </c>
      <c r="P76" s="22" t="e">
        <f>_xll.qlSwaptionVTSVolatility2(Vol,$B76,O$47,,,Trigger)</f>
        <v>#NUM!</v>
      </c>
      <c r="Q76" s="75" t="e">
        <f>_xll.qlBlackFormula("Call",O76,O76,P76*SQRT($A55),,,Trigger)</f>
        <v>#VALUE!</v>
      </c>
      <c r="S76" s="19" t="e">
        <f>_xll.qlIndexFixing(S$46,$A76,,Trigger)</f>
        <v>#NUM!</v>
      </c>
      <c r="T76" s="22" t="e">
        <f>_xll.qlSwaptionVTSVolatility2(Vol,$B76,S$47,,,Trigger)</f>
        <v>#NUM!</v>
      </c>
      <c r="U76" s="75" t="e">
        <f>_xll.qlBlackFormula("Call",S76,S76,T76*SQRT($A55),,,Trigger)</f>
        <v>#VALUE!</v>
      </c>
      <c r="W76" s="19" t="e">
        <f>_xll.qlIndexFixing(W$46,$A76,,Trigger)</f>
        <v>#NUM!</v>
      </c>
      <c r="X76" s="22" t="e">
        <f>_xll.qlSwaptionVTSVolatility2(Vol,$B76,W$47,,,Trigger)</f>
        <v>#NUM!</v>
      </c>
      <c r="Y76" s="75" t="e">
        <f>_xll.qlBlackFormula("Call",W76,W76,X76*SQRT($A55),,,Trigger)</f>
        <v>#VALUE!</v>
      </c>
      <c r="AA76" s="19" t="e">
        <f>_xll.qlIndexFixing(AA$46,$A76,,Trigger)</f>
        <v>#NUM!</v>
      </c>
      <c r="AB76" s="22" t="e">
        <f>_xll.qlSwaptionVTSVolatility2(Vol,$B76,AA$47,,,Trigger)</f>
        <v>#NUM!</v>
      </c>
      <c r="AC76" s="75" t="e">
        <f>_xll.qlBlackFormula("Call",AA76,AA76,AB76*SQRT($A55),,,Trigger)</f>
        <v>#VALUE!</v>
      </c>
      <c r="AE76" s="19" t="e">
        <f>_xll.qlIndexFixing(AE$46,$A76,,Trigger)</f>
        <v>#NUM!</v>
      </c>
      <c r="AF76" s="22" t="e">
        <f>_xll.qlSwaptionVTSVolatility2(Vol,$B76,AE$47,,,Trigger)</f>
        <v>#NUM!</v>
      </c>
      <c r="AG76" s="75" t="e">
        <f>_xll.qlBlackFormula("Call",AE76,AE76,AF76*SQRT($A55),,,Trigger)</f>
        <v>#VALUE!</v>
      </c>
      <c r="AI76" s="19" t="e">
        <f>_xll.qlIndexFixing(AI$46,$A76,,Trigger)</f>
        <v>#NUM!</v>
      </c>
      <c r="AJ76" s="22" t="e">
        <f>_xll.qlSwaptionVTSVolatility2(Vol,$B76,AI$47,,,Trigger)</f>
        <v>#NUM!</v>
      </c>
      <c r="AK76" s="75" t="e">
        <f>_xll.qlBlackFormula("Call",AI76,AI76,AJ76*SQRT($A55),,,Trigger)</f>
        <v>#VALUE!</v>
      </c>
      <c r="AM76" s="19" t="e">
        <f>_xll.qlIndexFixing(AM$46,$A76,,Trigger)</f>
        <v>#NUM!</v>
      </c>
      <c r="AN76" s="22" t="e">
        <f>_xll.qlSwaptionVTSVolatility2(Vol,$B76,AM$47,,,Trigger)</f>
        <v>#NUM!</v>
      </c>
      <c r="AO76" s="75" t="e">
        <f>_xll.qlBlackFormula("Call",AM76,AM76,AN76*SQRT($A55),,,Trigger)</f>
        <v>#VALUE!</v>
      </c>
      <c r="AP76" s="93"/>
      <c r="AQ76" s="19" t="e">
        <f>_xll.qlIndexFixing(AQ$46,$A76,,Trigger)</f>
        <v>#NUM!</v>
      </c>
      <c r="AR76" s="22" t="e">
        <f>_xll.qlSwaptionVTSVolatility2(Vol,$B76,AQ$47,,,Trigger)</f>
        <v>#NUM!</v>
      </c>
      <c r="AS76" s="75" t="e">
        <f>_xll.qlBlackFormula("Call",AQ76,AQ76,AR76*SQRT($A55),,,Trigger)</f>
        <v>#VALUE!</v>
      </c>
      <c r="AU76" s="19" t="e">
        <f>_xll.qlIndexFixing(AU$46,$A76,,Trigger)</f>
        <v>#NUM!</v>
      </c>
      <c r="AV76" s="22" t="e">
        <f>_xll.qlSwaptionVTSVolatility2(Vol,$B76,AU$47,,,Trigger)</f>
        <v>#NUM!</v>
      </c>
      <c r="AW76" s="75" t="e">
        <f>_xll.qlBlackFormula("Call",AU76,AU76,AV76*SQRT($A55),,,Trigger)</f>
        <v>#VALUE!</v>
      </c>
      <c r="AX76" s="93"/>
      <c r="AY76" s="19" t="e">
        <f>_xll.qlIndexFixing(AY$46,$A76,,Trigger)</f>
        <v>#NUM!</v>
      </c>
      <c r="AZ76" s="22" t="e">
        <f>_xll.qlSwaptionVTSVolatility2(Vol,$B76,AY$47,,,Trigger)</f>
        <v>#NUM!</v>
      </c>
      <c r="BA76" s="75" t="e">
        <f>_xll.qlBlackFormula("Call",AY76,AY76,AZ76*SQRT($A55),,,Trigger)</f>
        <v>#VALUE!</v>
      </c>
      <c r="BB76" s="93"/>
      <c r="BC76" s="19" t="e">
        <f>_xll.qlIndexFixing(BC$46,$A76,,Trigger)</f>
        <v>#NUM!</v>
      </c>
      <c r="BD76" s="22" t="e">
        <f>_xll.qlSwaptionVTSVolatility2(Vol,$B76,BC$47,,,Trigger)</f>
        <v>#NUM!</v>
      </c>
      <c r="BE76" s="75" t="e">
        <f>_xll.qlBlackFormula("Call",BC76,BC76,BD76*SQRT($A55),,,Trigger)</f>
        <v>#VALUE!</v>
      </c>
      <c r="BG76" s="19" t="e">
        <f>_xll.qlIndexFixing(BG$46,$A76,,Trigger)</f>
        <v>#NUM!</v>
      </c>
      <c r="BH76" s="22" t="e">
        <f>_xll.qlSwaptionVTSVolatility2(Vol,$B76,BG$47,,,Trigger)</f>
        <v>#NUM!</v>
      </c>
      <c r="BI76" s="75" t="e">
        <f>_xll.qlBlackFormula("Call",BG76,BG76,BH76*SQRT($A55),,,Trigger)</f>
        <v>#VALUE!</v>
      </c>
      <c r="BJ76" s="93"/>
      <c r="BK76" s="19" t="e">
        <f>_xll.qlIndexFixing(BK$46,$A76,,Trigger)</f>
        <v>#NUM!</v>
      </c>
      <c r="BL76" s="22" t="e">
        <f>_xll.qlSwaptionVTSVolatility2(Vol,$B76,BK$47,,,Trigger)</f>
        <v>#NUM!</v>
      </c>
      <c r="BM76" s="75" t="e">
        <f>_xll.qlBlackFormula("Call",BK76,BK76,BL76*SQRT($A55),,,Trigger)</f>
        <v>#VALUE!</v>
      </c>
      <c r="BN76" s="93"/>
      <c r="BO76" s="19" t="e">
        <f>_xll.qlIndexFixing(BO$46,$A76,,Trigger)</f>
        <v>#NUM!</v>
      </c>
      <c r="BP76" s="22" t="e">
        <f>_xll.qlSwaptionVTSVolatility2(Vol,$B76,BO$47,,,Trigger)</f>
        <v>#NUM!</v>
      </c>
      <c r="BQ76" s="75" t="e">
        <f>_xll.qlBlackFormula("Call",BO76,BO76,BP76*SQRT($A55),,,Trigger)</f>
        <v>#VALUE!</v>
      </c>
      <c r="BR76" s="93"/>
      <c r="BS76" s="19" t="e">
        <f>_xll.qlIndexFixing(BS$46,$A76,,Trigger)</f>
        <v>#NUM!</v>
      </c>
      <c r="BT76" s="22" t="e">
        <f>_xll.qlSwaptionVTSVolatility2(Vol,$B76,BS$47,,,Trigger)</f>
        <v>#NUM!</v>
      </c>
      <c r="BU76" s="75" t="e">
        <f>_xll.qlBlackFormula("Call",BS76,BS76,BT76*SQRT($A55),,,Trigger)</f>
        <v>#VALUE!</v>
      </c>
      <c r="BV76" s="93"/>
      <c r="BW76" s="19" t="e">
        <f>_xll.qlIndexFixing(BW$46,$A76,,Trigger)</f>
        <v>#NUM!</v>
      </c>
      <c r="BX76" s="22" t="e">
        <f>_xll.qlSwaptionVTSVolatility2(Vol,$B76,BW$47,,,Trigger)</f>
        <v>#NUM!</v>
      </c>
      <c r="BY76" s="75" t="e">
        <f>_xll.qlBlackFormula("Call",BW76,BW76,BX76*SQRT($A55),,,Trigger)</f>
        <v>#VALUE!</v>
      </c>
      <c r="CA76" s="19" t="e">
        <f>_xll.qlIndexFixing(CA$46,$A76,,Trigger)</f>
        <v>#NUM!</v>
      </c>
      <c r="CB76" s="22" t="e">
        <f>_xll.qlSwaptionVTSVolatility2(Vol,$B76,CA$47,,,Trigger)</f>
        <v>#NUM!</v>
      </c>
      <c r="CC76" s="75" t="e">
        <f>_xll.qlBlackFormula("Call",CA76,CA76,CB76*SQRT($A55),,,Trigger)</f>
        <v>#VALUE!</v>
      </c>
      <c r="CD76" s="93"/>
      <c r="CE76" s="19" t="e">
        <f>_xll.qlIndexFixing(CE$46,$A76,,Trigger)</f>
        <v>#NUM!</v>
      </c>
      <c r="CF76" s="22" t="e">
        <f>_xll.qlSwaptionVTSVolatility2(Vol,$B76,CE$47,,,Trigger)</f>
        <v>#NUM!</v>
      </c>
      <c r="CG76" s="75" t="e">
        <f>_xll.qlBlackFormula("Call",CE76,CE76,CF76*SQRT($A55),,,Trigger)</f>
        <v>#VALUE!</v>
      </c>
      <c r="CH76" s="93"/>
      <c r="CI76" s="19" t="e">
        <f>_xll.qlIndexFixing(CI$46,$A76,,Trigger)</f>
        <v>#NUM!</v>
      </c>
      <c r="CJ76" s="22" t="e">
        <f>_xll.qlSwaptionVTSVolatility2(Vol,$B76,CI$47,,,Trigger)</f>
        <v>#NUM!</v>
      </c>
      <c r="CK76" s="75" t="e">
        <f>_xll.qlBlackFormula("Call",CI76,CI76,CJ76*SQRT($A55),,,Trigger)</f>
        <v>#VALUE!</v>
      </c>
      <c r="CL76" s="93"/>
      <c r="CM76" s="19" t="e">
        <f>_xll.qlIndexFixing(CM$46,$A76,,Trigger)</f>
        <v>#NUM!</v>
      </c>
      <c r="CN76" s="22" t="e">
        <f>_xll.qlSwaptionVTSVolatility2(Vol,$B76,CM$47,,,Trigger)</f>
        <v>#NUM!</v>
      </c>
      <c r="CO76" s="75" t="e">
        <f>_xll.qlBlackFormula("Call",CM76,CM76,CN76*SQRT($A55),,,Trigger)</f>
        <v>#VALUE!</v>
      </c>
      <c r="CP76" s="93"/>
      <c r="CQ76" s="19" t="e">
        <f>_xll.qlIndexFixing(CQ$46,$A76,,Trigger)</f>
        <v>#NUM!</v>
      </c>
      <c r="CR76" s="22" t="e">
        <f>_xll.qlSwaptionVTSVolatility2(Vol,$B76,CQ$47,,,Trigger)</f>
        <v>#NUM!</v>
      </c>
      <c r="CS76" s="75" t="e">
        <f>_xll.qlBlackFormula("Call",CQ76,CQ76,CR76*SQRT($A55),,,Trigger)</f>
        <v>#VALUE!</v>
      </c>
      <c r="CU76" s="19" t="e">
        <f>_xll.qlIndexFixing(CU$46,$A76,,Trigger)</f>
        <v>#NUM!</v>
      </c>
      <c r="CV76" s="22" t="e">
        <f>_xll.qlSwaptionVTSVolatility2(Vol,$B76,CU$47,,,Trigger)</f>
        <v>#NUM!</v>
      </c>
      <c r="CW76" s="75" t="e">
        <f>_xll.qlBlackFormula("Call",CU76,CU76,CV76*SQRT($A55),,,Trigger)</f>
        <v>#VALUE!</v>
      </c>
      <c r="CX76" s="93"/>
      <c r="CY76" s="19" t="e">
        <f>_xll.qlIndexFixing(CY$46,$A76,,Trigger)</f>
        <v>#NUM!</v>
      </c>
      <c r="CZ76" s="22" t="e">
        <f>_xll.qlSwaptionVTSVolatility2(Vol,$B76,CY$47,,,Trigger)</f>
        <v>#NUM!</v>
      </c>
      <c r="DA76" s="75" t="e">
        <f>_xll.qlBlackFormula("Call",CY76,CY76,CZ76*SQRT($A55),,,Trigger)</f>
        <v>#VALUE!</v>
      </c>
      <c r="DB76" s="93"/>
      <c r="DC76" s="19" t="e">
        <f>_xll.qlIndexFixing(DC$46,$A76,,Trigger)</f>
        <v>#NUM!</v>
      </c>
      <c r="DD76" s="22" t="e">
        <f>_xll.qlSwaptionVTSVolatility2(Vol,$B76,DC$47,,,Trigger)</f>
        <v>#NUM!</v>
      </c>
      <c r="DE76" s="75" t="e">
        <f>_xll.qlBlackFormula("Call",DC76,DC76,DD76*SQRT($A55),,,Trigger)</f>
        <v>#VALUE!</v>
      </c>
      <c r="DF76" s="93"/>
      <c r="DG76" s="19" t="e">
        <f>_xll.qlIndexFixing(DG$46,$A76,,Trigger)</f>
        <v>#NUM!</v>
      </c>
      <c r="DH76" s="22" t="e">
        <f>_xll.qlSwaptionVTSVolatility2(Vol,$B76,DG$47,,,Trigger)</f>
        <v>#NUM!</v>
      </c>
      <c r="DI76" s="75" t="e">
        <f>_xll.qlBlackFormula("Call",DG76,DG76,DH76*SQRT($A55),,,Trigger)</f>
        <v>#VALUE!</v>
      </c>
      <c r="DJ76" s="93"/>
      <c r="DK76" s="19" t="e">
        <f>_xll.qlIndexFixing(DK$46,$A76,,Trigger)</f>
        <v>#NUM!</v>
      </c>
      <c r="DL76" s="22" t="e">
        <f>_xll.qlSwaptionVTSVolatility2(Vol,$B76,DK$47,,,Trigger)</f>
        <v>#NUM!</v>
      </c>
      <c r="DM76" s="75" t="e">
        <f>_xll.qlBlackFormula("Call",DK76,DK76,DL76*SQRT($A55),,,Trigger)</f>
        <v>#VALUE!</v>
      </c>
      <c r="DO76" s="19" t="e">
        <f>_xll.qlIndexFixing(DO$46,$A76,,Trigger)</f>
        <v>#NUM!</v>
      </c>
      <c r="DP76" s="22" t="e">
        <f>_xll.qlSwaptionVTSVolatility2(Vol,$B76,DO$47,,,Trigger)</f>
        <v>#NUM!</v>
      </c>
      <c r="DQ76" s="75" t="e">
        <f>_xll.qlBlackFormula("Call",DO76,DO76,DP76*SQRT($A55),,,Trigger)</f>
        <v>#VALUE!</v>
      </c>
    </row>
    <row r="77" spans="1:121" x14ac:dyDescent="0.2">
      <c r="A77" s="100" t="e">
        <v>#NUM!</v>
      </c>
      <c r="B77" s="15" t="s">
        <v>28</v>
      </c>
      <c r="C77" s="19" t="e">
        <f>_xll.qlIndexFixing(C$46,$A77,,Trigger)</f>
        <v>#NUM!</v>
      </c>
      <c r="D77" s="22" t="e">
        <f>_xll.qlSwaptionVTSVolatility2(Vol,$B77,C$47,,,Trigger)</f>
        <v>#NUM!</v>
      </c>
      <c r="E77" s="75" t="e">
        <f>_xll.qlBlackFormula("Call",C77,C77,D77*SQRT($A56),,,Trigger)</f>
        <v>#VALUE!</v>
      </c>
      <c r="G77" s="19" t="e">
        <f>_xll.qlIndexFixing(G$46,$A77,,Trigger)</f>
        <v>#NUM!</v>
      </c>
      <c r="H77" s="22" t="e">
        <f>_xll.qlSwaptionVTSVolatility2(Vol,$B77,G$47,,,Trigger)</f>
        <v>#NUM!</v>
      </c>
      <c r="I77" s="75" t="e">
        <f>_xll.qlBlackFormula("Call",G77,G77,H77*SQRT($A56),,,Trigger)</f>
        <v>#VALUE!</v>
      </c>
      <c r="K77" s="19" t="e">
        <f>_xll.qlIndexFixing(K$46,$A77,,Trigger)</f>
        <v>#NUM!</v>
      </c>
      <c r="L77" s="22" t="e">
        <f>_xll.qlSwaptionVTSVolatility2(Vol,$B77,K$47,,,Trigger)</f>
        <v>#NUM!</v>
      </c>
      <c r="M77" s="75" t="e">
        <f>_xll.qlBlackFormula("Call",K77,K77,L77*SQRT($A56),,,Trigger)</f>
        <v>#VALUE!</v>
      </c>
      <c r="O77" s="19" t="e">
        <f>_xll.qlIndexFixing(O$46,$A77,,Trigger)</f>
        <v>#NUM!</v>
      </c>
      <c r="P77" s="22" t="e">
        <f>_xll.qlSwaptionVTSVolatility2(Vol,$B77,O$47,,,Trigger)</f>
        <v>#NUM!</v>
      </c>
      <c r="Q77" s="75" t="e">
        <f>_xll.qlBlackFormula("Call",O77,O77,P77*SQRT($A56),,,Trigger)</f>
        <v>#VALUE!</v>
      </c>
      <c r="S77" s="19" t="e">
        <f>_xll.qlIndexFixing(S$46,$A77,,Trigger)</f>
        <v>#NUM!</v>
      </c>
      <c r="T77" s="22" t="e">
        <f>_xll.qlSwaptionVTSVolatility2(Vol,$B77,S$47,,,Trigger)</f>
        <v>#NUM!</v>
      </c>
      <c r="U77" s="75" t="e">
        <f>_xll.qlBlackFormula("Call",S77,S77,T77*SQRT($A56),,,Trigger)</f>
        <v>#VALUE!</v>
      </c>
      <c r="W77" s="19" t="e">
        <f>_xll.qlIndexFixing(W$46,$A77,,Trigger)</f>
        <v>#NUM!</v>
      </c>
      <c r="X77" s="22" t="e">
        <f>_xll.qlSwaptionVTSVolatility2(Vol,$B77,W$47,,,Trigger)</f>
        <v>#NUM!</v>
      </c>
      <c r="Y77" s="75" t="e">
        <f>_xll.qlBlackFormula("Call",W77,W77,X77*SQRT($A56),,,Trigger)</f>
        <v>#VALUE!</v>
      </c>
      <c r="AA77" s="19" t="e">
        <f>_xll.qlIndexFixing(AA$46,$A77,,Trigger)</f>
        <v>#NUM!</v>
      </c>
      <c r="AB77" s="22" t="e">
        <f>_xll.qlSwaptionVTSVolatility2(Vol,$B77,AA$47,,,Trigger)</f>
        <v>#NUM!</v>
      </c>
      <c r="AC77" s="75" t="e">
        <f>_xll.qlBlackFormula("Call",AA77,AA77,AB77*SQRT($A56),,,Trigger)</f>
        <v>#VALUE!</v>
      </c>
      <c r="AE77" s="19" t="e">
        <f>_xll.qlIndexFixing(AE$46,$A77,,Trigger)</f>
        <v>#NUM!</v>
      </c>
      <c r="AF77" s="22" t="e">
        <f>_xll.qlSwaptionVTSVolatility2(Vol,$B77,AE$47,,,Trigger)</f>
        <v>#NUM!</v>
      </c>
      <c r="AG77" s="75" t="e">
        <f>_xll.qlBlackFormula("Call",AE77,AE77,AF77*SQRT($A56),,,Trigger)</f>
        <v>#VALUE!</v>
      </c>
      <c r="AI77" s="19" t="e">
        <f>_xll.qlIndexFixing(AI$46,$A77,,Trigger)</f>
        <v>#NUM!</v>
      </c>
      <c r="AJ77" s="22" t="e">
        <f>_xll.qlSwaptionVTSVolatility2(Vol,$B77,AI$47,,,Trigger)</f>
        <v>#NUM!</v>
      </c>
      <c r="AK77" s="75" t="e">
        <f>_xll.qlBlackFormula("Call",AI77,AI77,AJ77*SQRT($A56),,,Trigger)</f>
        <v>#VALUE!</v>
      </c>
      <c r="AM77" s="19" t="e">
        <f>_xll.qlIndexFixing(AM$46,$A77,,Trigger)</f>
        <v>#NUM!</v>
      </c>
      <c r="AN77" s="22" t="e">
        <f>_xll.qlSwaptionVTSVolatility2(Vol,$B77,AM$47,,,Trigger)</f>
        <v>#NUM!</v>
      </c>
      <c r="AO77" s="75" t="e">
        <f>_xll.qlBlackFormula("Call",AM77,AM77,AN77*SQRT($A56),,,Trigger)</f>
        <v>#VALUE!</v>
      </c>
      <c r="AP77" s="93"/>
      <c r="AQ77" s="19" t="e">
        <f>_xll.qlIndexFixing(AQ$46,$A77,,Trigger)</f>
        <v>#NUM!</v>
      </c>
      <c r="AR77" s="22" t="e">
        <f>_xll.qlSwaptionVTSVolatility2(Vol,$B77,AQ$47,,,Trigger)</f>
        <v>#NUM!</v>
      </c>
      <c r="AS77" s="75" t="e">
        <f>_xll.qlBlackFormula("Call",AQ77,AQ77,AR77*SQRT($A56),,,Trigger)</f>
        <v>#VALUE!</v>
      </c>
      <c r="AU77" s="19" t="e">
        <f>_xll.qlIndexFixing(AU$46,$A77,,Trigger)</f>
        <v>#NUM!</v>
      </c>
      <c r="AV77" s="22" t="e">
        <f>_xll.qlSwaptionVTSVolatility2(Vol,$B77,AU$47,,,Trigger)</f>
        <v>#NUM!</v>
      </c>
      <c r="AW77" s="75" t="e">
        <f>_xll.qlBlackFormula("Call",AU77,AU77,AV77*SQRT($A56),,,Trigger)</f>
        <v>#VALUE!</v>
      </c>
      <c r="AX77" s="93"/>
      <c r="AY77" s="19" t="e">
        <f>_xll.qlIndexFixing(AY$46,$A77,,Trigger)</f>
        <v>#NUM!</v>
      </c>
      <c r="AZ77" s="22" t="e">
        <f>_xll.qlSwaptionVTSVolatility2(Vol,$B77,AY$47,,,Trigger)</f>
        <v>#NUM!</v>
      </c>
      <c r="BA77" s="75" t="e">
        <f>_xll.qlBlackFormula("Call",AY77,AY77,AZ77*SQRT($A56),,,Trigger)</f>
        <v>#VALUE!</v>
      </c>
      <c r="BB77" s="93"/>
      <c r="BC77" s="19" t="e">
        <f>_xll.qlIndexFixing(BC$46,$A77,,Trigger)</f>
        <v>#NUM!</v>
      </c>
      <c r="BD77" s="22" t="e">
        <f>_xll.qlSwaptionVTSVolatility2(Vol,$B77,BC$47,,,Trigger)</f>
        <v>#NUM!</v>
      </c>
      <c r="BE77" s="75" t="e">
        <f>_xll.qlBlackFormula("Call",BC77,BC77,BD77*SQRT($A56),,,Trigger)</f>
        <v>#VALUE!</v>
      </c>
      <c r="BG77" s="19" t="e">
        <f>_xll.qlIndexFixing(BG$46,$A77,,Trigger)</f>
        <v>#NUM!</v>
      </c>
      <c r="BH77" s="22" t="e">
        <f>_xll.qlSwaptionVTSVolatility2(Vol,$B77,BG$47,,,Trigger)</f>
        <v>#NUM!</v>
      </c>
      <c r="BI77" s="75" t="e">
        <f>_xll.qlBlackFormula("Call",BG77,BG77,BH77*SQRT($A56),,,Trigger)</f>
        <v>#VALUE!</v>
      </c>
      <c r="BJ77" s="93"/>
      <c r="BK77" s="19" t="e">
        <f>_xll.qlIndexFixing(BK$46,$A77,,Trigger)</f>
        <v>#NUM!</v>
      </c>
      <c r="BL77" s="22" t="e">
        <f>_xll.qlSwaptionVTSVolatility2(Vol,$B77,BK$47,,,Trigger)</f>
        <v>#NUM!</v>
      </c>
      <c r="BM77" s="75" t="e">
        <f>_xll.qlBlackFormula("Call",BK77,BK77,BL77*SQRT($A56),,,Trigger)</f>
        <v>#VALUE!</v>
      </c>
      <c r="BN77" s="93"/>
      <c r="BO77" s="19" t="e">
        <f>_xll.qlIndexFixing(BO$46,$A77,,Trigger)</f>
        <v>#NUM!</v>
      </c>
      <c r="BP77" s="22" t="e">
        <f>_xll.qlSwaptionVTSVolatility2(Vol,$B77,BO$47,,,Trigger)</f>
        <v>#NUM!</v>
      </c>
      <c r="BQ77" s="75" t="e">
        <f>_xll.qlBlackFormula("Call",BO77,BO77,BP77*SQRT($A56),,,Trigger)</f>
        <v>#VALUE!</v>
      </c>
      <c r="BR77" s="93"/>
      <c r="BS77" s="19" t="e">
        <f>_xll.qlIndexFixing(BS$46,$A77,,Trigger)</f>
        <v>#NUM!</v>
      </c>
      <c r="BT77" s="22" t="e">
        <f>_xll.qlSwaptionVTSVolatility2(Vol,$B77,BS$47,,,Trigger)</f>
        <v>#NUM!</v>
      </c>
      <c r="BU77" s="75" t="e">
        <f>_xll.qlBlackFormula("Call",BS77,BS77,BT77*SQRT($A56),,,Trigger)</f>
        <v>#VALUE!</v>
      </c>
      <c r="BV77" s="93"/>
      <c r="BW77" s="19" t="e">
        <f>_xll.qlIndexFixing(BW$46,$A77,,Trigger)</f>
        <v>#NUM!</v>
      </c>
      <c r="BX77" s="22" t="e">
        <f>_xll.qlSwaptionVTSVolatility2(Vol,$B77,BW$47,,,Trigger)</f>
        <v>#NUM!</v>
      </c>
      <c r="BY77" s="75" t="e">
        <f>_xll.qlBlackFormula("Call",BW77,BW77,BX77*SQRT($A56),,,Trigger)</f>
        <v>#VALUE!</v>
      </c>
      <c r="CA77" s="19" t="e">
        <f>_xll.qlIndexFixing(CA$46,$A77,,Trigger)</f>
        <v>#NUM!</v>
      </c>
      <c r="CB77" s="22" t="e">
        <f>_xll.qlSwaptionVTSVolatility2(Vol,$B77,CA$47,,,Trigger)</f>
        <v>#NUM!</v>
      </c>
      <c r="CC77" s="75" t="e">
        <f>_xll.qlBlackFormula("Call",CA77,CA77,CB77*SQRT($A56),,,Trigger)</f>
        <v>#VALUE!</v>
      </c>
      <c r="CD77" s="93"/>
      <c r="CE77" s="19" t="e">
        <f>_xll.qlIndexFixing(CE$46,$A77,,Trigger)</f>
        <v>#NUM!</v>
      </c>
      <c r="CF77" s="22" t="e">
        <f>_xll.qlSwaptionVTSVolatility2(Vol,$B77,CE$47,,,Trigger)</f>
        <v>#NUM!</v>
      </c>
      <c r="CG77" s="75" t="e">
        <f>_xll.qlBlackFormula("Call",CE77,CE77,CF77*SQRT($A56),,,Trigger)</f>
        <v>#VALUE!</v>
      </c>
      <c r="CH77" s="93"/>
      <c r="CI77" s="19" t="e">
        <f>_xll.qlIndexFixing(CI$46,$A77,,Trigger)</f>
        <v>#NUM!</v>
      </c>
      <c r="CJ77" s="22" t="e">
        <f>_xll.qlSwaptionVTSVolatility2(Vol,$B77,CI$47,,,Trigger)</f>
        <v>#NUM!</v>
      </c>
      <c r="CK77" s="75" t="e">
        <f>_xll.qlBlackFormula("Call",CI77,CI77,CJ77*SQRT($A56),,,Trigger)</f>
        <v>#VALUE!</v>
      </c>
      <c r="CL77" s="93"/>
      <c r="CM77" s="19" t="e">
        <f>_xll.qlIndexFixing(CM$46,$A77,,Trigger)</f>
        <v>#NUM!</v>
      </c>
      <c r="CN77" s="22" t="e">
        <f>_xll.qlSwaptionVTSVolatility2(Vol,$B77,CM$47,,,Trigger)</f>
        <v>#NUM!</v>
      </c>
      <c r="CO77" s="75" t="e">
        <f>_xll.qlBlackFormula("Call",CM77,CM77,CN77*SQRT($A56),,,Trigger)</f>
        <v>#VALUE!</v>
      </c>
      <c r="CP77" s="93"/>
      <c r="CQ77" s="19" t="e">
        <f>_xll.qlIndexFixing(CQ$46,$A77,,Trigger)</f>
        <v>#NUM!</v>
      </c>
      <c r="CR77" s="22" t="e">
        <f>_xll.qlSwaptionVTSVolatility2(Vol,$B77,CQ$47,,,Trigger)</f>
        <v>#NUM!</v>
      </c>
      <c r="CS77" s="75" t="e">
        <f>_xll.qlBlackFormula("Call",CQ77,CQ77,CR77*SQRT($A56),,,Trigger)</f>
        <v>#VALUE!</v>
      </c>
      <c r="CU77" s="19" t="e">
        <f>_xll.qlIndexFixing(CU$46,$A77,,Trigger)</f>
        <v>#NUM!</v>
      </c>
      <c r="CV77" s="22" t="e">
        <f>_xll.qlSwaptionVTSVolatility2(Vol,$B77,CU$47,,,Trigger)</f>
        <v>#NUM!</v>
      </c>
      <c r="CW77" s="75" t="e">
        <f>_xll.qlBlackFormula("Call",CU77,CU77,CV77*SQRT($A56),,,Trigger)</f>
        <v>#VALUE!</v>
      </c>
      <c r="CX77" s="93"/>
      <c r="CY77" s="19" t="e">
        <f>_xll.qlIndexFixing(CY$46,$A77,,Trigger)</f>
        <v>#NUM!</v>
      </c>
      <c r="CZ77" s="22" t="e">
        <f>_xll.qlSwaptionVTSVolatility2(Vol,$B77,CY$47,,,Trigger)</f>
        <v>#NUM!</v>
      </c>
      <c r="DA77" s="75" t="e">
        <f>_xll.qlBlackFormula("Call",CY77,CY77,CZ77*SQRT($A56),,,Trigger)</f>
        <v>#VALUE!</v>
      </c>
      <c r="DB77" s="93"/>
      <c r="DC77" s="19" t="e">
        <f>_xll.qlIndexFixing(DC$46,$A77,,Trigger)</f>
        <v>#NUM!</v>
      </c>
      <c r="DD77" s="22" t="e">
        <f>_xll.qlSwaptionVTSVolatility2(Vol,$B77,DC$47,,,Trigger)</f>
        <v>#NUM!</v>
      </c>
      <c r="DE77" s="75" t="e">
        <f>_xll.qlBlackFormula("Call",DC77,DC77,DD77*SQRT($A56),,,Trigger)</f>
        <v>#VALUE!</v>
      </c>
      <c r="DF77" s="93"/>
      <c r="DG77" s="19" t="e">
        <f>_xll.qlIndexFixing(DG$46,$A77,,Trigger)</f>
        <v>#NUM!</v>
      </c>
      <c r="DH77" s="22" t="e">
        <f>_xll.qlSwaptionVTSVolatility2(Vol,$B77,DG$47,,,Trigger)</f>
        <v>#NUM!</v>
      </c>
      <c r="DI77" s="75" t="e">
        <f>_xll.qlBlackFormula("Call",DG77,DG77,DH77*SQRT($A56),,,Trigger)</f>
        <v>#VALUE!</v>
      </c>
      <c r="DJ77" s="93"/>
      <c r="DK77" s="19" t="e">
        <f>_xll.qlIndexFixing(DK$46,$A77,,Trigger)</f>
        <v>#NUM!</v>
      </c>
      <c r="DL77" s="22" t="e">
        <f>_xll.qlSwaptionVTSVolatility2(Vol,$B77,DK$47,,,Trigger)</f>
        <v>#NUM!</v>
      </c>
      <c r="DM77" s="75" t="e">
        <f>_xll.qlBlackFormula("Call",DK77,DK77,DL77*SQRT($A56),,,Trigger)</f>
        <v>#VALUE!</v>
      </c>
      <c r="DO77" s="19" t="e">
        <f>_xll.qlIndexFixing(DO$46,$A77,,Trigger)</f>
        <v>#NUM!</v>
      </c>
      <c r="DP77" s="22" t="e">
        <f>_xll.qlSwaptionVTSVolatility2(Vol,$B77,DO$47,,,Trigger)</f>
        <v>#NUM!</v>
      </c>
      <c r="DQ77" s="75" t="e">
        <f>_xll.qlBlackFormula("Call",DO77,DO77,DP77*SQRT($A56),,,Trigger)</f>
        <v>#VALUE!</v>
      </c>
    </row>
    <row r="78" spans="1:121" x14ac:dyDescent="0.2">
      <c r="A78" s="100" t="e">
        <v>#NUM!</v>
      </c>
      <c r="B78" s="15" t="s">
        <v>29</v>
      </c>
      <c r="C78" s="19" t="e">
        <f>_xll.qlIndexFixing(C$46,$A78,,Trigger)</f>
        <v>#NUM!</v>
      </c>
      <c r="D78" s="22" t="e">
        <f>_xll.qlSwaptionVTSVolatility2(Vol,$B78,C$47,,,Trigger)</f>
        <v>#NUM!</v>
      </c>
      <c r="E78" s="75" t="e">
        <f>_xll.qlBlackFormula("Call",C78,C78,D78*SQRT($A57),,,Trigger)</f>
        <v>#VALUE!</v>
      </c>
      <c r="G78" s="19" t="e">
        <f>_xll.qlIndexFixing(G$46,$A78,,Trigger)</f>
        <v>#NUM!</v>
      </c>
      <c r="H78" s="22" t="e">
        <f>_xll.qlSwaptionVTSVolatility2(Vol,$B78,G$47,,,Trigger)</f>
        <v>#NUM!</v>
      </c>
      <c r="I78" s="75" t="e">
        <f>_xll.qlBlackFormula("Call",G78,G78,H78*SQRT($A57),,,Trigger)</f>
        <v>#VALUE!</v>
      </c>
      <c r="K78" s="19" t="e">
        <f>_xll.qlIndexFixing(K$46,$A78,,Trigger)</f>
        <v>#NUM!</v>
      </c>
      <c r="L78" s="22" t="e">
        <f>_xll.qlSwaptionVTSVolatility2(Vol,$B78,K$47,,,Trigger)</f>
        <v>#NUM!</v>
      </c>
      <c r="M78" s="75" t="e">
        <f>_xll.qlBlackFormula("Call",K78,K78,L78*SQRT($A57),,,Trigger)</f>
        <v>#VALUE!</v>
      </c>
      <c r="O78" s="19" t="e">
        <f>_xll.qlIndexFixing(O$46,$A78,,Trigger)</f>
        <v>#NUM!</v>
      </c>
      <c r="P78" s="22" t="e">
        <f>_xll.qlSwaptionVTSVolatility2(Vol,$B78,O$47,,,Trigger)</f>
        <v>#NUM!</v>
      </c>
      <c r="Q78" s="75" t="e">
        <f>_xll.qlBlackFormula("Call",O78,O78,P78*SQRT($A57),,,Trigger)</f>
        <v>#VALUE!</v>
      </c>
      <c r="S78" s="19" t="e">
        <f>_xll.qlIndexFixing(S$46,$A78,,Trigger)</f>
        <v>#NUM!</v>
      </c>
      <c r="T78" s="22" t="e">
        <f>_xll.qlSwaptionVTSVolatility2(Vol,$B78,S$47,,,Trigger)</f>
        <v>#NUM!</v>
      </c>
      <c r="U78" s="75" t="e">
        <f>_xll.qlBlackFormula("Call",S78,S78,T78*SQRT($A57),,,Trigger)</f>
        <v>#VALUE!</v>
      </c>
      <c r="W78" s="19" t="e">
        <f>_xll.qlIndexFixing(W$46,$A78,,Trigger)</f>
        <v>#NUM!</v>
      </c>
      <c r="X78" s="22" t="e">
        <f>_xll.qlSwaptionVTSVolatility2(Vol,$B78,W$47,,,Trigger)</f>
        <v>#NUM!</v>
      </c>
      <c r="Y78" s="75" t="e">
        <f>_xll.qlBlackFormula("Call",W78,W78,X78*SQRT($A57),,,Trigger)</f>
        <v>#VALUE!</v>
      </c>
      <c r="AA78" s="19" t="e">
        <f>_xll.qlIndexFixing(AA$46,$A78,,Trigger)</f>
        <v>#NUM!</v>
      </c>
      <c r="AB78" s="22" t="e">
        <f>_xll.qlSwaptionVTSVolatility2(Vol,$B78,AA$47,,,Trigger)</f>
        <v>#NUM!</v>
      </c>
      <c r="AC78" s="75" t="e">
        <f>_xll.qlBlackFormula("Call",AA78,AA78,AB78*SQRT($A57),,,Trigger)</f>
        <v>#VALUE!</v>
      </c>
      <c r="AE78" s="19" t="e">
        <f>_xll.qlIndexFixing(AE$46,$A78,,Trigger)</f>
        <v>#NUM!</v>
      </c>
      <c r="AF78" s="22" t="e">
        <f>_xll.qlSwaptionVTSVolatility2(Vol,$B78,AE$47,,,Trigger)</f>
        <v>#NUM!</v>
      </c>
      <c r="AG78" s="75" t="e">
        <f>_xll.qlBlackFormula("Call",AE78,AE78,AF78*SQRT($A57),,,Trigger)</f>
        <v>#VALUE!</v>
      </c>
      <c r="AI78" s="19" t="e">
        <f>_xll.qlIndexFixing(AI$46,$A78,,Trigger)</f>
        <v>#NUM!</v>
      </c>
      <c r="AJ78" s="22" t="e">
        <f>_xll.qlSwaptionVTSVolatility2(Vol,$B78,AI$47,,,Trigger)</f>
        <v>#NUM!</v>
      </c>
      <c r="AK78" s="75" t="e">
        <f>_xll.qlBlackFormula("Call",AI78,AI78,AJ78*SQRT($A57),,,Trigger)</f>
        <v>#VALUE!</v>
      </c>
      <c r="AM78" s="19" t="e">
        <f>_xll.qlIndexFixing(AM$46,$A78,,Trigger)</f>
        <v>#NUM!</v>
      </c>
      <c r="AN78" s="22" t="e">
        <f>_xll.qlSwaptionVTSVolatility2(Vol,$B78,AM$47,,,Trigger)</f>
        <v>#NUM!</v>
      </c>
      <c r="AO78" s="75" t="e">
        <f>_xll.qlBlackFormula("Call",AM78,AM78,AN78*SQRT($A57),,,Trigger)</f>
        <v>#VALUE!</v>
      </c>
      <c r="AP78" s="93"/>
      <c r="AQ78" s="19" t="e">
        <f>_xll.qlIndexFixing(AQ$46,$A78,,Trigger)</f>
        <v>#NUM!</v>
      </c>
      <c r="AR78" s="22" t="e">
        <f>_xll.qlSwaptionVTSVolatility2(Vol,$B78,AQ$47,,,Trigger)</f>
        <v>#NUM!</v>
      </c>
      <c r="AS78" s="75" t="e">
        <f>_xll.qlBlackFormula("Call",AQ78,AQ78,AR78*SQRT($A57),,,Trigger)</f>
        <v>#VALUE!</v>
      </c>
      <c r="AU78" s="19" t="e">
        <f>_xll.qlIndexFixing(AU$46,$A78,,Trigger)</f>
        <v>#NUM!</v>
      </c>
      <c r="AV78" s="22" t="e">
        <f>_xll.qlSwaptionVTSVolatility2(Vol,$B78,AU$47,,,Trigger)</f>
        <v>#NUM!</v>
      </c>
      <c r="AW78" s="75" t="e">
        <f>_xll.qlBlackFormula("Call",AU78,AU78,AV78*SQRT($A57),,,Trigger)</f>
        <v>#VALUE!</v>
      </c>
      <c r="AX78" s="93"/>
      <c r="AY78" s="19" t="e">
        <f>_xll.qlIndexFixing(AY$46,$A78,,Trigger)</f>
        <v>#NUM!</v>
      </c>
      <c r="AZ78" s="22" t="e">
        <f>_xll.qlSwaptionVTSVolatility2(Vol,$B78,AY$47,,,Trigger)</f>
        <v>#NUM!</v>
      </c>
      <c r="BA78" s="75" t="e">
        <f>_xll.qlBlackFormula("Call",AY78,AY78,AZ78*SQRT($A57),,,Trigger)</f>
        <v>#VALUE!</v>
      </c>
      <c r="BB78" s="93"/>
      <c r="BC78" s="19" t="e">
        <f>_xll.qlIndexFixing(BC$46,$A78,,Trigger)</f>
        <v>#NUM!</v>
      </c>
      <c r="BD78" s="22" t="e">
        <f>_xll.qlSwaptionVTSVolatility2(Vol,$B78,BC$47,,,Trigger)</f>
        <v>#NUM!</v>
      </c>
      <c r="BE78" s="75" t="e">
        <f>_xll.qlBlackFormula("Call",BC78,BC78,BD78*SQRT($A57),,,Trigger)</f>
        <v>#VALUE!</v>
      </c>
      <c r="BG78" s="19" t="e">
        <f>_xll.qlIndexFixing(BG$46,$A78,,Trigger)</f>
        <v>#NUM!</v>
      </c>
      <c r="BH78" s="22" t="e">
        <f>_xll.qlSwaptionVTSVolatility2(Vol,$B78,BG$47,,,Trigger)</f>
        <v>#NUM!</v>
      </c>
      <c r="BI78" s="75" t="e">
        <f>_xll.qlBlackFormula("Call",BG78,BG78,BH78*SQRT($A57),,,Trigger)</f>
        <v>#VALUE!</v>
      </c>
      <c r="BJ78" s="93"/>
      <c r="BK78" s="19" t="e">
        <f>_xll.qlIndexFixing(BK$46,$A78,,Trigger)</f>
        <v>#NUM!</v>
      </c>
      <c r="BL78" s="22" t="e">
        <f>_xll.qlSwaptionVTSVolatility2(Vol,$B78,BK$47,,,Trigger)</f>
        <v>#NUM!</v>
      </c>
      <c r="BM78" s="75" t="e">
        <f>_xll.qlBlackFormula("Call",BK78,BK78,BL78*SQRT($A57),,,Trigger)</f>
        <v>#VALUE!</v>
      </c>
      <c r="BN78" s="93"/>
      <c r="BO78" s="19" t="e">
        <f>_xll.qlIndexFixing(BO$46,$A78,,Trigger)</f>
        <v>#NUM!</v>
      </c>
      <c r="BP78" s="22" t="e">
        <f>_xll.qlSwaptionVTSVolatility2(Vol,$B78,BO$47,,,Trigger)</f>
        <v>#NUM!</v>
      </c>
      <c r="BQ78" s="75" t="e">
        <f>_xll.qlBlackFormula("Call",BO78,BO78,BP78*SQRT($A57),,,Trigger)</f>
        <v>#VALUE!</v>
      </c>
      <c r="BR78" s="93"/>
      <c r="BS78" s="19" t="e">
        <f>_xll.qlIndexFixing(BS$46,$A78,,Trigger)</f>
        <v>#NUM!</v>
      </c>
      <c r="BT78" s="22" t="e">
        <f>_xll.qlSwaptionVTSVolatility2(Vol,$B78,BS$47,,,Trigger)</f>
        <v>#NUM!</v>
      </c>
      <c r="BU78" s="75" t="e">
        <f>_xll.qlBlackFormula("Call",BS78,BS78,BT78*SQRT($A57),,,Trigger)</f>
        <v>#VALUE!</v>
      </c>
      <c r="BV78" s="93"/>
      <c r="BW78" s="19" t="e">
        <f>_xll.qlIndexFixing(BW$46,$A78,,Trigger)</f>
        <v>#NUM!</v>
      </c>
      <c r="BX78" s="22" t="e">
        <f>_xll.qlSwaptionVTSVolatility2(Vol,$B78,BW$47,,,Trigger)</f>
        <v>#NUM!</v>
      </c>
      <c r="BY78" s="75" t="e">
        <f>_xll.qlBlackFormula("Call",BW78,BW78,BX78*SQRT($A57),,,Trigger)</f>
        <v>#VALUE!</v>
      </c>
      <c r="CA78" s="19" t="e">
        <f>_xll.qlIndexFixing(CA$46,$A78,,Trigger)</f>
        <v>#NUM!</v>
      </c>
      <c r="CB78" s="22" t="e">
        <f>_xll.qlSwaptionVTSVolatility2(Vol,$B78,CA$47,,,Trigger)</f>
        <v>#NUM!</v>
      </c>
      <c r="CC78" s="75" t="e">
        <f>_xll.qlBlackFormula("Call",CA78,CA78,CB78*SQRT($A57),,,Trigger)</f>
        <v>#VALUE!</v>
      </c>
      <c r="CD78" s="93"/>
      <c r="CE78" s="19" t="e">
        <f>_xll.qlIndexFixing(CE$46,$A78,,Trigger)</f>
        <v>#NUM!</v>
      </c>
      <c r="CF78" s="22" t="e">
        <f>_xll.qlSwaptionVTSVolatility2(Vol,$B78,CE$47,,,Trigger)</f>
        <v>#NUM!</v>
      </c>
      <c r="CG78" s="75" t="e">
        <f>_xll.qlBlackFormula("Call",CE78,CE78,CF78*SQRT($A57),,,Trigger)</f>
        <v>#VALUE!</v>
      </c>
      <c r="CH78" s="93"/>
      <c r="CI78" s="19" t="e">
        <f>_xll.qlIndexFixing(CI$46,$A78,,Trigger)</f>
        <v>#NUM!</v>
      </c>
      <c r="CJ78" s="22" t="e">
        <f>_xll.qlSwaptionVTSVolatility2(Vol,$B78,CI$47,,,Trigger)</f>
        <v>#NUM!</v>
      </c>
      <c r="CK78" s="75" t="e">
        <f>_xll.qlBlackFormula("Call",CI78,CI78,CJ78*SQRT($A57),,,Trigger)</f>
        <v>#VALUE!</v>
      </c>
      <c r="CL78" s="93"/>
      <c r="CM78" s="19" t="e">
        <f>_xll.qlIndexFixing(CM$46,$A78,,Trigger)</f>
        <v>#NUM!</v>
      </c>
      <c r="CN78" s="22" t="e">
        <f>_xll.qlSwaptionVTSVolatility2(Vol,$B78,CM$47,,,Trigger)</f>
        <v>#NUM!</v>
      </c>
      <c r="CO78" s="75" t="e">
        <f>_xll.qlBlackFormula("Call",CM78,CM78,CN78*SQRT($A57),,,Trigger)</f>
        <v>#VALUE!</v>
      </c>
      <c r="CP78" s="93"/>
      <c r="CQ78" s="19" t="e">
        <f>_xll.qlIndexFixing(CQ$46,$A78,,Trigger)</f>
        <v>#NUM!</v>
      </c>
      <c r="CR78" s="22" t="e">
        <f>_xll.qlSwaptionVTSVolatility2(Vol,$B78,CQ$47,,,Trigger)</f>
        <v>#NUM!</v>
      </c>
      <c r="CS78" s="75" t="e">
        <f>_xll.qlBlackFormula("Call",CQ78,CQ78,CR78*SQRT($A57),,,Trigger)</f>
        <v>#VALUE!</v>
      </c>
      <c r="CU78" s="19" t="e">
        <f>_xll.qlIndexFixing(CU$46,$A78,,Trigger)</f>
        <v>#NUM!</v>
      </c>
      <c r="CV78" s="22" t="e">
        <f>_xll.qlSwaptionVTSVolatility2(Vol,$B78,CU$47,,,Trigger)</f>
        <v>#NUM!</v>
      </c>
      <c r="CW78" s="75" t="e">
        <f>_xll.qlBlackFormula("Call",CU78,CU78,CV78*SQRT($A57),,,Trigger)</f>
        <v>#VALUE!</v>
      </c>
      <c r="CX78" s="93"/>
      <c r="CY78" s="19" t="e">
        <f>_xll.qlIndexFixing(CY$46,$A78,,Trigger)</f>
        <v>#NUM!</v>
      </c>
      <c r="CZ78" s="22" t="e">
        <f>_xll.qlSwaptionVTSVolatility2(Vol,$B78,CY$47,,,Trigger)</f>
        <v>#NUM!</v>
      </c>
      <c r="DA78" s="75" t="e">
        <f>_xll.qlBlackFormula("Call",CY78,CY78,CZ78*SQRT($A57),,,Trigger)</f>
        <v>#VALUE!</v>
      </c>
      <c r="DB78" s="93"/>
      <c r="DC78" s="19" t="e">
        <f>_xll.qlIndexFixing(DC$46,$A78,,Trigger)</f>
        <v>#NUM!</v>
      </c>
      <c r="DD78" s="22" t="e">
        <f>_xll.qlSwaptionVTSVolatility2(Vol,$B78,DC$47,,,Trigger)</f>
        <v>#NUM!</v>
      </c>
      <c r="DE78" s="75" t="e">
        <f>_xll.qlBlackFormula("Call",DC78,DC78,DD78*SQRT($A57),,,Trigger)</f>
        <v>#VALUE!</v>
      </c>
      <c r="DF78" s="93"/>
      <c r="DG78" s="19" t="e">
        <f>_xll.qlIndexFixing(DG$46,$A78,,Trigger)</f>
        <v>#NUM!</v>
      </c>
      <c r="DH78" s="22" t="e">
        <f>_xll.qlSwaptionVTSVolatility2(Vol,$B78,DG$47,,,Trigger)</f>
        <v>#NUM!</v>
      </c>
      <c r="DI78" s="75" t="e">
        <f>_xll.qlBlackFormula("Call",DG78,DG78,DH78*SQRT($A57),,,Trigger)</f>
        <v>#VALUE!</v>
      </c>
      <c r="DJ78" s="93"/>
      <c r="DK78" s="19" t="e">
        <f>_xll.qlIndexFixing(DK$46,$A78,,Trigger)</f>
        <v>#NUM!</v>
      </c>
      <c r="DL78" s="22" t="e">
        <f>_xll.qlSwaptionVTSVolatility2(Vol,$B78,DK$47,,,Trigger)</f>
        <v>#NUM!</v>
      </c>
      <c r="DM78" s="75" t="e">
        <f>_xll.qlBlackFormula("Call",DK78,DK78,DL78*SQRT($A57),,,Trigger)</f>
        <v>#VALUE!</v>
      </c>
      <c r="DO78" s="19" t="e">
        <f>_xll.qlIndexFixing(DO$46,$A78,,Trigger)</f>
        <v>#NUM!</v>
      </c>
      <c r="DP78" s="22" t="e">
        <f>_xll.qlSwaptionVTSVolatility2(Vol,$B78,DO$47,,,Trigger)</f>
        <v>#NUM!</v>
      </c>
      <c r="DQ78" s="75" t="e">
        <f>_xll.qlBlackFormula("Call",DO78,DO78,DP78*SQRT($A57),,,Trigger)</f>
        <v>#VALUE!</v>
      </c>
    </row>
    <row r="79" spans="1:121" x14ac:dyDescent="0.2">
      <c r="A79" s="100" t="e">
        <v>#NUM!</v>
      </c>
      <c r="B79" s="15" t="s">
        <v>30</v>
      </c>
      <c r="C79" s="19" t="e">
        <f>_xll.qlIndexFixing(C$46,$A79,,Trigger)</f>
        <v>#NUM!</v>
      </c>
      <c r="D79" s="22" t="e">
        <f>_xll.qlSwaptionVTSVolatility2(Vol,$B79,C$47,,,Trigger)</f>
        <v>#NUM!</v>
      </c>
      <c r="E79" s="75" t="e">
        <f>_xll.qlBlackFormula("Call",C79,C79,D79*SQRT($A58),,,Trigger)</f>
        <v>#VALUE!</v>
      </c>
      <c r="G79" s="19" t="e">
        <f>_xll.qlIndexFixing(G$46,$A79,,Trigger)</f>
        <v>#NUM!</v>
      </c>
      <c r="H79" s="22" t="e">
        <f>_xll.qlSwaptionVTSVolatility2(Vol,$B79,G$47,,,Trigger)</f>
        <v>#NUM!</v>
      </c>
      <c r="I79" s="75" t="e">
        <f>_xll.qlBlackFormula("Call",G79,G79,H79*SQRT($A58),,,Trigger)</f>
        <v>#VALUE!</v>
      </c>
      <c r="K79" s="19" t="e">
        <f>_xll.qlIndexFixing(K$46,$A79,,Trigger)</f>
        <v>#NUM!</v>
      </c>
      <c r="L79" s="22" t="e">
        <f>_xll.qlSwaptionVTSVolatility2(Vol,$B79,K$47,,,Trigger)</f>
        <v>#NUM!</v>
      </c>
      <c r="M79" s="75" t="e">
        <f>_xll.qlBlackFormula("Call",K79,K79,L79*SQRT($A58),,,Trigger)</f>
        <v>#VALUE!</v>
      </c>
      <c r="O79" s="19" t="e">
        <f>_xll.qlIndexFixing(O$46,$A79,,Trigger)</f>
        <v>#NUM!</v>
      </c>
      <c r="P79" s="22" t="e">
        <f>_xll.qlSwaptionVTSVolatility2(Vol,$B79,O$47,,,Trigger)</f>
        <v>#NUM!</v>
      </c>
      <c r="Q79" s="75" t="e">
        <f>_xll.qlBlackFormula("Call",O79,O79,P79*SQRT($A58),,,Trigger)</f>
        <v>#VALUE!</v>
      </c>
      <c r="S79" s="19" t="e">
        <f>_xll.qlIndexFixing(S$46,$A79,,Trigger)</f>
        <v>#NUM!</v>
      </c>
      <c r="T79" s="22" t="e">
        <f>_xll.qlSwaptionVTSVolatility2(Vol,$B79,S$47,,,Trigger)</f>
        <v>#NUM!</v>
      </c>
      <c r="U79" s="75" t="e">
        <f>_xll.qlBlackFormula("Call",S79,S79,T79*SQRT($A58),,,Trigger)</f>
        <v>#VALUE!</v>
      </c>
      <c r="W79" s="19" t="e">
        <f>_xll.qlIndexFixing(W$46,$A79,,Trigger)</f>
        <v>#NUM!</v>
      </c>
      <c r="X79" s="22" t="e">
        <f>_xll.qlSwaptionVTSVolatility2(Vol,$B79,W$47,,,Trigger)</f>
        <v>#NUM!</v>
      </c>
      <c r="Y79" s="75" t="e">
        <f>_xll.qlBlackFormula("Call",W79,W79,X79*SQRT($A58),,,Trigger)</f>
        <v>#VALUE!</v>
      </c>
      <c r="AA79" s="19" t="e">
        <f>_xll.qlIndexFixing(AA$46,$A79,,Trigger)</f>
        <v>#NUM!</v>
      </c>
      <c r="AB79" s="22" t="e">
        <f>_xll.qlSwaptionVTSVolatility2(Vol,$B79,AA$47,,,Trigger)</f>
        <v>#NUM!</v>
      </c>
      <c r="AC79" s="75" t="e">
        <f>_xll.qlBlackFormula("Call",AA79,AA79,AB79*SQRT($A58),,,Trigger)</f>
        <v>#VALUE!</v>
      </c>
      <c r="AE79" s="19" t="e">
        <f>_xll.qlIndexFixing(AE$46,$A79,,Trigger)</f>
        <v>#NUM!</v>
      </c>
      <c r="AF79" s="22" t="e">
        <f>_xll.qlSwaptionVTSVolatility2(Vol,$B79,AE$47,,,Trigger)</f>
        <v>#NUM!</v>
      </c>
      <c r="AG79" s="75" t="e">
        <f>_xll.qlBlackFormula("Call",AE79,AE79,AF79*SQRT($A58),,,Trigger)</f>
        <v>#VALUE!</v>
      </c>
      <c r="AI79" s="19" t="e">
        <f>_xll.qlIndexFixing(AI$46,$A79,,Trigger)</f>
        <v>#NUM!</v>
      </c>
      <c r="AJ79" s="22" t="e">
        <f>_xll.qlSwaptionVTSVolatility2(Vol,$B79,AI$47,,,Trigger)</f>
        <v>#NUM!</v>
      </c>
      <c r="AK79" s="75" t="e">
        <f>_xll.qlBlackFormula("Call",AI79,AI79,AJ79*SQRT($A58),,,Trigger)</f>
        <v>#VALUE!</v>
      </c>
      <c r="AM79" s="19" t="e">
        <f>_xll.qlIndexFixing(AM$46,$A79,,Trigger)</f>
        <v>#NUM!</v>
      </c>
      <c r="AN79" s="22" t="e">
        <f>_xll.qlSwaptionVTSVolatility2(Vol,$B79,AM$47,,,Trigger)</f>
        <v>#NUM!</v>
      </c>
      <c r="AO79" s="75" t="e">
        <f>_xll.qlBlackFormula("Call",AM79,AM79,AN79*SQRT($A58),,,Trigger)</f>
        <v>#VALUE!</v>
      </c>
      <c r="AP79" s="93"/>
      <c r="AQ79" s="19" t="e">
        <f>_xll.qlIndexFixing(AQ$46,$A79,,Trigger)</f>
        <v>#NUM!</v>
      </c>
      <c r="AR79" s="22" t="e">
        <f>_xll.qlSwaptionVTSVolatility2(Vol,$B79,AQ$47,,,Trigger)</f>
        <v>#NUM!</v>
      </c>
      <c r="AS79" s="75" t="e">
        <f>_xll.qlBlackFormula("Call",AQ79,AQ79,AR79*SQRT($A58),,,Trigger)</f>
        <v>#VALUE!</v>
      </c>
      <c r="AU79" s="19" t="e">
        <f>_xll.qlIndexFixing(AU$46,$A79,,Trigger)</f>
        <v>#NUM!</v>
      </c>
      <c r="AV79" s="22" t="e">
        <f>_xll.qlSwaptionVTSVolatility2(Vol,$B79,AU$47,,,Trigger)</f>
        <v>#NUM!</v>
      </c>
      <c r="AW79" s="75" t="e">
        <f>_xll.qlBlackFormula("Call",AU79,AU79,AV79*SQRT($A58),,,Trigger)</f>
        <v>#VALUE!</v>
      </c>
      <c r="AX79" s="93"/>
      <c r="AY79" s="19" t="e">
        <f>_xll.qlIndexFixing(AY$46,$A79,,Trigger)</f>
        <v>#NUM!</v>
      </c>
      <c r="AZ79" s="22" t="e">
        <f>_xll.qlSwaptionVTSVolatility2(Vol,$B79,AY$47,,,Trigger)</f>
        <v>#NUM!</v>
      </c>
      <c r="BA79" s="75" t="e">
        <f>_xll.qlBlackFormula("Call",AY79,AY79,AZ79*SQRT($A58),,,Trigger)</f>
        <v>#VALUE!</v>
      </c>
      <c r="BB79" s="93"/>
      <c r="BC79" s="19" t="e">
        <f>_xll.qlIndexFixing(BC$46,$A79,,Trigger)</f>
        <v>#NUM!</v>
      </c>
      <c r="BD79" s="22" t="e">
        <f>_xll.qlSwaptionVTSVolatility2(Vol,$B79,BC$47,,,Trigger)</f>
        <v>#NUM!</v>
      </c>
      <c r="BE79" s="75" t="e">
        <f>_xll.qlBlackFormula("Call",BC79,BC79,BD79*SQRT($A58),,,Trigger)</f>
        <v>#VALUE!</v>
      </c>
      <c r="BG79" s="19" t="e">
        <f>_xll.qlIndexFixing(BG$46,$A79,,Trigger)</f>
        <v>#NUM!</v>
      </c>
      <c r="BH79" s="22" t="e">
        <f>_xll.qlSwaptionVTSVolatility2(Vol,$B79,BG$47,,,Trigger)</f>
        <v>#NUM!</v>
      </c>
      <c r="BI79" s="75" t="e">
        <f>_xll.qlBlackFormula("Call",BG79,BG79,BH79*SQRT($A58),,,Trigger)</f>
        <v>#VALUE!</v>
      </c>
      <c r="BJ79" s="93"/>
      <c r="BK79" s="19" t="e">
        <f>_xll.qlIndexFixing(BK$46,$A79,,Trigger)</f>
        <v>#NUM!</v>
      </c>
      <c r="BL79" s="22" t="e">
        <f>_xll.qlSwaptionVTSVolatility2(Vol,$B79,BK$47,,,Trigger)</f>
        <v>#NUM!</v>
      </c>
      <c r="BM79" s="75" t="e">
        <f>_xll.qlBlackFormula("Call",BK79,BK79,BL79*SQRT($A58),,,Trigger)</f>
        <v>#VALUE!</v>
      </c>
      <c r="BN79" s="93"/>
      <c r="BO79" s="19" t="e">
        <f>_xll.qlIndexFixing(BO$46,$A79,,Trigger)</f>
        <v>#NUM!</v>
      </c>
      <c r="BP79" s="22" t="e">
        <f>_xll.qlSwaptionVTSVolatility2(Vol,$B79,BO$47,,,Trigger)</f>
        <v>#NUM!</v>
      </c>
      <c r="BQ79" s="75" t="e">
        <f>_xll.qlBlackFormula("Call",BO79,BO79,BP79*SQRT($A58),,,Trigger)</f>
        <v>#VALUE!</v>
      </c>
      <c r="BR79" s="93"/>
      <c r="BS79" s="19" t="e">
        <f>_xll.qlIndexFixing(BS$46,$A79,,Trigger)</f>
        <v>#NUM!</v>
      </c>
      <c r="BT79" s="22" t="e">
        <f>_xll.qlSwaptionVTSVolatility2(Vol,$B79,BS$47,,,Trigger)</f>
        <v>#NUM!</v>
      </c>
      <c r="BU79" s="75" t="e">
        <f>_xll.qlBlackFormula("Call",BS79,BS79,BT79*SQRT($A58),,,Trigger)</f>
        <v>#VALUE!</v>
      </c>
      <c r="BV79" s="93"/>
      <c r="BW79" s="19" t="e">
        <f>_xll.qlIndexFixing(BW$46,$A79,,Trigger)</f>
        <v>#NUM!</v>
      </c>
      <c r="BX79" s="22" t="e">
        <f>_xll.qlSwaptionVTSVolatility2(Vol,$B79,BW$47,,,Trigger)</f>
        <v>#NUM!</v>
      </c>
      <c r="BY79" s="75" t="e">
        <f>_xll.qlBlackFormula("Call",BW79,BW79,BX79*SQRT($A58),,,Trigger)</f>
        <v>#VALUE!</v>
      </c>
      <c r="CA79" s="19" t="e">
        <f>_xll.qlIndexFixing(CA$46,$A79,,Trigger)</f>
        <v>#NUM!</v>
      </c>
      <c r="CB79" s="22" t="e">
        <f>_xll.qlSwaptionVTSVolatility2(Vol,$B79,CA$47,,,Trigger)</f>
        <v>#NUM!</v>
      </c>
      <c r="CC79" s="75" t="e">
        <f>_xll.qlBlackFormula("Call",CA79,CA79,CB79*SQRT($A58),,,Trigger)</f>
        <v>#VALUE!</v>
      </c>
      <c r="CD79" s="93"/>
      <c r="CE79" s="19" t="e">
        <f>_xll.qlIndexFixing(CE$46,$A79,,Trigger)</f>
        <v>#NUM!</v>
      </c>
      <c r="CF79" s="22" t="e">
        <f>_xll.qlSwaptionVTSVolatility2(Vol,$B79,CE$47,,,Trigger)</f>
        <v>#NUM!</v>
      </c>
      <c r="CG79" s="75" t="e">
        <f>_xll.qlBlackFormula("Call",CE79,CE79,CF79*SQRT($A58),,,Trigger)</f>
        <v>#VALUE!</v>
      </c>
      <c r="CH79" s="93"/>
      <c r="CI79" s="19" t="e">
        <f>_xll.qlIndexFixing(CI$46,$A79,,Trigger)</f>
        <v>#NUM!</v>
      </c>
      <c r="CJ79" s="22" t="e">
        <f>_xll.qlSwaptionVTSVolatility2(Vol,$B79,CI$47,,,Trigger)</f>
        <v>#NUM!</v>
      </c>
      <c r="CK79" s="75" t="e">
        <f>_xll.qlBlackFormula("Call",CI79,CI79,CJ79*SQRT($A58),,,Trigger)</f>
        <v>#VALUE!</v>
      </c>
      <c r="CL79" s="93"/>
      <c r="CM79" s="19" t="e">
        <f>_xll.qlIndexFixing(CM$46,$A79,,Trigger)</f>
        <v>#NUM!</v>
      </c>
      <c r="CN79" s="22" t="e">
        <f>_xll.qlSwaptionVTSVolatility2(Vol,$B79,CM$47,,,Trigger)</f>
        <v>#NUM!</v>
      </c>
      <c r="CO79" s="75" t="e">
        <f>_xll.qlBlackFormula("Call",CM79,CM79,CN79*SQRT($A58),,,Trigger)</f>
        <v>#VALUE!</v>
      </c>
      <c r="CP79" s="93"/>
      <c r="CQ79" s="19" t="e">
        <f>_xll.qlIndexFixing(CQ$46,$A79,,Trigger)</f>
        <v>#NUM!</v>
      </c>
      <c r="CR79" s="22" t="e">
        <f>_xll.qlSwaptionVTSVolatility2(Vol,$B79,CQ$47,,,Trigger)</f>
        <v>#NUM!</v>
      </c>
      <c r="CS79" s="75" t="e">
        <f>_xll.qlBlackFormula("Call",CQ79,CQ79,CR79*SQRT($A58),,,Trigger)</f>
        <v>#VALUE!</v>
      </c>
      <c r="CU79" s="19" t="e">
        <f>_xll.qlIndexFixing(CU$46,$A79,,Trigger)</f>
        <v>#NUM!</v>
      </c>
      <c r="CV79" s="22" t="e">
        <f>_xll.qlSwaptionVTSVolatility2(Vol,$B79,CU$47,,,Trigger)</f>
        <v>#NUM!</v>
      </c>
      <c r="CW79" s="75" t="e">
        <f>_xll.qlBlackFormula("Call",CU79,CU79,CV79*SQRT($A58),,,Trigger)</f>
        <v>#VALUE!</v>
      </c>
      <c r="CX79" s="93"/>
      <c r="CY79" s="19" t="e">
        <f>_xll.qlIndexFixing(CY$46,$A79,,Trigger)</f>
        <v>#NUM!</v>
      </c>
      <c r="CZ79" s="22" t="e">
        <f>_xll.qlSwaptionVTSVolatility2(Vol,$B79,CY$47,,,Trigger)</f>
        <v>#NUM!</v>
      </c>
      <c r="DA79" s="75" t="e">
        <f>_xll.qlBlackFormula("Call",CY79,CY79,CZ79*SQRT($A58),,,Trigger)</f>
        <v>#VALUE!</v>
      </c>
      <c r="DB79" s="93"/>
      <c r="DC79" s="19" t="e">
        <f>_xll.qlIndexFixing(DC$46,$A79,,Trigger)</f>
        <v>#NUM!</v>
      </c>
      <c r="DD79" s="22" t="e">
        <f>_xll.qlSwaptionVTSVolatility2(Vol,$B79,DC$47,,,Trigger)</f>
        <v>#NUM!</v>
      </c>
      <c r="DE79" s="75" t="e">
        <f>_xll.qlBlackFormula("Call",DC79,DC79,DD79*SQRT($A58),,,Trigger)</f>
        <v>#VALUE!</v>
      </c>
      <c r="DF79" s="93"/>
      <c r="DG79" s="19" t="e">
        <f>_xll.qlIndexFixing(DG$46,$A79,,Trigger)</f>
        <v>#NUM!</v>
      </c>
      <c r="DH79" s="22" t="e">
        <f>_xll.qlSwaptionVTSVolatility2(Vol,$B79,DG$47,,,Trigger)</f>
        <v>#NUM!</v>
      </c>
      <c r="DI79" s="75" t="e">
        <f>_xll.qlBlackFormula("Call",DG79,DG79,DH79*SQRT($A58),,,Trigger)</f>
        <v>#VALUE!</v>
      </c>
      <c r="DJ79" s="93"/>
      <c r="DK79" s="19" t="e">
        <f>_xll.qlIndexFixing(DK$46,$A79,,Trigger)</f>
        <v>#NUM!</v>
      </c>
      <c r="DL79" s="22" t="e">
        <f>_xll.qlSwaptionVTSVolatility2(Vol,$B79,DK$47,,,Trigger)</f>
        <v>#NUM!</v>
      </c>
      <c r="DM79" s="75" t="e">
        <f>_xll.qlBlackFormula("Call",DK79,DK79,DL79*SQRT($A58),,,Trigger)</f>
        <v>#VALUE!</v>
      </c>
      <c r="DO79" s="19" t="e">
        <f>_xll.qlIndexFixing(DO$46,$A79,,Trigger)</f>
        <v>#NUM!</v>
      </c>
      <c r="DP79" s="22" t="e">
        <f>_xll.qlSwaptionVTSVolatility2(Vol,$B79,DO$47,,,Trigger)</f>
        <v>#NUM!</v>
      </c>
      <c r="DQ79" s="75" t="e">
        <f>_xll.qlBlackFormula("Call",DO79,DO79,DP79*SQRT($A58),,,Trigger)</f>
        <v>#VALUE!</v>
      </c>
    </row>
    <row r="80" spans="1:121" x14ac:dyDescent="0.2">
      <c r="A80" s="100" t="e">
        <v>#NUM!</v>
      </c>
      <c r="B80" s="15" t="s">
        <v>31</v>
      </c>
      <c r="C80" s="19" t="e">
        <f>_xll.qlIndexFixing(C$46,$A80,,Trigger)</f>
        <v>#NUM!</v>
      </c>
      <c r="D80" s="22" t="e">
        <f>_xll.qlSwaptionVTSVolatility2(Vol,$B80,C$47,,,Trigger)</f>
        <v>#NUM!</v>
      </c>
      <c r="E80" s="75" t="e">
        <f>_xll.qlBlackFormula("Call",C80,C80,D80*SQRT($A59),,,Trigger)</f>
        <v>#VALUE!</v>
      </c>
      <c r="G80" s="19" t="e">
        <f>_xll.qlIndexFixing(G$46,$A80,,Trigger)</f>
        <v>#NUM!</v>
      </c>
      <c r="H80" s="22" t="e">
        <f>_xll.qlSwaptionVTSVolatility2(Vol,$B80,G$47,,,Trigger)</f>
        <v>#NUM!</v>
      </c>
      <c r="I80" s="75" t="e">
        <f>_xll.qlBlackFormula("Call",G80,G80,H80*SQRT($A59),,,Trigger)</f>
        <v>#VALUE!</v>
      </c>
      <c r="K80" s="19" t="e">
        <f>_xll.qlIndexFixing(K$46,$A80,,Trigger)</f>
        <v>#NUM!</v>
      </c>
      <c r="L80" s="22" t="e">
        <f>_xll.qlSwaptionVTSVolatility2(Vol,$B80,K$47,,,Trigger)</f>
        <v>#NUM!</v>
      </c>
      <c r="M80" s="75" t="e">
        <f>_xll.qlBlackFormula("Call",K80,K80,L80*SQRT($A59),,,Trigger)</f>
        <v>#VALUE!</v>
      </c>
      <c r="O80" s="19" t="e">
        <f>_xll.qlIndexFixing(O$46,$A80,,Trigger)</f>
        <v>#NUM!</v>
      </c>
      <c r="P80" s="22" t="e">
        <f>_xll.qlSwaptionVTSVolatility2(Vol,$B80,O$47,,,Trigger)</f>
        <v>#NUM!</v>
      </c>
      <c r="Q80" s="75" t="e">
        <f>_xll.qlBlackFormula("Call",O80,O80,P80*SQRT($A59),,,Trigger)</f>
        <v>#VALUE!</v>
      </c>
      <c r="S80" s="19" t="e">
        <f>_xll.qlIndexFixing(S$46,$A80,,Trigger)</f>
        <v>#NUM!</v>
      </c>
      <c r="T80" s="22" t="e">
        <f>_xll.qlSwaptionVTSVolatility2(Vol,$B80,S$47,,,Trigger)</f>
        <v>#NUM!</v>
      </c>
      <c r="U80" s="75" t="e">
        <f>_xll.qlBlackFormula("Call",S80,S80,T80*SQRT($A59),,,Trigger)</f>
        <v>#VALUE!</v>
      </c>
      <c r="W80" s="19" t="e">
        <f>_xll.qlIndexFixing(W$46,$A80,,Trigger)</f>
        <v>#NUM!</v>
      </c>
      <c r="X80" s="22" t="e">
        <f>_xll.qlSwaptionVTSVolatility2(Vol,$B80,W$47,,,Trigger)</f>
        <v>#NUM!</v>
      </c>
      <c r="Y80" s="75" t="e">
        <f>_xll.qlBlackFormula("Call",W80,W80,X80*SQRT($A59),,,Trigger)</f>
        <v>#VALUE!</v>
      </c>
      <c r="AA80" s="19" t="e">
        <f>_xll.qlIndexFixing(AA$46,$A80,,Trigger)</f>
        <v>#NUM!</v>
      </c>
      <c r="AB80" s="22" t="e">
        <f>_xll.qlSwaptionVTSVolatility2(Vol,$B80,AA$47,,,Trigger)</f>
        <v>#NUM!</v>
      </c>
      <c r="AC80" s="75" t="e">
        <f>_xll.qlBlackFormula("Call",AA80,AA80,AB80*SQRT($A59),,,Trigger)</f>
        <v>#VALUE!</v>
      </c>
      <c r="AE80" s="19" t="e">
        <f>_xll.qlIndexFixing(AE$46,$A80,,Trigger)</f>
        <v>#NUM!</v>
      </c>
      <c r="AF80" s="22" t="e">
        <f>_xll.qlSwaptionVTSVolatility2(Vol,$B80,AE$47,,,Trigger)</f>
        <v>#NUM!</v>
      </c>
      <c r="AG80" s="75" t="e">
        <f>_xll.qlBlackFormula("Call",AE80,AE80,AF80*SQRT($A59),,,Trigger)</f>
        <v>#VALUE!</v>
      </c>
      <c r="AI80" s="19" t="e">
        <f>_xll.qlIndexFixing(AI$46,$A80,,Trigger)</f>
        <v>#NUM!</v>
      </c>
      <c r="AJ80" s="22" t="e">
        <f>_xll.qlSwaptionVTSVolatility2(Vol,$B80,AI$47,,,Trigger)</f>
        <v>#NUM!</v>
      </c>
      <c r="AK80" s="75" t="e">
        <f>_xll.qlBlackFormula("Call",AI80,AI80,AJ80*SQRT($A59),,,Trigger)</f>
        <v>#VALUE!</v>
      </c>
      <c r="AM80" s="19" t="e">
        <f>_xll.qlIndexFixing(AM$46,$A80,,Trigger)</f>
        <v>#NUM!</v>
      </c>
      <c r="AN80" s="22" t="e">
        <f>_xll.qlSwaptionVTSVolatility2(Vol,$B80,AM$47,,,Trigger)</f>
        <v>#NUM!</v>
      </c>
      <c r="AO80" s="75" t="e">
        <f>_xll.qlBlackFormula("Call",AM80,AM80,AN80*SQRT($A59),,,Trigger)</f>
        <v>#VALUE!</v>
      </c>
      <c r="AP80" s="93"/>
      <c r="AQ80" s="19" t="e">
        <f>_xll.qlIndexFixing(AQ$46,$A80,,Trigger)</f>
        <v>#NUM!</v>
      </c>
      <c r="AR80" s="22" t="e">
        <f>_xll.qlSwaptionVTSVolatility2(Vol,$B80,AQ$47,,,Trigger)</f>
        <v>#NUM!</v>
      </c>
      <c r="AS80" s="75" t="e">
        <f>_xll.qlBlackFormula("Call",AQ80,AQ80,AR80*SQRT($A59),,,Trigger)</f>
        <v>#VALUE!</v>
      </c>
      <c r="AU80" s="19" t="e">
        <f>_xll.qlIndexFixing(AU$46,$A80,,Trigger)</f>
        <v>#NUM!</v>
      </c>
      <c r="AV80" s="22" t="e">
        <f>_xll.qlSwaptionVTSVolatility2(Vol,$B80,AU$47,,,Trigger)</f>
        <v>#NUM!</v>
      </c>
      <c r="AW80" s="75" t="e">
        <f>_xll.qlBlackFormula("Call",AU80,AU80,AV80*SQRT($A59),,,Trigger)</f>
        <v>#VALUE!</v>
      </c>
      <c r="AX80" s="93"/>
      <c r="AY80" s="19" t="e">
        <f>_xll.qlIndexFixing(AY$46,$A80,,Trigger)</f>
        <v>#NUM!</v>
      </c>
      <c r="AZ80" s="22" t="e">
        <f>_xll.qlSwaptionVTSVolatility2(Vol,$B80,AY$47,,,Trigger)</f>
        <v>#NUM!</v>
      </c>
      <c r="BA80" s="75" t="e">
        <f>_xll.qlBlackFormula("Call",AY80,AY80,AZ80*SQRT($A59),,,Trigger)</f>
        <v>#VALUE!</v>
      </c>
      <c r="BB80" s="93"/>
      <c r="BC80" s="19" t="e">
        <f>_xll.qlIndexFixing(BC$46,$A80,,Trigger)</f>
        <v>#NUM!</v>
      </c>
      <c r="BD80" s="22" t="e">
        <f>_xll.qlSwaptionVTSVolatility2(Vol,$B80,BC$47,,,Trigger)</f>
        <v>#NUM!</v>
      </c>
      <c r="BE80" s="75" t="e">
        <f>_xll.qlBlackFormula("Call",BC80,BC80,BD80*SQRT($A59),,,Trigger)</f>
        <v>#VALUE!</v>
      </c>
      <c r="BG80" s="19" t="e">
        <f>_xll.qlIndexFixing(BG$46,$A80,,Trigger)</f>
        <v>#NUM!</v>
      </c>
      <c r="BH80" s="22" t="e">
        <f>_xll.qlSwaptionVTSVolatility2(Vol,$B80,BG$47,,,Trigger)</f>
        <v>#NUM!</v>
      </c>
      <c r="BI80" s="75" t="e">
        <f>_xll.qlBlackFormula("Call",BG80,BG80,BH80*SQRT($A59),,,Trigger)</f>
        <v>#VALUE!</v>
      </c>
      <c r="BJ80" s="93"/>
      <c r="BK80" s="19" t="e">
        <f>_xll.qlIndexFixing(BK$46,$A80,,Trigger)</f>
        <v>#NUM!</v>
      </c>
      <c r="BL80" s="22" t="e">
        <f>_xll.qlSwaptionVTSVolatility2(Vol,$B80,BK$47,,,Trigger)</f>
        <v>#NUM!</v>
      </c>
      <c r="BM80" s="75" t="e">
        <f>_xll.qlBlackFormula("Call",BK80,BK80,BL80*SQRT($A59),,,Trigger)</f>
        <v>#VALUE!</v>
      </c>
      <c r="BN80" s="93"/>
      <c r="BO80" s="19" t="e">
        <f>_xll.qlIndexFixing(BO$46,$A80,,Trigger)</f>
        <v>#NUM!</v>
      </c>
      <c r="BP80" s="22" t="e">
        <f>_xll.qlSwaptionVTSVolatility2(Vol,$B80,BO$47,,,Trigger)</f>
        <v>#NUM!</v>
      </c>
      <c r="BQ80" s="75" t="e">
        <f>_xll.qlBlackFormula("Call",BO80,BO80,BP80*SQRT($A59),,,Trigger)</f>
        <v>#VALUE!</v>
      </c>
      <c r="BR80" s="93"/>
      <c r="BS80" s="19" t="e">
        <f>_xll.qlIndexFixing(BS$46,$A80,,Trigger)</f>
        <v>#NUM!</v>
      </c>
      <c r="BT80" s="22" t="e">
        <f>_xll.qlSwaptionVTSVolatility2(Vol,$B80,BS$47,,,Trigger)</f>
        <v>#NUM!</v>
      </c>
      <c r="BU80" s="75" t="e">
        <f>_xll.qlBlackFormula("Call",BS80,BS80,BT80*SQRT($A59),,,Trigger)</f>
        <v>#VALUE!</v>
      </c>
      <c r="BV80" s="93"/>
      <c r="BW80" s="19" t="e">
        <f>_xll.qlIndexFixing(BW$46,$A80,,Trigger)</f>
        <v>#NUM!</v>
      </c>
      <c r="BX80" s="22" t="e">
        <f>_xll.qlSwaptionVTSVolatility2(Vol,$B80,BW$47,,,Trigger)</f>
        <v>#NUM!</v>
      </c>
      <c r="BY80" s="75" t="e">
        <f>_xll.qlBlackFormula("Call",BW80,BW80,BX80*SQRT($A59),,,Trigger)</f>
        <v>#VALUE!</v>
      </c>
      <c r="CA80" s="19" t="e">
        <f>_xll.qlIndexFixing(CA$46,$A80,,Trigger)</f>
        <v>#NUM!</v>
      </c>
      <c r="CB80" s="22" t="e">
        <f>_xll.qlSwaptionVTSVolatility2(Vol,$B80,CA$47,,,Trigger)</f>
        <v>#NUM!</v>
      </c>
      <c r="CC80" s="75" t="e">
        <f>_xll.qlBlackFormula("Call",CA80,CA80,CB80*SQRT($A59),,,Trigger)</f>
        <v>#VALUE!</v>
      </c>
      <c r="CD80" s="93"/>
      <c r="CE80" s="19" t="e">
        <f>_xll.qlIndexFixing(CE$46,$A80,,Trigger)</f>
        <v>#NUM!</v>
      </c>
      <c r="CF80" s="22" t="e">
        <f>_xll.qlSwaptionVTSVolatility2(Vol,$B80,CE$47,,,Trigger)</f>
        <v>#NUM!</v>
      </c>
      <c r="CG80" s="75" t="e">
        <f>_xll.qlBlackFormula("Call",CE80,CE80,CF80*SQRT($A59),,,Trigger)</f>
        <v>#VALUE!</v>
      </c>
      <c r="CH80" s="93"/>
      <c r="CI80" s="19" t="e">
        <f>_xll.qlIndexFixing(CI$46,$A80,,Trigger)</f>
        <v>#NUM!</v>
      </c>
      <c r="CJ80" s="22" t="e">
        <f>_xll.qlSwaptionVTSVolatility2(Vol,$B80,CI$47,,,Trigger)</f>
        <v>#NUM!</v>
      </c>
      <c r="CK80" s="75" t="e">
        <f>_xll.qlBlackFormula("Call",CI80,CI80,CJ80*SQRT($A59),,,Trigger)</f>
        <v>#VALUE!</v>
      </c>
      <c r="CL80" s="93"/>
      <c r="CM80" s="19" t="e">
        <f>_xll.qlIndexFixing(CM$46,$A80,,Trigger)</f>
        <v>#NUM!</v>
      </c>
      <c r="CN80" s="22" t="e">
        <f>_xll.qlSwaptionVTSVolatility2(Vol,$B80,CM$47,,,Trigger)</f>
        <v>#NUM!</v>
      </c>
      <c r="CO80" s="75" t="e">
        <f>_xll.qlBlackFormula("Call",CM80,CM80,CN80*SQRT($A59),,,Trigger)</f>
        <v>#VALUE!</v>
      </c>
      <c r="CP80" s="93"/>
      <c r="CQ80" s="19" t="e">
        <f>_xll.qlIndexFixing(CQ$46,$A80,,Trigger)</f>
        <v>#NUM!</v>
      </c>
      <c r="CR80" s="22" t="e">
        <f>_xll.qlSwaptionVTSVolatility2(Vol,$B80,CQ$47,,,Trigger)</f>
        <v>#NUM!</v>
      </c>
      <c r="CS80" s="75" t="e">
        <f>_xll.qlBlackFormula("Call",CQ80,CQ80,CR80*SQRT($A59),,,Trigger)</f>
        <v>#VALUE!</v>
      </c>
      <c r="CU80" s="19" t="e">
        <f>_xll.qlIndexFixing(CU$46,$A80,,Trigger)</f>
        <v>#NUM!</v>
      </c>
      <c r="CV80" s="22" t="e">
        <f>_xll.qlSwaptionVTSVolatility2(Vol,$B80,CU$47,,,Trigger)</f>
        <v>#NUM!</v>
      </c>
      <c r="CW80" s="75" t="e">
        <f>_xll.qlBlackFormula("Call",CU80,CU80,CV80*SQRT($A59),,,Trigger)</f>
        <v>#VALUE!</v>
      </c>
      <c r="CX80" s="93"/>
      <c r="CY80" s="19" t="e">
        <f>_xll.qlIndexFixing(CY$46,$A80,,Trigger)</f>
        <v>#NUM!</v>
      </c>
      <c r="CZ80" s="22" t="e">
        <f>_xll.qlSwaptionVTSVolatility2(Vol,$B80,CY$47,,,Trigger)</f>
        <v>#NUM!</v>
      </c>
      <c r="DA80" s="75" t="e">
        <f>_xll.qlBlackFormula("Call",CY80,CY80,CZ80*SQRT($A59),,,Trigger)</f>
        <v>#VALUE!</v>
      </c>
      <c r="DB80" s="93"/>
      <c r="DC80" s="19" t="e">
        <f>_xll.qlIndexFixing(DC$46,$A80,,Trigger)</f>
        <v>#NUM!</v>
      </c>
      <c r="DD80" s="22" t="e">
        <f>_xll.qlSwaptionVTSVolatility2(Vol,$B80,DC$47,,,Trigger)</f>
        <v>#NUM!</v>
      </c>
      <c r="DE80" s="75" t="e">
        <f>_xll.qlBlackFormula("Call",DC80,DC80,DD80*SQRT($A59),,,Trigger)</f>
        <v>#VALUE!</v>
      </c>
      <c r="DF80" s="93"/>
      <c r="DG80" s="19" t="e">
        <f>_xll.qlIndexFixing(DG$46,$A80,,Trigger)</f>
        <v>#NUM!</v>
      </c>
      <c r="DH80" s="22" t="e">
        <f>_xll.qlSwaptionVTSVolatility2(Vol,$B80,DG$47,,,Trigger)</f>
        <v>#NUM!</v>
      </c>
      <c r="DI80" s="75" t="e">
        <f>_xll.qlBlackFormula("Call",DG80,DG80,DH80*SQRT($A59),,,Trigger)</f>
        <v>#VALUE!</v>
      </c>
      <c r="DJ80" s="93"/>
      <c r="DK80" s="19" t="e">
        <f>_xll.qlIndexFixing(DK$46,$A80,,Trigger)</f>
        <v>#NUM!</v>
      </c>
      <c r="DL80" s="22" t="e">
        <f>_xll.qlSwaptionVTSVolatility2(Vol,$B80,DK$47,,,Trigger)</f>
        <v>#NUM!</v>
      </c>
      <c r="DM80" s="75" t="e">
        <f>_xll.qlBlackFormula("Call",DK80,DK80,DL80*SQRT($A59),,,Trigger)</f>
        <v>#VALUE!</v>
      </c>
      <c r="DO80" s="19" t="e">
        <f>_xll.qlIndexFixing(DO$46,$A80,,Trigger)</f>
        <v>#NUM!</v>
      </c>
      <c r="DP80" s="22" t="e">
        <f>_xll.qlSwaptionVTSVolatility2(Vol,$B80,DO$47,,,Trigger)</f>
        <v>#NUM!</v>
      </c>
      <c r="DQ80" s="75" t="e">
        <f>_xll.qlBlackFormula("Call",DO80,DO80,DP80*SQRT($A59),,,Trigger)</f>
        <v>#VALUE!</v>
      </c>
    </row>
    <row r="81" spans="1:121" x14ac:dyDescent="0.2">
      <c r="A81" s="100" t="e">
        <v>#NUM!</v>
      </c>
      <c r="B81" s="15" t="s">
        <v>53</v>
      </c>
      <c r="C81" s="19" t="e">
        <f>_xll.qlIndexFixing(C$46,$A81,,Trigger)</f>
        <v>#NUM!</v>
      </c>
      <c r="D81" s="22" t="e">
        <f>_xll.qlSwaptionVTSVolatility2(Vol,$B81,C$47,,,Trigger)</f>
        <v>#NUM!</v>
      </c>
      <c r="E81" s="75" t="e">
        <f>_xll.qlBlackFormula("Call",C81,C81,D81*SQRT($A60),,,Trigger)</f>
        <v>#VALUE!</v>
      </c>
      <c r="G81" s="19" t="e">
        <f>_xll.qlIndexFixing(G$46,$A81,,Trigger)</f>
        <v>#NUM!</v>
      </c>
      <c r="H81" s="22" t="e">
        <f>_xll.qlSwaptionVTSVolatility2(Vol,$B81,G$47,,,Trigger)</f>
        <v>#NUM!</v>
      </c>
      <c r="I81" s="75" t="e">
        <f>_xll.qlBlackFormula("Call",G81,G81,H81*SQRT($A60),,,Trigger)</f>
        <v>#VALUE!</v>
      </c>
      <c r="K81" s="19" t="e">
        <f>_xll.qlIndexFixing(K$46,$A81,,Trigger)</f>
        <v>#NUM!</v>
      </c>
      <c r="L81" s="22" t="e">
        <f>_xll.qlSwaptionVTSVolatility2(Vol,$B81,K$47,,,Trigger)</f>
        <v>#NUM!</v>
      </c>
      <c r="M81" s="75" t="e">
        <f>_xll.qlBlackFormula("Call",K81,K81,L81*SQRT($A60),,,Trigger)</f>
        <v>#VALUE!</v>
      </c>
      <c r="O81" s="19" t="e">
        <f>_xll.qlIndexFixing(O$46,$A81,,Trigger)</f>
        <v>#NUM!</v>
      </c>
      <c r="P81" s="22" t="e">
        <f>_xll.qlSwaptionVTSVolatility2(Vol,$B81,O$47,,,Trigger)</f>
        <v>#NUM!</v>
      </c>
      <c r="Q81" s="75" t="e">
        <f>_xll.qlBlackFormula("Call",O81,O81,P81*SQRT($A60),,,Trigger)</f>
        <v>#VALUE!</v>
      </c>
      <c r="S81" s="19" t="e">
        <f>_xll.qlIndexFixing(S$46,$A81,,Trigger)</f>
        <v>#NUM!</v>
      </c>
      <c r="T81" s="22" t="e">
        <f>_xll.qlSwaptionVTSVolatility2(Vol,$B81,S$47,,,Trigger)</f>
        <v>#NUM!</v>
      </c>
      <c r="U81" s="75" t="e">
        <f>_xll.qlBlackFormula("Call",S81,S81,T81*SQRT($A60),,,Trigger)</f>
        <v>#VALUE!</v>
      </c>
      <c r="W81" s="19" t="e">
        <f>_xll.qlIndexFixing(W$46,$A81,,Trigger)</f>
        <v>#NUM!</v>
      </c>
      <c r="X81" s="22" t="e">
        <f>_xll.qlSwaptionVTSVolatility2(Vol,$B81,W$47,,,Trigger)</f>
        <v>#NUM!</v>
      </c>
      <c r="Y81" s="75" t="e">
        <f>_xll.qlBlackFormula("Call",W81,W81,X81*SQRT($A60),,,Trigger)</f>
        <v>#VALUE!</v>
      </c>
      <c r="AA81" s="19" t="e">
        <f>_xll.qlIndexFixing(AA$46,$A81,,Trigger)</f>
        <v>#NUM!</v>
      </c>
      <c r="AB81" s="22" t="e">
        <f>_xll.qlSwaptionVTSVolatility2(Vol,$B81,AA$47,,,Trigger)</f>
        <v>#NUM!</v>
      </c>
      <c r="AC81" s="75" t="e">
        <f>_xll.qlBlackFormula("Call",AA81,AA81,AB81*SQRT($A60),,,Trigger)</f>
        <v>#VALUE!</v>
      </c>
      <c r="AE81" s="19" t="e">
        <f>_xll.qlIndexFixing(AE$46,$A81,,Trigger)</f>
        <v>#NUM!</v>
      </c>
      <c r="AF81" s="22" t="e">
        <f>_xll.qlSwaptionVTSVolatility2(Vol,$B81,AE$47,,,Trigger)</f>
        <v>#NUM!</v>
      </c>
      <c r="AG81" s="75" t="e">
        <f>_xll.qlBlackFormula("Call",AE81,AE81,AF81*SQRT($A60),,,Trigger)</f>
        <v>#VALUE!</v>
      </c>
      <c r="AI81" s="19" t="e">
        <f>_xll.qlIndexFixing(AI$46,$A81,,Trigger)</f>
        <v>#NUM!</v>
      </c>
      <c r="AJ81" s="22" t="e">
        <f>_xll.qlSwaptionVTSVolatility2(Vol,$B81,AI$47,,,Trigger)</f>
        <v>#NUM!</v>
      </c>
      <c r="AK81" s="75" t="e">
        <f>_xll.qlBlackFormula("Call",AI81,AI81,AJ81*SQRT($A60),,,Trigger)</f>
        <v>#VALUE!</v>
      </c>
      <c r="AM81" s="19" t="e">
        <f>_xll.qlIndexFixing(AM$46,$A81,,Trigger)</f>
        <v>#NUM!</v>
      </c>
      <c r="AN81" s="22" t="e">
        <f>_xll.qlSwaptionVTSVolatility2(Vol,$B81,AM$47,,,Trigger)</f>
        <v>#NUM!</v>
      </c>
      <c r="AO81" s="75" t="e">
        <f>_xll.qlBlackFormula("Call",AM81,AM81,AN81*SQRT($A60),,,Trigger)</f>
        <v>#VALUE!</v>
      </c>
      <c r="AP81" s="93"/>
      <c r="AQ81" s="19" t="e">
        <f>_xll.qlIndexFixing(AQ$46,$A81,,Trigger)</f>
        <v>#NUM!</v>
      </c>
      <c r="AR81" s="22" t="e">
        <f>_xll.qlSwaptionVTSVolatility2(Vol,$B81,AQ$47,,,Trigger)</f>
        <v>#NUM!</v>
      </c>
      <c r="AS81" s="75" t="e">
        <f>_xll.qlBlackFormula("Call",AQ81,AQ81,AR81*SQRT($A60),,,Trigger)</f>
        <v>#VALUE!</v>
      </c>
      <c r="AU81" s="19" t="e">
        <f>_xll.qlIndexFixing(AU$46,$A81,,Trigger)</f>
        <v>#NUM!</v>
      </c>
      <c r="AV81" s="22" t="e">
        <f>_xll.qlSwaptionVTSVolatility2(Vol,$B81,AU$47,,,Trigger)</f>
        <v>#NUM!</v>
      </c>
      <c r="AW81" s="75" t="e">
        <f>_xll.qlBlackFormula("Call",AU81,AU81,AV81*SQRT($A60),,,Trigger)</f>
        <v>#VALUE!</v>
      </c>
      <c r="AX81" s="93"/>
      <c r="AY81" s="19" t="e">
        <f>_xll.qlIndexFixing(AY$46,$A81,,Trigger)</f>
        <v>#NUM!</v>
      </c>
      <c r="AZ81" s="22" t="e">
        <f>_xll.qlSwaptionVTSVolatility2(Vol,$B81,AY$47,,,Trigger)</f>
        <v>#NUM!</v>
      </c>
      <c r="BA81" s="75" t="e">
        <f>_xll.qlBlackFormula("Call",AY81,AY81,AZ81*SQRT($A60),,,Trigger)</f>
        <v>#VALUE!</v>
      </c>
      <c r="BB81" s="93"/>
      <c r="BC81" s="19" t="e">
        <f>_xll.qlIndexFixing(BC$46,$A81,,Trigger)</f>
        <v>#NUM!</v>
      </c>
      <c r="BD81" s="22" t="e">
        <f>_xll.qlSwaptionVTSVolatility2(Vol,$B81,BC$47,,,Trigger)</f>
        <v>#NUM!</v>
      </c>
      <c r="BE81" s="75" t="e">
        <f>_xll.qlBlackFormula("Call",BC81,BC81,BD81*SQRT($A60),,,Trigger)</f>
        <v>#VALUE!</v>
      </c>
      <c r="BG81" s="19" t="e">
        <f>_xll.qlIndexFixing(BG$46,$A81,,Trigger)</f>
        <v>#NUM!</v>
      </c>
      <c r="BH81" s="22" t="e">
        <f>_xll.qlSwaptionVTSVolatility2(Vol,$B81,BG$47,,,Trigger)</f>
        <v>#NUM!</v>
      </c>
      <c r="BI81" s="75" t="e">
        <f>_xll.qlBlackFormula("Call",BG81,BG81,BH81*SQRT($A60),,,Trigger)</f>
        <v>#VALUE!</v>
      </c>
      <c r="BJ81" s="93"/>
      <c r="BK81" s="19" t="e">
        <f>_xll.qlIndexFixing(BK$46,$A81,,Trigger)</f>
        <v>#NUM!</v>
      </c>
      <c r="BL81" s="22" t="e">
        <f>_xll.qlSwaptionVTSVolatility2(Vol,$B81,BK$47,,,Trigger)</f>
        <v>#NUM!</v>
      </c>
      <c r="BM81" s="75" t="e">
        <f>_xll.qlBlackFormula("Call",BK81,BK81,BL81*SQRT($A60),,,Trigger)</f>
        <v>#VALUE!</v>
      </c>
      <c r="BN81" s="93"/>
      <c r="BO81" s="19" t="e">
        <f>_xll.qlIndexFixing(BO$46,$A81,,Trigger)</f>
        <v>#NUM!</v>
      </c>
      <c r="BP81" s="22" t="e">
        <f>_xll.qlSwaptionVTSVolatility2(Vol,$B81,BO$47,,,Trigger)</f>
        <v>#NUM!</v>
      </c>
      <c r="BQ81" s="75" t="e">
        <f>_xll.qlBlackFormula("Call",BO81,BO81,BP81*SQRT($A60),,,Trigger)</f>
        <v>#VALUE!</v>
      </c>
      <c r="BR81" s="93"/>
      <c r="BS81" s="19" t="e">
        <f>_xll.qlIndexFixing(BS$46,$A81,,Trigger)</f>
        <v>#NUM!</v>
      </c>
      <c r="BT81" s="22" t="e">
        <f>_xll.qlSwaptionVTSVolatility2(Vol,$B81,BS$47,,,Trigger)</f>
        <v>#NUM!</v>
      </c>
      <c r="BU81" s="75" t="e">
        <f>_xll.qlBlackFormula("Call",BS81,BS81,BT81*SQRT($A60),,,Trigger)</f>
        <v>#VALUE!</v>
      </c>
      <c r="BV81" s="93"/>
      <c r="BW81" s="19" t="e">
        <f>_xll.qlIndexFixing(BW$46,$A81,,Trigger)</f>
        <v>#NUM!</v>
      </c>
      <c r="BX81" s="22" t="e">
        <f>_xll.qlSwaptionVTSVolatility2(Vol,$B81,BW$47,,,Trigger)</f>
        <v>#NUM!</v>
      </c>
      <c r="BY81" s="75" t="e">
        <f>_xll.qlBlackFormula("Call",BW81,BW81,BX81*SQRT($A60),,,Trigger)</f>
        <v>#VALUE!</v>
      </c>
      <c r="CA81" s="19" t="e">
        <f>_xll.qlIndexFixing(CA$46,$A81,,Trigger)</f>
        <v>#NUM!</v>
      </c>
      <c r="CB81" s="22" t="e">
        <f>_xll.qlSwaptionVTSVolatility2(Vol,$B81,CA$47,,,Trigger)</f>
        <v>#NUM!</v>
      </c>
      <c r="CC81" s="75" t="e">
        <f>_xll.qlBlackFormula("Call",CA81,CA81,CB81*SQRT($A60),,,Trigger)</f>
        <v>#VALUE!</v>
      </c>
      <c r="CD81" s="93"/>
      <c r="CE81" s="19" t="e">
        <f>_xll.qlIndexFixing(CE$46,$A81,,Trigger)</f>
        <v>#NUM!</v>
      </c>
      <c r="CF81" s="22" t="e">
        <f>_xll.qlSwaptionVTSVolatility2(Vol,$B81,CE$47,,,Trigger)</f>
        <v>#NUM!</v>
      </c>
      <c r="CG81" s="75" t="e">
        <f>_xll.qlBlackFormula("Call",CE81,CE81,CF81*SQRT($A60),,,Trigger)</f>
        <v>#VALUE!</v>
      </c>
      <c r="CH81" s="93"/>
      <c r="CI81" s="19" t="e">
        <f>_xll.qlIndexFixing(CI$46,$A81,,Trigger)</f>
        <v>#NUM!</v>
      </c>
      <c r="CJ81" s="22" t="e">
        <f>_xll.qlSwaptionVTSVolatility2(Vol,$B81,CI$47,,,Trigger)</f>
        <v>#NUM!</v>
      </c>
      <c r="CK81" s="75" t="e">
        <f>_xll.qlBlackFormula("Call",CI81,CI81,CJ81*SQRT($A60),,,Trigger)</f>
        <v>#VALUE!</v>
      </c>
      <c r="CL81" s="93"/>
      <c r="CM81" s="19" t="e">
        <f>_xll.qlIndexFixing(CM$46,$A81,,Trigger)</f>
        <v>#NUM!</v>
      </c>
      <c r="CN81" s="22" t="e">
        <f>_xll.qlSwaptionVTSVolatility2(Vol,$B81,CM$47,,,Trigger)</f>
        <v>#NUM!</v>
      </c>
      <c r="CO81" s="75" t="e">
        <f>_xll.qlBlackFormula("Call",CM81,CM81,CN81*SQRT($A60),,,Trigger)</f>
        <v>#VALUE!</v>
      </c>
      <c r="CP81" s="93"/>
      <c r="CQ81" s="19" t="e">
        <f>_xll.qlIndexFixing(CQ$46,$A81,,Trigger)</f>
        <v>#NUM!</v>
      </c>
      <c r="CR81" s="22" t="e">
        <f>_xll.qlSwaptionVTSVolatility2(Vol,$B81,CQ$47,,,Trigger)</f>
        <v>#NUM!</v>
      </c>
      <c r="CS81" s="75" t="e">
        <f>_xll.qlBlackFormula("Call",CQ81,CQ81,CR81*SQRT($A60),,,Trigger)</f>
        <v>#VALUE!</v>
      </c>
      <c r="CU81" s="19" t="e">
        <f>_xll.qlIndexFixing(CU$46,$A81,,Trigger)</f>
        <v>#NUM!</v>
      </c>
      <c r="CV81" s="22" t="e">
        <f>_xll.qlSwaptionVTSVolatility2(Vol,$B81,CU$47,,,Trigger)</f>
        <v>#NUM!</v>
      </c>
      <c r="CW81" s="75" t="e">
        <f>_xll.qlBlackFormula("Call",CU81,CU81,CV81*SQRT($A60),,,Trigger)</f>
        <v>#VALUE!</v>
      </c>
      <c r="CX81" s="93"/>
      <c r="CY81" s="19" t="e">
        <f>_xll.qlIndexFixing(CY$46,$A81,,Trigger)</f>
        <v>#NUM!</v>
      </c>
      <c r="CZ81" s="22" t="e">
        <f>_xll.qlSwaptionVTSVolatility2(Vol,$B81,CY$47,,,Trigger)</f>
        <v>#NUM!</v>
      </c>
      <c r="DA81" s="75" t="e">
        <f>_xll.qlBlackFormula("Call",CY81,CY81,CZ81*SQRT($A60),,,Trigger)</f>
        <v>#VALUE!</v>
      </c>
      <c r="DB81" s="93"/>
      <c r="DC81" s="19" t="e">
        <f>_xll.qlIndexFixing(DC$46,$A81,,Trigger)</f>
        <v>#NUM!</v>
      </c>
      <c r="DD81" s="22" t="e">
        <f>_xll.qlSwaptionVTSVolatility2(Vol,$B81,DC$47,,,Trigger)</f>
        <v>#NUM!</v>
      </c>
      <c r="DE81" s="75" t="e">
        <f>_xll.qlBlackFormula("Call",DC81,DC81,DD81*SQRT($A60),,,Trigger)</f>
        <v>#VALUE!</v>
      </c>
      <c r="DF81" s="93"/>
      <c r="DG81" s="19" t="e">
        <f>_xll.qlIndexFixing(DG$46,$A81,,Trigger)</f>
        <v>#NUM!</v>
      </c>
      <c r="DH81" s="22" t="e">
        <f>_xll.qlSwaptionVTSVolatility2(Vol,$B81,DG$47,,,Trigger)</f>
        <v>#NUM!</v>
      </c>
      <c r="DI81" s="75" t="e">
        <f>_xll.qlBlackFormula("Call",DG81,DG81,DH81*SQRT($A60),,,Trigger)</f>
        <v>#VALUE!</v>
      </c>
      <c r="DJ81" s="93"/>
      <c r="DK81" s="19" t="e">
        <f>_xll.qlIndexFixing(DK$46,$A81,,Trigger)</f>
        <v>#NUM!</v>
      </c>
      <c r="DL81" s="22" t="e">
        <f>_xll.qlSwaptionVTSVolatility2(Vol,$B81,DK$47,,,Trigger)</f>
        <v>#NUM!</v>
      </c>
      <c r="DM81" s="75" t="e">
        <f>_xll.qlBlackFormula("Call",DK81,DK81,DL81*SQRT($A60),,,Trigger)</f>
        <v>#VALUE!</v>
      </c>
      <c r="DO81" s="19" t="e">
        <f>_xll.qlIndexFixing(DO$46,$A81,,Trigger)</f>
        <v>#NUM!</v>
      </c>
      <c r="DP81" s="22" t="e">
        <f>_xll.qlSwaptionVTSVolatility2(Vol,$B81,DO$47,,,Trigger)</f>
        <v>#NUM!</v>
      </c>
      <c r="DQ81" s="75" t="e">
        <f>_xll.qlBlackFormula("Call",DO81,DO81,DP81*SQRT($A60),,,Trigger)</f>
        <v>#VALUE!</v>
      </c>
    </row>
    <row r="82" spans="1:121" x14ac:dyDescent="0.2">
      <c r="A82" s="100" t="e">
        <v>#NUM!</v>
      </c>
      <c r="B82" s="15" t="s">
        <v>32</v>
      </c>
      <c r="C82" s="19" t="e">
        <f>_xll.qlIndexFixing(C$46,$A82,,Trigger)</f>
        <v>#NUM!</v>
      </c>
      <c r="D82" s="22" t="e">
        <f>_xll.qlSwaptionVTSVolatility2(Vol,$B82,C$47,,,Trigger)</f>
        <v>#NUM!</v>
      </c>
      <c r="E82" s="75" t="e">
        <f>_xll.qlBlackFormula("Call",C82,C82,D82*SQRT($A61),,,Trigger)</f>
        <v>#VALUE!</v>
      </c>
      <c r="G82" s="19" t="e">
        <f>_xll.qlIndexFixing(G$46,$A82,,Trigger)</f>
        <v>#NUM!</v>
      </c>
      <c r="H82" s="22" t="e">
        <f>_xll.qlSwaptionVTSVolatility2(Vol,$B82,G$47,,,Trigger)</f>
        <v>#NUM!</v>
      </c>
      <c r="I82" s="75" t="e">
        <f>_xll.qlBlackFormula("Call",G82,G82,H82*SQRT($A61),,,Trigger)</f>
        <v>#VALUE!</v>
      </c>
      <c r="K82" s="19" t="e">
        <f>_xll.qlIndexFixing(K$46,$A82,,Trigger)</f>
        <v>#NUM!</v>
      </c>
      <c r="L82" s="22" t="e">
        <f>_xll.qlSwaptionVTSVolatility2(Vol,$B82,K$47,,,Trigger)</f>
        <v>#NUM!</v>
      </c>
      <c r="M82" s="75" t="e">
        <f>_xll.qlBlackFormula("Call",K82,K82,L82*SQRT($A61),,,Trigger)</f>
        <v>#VALUE!</v>
      </c>
      <c r="O82" s="19" t="e">
        <f>_xll.qlIndexFixing(O$46,$A82,,Trigger)</f>
        <v>#NUM!</v>
      </c>
      <c r="P82" s="22" t="e">
        <f>_xll.qlSwaptionVTSVolatility2(Vol,$B82,O$47,,,Trigger)</f>
        <v>#NUM!</v>
      </c>
      <c r="Q82" s="75" t="e">
        <f>_xll.qlBlackFormula("Call",O82,O82,P82*SQRT($A61),,,Trigger)</f>
        <v>#VALUE!</v>
      </c>
      <c r="S82" s="19" t="e">
        <f>_xll.qlIndexFixing(S$46,$A82,,Trigger)</f>
        <v>#NUM!</v>
      </c>
      <c r="T82" s="22" t="e">
        <f>_xll.qlSwaptionVTSVolatility2(Vol,$B82,S$47,,,Trigger)</f>
        <v>#NUM!</v>
      </c>
      <c r="U82" s="75" t="e">
        <f>_xll.qlBlackFormula("Call",S82,S82,T82*SQRT($A61),,,Trigger)</f>
        <v>#VALUE!</v>
      </c>
      <c r="W82" s="19" t="e">
        <f>_xll.qlIndexFixing(W$46,$A82,,Trigger)</f>
        <v>#NUM!</v>
      </c>
      <c r="X82" s="22" t="e">
        <f>_xll.qlSwaptionVTSVolatility2(Vol,$B82,W$47,,,Trigger)</f>
        <v>#NUM!</v>
      </c>
      <c r="Y82" s="75" t="e">
        <f>_xll.qlBlackFormula("Call",W82,W82,X82*SQRT($A61),,,Trigger)</f>
        <v>#VALUE!</v>
      </c>
      <c r="AA82" s="19" t="e">
        <f>_xll.qlIndexFixing(AA$46,$A82,,Trigger)</f>
        <v>#NUM!</v>
      </c>
      <c r="AB82" s="22" t="e">
        <f>_xll.qlSwaptionVTSVolatility2(Vol,$B82,AA$47,,,Trigger)</f>
        <v>#NUM!</v>
      </c>
      <c r="AC82" s="75" t="e">
        <f>_xll.qlBlackFormula("Call",AA82,AA82,AB82*SQRT($A61),,,Trigger)</f>
        <v>#VALUE!</v>
      </c>
      <c r="AE82" s="19" t="e">
        <f>_xll.qlIndexFixing(AE$46,$A82,,Trigger)</f>
        <v>#NUM!</v>
      </c>
      <c r="AF82" s="22" t="e">
        <f>_xll.qlSwaptionVTSVolatility2(Vol,$B82,AE$47,,,Trigger)</f>
        <v>#NUM!</v>
      </c>
      <c r="AG82" s="75" t="e">
        <f>_xll.qlBlackFormula("Call",AE82,AE82,AF82*SQRT($A61),,,Trigger)</f>
        <v>#VALUE!</v>
      </c>
      <c r="AI82" s="19" t="e">
        <f>_xll.qlIndexFixing(AI$46,$A82,,Trigger)</f>
        <v>#NUM!</v>
      </c>
      <c r="AJ82" s="22" t="e">
        <f>_xll.qlSwaptionVTSVolatility2(Vol,$B82,AI$47,,,Trigger)</f>
        <v>#NUM!</v>
      </c>
      <c r="AK82" s="75" t="e">
        <f>_xll.qlBlackFormula("Call",AI82,AI82,AJ82*SQRT($A61),,,Trigger)</f>
        <v>#VALUE!</v>
      </c>
      <c r="AM82" s="19" t="e">
        <f>_xll.qlIndexFixing(AM$46,$A82,,Trigger)</f>
        <v>#NUM!</v>
      </c>
      <c r="AN82" s="22" t="e">
        <f>_xll.qlSwaptionVTSVolatility2(Vol,$B82,AM$47,,,Trigger)</f>
        <v>#NUM!</v>
      </c>
      <c r="AO82" s="75" t="e">
        <f>_xll.qlBlackFormula("Call",AM82,AM82,AN82*SQRT($A61),,,Trigger)</f>
        <v>#VALUE!</v>
      </c>
      <c r="AP82" s="93"/>
      <c r="AQ82" s="19" t="e">
        <f>_xll.qlIndexFixing(AQ$46,$A82,,Trigger)</f>
        <v>#NUM!</v>
      </c>
      <c r="AR82" s="22" t="e">
        <f>_xll.qlSwaptionVTSVolatility2(Vol,$B82,AQ$47,,,Trigger)</f>
        <v>#NUM!</v>
      </c>
      <c r="AS82" s="75" t="e">
        <f>_xll.qlBlackFormula("Call",AQ82,AQ82,AR82*SQRT($A61),,,Trigger)</f>
        <v>#VALUE!</v>
      </c>
      <c r="AU82" s="19" t="e">
        <f>_xll.qlIndexFixing(AU$46,$A82,,Trigger)</f>
        <v>#NUM!</v>
      </c>
      <c r="AV82" s="22" t="e">
        <f>_xll.qlSwaptionVTSVolatility2(Vol,$B82,AU$47,,,Trigger)</f>
        <v>#NUM!</v>
      </c>
      <c r="AW82" s="75" t="e">
        <f>_xll.qlBlackFormula("Call",AU82,AU82,AV82*SQRT($A61),,,Trigger)</f>
        <v>#VALUE!</v>
      </c>
      <c r="AX82" s="93"/>
      <c r="AY82" s="19" t="e">
        <f>_xll.qlIndexFixing(AY$46,$A82,,Trigger)</f>
        <v>#NUM!</v>
      </c>
      <c r="AZ82" s="22" t="e">
        <f>_xll.qlSwaptionVTSVolatility2(Vol,$B82,AY$47,,,Trigger)</f>
        <v>#NUM!</v>
      </c>
      <c r="BA82" s="75" t="e">
        <f>_xll.qlBlackFormula("Call",AY82,AY82,AZ82*SQRT($A61),,,Trigger)</f>
        <v>#VALUE!</v>
      </c>
      <c r="BB82" s="93"/>
      <c r="BC82" s="19" t="e">
        <f>_xll.qlIndexFixing(BC$46,$A82,,Trigger)</f>
        <v>#NUM!</v>
      </c>
      <c r="BD82" s="22" t="e">
        <f>_xll.qlSwaptionVTSVolatility2(Vol,$B82,BC$47,,,Trigger)</f>
        <v>#NUM!</v>
      </c>
      <c r="BE82" s="75" t="e">
        <f>_xll.qlBlackFormula("Call",BC82,BC82,BD82*SQRT($A61),,,Trigger)</f>
        <v>#VALUE!</v>
      </c>
      <c r="BG82" s="19" t="e">
        <f>_xll.qlIndexFixing(BG$46,$A82,,Trigger)</f>
        <v>#NUM!</v>
      </c>
      <c r="BH82" s="22" t="e">
        <f>_xll.qlSwaptionVTSVolatility2(Vol,$B82,BG$47,,,Trigger)</f>
        <v>#NUM!</v>
      </c>
      <c r="BI82" s="75" t="e">
        <f>_xll.qlBlackFormula("Call",BG82,BG82,BH82*SQRT($A61),,,Trigger)</f>
        <v>#VALUE!</v>
      </c>
      <c r="BJ82" s="93"/>
      <c r="BK82" s="19" t="e">
        <f>_xll.qlIndexFixing(BK$46,$A82,,Trigger)</f>
        <v>#NUM!</v>
      </c>
      <c r="BL82" s="22" t="e">
        <f>_xll.qlSwaptionVTSVolatility2(Vol,$B82,BK$47,,,Trigger)</f>
        <v>#NUM!</v>
      </c>
      <c r="BM82" s="75" t="e">
        <f>_xll.qlBlackFormula("Call",BK82,BK82,BL82*SQRT($A61),,,Trigger)</f>
        <v>#VALUE!</v>
      </c>
      <c r="BN82" s="93"/>
      <c r="BO82" s="19" t="e">
        <f>_xll.qlIndexFixing(BO$46,$A82,,Trigger)</f>
        <v>#NUM!</v>
      </c>
      <c r="BP82" s="22" t="e">
        <f>_xll.qlSwaptionVTSVolatility2(Vol,$B82,BO$47,,,Trigger)</f>
        <v>#NUM!</v>
      </c>
      <c r="BQ82" s="75" t="e">
        <f>_xll.qlBlackFormula("Call",BO82,BO82,BP82*SQRT($A61),,,Trigger)</f>
        <v>#VALUE!</v>
      </c>
      <c r="BR82" s="93"/>
      <c r="BS82" s="19" t="e">
        <f>_xll.qlIndexFixing(BS$46,$A82,,Trigger)</f>
        <v>#NUM!</v>
      </c>
      <c r="BT82" s="22" t="e">
        <f>_xll.qlSwaptionVTSVolatility2(Vol,$B82,BS$47,,,Trigger)</f>
        <v>#NUM!</v>
      </c>
      <c r="BU82" s="75" t="e">
        <f>_xll.qlBlackFormula("Call",BS82,BS82,BT82*SQRT($A61),,,Trigger)</f>
        <v>#VALUE!</v>
      </c>
      <c r="BV82" s="93"/>
      <c r="BW82" s="19" t="e">
        <f>_xll.qlIndexFixing(BW$46,$A82,,Trigger)</f>
        <v>#NUM!</v>
      </c>
      <c r="BX82" s="22" t="e">
        <f>_xll.qlSwaptionVTSVolatility2(Vol,$B82,BW$47,,,Trigger)</f>
        <v>#NUM!</v>
      </c>
      <c r="BY82" s="75" t="e">
        <f>_xll.qlBlackFormula("Call",BW82,BW82,BX82*SQRT($A61),,,Trigger)</f>
        <v>#VALUE!</v>
      </c>
      <c r="CA82" s="19" t="e">
        <f>_xll.qlIndexFixing(CA$46,$A82,,Trigger)</f>
        <v>#NUM!</v>
      </c>
      <c r="CB82" s="22" t="e">
        <f>_xll.qlSwaptionVTSVolatility2(Vol,$B82,CA$47,,,Trigger)</f>
        <v>#NUM!</v>
      </c>
      <c r="CC82" s="75" t="e">
        <f>_xll.qlBlackFormula("Call",CA82,CA82,CB82*SQRT($A61),,,Trigger)</f>
        <v>#VALUE!</v>
      </c>
      <c r="CD82" s="93"/>
      <c r="CE82" s="19" t="e">
        <f>_xll.qlIndexFixing(CE$46,$A82,,Trigger)</f>
        <v>#NUM!</v>
      </c>
      <c r="CF82" s="22" t="e">
        <f>_xll.qlSwaptionVTSVolatility2(Vol,$B82,CE$47,,,Trigger)</f>
        <v>#NUM!</v>
      </c>
      <c r="CG82" s="75" t="e">
        <f>_xll.qlBlackFormula("Call",CE82,CE82,CF82*SQRT($A61),,,Trigger)</f>
        <v>#VALUE!</v>
      </c>
      <c r="CH82" s="93"/>
      <c r="CI82" s="19" t="e">
        <f>_xll.qlIndexFixing(CI$46,$A82,,Trigger)</f>
        <v>#NUM!</v>
      </c>
      <c r="CJ82" s="22" t="e">
        <f>_xll.qlSwaptionVTSVolatility2(Vol,$B82,CI$47,,,Trigger)</f>
        <v>#NUM!</v>
      </c>
      <c r="CK82" s="75" t="e">
        <f>_xll.qlBlackFormula("Call",CI82,CI82,CJ82*SQRT($A61),,,Trigger)</f>
        <v>#VALUE!</v>
      </c>
      <c r="CL82" s="93"/>
      <c r="CM82" s="19" t="e">
        <f>_xll.qlIndexFixing(CM$46,$A82,,Trigger)</f>
        <v>#NUM!</v>
      </c>
      <c r="CN82" s="22" t="e">
        <f>_xll.qlSwaptionVTSVolatility2(Vol,$B82,CM$47,,,Trigger)</f>
        <v>#NUM!</v>
      </c>
      <c r="CO82" s="75" t="e">
        <f>_xll.qlBlackFormula("Call",CM82,CM82,CN82*SQRT($A61),,,Trigger)</f>
        <v>#VALUE!</v>
      </c>
      <c r="CP82" s="93"/>
      <c r="CQ82" s="19" t="e">
        <f>_xll.qlIndexFixing(CQ$46,$A82,,Trigger)</f>
        <v>#NUM!</v>
      </c>
      <c r="CR82" s="22" t="e">
        <f>_xll.qlSwaptionVTSVolatility2(Vol,$B82,CQ$47,,,Trigger)</f>
        <v>#NUM!</v>
      </c>
      <c r="CS82" s="75" t="e">
        <f>_xll.qlBlackFormula("Call",CQ82,CQ82,CR82*SQRT($A61),,,Trigger)</f>
        <v>#VALUE!</v>
      </c>
      <c r="CU82" s="19" t="e">
        <f>_xll.qlIndexFixing(CU$46,$A82,,Trigger)</f>
        <v>#NUM!</v>
      </c>
      <c r="CV82" s="22" t="e">
        <f>_xll.qlSwaptionVTSVolatility2(Vol,$B82,CU$47,,,Trigger)</f>
        <v>#NUM!</v>
      </c>
      <c r="CW82" s="75" t="e">
        <f>_xll.qlBlackFormula("Call",CU82,CU82,CV82*SQRT($A61),,,Trigger)</f>
        <v>#VALUE!</v>
      </c>
      <c r="CX82" s="93"/>
      <c r="CY82" s="19" t="e">
        <f>_xll.qlIndexFixing(CY$46,$A82,,Trigger)</f>
        <v>#NUM!</v>
      </c>
      <c r="CZ82" s="22" t="e">
        <f>_xll.qlSwaptionVTSVolatility2(Vol,$B82,CY$47,,,Trigger)</f>
        <v>#NUM!</v>
      </c>
      <c r="DA82" s="75" t="e">
        <f>_xll.qlBlackFormula("Call",CY82,CY82,CZ82*SQRT($A61),,,Trigger)</f>
        <v>#VALUE!</v>
      </c>
      <c r="DB82" s="93"/>
      <c r="DC82" s="19" t="e">
        <f>_xll.qlIndexFixing(DC$46,$A82,,Trigger)</f>
        <v>#NUM!</v>
      </c>
      <c r="DD82" s="22" t="e">
        <f>_xll.qlSwaptionVTSVolatility2(Vol,$B82,DC$47,,,Trigger)</f>
        <v>#NUM!</v>
      </c>
      <c r="DE82" s="75" t="e">
        <f>_xll.qlBlackFormula("Call",DC82,DC82,DD82*SQRT($A61),,,Trigger)</f>
        <v>#VALUE!</v>
      </c>
      <c r="DF82" s="93"/>
      <c r="DG82" s="19" t="e">
        <f>_xll.qlIndexFixing(DG$46,$A82,,Trigger)</f>
        <v>#NUM!</v>
      </c>
      <c r="DH82" s="22" t="e">
        <f>_xll.qlSwaptionVTSVolatility2(Vol,$B82,DG$47,,,Trigger)</f>
        <v>#NUM!</v>
      </c>
      <c r="DI82" s="75" t="e">
        <f>_xll.qlBlackFormula("Call",DG82,DG82,DH82*SQRT($A61),,,Trigger)</f>
        <v>#VALUE!</v>
      </c>
      <c r="DJ82" s="93"/>
      <c r="DK82" s="19" t="e">
        <f>_xll.qlIndexFixing(DK$46,$A82,,Trigger)</f>
        <v>#NUM!</v>
      </c>
      <c r="DL82" s="22" t="e">
        <f>_xll.qlSwaptionVTSVolatility2(Vol,$B82,DK$47,,,Trigger)</f>
        <v>#NUM!</v>
      </c>
      <c r="DM82" s="75" t="e">
        <f>_xll.qlBlackFormula("Call",DK82,DK82,DL82*SQRT($A61),,,Trigger)</f>
        <v>#VALUE!</v>
      </c>
      <c r="DO82" s="19" t="e">
        <f>_xll.qlIndexFixing(DO$46,$A82,,Trigger)</f>
        <v>#NUM!</v>
      </c>
      <c r="DP82" s="22" t="e">
        <f>_xll.qlSwaptionVTSVolatility2(Vol,$B82,DO$47,,,Trigger)</f>
        <v>#NUM!</v>
      </c>
      <c r="DQ82" s="75" t="e">
        <f>_xll.qlBlackFormula("Call",DO82,DO82,DP82*SQRT($A61),,,Trigger)</f>
        <v>#VALUE!</v>
      </c>
    </row>
    <row r="83" spans="1:121" x14ac:dyDescent="0.2">
      <c r="A83" s="100" t="e">
        <v>#NUM!</v>
      </c>
      <c r="B83" s="15" t="s">
        <v>54</v>
      </c>
      <c r="C83" s="19" t="e">
        <f>_xll.qlIndexFixing(C$46,$A83,,Trigger)</f>
        <v>#NUM!</v>
      </c>
      <c r="D83" s="22" t="e">
        <f>_xll.qlSwaptionVTSVolatility2(Vol,$B83,C$47,,,Trigger)</f>
        <v>#NUM!</v>
      </c>
      <c r="E83" s="75" t="e">
        <f>_xll.qlBlackFormula("Call",C83,C83,D83*SQRT($A62),,,Trigger)</f>
        <v>#VALUE!</v>
      </c>
      <c r="G83" s="19" t="e">
        <f>_xll.qlIndexFixing(G$46,$A83,,Trigger)</f>
        <v>#NUM!</v>
      </c>
      <c r="H83" s="22" t="e">
        <f>_xll.qlSwaptionVTSVolatility2(Vol,$B83,G$47,,,Trigger)</f>
        <v>#NUM!</v>
      </c>
      <c r="I83" s="75" t="e">
        <f>_xll.qlBlackFormula("Call",G83,G83,H83*SQRT($A62),,,Trigger)</f>
        <v>#VALUE!</v>
      </c>
      <c r="K83" s="19" t="e">
        <f>_xll.qlIndexFixing(K$46,$A83,,Trigger)</f>
        <v>#NUM!</v>
      </c>
      <c r="L83" s="22" t="e">
        <f>_xll.qlSwaptionVTSVolatility2(Vol,$B83,K$47,,,Trigger)</f>
        <v>#NUM!</v>
      </c>
      <c r="M83" s="75" t="e">
        <f>_xll.qlBlackFormula("Call",K83,K83,L83*SQRT($A62),,,Trigger)</f>
        <v>#VALUE!</v>
      </c>
      <c r="O83" s="19" t="e">
        <f>_xll.qlIndexFixing(O$46,$A83,,Trigger)</f>
        <v>#NUM!</v>
      </c>
      <c r="P83" s="22" t="e">
        <f>_xll.qlSwaptionVTSVolatility2(Vol,$B83,O$47,,,Trigger)</f>
        <v>#NUM!</v>
      </c>
      <c r="Q83" s="75" t="e">
        <f>_xll.qlBlackFormula("Call",O83,O83,P83*SQRT($A62),,,Trigger)</f>
        <v>#VALUE!</v>
      </c>
      <c r="S83" s="19" t="e">
        <f>_xll.qlIndexFixing(S$46,$A83,,Trigger)</f>
        <v>#NUM!</v>
      </c>
      <c r="T83" s="22" t="e">
        <f>_xll.qlSwaptionVTSVolatility2(Vol,$B83,S$47,,,Trigger)</f>
        <v>#NUM!</v>
      </c>
      <c r="U83" s="75" t="e">
        <f>_xll.qlBlackFormula("Call",S83,S83,T83*SQRT($A62),,,Trigger)</f>
        <v>#VALUE!</v>
      </c>
      <c r="W83" s="19" t="e">
        <f>_xll.qlIndexFixing(W$46,$A83,,Trigger)</f>
        <v>#NUM!</v>
      </c>
      <c r="X83" s="22" t="e">
        <f>_xll.qlSwaptionVTSVolatility2(Vol,$B83,W$47,,,Trigger)</f>
        <v>#NUM!</v>
      </c>
      <c r="Y83" s="75" t="e">
        <f>_xll.qlBlackFormula("Call",W83,W83,X83*SQRT($A62),,,Trigger)</f>
        <v>#VALUE!</v>
      </c>
      <c r="AA83" s="19" t="e">
        <f>_xll.qlIndexFixing(AA$46,$A83,,Trigger)</f>
        <v>#NUM!</v>
      </c>
      <c r="AB83" s="22" t="e">
        <f>_xll.qlSwaptionVTSVolatility2(Vol,$B83,AA$47,,,Trigger)</f>
        <v>#NUM!</v>
      </c>
      <c r="AC83" s="75" t="e">
        <f>_xll.qlBlackFormula("Call",AA83,AA83,AB83*SQRT($A62),,,Trigger)</f>
        <v>#VALUE!</v>
      </c>
      <c r="AE83" s="19" t="e">
        <f>_xll.qlIndexFixing(AE$46,$A83,,Trigger)</f>
        <v>#NUM!</v>
      </c>
      <c r="AF83" s="22" t="e">
        <f>_xll.qlSwaptionVTSVolatility2(Vol,$B83,AE$47,,,Trigger)</f>
        <v>#NUM!</v>
      </c>
      <c r="AG83" s="75" t="e">
        <f>_xll.qlBlackFormula("Call",AE83,AE83,AF83*SQRT($A62),,,Trigger)</f>
        <v>#VALUE!</v>
      </c>
      <c r="AI83" s="19" t="e">
        <f>_xll.qlIndexFixing(AI$46,$A83,,Trigger)</f>
        <v>#NUM!</v>
      </c>
      <c r="AJ83" s="22" t="e">
        <f>_xll.qlSwaptionVTSVolatility2(Vol,$B83,AI$47,,,Trigger)</f>
        <v>#NUM!</v>
      </c>
      <c r="AK83" s="75" t="e">
        <f>_xll.qlBlackFormula("Call",AI83,AI83,AJ83*SQRT($A62),,,Trigger)</f>
        <v>#VALUE!</v>
      </c>
      <c r="AM83" s="19" t="e">
        <f>_xll.qlIndexFixing(AM$46,$A83,,Trigger)</f>
        <v>#NUM!</v>
      </c>
      <c r="AN83" s="22" t="e">
        <f>_xll.qlSwaptionVTSVolatility2(Vol,$B83,AM$47,,,Trigger)</f>
        <v>#NUM!</v>
      </c>
      <c r="AO83" s="75" t="e">
        <f>_xll.qlBlackFormula("Call",AM83,AM83,AN83*SQRT($A62),,,Trigger)</f>
        <v>#VALUE!</v>
      </c>
      <c r="AP83" s="93"/>
      <c r="AQ83" s="19" t="e">
        <f>_xll.qlIndexFixing(AQ$46,$A83,,Trigger)</f>
        <v>#NUM!</v>
      </c>
      <c r="AR83" s="22" t="e">
        <f>_xll.qlSwaptionVTSVolatility2(Vol,$B83,AQ$47,,,Trigger)</f>
        <v>#NUM!</v>
      </c>
      <c r="AS83" s="75" t="e">
        <f>_xll.qlBlackFormula("Call",AQ83,AQ83,AR83*SQRT($A62),,,Trigger)</f>
        <v>#VALUE!</v>
      </c>
      <c r="AU83" s="19" t="e">
        <f>_xll.qlIndexFixing(AU$46,$A83,,Trigger)</f>
        <v>#NUM!</v>
      </c>
      <c r="AV83" s="22" t="e">
        <f>_xll.qlSwaptionVTSVolatility2(Vol,$B83,AU$47,,,Trigger)</f>
        <v>#NUM!</v>
      </c>
      <c r="AW83" s="75" t="e">
        <f>_xll.qlBlackFormula("Call",AU83,AU83,AV83*SQRT($A62),,,Trigger)</f>
        <v>#VALUE!</v>
      </c>
      <c r="AX83" s="93"/>
      <c r="AY83" s="19" t="e">
        <f>_xll.qlIndexFixing(AY$46,$A83,,Trigger)</f>
        <v>#NUM!</v>
      </c>
      <c r="AZ83" s="22" t="e">
        <f>_xll.qlSwaptionVTSVolatility2(Vol,$B83,AY$47,,,Trigger)</f>
        <v>#NUM!</v>
      </c>
      <c r="BA83" s="75" t="e">
        <f>_xll.qlBlackFormula("Call",AY83,AY83,AZ83*SQRT($A62),,,Trigger)</f>
        <v>#VALUE!</v>
      </c>
      <c r="BB83" s="93"/>
      <c r="BC83" s="19" t="e">
        <f>_xll.qlIndexFixing(BC$46,$A83,,Trigger)</f>
        <v>#NUM!</v>
      </c>
      <c r="BD83" s="22" t="e">
        <f>_xll.qlSwaptionVTSVolatility2(Vol,$B83,BC$47,,,Trigger)</f>
        <v>#NUM!</v>
      </c>
      <c r="BE83" s="75" t="e">
        <f>_xll.qlBlackFormula("Call",BC83,BC83,BD83*SQRT($A62),,,Trigger)</f>
        <v>#VALUE!</v>
      </c>
      <c r="BG83" s="19" t="e">
        <f>_xll.qlIndexFixing(BG$46,$A83,,Trigger)</f>
        <v>#NUM!</v>
      </c>
      <c r="BH83" s="22" t="e">
        <f>_xll.qlSwaptionVTSVolatility2(Vol,$B83,BG$47,,,Trigger)</f>
        <v>#NUM!</v>
      </c>
      <c r="BI83" s="75" t="e">
        <f>_xll.qlBlackFormula("Call",BG83,BG83,BH83*SQRT($A62),,,Trigger)</f>
        <v>#VALUE!</v>
      </c>
      <c r="BJ83" s="93"/>
      <c r="BK83" s="19" t="e">
        <f>_xll.qlIndexFixing(BK$46,$A83,,Trigger)</f>
        <v>#NUM!</v>
      </c>
      <c r="BL83" s="22" t="e">
        <f>_xll.qlSwaptionVTSVolatility2(Vol,$B83,BK$47,,,Trigger)</f>
        <v>#NUM!</v>
      </c>
      <c r="BM83" s="75" t="e">
        <f>_xll.qlBlackFormula("Call",BK83,BK83,BL83*SQRT($A62),,,Trigger)</f>
        <v>#VALUE!</v>
      </c>
      <c r="BN83" s="93"/>
      <c r="BO83" s="19" t="e">
        <f>_xll.qlIndexFixing(BO$46,$A83,,Trigger)</f>
        <v>#NUM!</v>
      </c>
      <c r="BP83" s="22" t="e">
        <f>_xll.qlSwaptionVTSVolatility2(Vol,$B83,BO$47,,,Trigger)</f>
        <v>#NUM!</v>
      </c>
      <c r="BQ83" s="75" t="e">
        <f>_xll.qlBlackFormula("Call",BO83,BO83,BP83*SQRT($A62),,,Trigger)</f>
        <v>#VALUE!</v>
      </c>
      <c r="BR83" s="93"/>
      <c r="BS83" s="19" t="e">
        <f>_xll.qlIndexFixing(BS$46,$A83,,Trigger)</f>
        <v>#NUM!</v>
      </c>
      <c r="BT83" s="22" t="e">
        <f>_xll.qlSwaptionVTSVolatility2(Vol,$B83,BS$47,,,Trigger)</f>
        <v>#NUM!</v>
      </c>
      <c r="BU83" s="75" t="e">
        <f>_xll.qlBlackFormula("Call",BS83,BS83,BT83*SQRT($A62),,,Trigger)</f>
        <v>#VALUE!</v>
      </c>
      <c r="BV83" s="93"/>
      <c r="BW83" s="19" t="e">
        <f>_xll.qlIndexFixing(BW$46,$A83,,Trigger)</f>
        <v>#NUM!</v>
      </c>
      <c r="BX83" s="22" t="e">
        <f>_xll.qlSwaptionVTSVolatility2(Vol,$B83,BW$47,,,Trigger)</f>
        <v>#NUM!</v>
      </c>
      <c r="BY83" s="75" t="e">
        <f>_xll.qlBlackFormula("Call",BW83,BW83,BX83*SQRT($A62),,,Trigger)</f>
        <v>#VALUE!</v>
      </c>
      <c r="CA83" s="19" t="e">
        <f>_xll.qlIndexFixing(CA$46,$A83,,Trigger)</f>
        <v>#NUM!</v>
      </c>
      <c r="CB83" s="22" t="e">
        <f>_xll.qlSwaptionVTSVolatility2(Vol,$B83,CA$47,,,Trigger)</f>
        <v>#NUM!</v>
      </c>
      <c r="CC83" s="75" t="e">
        <f>_xll.qlBlackFormula("Call",CA83,CA83,CB83*SQRT($A62),,,Trigger)</f>
        <v>#VALUE!</v>
      </c>
      <c r="CD83" s="93"/>
      <c r="CE83" s="19" t="e">
        <f>_xll.qlIndexFixing(CE$46,$A83,,Trigger)</f>
        <v>#NUM!</v>
      </c>
      <c r="CF83" s="22" t="e">
        <f>_xll.qlSwaptionVTSVolatility2(Vol,$B83,CE$47,,,Trigger)</f>
        <v>#NUM!</v>
      </c>
      <c r="CG83" s="75" t="e">
        <f>_xll.qlBlackFormula("Call",CE83,CE83,CF83*SQRT($A62),,,Trigger)</f>
        <v>#VALUE!</v>
      </c>
      <c r="CH83" s="93"/>
      <c r="CI83" s="19" t="e">
        <f>_xll.qlIndexFixing(CI$46,$A83,,Trigger)</f>
        <v>#NUM!</v>
      </c>
      <c r="CJ83" s="22" t="e">
        <f>_xll.qlSwaptionVTSVolatility2(Vol,$B83,CI$47,,,Trigger)</f>
        <v>#NUM!</v>
      </c>
      <c r="CK83" s="75" t="e">
        <f>_xll.qlBlackFormula("Call",CI83,CI83,CJ83*SQRT($A62),,,Trigger)</f>
        <v>#VALUE!</v>
      </c>
      <c r="CL83" s="93"/>
      <c r="CM83" s="19" t="e">
        <f>_xll.qlIndexFixing(CM$46,$A83,,Trigger)</f>
        <v>#NUM!</v>
      </c>
      <c r="CN83" s="22" t="e">
        <f>_xll.qlSwaptionVTSVolatility2(Vol,$B83,CM$47,,,Trigger)</f>
        <v>#NUM!</v>
      </c>
      <c r="CO83" s="75" t="e">
        <f>_xll.qlBlackFormula("Call",CM83,CM83,CN83*SQRT($A62),,,Trigger)</f>
        <v>#VALUE!</v>
      </c>
      <c r="CP83" s="93"/>
      <c r="CQ83" s="19" t="e">
        <f>_xll.qlIndexFixing(CQ$46,$A83,,Trigger)</f>
        <v>#NUM!</v>
      </c>
      <c r="CR83" s="22" t="e">
        <f>_xll.qlSwaptionVTSVolatility2(Vol,$B83,CQ$47,,,Trigger)</f>
        <v>#NUM!</v>
      </c>
      <c r="CS83" s="75" t="e">
        <f>_xll.qlBlackFormula("Call",CQ83,CQ83,CR83*SQRT($A62),,,Trigger)</f>
        <v>#VALUE!</v>
      </c>
      <c r="CU83" s="19" t="e">
        <f>_xll.qlIndexFixing(CU$46,$A83,,Trigger)</f>
        <v>#NUM!</v>
      </c>
      <c r="CV83" s="22" t="e">
        <f>_xll.qlSwaptionVTSVolatility2(Vol,$B83,CU$47,,,Trigger)</f>
        <v>#NUM!</v>
      </c>
      <c r="CW83" s="75" t="e">
        <f>_xll.qlBlackFormula("Call",CU83,CU83,CV83*SQRT($A62),,,Trigger)</f>
        <v>#VALUE!</v>
      </c>
      <c r="CX83" s="93"/>
      <c r="CY83" s="19" t="e">
        <f>_xll.qlIndexFixing(CY$46,$A83,,Trigger)</f>
        <v>#NUM!</v>
      </c>
      <c r="CZ83" s="22" t="e">
        <f>_xll.qlSwaptionVTSVolatility2(Vol,$B83,CY$47,,,Trigger)</f>
        <v>#NUM!</v>
      </c>
      <c r="DA83" s="75" t="e">
        <f>_xll.qlBlackFormula("Call",CY83,CY83,CZ83*SQRT($A62),,,Trigger)</f>
        <v>#VALUE!</v>
      </c>
      <c r="DB83" s="93"/>
      <c r="DC83" s="19" t="e">
        <f>_xll.qlIndexFixing(DC$46,$A83,,Trigger)</f>
        <v>#NUM!</v>
      </c>
      <c r="DD83" s="22" t="e">
        <f>_xll.qlSwaptionVTSVolatility2(Vol,$B83,DC$47,,,Trigger)</f>
        <v>#NUM!</v>
      </c>
      <c r="DE83" s="75" t="e">
        <f>_xll.qlBlackFormula("Call",DC83,DC83,DD83*SQRT($A62),,,Trigger)</f>
        <v>#VALUE!</v>
      </c>
      <c r="DF83" s="93"/>
      <c r="DG83" s="19" t="e">
        <f>_xll.qlIndexFixing(DG$46,$A83,,Trigger)</f>
        <v>#NUM!</v>
      </c>
      <c r="DH83" s="22" t="e">
        <f>_xll.qlSwaptionVTSVolatility2(Vol,$B83,DG$47,,,Trigger)</f>
        <v>#NUM!</v>
      </c>
      <c r="DI83" s="75" t="e">
        <f>_xll.qlBlackFormula("Call",DG83,DG83,DH83*SQRT($A62),,,Trigger)</f>
        <v>#VALUE!</v>
      </c>
      <c r="DJ83" s="93"/>
      <c r="DK83" s="19" t="e">
        <f>_xll.qlIndexFixing(DK$46,$A83,,Trigger)</f>
        <v>#NUM!</v>
      </c>
      <c r="DL83" s="22" t="e">
        <f>_xll.qlSwaptionVTSVolatility2(Vol,$B83,DK$47,,,Trigger)</f>
        <v>#NUM!</v>
      </c>
      <c r="DM83" s="75" t="e">
        <f>_xll.qlBlackFormula("Call",DK83,DK83,DL83*SQRT($A62),,,Trigger)</f>
        <v>#VALUE!</v>
      </c>
      <c r="DO83" s="19" t="e">
        <f>_xll.qlIndexFixing(DO$46,$A83,,Trigger)</f>
        <v>#NUM!</v>
      </c>
      <c r="DP83" s="22" t="e">
        <f>_xll.qlSwaptionVTSVolatility2(Vol,$B83,DO$47,,,Trigger)</f>
        <v>#NUM!</v>
      </c>
      <c r="DQ83" s="75" t="e">
        <f>_xll.qlBlackFormula("Call",DO83,DO83,DP83*SQRT($A62),,,Trigger)</f>
        <v>#VALUE!</v>
      </c>
    </row>
    <row r="84" spans="1:121" x14ac:dyDescent="0.2">
      <c r="A84" s="100" t="e">
        <v>#NUM!</v>
      </c>
      <c r="B84" s="15" t="s">
        <v>55</v>
      </c>
      <c r="C84" s="19" t="e">
        <f>_xll.qlIndexFixing(C$46,$A84,,Trigger)</f>
        <v>#NUM!</v>
      </c>
      <c r="D84" s="22" t="e">
        <f>_xll.qlSwaptionVTSVolatility2(Vol,$B84,C$47,,,Trigger)</f>
        <v>#NUM!</v>
      </c>
      <c r="E84" s="75" t="e">
        <f>_xll.qlBlackFormula("Call",C84,C84,D84*SQRT($A63),,,Trigger)</f>
        <v>#VALUE!</v>
      </c>
      <c r="G84" s="19" t="e">
        <f>_xll.qlIndexFixing(G$46,$A84,,Trigger)</f>
        <v>#NUM!</v>
      </c>
      <c r="H84" s="22" t="e">
        <f>_xll.qlSwaptionVTSVolatility2(Vol,$B84,G$47,,,Trigger)</f>
        <v>#NUM!</v>
      </c>
      <c r="I84" s="75" t="e">
        <f>_xll.qlBlackFormula("Call",G84,G84,H84*SQRT($A63),,,Trigger)</f>
        <v>#VALUE!</v>
      </c>
      <c r="K84" s="19" t="e">
        <f>_xll.qlIndexFixing(K$46,$A84,,Trigger)</f>
        <v>#NUM!</v>
      </c>
      <c r="L84" s="22" t="e">
        <f>_xll.qlSwaptionVTSVolatility2(Vol,$B84,K$47,,,Trigger)</f>
        <v>#NUM!</v>
      </c>
      <c r="M84" s="75" t="e">
        <f>_xll.qlBlackFormula("Call",K84,K84,L84*SQRT($A63),,,Trigger)</f>
        <v>#VALUE!</v>
      </c>
      <c r="O84" s="19" t="e">
        <f>_xll.qlIndexFixing(O$46,$A84,,Trigger)</f>
        <v>#NUM!</v>
      </c>
      <c r="P84" s="22" t="e">
        <f>_xll.qlSwaptionVTSVolatility2(Vol,$B84,O$47,,,Trigger)</f>
        <v>#NUM!</v>
      </c>
      <c r="Q84" s="75" t="e">
        <f>_xll.qlBlackFormula("Call",O84,O84,P84*SQRT($A63),,,Trigger)</f>
        <v>#VALUE!</v>
      </c>
      <c r="S84" s="19" t="e">
        <f>_xll.qlIndexFixing(S$46,$A84,,Trigger)</f>
        <v>#NUM!</v>
      </c>
      <c r="T84" s="22" t="e">
        <f>_xll.qlSwaptionVTSVolatility2(Vol,$B84,S$47,,,Trigger)</f>
        <v>#NUM!</v>
      </c>
      <c r="U84" s="75" t="e">
        <f>_xll.qlBlackFormula("Call",S84,S84,T84*SQRT($A63),,,Trigger)</f>
        <v>#VALUE!</v>
      </c>
      <c r="W84" s="19" t="e">
        <f>_xll.qlIndexFixing(W$46,$A84,,Trigger)</f>
        <v>#NUM!</v>
      </c>
      <c r="X84" s="22" t="e">
        <f>_xll.qlSwaptionVTSVolatility2(Vol,$B84,W$47,,,Trigger)</f>
        <v>#NUM!</v>
      </c>
      <c r="Y84" s="75" t="e">
        <f>_xll.qlBlackFormula("Call",W84,W84,X84*SQRT($A63),,,Trigger)</f>
        <v>#VALUE!</v>
      </c>
      <c r="AA84" s="19" t="e">
        <f>_xll.qlIndexFixing(AA$46,$A84,,Trigger)</f>
        <v>#NUM!</v>
      </c>
      <c r="AB84" s="22" t="e">
        <f>_xll.qlSwaptionVTSVolatility2(Vol,$B84,AA$47,,,Trigger)</f>
        <v>#NUM!</v>
      </c>
      <c r="AC84" s="75" t="e">
        <f>_xll.qlBlackFormula("Call",AA84,AA84,AB84*SQRT($A63),,,Trigger)</f>
        <v>#VALUE!</v>
      </c>
      <c r="AE84" s="19" t="e">
        <f>_xll.qlIndexFixing(AE$46,$A84,,Trigger)</f>
        <v>#NUM!</v>
      </c>
      <c r="AF84" s="22" t="e">
        <f>_xll.qlSwaptionVTSVolatility2(Vol,$B84,AE$47,,,Trigger)</f>
        <v>#NUM!</v>
      </c>
      <c r="AG84" s="75" t="e">
        <f>_xll.qlBlackFormula("Call",AE84,AE84,AF84*SQRT($A63),,,Trigger)</f>
        <v>#VALUE!</v>
      </c>
      <c r="AI84" s="19" t="e">
        <f>_xll.qlIndexFixing(AI$46,$A84,,Trigger)</f>
        <v>#NUM!</v>
      </c>
      <c r="AJ84" s="22" t="e">
        <f>_xll.qlSwaptionVTSVolatility2(Vol,$B84,AI$47,,,Trigger)</f>
        <v>#NUM!</v>
      </c>
      <c r="AK84" s="75" t="e">
        <f>_xll.qlBlackFormula("Call",AI84,AI84,AJ84*SQRT($A63),,,Trigger)</f>
        <v>#VALUE!</v>
      </c>
      <c r="AM84" s="19" t="e">
        <f>_xll.qlIndexFixing(AM$46,$A84,,Trigger)</f>
        <v>#NUM!</v>
      </c>
      <c r="AN84" s="22" t="e">
        <f>_xll.qlSwaptionVTSVolatility2(Vol,$B84,AM$47,,,Trigger)</f>
        <v>#NUM!</v>
      </c>
      <c r="AO84" s="75" t="e">
        <f>_xll.qlBlackFormula("Call",AM84,AM84,AN84*SQRT($A63),,,Trigger)</f>
        <v>#VALUE!</v>
      </c>
      <c r="AP84" s="93"/>
      <c r="AQ84" s="19" t="e">
        <f>_xll.qlIndexFixing(AQ$46,$A84,,Trigger)</f>
        <v>#NUM!</v>
      </c>
      <c r="AR84" s="22" t="e">
        <f>_xll.qlSwaptionVTSVolatility2(Vol,$B84,AQ$47,,,Trigger)</f>
        <v>#NUM!</v>
      </c>
      <c r="AS84" s="75" t="e">
        <f>_xll.qlBlackFormula("Call",AQ84,AQ84,AR84*SQRT($A63),,,Trigger)</f>
        <v>#VALUE!</v>
      </c>
      <c r="AU84" s="19" t="e">
        <f>_xll.qlIndexFixing(AU$46,$A84,,Trigger)</f>
        <v>#NUM!</v>
      </c>
      <c r="AV84" s="22" t="e">
        <f>_xll.qlSwaptionVTSVolatility2(Vol,$B84,AU$47,,,Trigger)</f>
        <v>#NUM!</v>
      </c>
      <c r="AW84" s="75" t="e">
        <f>_xll.qlBlackFormula("Call",AU84,AU84,AV84*SQRT($A63),,,Trigger)</f>
        <v>#VALUE!</v>
      </c>
      <c r="AX84" s="93"/>
      <c r="AY84" s="19" t="e">
        <f>_xll.qlIndexFixing(AY$46,$A84,,Trigger)</f>
        <v>#NUM!</v>
      </c>
      <c r="AZ84" s="22" t="e">
        <f>_xll.qlSwaptionVTSVolatility2(Vol,$B84,AY$47,,,Trigger)</f>
        <v>#NUM!</v>
      </c>
      <c r="BA84" s="75" t="e">
        <f>_xll.qlBlackFormula("Call",AY84,AY84,AZ84*SQRT($A63),,,Trigger)</f>
        <v>#VALUE!</v>
      </c>
      <c r="BB84" s="93"/>
      <c r="BC84" s="19" t="e">
        <f>_xll.qlIndexFixing(BC$46,$A84,,Trigger)</f>
        <v>#NUM!</v>
      </c>
      <c r="BD84" s="22" t="e">
        <f>_xll.qlSwaptionVTSVolatility2(Vol,$B84,BC$47,,,Trigger)</f>
        <v>#NUM!</v>
      </c>
      <c r="BE84" s="75" t="e">
        <f>_xll.qlBlackFormula("Call",BC84,BC84,BD84*SQRT($A63),,,Trigger)</f>
        <v>#VALUE!</v>
      </c>
      <c r="BG84" s="19" t="e">
        <f>_xll.qlIndexFixing(BG$46,$A84,,Trigger)</f>
        <v>#NUM!</v>
      </c>
      <c r="BH84" s="22" t="e">
        <f>_xll.qlSwaptionVTSVolatility2(Vol,$B84,BG$47,,,Trigger)</f>
        <v>#NUM!</v>
      </c>
      <c r="BI84" s="75" t="e">
        <f>_xll.qlBlackFormula("Call",BG84,BG84,BH84*SQRT($A63),,,Trigger)</f>
        <v>#VALUE!</v>
      </c>
      <c r="BJ84" s="93"/>
      <c r="BK84" s="19" t="e">
        <f>_xll.qlIndexFixing(BK$46,$A84,,Trigger)</f>
        <v>#NUM!</v>
      </c>
      <c r="BL84" s="22" t="e">
        <f>_xll.qlSwaptionVTSVolatility2(Vol,$B84,BK$47,,,Trigger)</f>
        <v>#NUM!</v>
      </c>
      <c r="BM84" s="75" t="e">
        <f>_xll.qlBlackFormula("Call",BK84,BK84,BL84*SQRT($A63),,,Trigger)</f>
        <v>#VALUE!</v>
      </c>
      <c r="BN84" s="93"/>
      <c r="BO84" s="19" t="e">
        <f>_xll.qlIndexFixing(BO$46,$A84,,Trigger)</f>
        <v>#NUM!</v>
      </c>
      <c r="BP84" s="22" t="e">
        <f>_xll.qlSwaptionVTSVolatility2(Vol,$B84,BO$47,,,Trigger)</f>
        <v>#NUM!</v>
      </c>
      <c r="BQ84" s="75" t="e">
        <f>_xll.qlBlackFormula("Call",BO84,BO84,BP84*SQRT($A63),,,Trigger)</f>
        <v>#VALUE!</v>
      </c>
      <c r="BR84" s="93"/>
      <c r="BS84" s="19" t="e">
        <f>_xll.qlIndexFixing(BS$46,$A84,,Trigger)</f>
        <v>#NUM!</v>
      </c>
      <c r="BT84" s="22" t="e">
        <f>_xll.qlSwaptionVTSVolatility2(Vol,$B84,BS$47,,,Trigger)</f>
        <v>#NUM!</v>
      </c>
      <c r="BU84" s="75" t="e">
        <f>_xll.qlBlackFormula("Call",BS84,BS84,BT84*SQRT($A63),,,Trigger)</f>
        <v>#VALUE!</v>
      </c>
      <c r="BV84" s="93"/>
      <c r="BW84" s="19" t="e">
        <f>_xll.qlIndexFixing(BW$46,$A84,,Trigger)</f>
        <v>#NUM!</v>
      </c>
      <c r="BX84" s="22" t="e">
        <f>_xll.qlSwaptionVTSVolatility2(Vol,$B84,BW$47,,,Trigger)</f>
        <v>#NUM!</v>
      </c>
      <c r="BY84" s="75" t="e">
        <f>_xll.qlBlackFormula("Call",BW84,BW84,BX84*SQRT($A63),,,Trigger)</f>
        <v>#VALUE!</v>
      </c>
      <c r="CA84" s="19" t="e">
        <f>_xll.qlIndexFixing(CA$46,$A84,,Trigger)</f>
        <v>#NUM!</v>
      </c>
      <c r="CB84" s="22" t="e">
        <f>_xll.qlSwaptionVTSVolatility2(Vol,$B84,CA$47,,,Trigger)</f>
        <v>#NUM!</v>
      </c>
      <c r="CC84" s="75" t="e">
        <f>_xll.qlBlackFormula("Call",CA84,CA84,CB84*SQRT($A63),,,Trigger)</f>
        <v>#VALUE!</v>
      </c>
      <c r="CD84" s="93"/>
      <c r="CE84" s="19" t="e">
        <f>_xll.qlIndexFixing(CE$46,$A84,,Trigger)</f>
        <v>#NUM!</v>
      </c>
      <c r="CF84" s="22" t="e">
        <f>_xll.qlSwaptionVTSVolatility2(Vol,$B84,CE$47,,,Trigger)</f>
        <v>#NUM!</v>
      </c>
      <c r="CG84" s="75" t="e">
        <f>_xll.qlBlackFormula("Call",CE84,CE84,CF84*SQRT($A63),,,Trigger)</f>
        <v>#VALUE!</v>
      </c>
      <c r="CH84" s="93"/>
      <c r="CI84" s="19" t="e">
        <f>_xll.qlIndexFixing(CI$46,$A84,,Trigger)</f>
        <v>#NUM!</v>
      </c>
      <c r="CJ84" s="22" t="e">
        <f>_xll.qlSwaptionVTSVolatility2(Vol,$B84,CI$47,,,Trigger)</f>
        <v>#NUM!</v>
      </c>
      <c r="CK84" s="75" t="e">
        <f>_xll.qlBlackFormula("Call",CI84,CI84,CJ84*SQRT($A63),,,Trigger)</f>
        <v>#VALUE!</v>
      </c>
      <c r="CL84" s="93"/>
      <c r="CM84" s="19" t="e">
        <f>_xll.qlIndexFixing(CM$46,$A84,,Trigger)</f>
        <v>#NUM!</v>
      </c>
      <c r="CN84" s="22" t="e">
        <f>_xll.qlSwaptionVTSVolatility2(Vol,$B84,CM$47,,,Trigger)</f>
        <v>#NUM!</v>
      </c>
      <c r="CO84" s="75" t="e">
        <f>_xll.qlBlackFormula("Call",CM84,CM84,CN84*SQRT($A63),,,Trigger)</f>
        <v>#VALUE!</v>
      </c>
      <c r="CP84" s="93"/>
      <c r="CQ84" s="19" t="e">
        <f>_xll.qlIndexFixing(CQ$46,$A84,,Trigger)</f>
        <v>#NUM!</v>
      </c>
      <c r="CR84" s="22" t="e">
        <f>_xll.qlSwaptionVTSVolatility2(Vol,$B84,CQ$47,,,Trigger)</f>
        <v>#NUM!</v>
      </c>
      <c r="CS84" s="75" t="e">
        <f>_xll.qlBlackFormula("Call",CQ84,CQ84,CR84*SQRT($A63),,,Trigger)</f>
        <v>#VALUE!</v>
      </c>
      <c r="CU84" s="19" t="e">
        <f>_xll.qlIndexFixing(CU$46,$A84,,Trigger)</f>
        <v>#NUM!</v>
      </c>
      <c r="CV84" s="22" t="e">
        <f>_xll.qlSwaptionVTSVolatility2(Vol,$B84,CU$47,,,Trigger)</f>
        <v>#NUM!</v>
      </c>
      <c r="CW84" s="75" t="e">
        <f>_xll.qlBlackFormula("Call",CU84,CU84,CV84*SQRT($A63),,,Trigger)</f>
        <v>#VALUE!</v>
      </c>
      <c r="CX84" s="93"/>
      <c r="CY84" s="19" t="e">
        <f>_xll.qlIndexFixing(CY$46,$A84,,Trigger)</f>
        <v>#NUM!</v>
      </c>
      <c r="CZ84" s="22" t="e">
        <f>_xll.qlSwaptionVTSVolatility2(Vol,$B84,CY$47,,,Trigger)</f>
        <v>#NUM!</v>
      </c>
      <c r="DA84" s="75" t="e">
        <f>_xll.qlBlackFormula("Call",CY84,CY84,CZ84*SQRT($A63),,,Trigger)</f>
        <v>#VALUE!</v>
      </c>
      <c r="DB84" s="93"/>
      <c r="DC84" s="19" t="e">
        <f>_xll.qlIndexFixing(DC$46,$A84,,Trigger)</f>
        <v>#NUM!</v>
      </c>
      <c r="DD84" s="22" t="e">
        <f>_xll.qlSwaptionVTSVolatility2(Vol,$B84,DC$47,,,Trigger)</f>
        <v>#NUM!</v>
      </c>
      <c r="DE84" s="75" t="e">
        <f>_xll.qlBlackFormula("Call",DC84,DC84,DD84*SQRT($A63),,,Trigger)</f>
        <v>#VALUE!</v>
      </c>
      <c r="DF84" s="93"/>
      <c r="DG84" s="19" t="e">
        <f>_xll.qlIndexFixing(DG$46,$A84,,Trigger)</f>
        <v>#NUM!</v>
      </c>
      <c r="DH84" s="22" t="e">
        <f>_xll.qlSwaptionVTSVolatility2(Vol,$B84,DG$47,,,Trigger)</f>
        <v>#NUM!</v>
      </c>
      <c r="DI84" s="75" t="e">
        <f>_xll.qlBlackFormula("Call",DG84,DG84,DH84*SQRT($A63),,,Trigger)</f>
        <v>#VALUE!</v>
      </c>
      <c r="DJ84" s="93"/>
      <c r="DK84" s="19" t="e">
        <f>_xll.qlIndexFixing(DK$46,$A84,,Trigger)</f>
        <v>#NUM!</v>
      </c>
      <c r="DL84" s="22" t="e">
        <f>_xll.qlSwaptionVTSVolatility2(Vol,$B84,DK$47,,,Trigger)</f>
        <v>#NUM!</v>
      </c>
      <c r="DM84" s="75" t="e">
        <f>_xll.qlBlackFormula("Call",DK84,DK84,DL84*SQRT($A63),,,Trigger)</f>
        <v>#VALUE!</v>
      </c>
      <c r="DO84" s="19" t="e">
        <f>_xll.qlIndexFixing(DO$46,$A84,,Trigger)</f>
        <v>#NUM!</v>
      </c>
      <c r="DP84" s="22" t="e">
        <f>_xll.qlSwaptionVTSVolatility2(Vol,$B84,DO$47,,,Trigger)</f>
        <v>#NUM!</v>
      </c>
      <c r="DQ84" s="75" t="e">
        <f>_xll.qlBlackFormula("Call",DO84,DO84,DP84*SQRT($A63),,,Trigger)</f>
        <v>#VALUE!</v>
      </c>
    </row>
    <row r="85" spans="1:121" x14ac:dyDescent="0.2">
      <c r="A85" s="100" t="e">
        <v>#NUM!</v>
      </c>
      <c r="B85" s="15" t="s">
        <v>33</v>
      </c>
      <c r="C85" s="19" t="e">
        <f>_xll.qlIndexFixing(C$46,$A85,,Trigger)</f>
        <v>#NUM!</v>
      </c>
      <c r="D85" s="22" t="e">
        <f>_xll.qlSwaptionVTSVolatility2(Vol,$B85,C$47,,,Trigger)</f>
        <v>#NUM!</v>
      </c>
      <c r="E85" s="75" t="e">
        <f>_xll.qlBlackFormula("Call",C85,C85,D85*SQRT($A64),,,Trigger)</f>
        <v>#VALUE!</v>
      </c>
      <c r="G85" s="19" t="e">
        <f>_xll.qlIndexFixing(G$46,$A85,,Trigger)</f>
        <v>#NUM!</v>
      </c>
      <c r="H85" s="22" t="e">
        <f>_xll.qlSwaptionVTSVolatility2(Vol,$B85,G$47,,,Trigger)</f>
        <v>#NUM!</v>
      </c>
      <c r="I85" s="75" t="e">
        <f>_xll.qlBlackFormula("Call",G85,G85,H85*SQRT($A64),,,Trigger)</f>
        <v>#VALUE!</v>
      </c>
      <c r="K85" s="19" t="e">
        <f>_xll.qlIndexFixing(K$46,$A85,,Trigger)</f>
        <v>#NUM!</v>
      </c>
      <c r="L85" s="22" t="e">
        <f>_xll.qlSwaptionVTSVolatility2(Vol,$B85,K$47,,,Trigger)</f>
        <v>#NUM!</v>
      </c>
      <c r="M85" s="75" t="e">
        <f>_xll.qlBlackFormula("Call",K85,K85,L85*SQRT($A64),,,Trigger)</f>
        <v>#VALUE!</v>
      </c>
      <c r="O85" s="19" t="e">
        <f>_xll.qlIndexFixing(O$46,$A85,,Trigger)</f>
        <v>#NUM!</v>
      </c>
      <c r="P85" s="22" t="e">
        <f>_xll.qlSwaptionVTSVolatility2(Vol,$B85,O$47,,,Trigger)</f>
        <v>#NUM!</v>
      </c>
      <c r="Q85" s="75" t="e">
        <f>_xll.qlBlackFormula("Call",O85,O85,P85*SQRT($A64),,,Trigger)</f>
        <v>#VALUE!</v>
      </c>
      <c r="S85" s="19" t="e">
        <f>_xll.qlIndexFixing(S$46,$A85,,Trigger)</f>
        <v>#NUM!</v>
      </c>
      <c r="T85" s="22" t="e">
        <f>_xll.qlSwaptionVTSVolatility2(Vol,$B85,S$47,,,Trigger)</f>
        <v>#NUM!</v>
      </c>
      <c r="U85" s="75" t="e">
        <f>_xll.qlBlackFormula("Call",S85,S85,T85*SQRT($A64),,,Trigger)</f>
        <v>#VALUE!</v>
      </c>
      <c r="W85" s="19" t="e">
        <f>_xll.qlIndexFixing(W$46,$A85,,Trigger)</f>
        <v>#NUM!</v>
      </c>
      <c r="X85" s="22" t="e">
        <f>_xll.qlSwaptionVTSVolatility2(Vol,$B85,W$47,,,Trigger)</f>
        <v>#NUM!</v>
      </c>
      <c r="Y85" s="75" t="e">
        <f>_xll.qlBlackFormula("Call",W85,W85,X85*SQRT($A64),,,Trigger)</f>
        <v>#VALUE!</v>
      </c>
      <c r="AA85" s="19" t="e">
        <f>_xll.qlIndexFixing(AA$46,$A85,,Trigger)</f>
        <v>#NUM!</v>
      </c>
      <c r="AB85" s="22" t="e">
        <f>_xll.qlSwaptionVTSVolatility2(Vol,$B85,AA$47,,,Trigger)</f>
        <v>#NUM!</v>
      </c>
      <c r="AC85" s="75" t="e">
        <f>_xll.qlBlackFormula("Call",AA85,AA85,AB85*SQRT($A64),,,Trigger)</f>
        <v>#VALUE!</v>
      </c>
      <c r="AE85" s="19" t="e">
        <f>_xll.qlIndexFixing(AE$46,$A85,,Trigger)</f>
        <v>#NUM!</v>
      </c>
      <c r="AF85" s="22" t="e">
        <f>_xll.qlSwaptionVTSVolatility2(Vol,$B85,AE$47,,,Trigger)</f>
        <v>#NUM!</v>
      </c>
      <c r="AG85" s="75" t="e">
        <f>_xll.qlBlackFormula("Call",AE85,AE85,AF85*SQRT($A64),,,Trigger)</f>
        <v>#VALUE!</v>
      </c>
      <c r="AI85" s="19" t="e">
        <f>_xll.qlIndexFixing(AI$46,$A85,,Trigger)</f>
        <v>#NUM!</v>
      </c>
      <c r="AJ85" s="22" t="e">
        <f>_xll.qlSwaptionVTSVolatility2(Vol,$B85,AI$47,,,Trigger)</f>
        <v>#NUM!</v>
      </c>
      <c r="AK85" s="75" t="e">
        <f>_xll.qlBlackFormula("Call",AI85,AI85,AJ85*SQRT($A64),,,Trigger)</f>
        <v>#VALUE!</v>
      </c>
      <c r="AM85" s="19" t="e">
        <f>_xll.qlIndexFixing(AM$46,$A85,,Trigger)</f>
        <v>#NUM!</v>
      </c>
      <c r="AN85" s="22" t="e">
        <f>_xll.qlSwaptionVTSVolatility2(Vol,$B85,AM$47,,,Trigger)</f>
        <v>#NUM!</v>
      </c>
      <c r="AO85" s="75" t="e">
        <f>_xll.qlBlackFormula("Call",AM85,AM85,AN85*SQRT($A64),,,Trigger)</f>
        <v>#VALUE!</v>
      </c>
      <c r="AP85" s="93"/>
      <c r="AQ85" s="19" t="e">
        <f>_xll.qlIndexFixing(AQ$46,$A85,,Trigger)</f>
        <v>#NUM!</v>
      </c>
      <c r="AR85" s="22" t="e">
        <f>_xll.qlSwaptionVTSVolatility2(Vol,$B85,AQ$47,,,Trigger)</f>
        <v>#NUM!</v>
      </c>
      <c r="AS85" s="75" t="e">
        <f>_xll.qlBlackFormula("Call",AQ85,AQ85,AR85*SQRT($A64),,,Trigger)</f>
        <v>#VALUE!</v>
      </c>
      <c r="AU85" s="19" t="e">
        <f>_xll.qlIndexFixing(AU$46,$A85,,Trigger)</f>
        <v>#NUM!</v>
      </c>
      <c r="AV85" s="22" t="e">
        <f>_xll.qlSwaptionVTSVolatility2(Vol,$B85,AU$47,,,Trigger)</f>
        <v>#NUM!</v>
      </c>
      <c r="AW85" s="75" t="e">
        <f>_xll.qlBlackFormula("Call",AU85,AU85,AV85*SQRT($A64),,,Trigger)</f>
        <v>#VALUE!</v>
      </c>
      <c r="AX85" s="93"/>
      <c r="AY85" s="19" t="e">
        <f>_xll.qlIndexFixing(AY$46,$A85,,Trigger)</f>
        <v>#NUM!</v>
      </c>
      <c r="AZ85" s="22" t="e">
        <f>_xll.qlSwaptionVTSVolatility2(Vol,$B85,AY$47,,,Trigger)</f>
        <v>#NUM!</v>
      </c>
      <c r="BA85" s="75" t="e">
        <f>_xll.qlBlackFormula("Call",AY85,AY85,AZ85*SQRT($A64),,,Trigger)</f>
        <v>#VALUE!</v>
      </c>
      <c r="BB85" s="93"/>
      <c r="BC85" s="19" t="e">
        <f>_xll.qlIndexFixing(BC$46,$A85,,Trigger)</f>
        <v>#NUM!</v>
      </c>
      <c r="BD85" s="22" t="e">
        <f>_xll.qlSwaptionVTSVolatility2(Vol,$B85,BC$47,,,Trigger)</f>
        <v>#NUM!</v>
      </c>
      <c r="BE85" s="75" t="e">
        <f>_xll.qlBlackFormula("Call",BC85,BC85,BD85*SQRT($A64),,,Trigger)</f>
        <v>#VALUE!</v>
      </c>
      <c r="BG85" s="19" t="e">
        <f>_xll.qlIndexFixing(BG$46,$A85,,Trigger)</f>
        <v>#NUM!</v>
      </c>
      <c r="BH85" s="22" t="e">
        <f>_xll.qlSwaptionVTSVolatility2(Vol,$B85,BG$47,,,Trigger)</f>
        <v>#NUM!</v>
      </c>
      <c r="BI85" s="75" t="e">
        <f>_xll.qlBlackFormula("Call",BG85,BG85,BH85*SQRT($A64),,,Trigger)</f>
        <v>#VALUE!</v>
      </c>
      <c r="BJ85" s="93"/>
      <c r="BK85" s="19" t="e">
        <f>_xll.qlIndexFixing(BK$46,$A85,,Trigger)</f>
        <v>#NUM!</v>
      </c>
      <c r="BL85" s="22" t="e">
        <f>_xll.qlSwaptionVTSVolatility2(Vol,$B85,BK$47,,,Trigger)</f>
        <v>#NUM!</v>
      </c>
      <c r="BM85" s="75" t="e">
        <f>_xll.qlBlackFormula("Call",BK85,BK85,BL85*SQRT($A64),,,Trigger)</f>
        <v>#VALUE!</v>
      </c>
      <c r="BN85" s="93"/>
      <c r="BO85" s="19" t="e">
        <f>_xll.qlIndexFixing(BO$46,$A85,,Trigger)</f>
        <v>#NUM!</v>
      </c>
      <c r="BP85" s="22" t="e">
        <f>_xll.qlSwaptionVTSVolatility2(Vol,$B85,BO$47,,,Trigger)</f>
        <v>#NUM!</v>
      </c>
      <c r="BQ85" s="75" t="e">
        <f>_xll.qlBlackFormula("Call",BO85,BO85,BP85*SQRT($A64),,,Trigger)</f>
        <v>#VALUE!</v>
      </c>
      <c r="BR85" s="93"/>
      <c r="BS85" s="19" t="e">
        <f>_xll.qlIndexFixing(BS$46,$A85,,Trigger)</f>
        <v>#NUM!</v>
      </c>
      <c r="BT85" s="22" t="e">
        <f>_xll.qlSwaptionVTSVolatility2(Vol,$B85,BS$47,,,Trigger)</f>
        <v>#NUM!</v>
      </c>
      <c r="BU85" s="75" t="e">
        <f>_xll.qlBlackFormula("Call",BS85,BS85,BT85*SQRT($A64),,,Trigger)</f>
        <v>#VALUE!</v>
      </c>
      <c r="BV85" s="93"/>
      <c r="BW85" s="19" t="e">
        <f>_xll.qlIndexFixing(BW$46,$A85,,Trigger)</f>
        <v>#NUM!</v>
      </c>
      <c r="BX85" s="22" t="e">
        <f>_xll.qlSwaptionVTSVolatility2(Vol,$B85,BW$47,,,Trigger)</f>
        <v>#NUM!</v>
      </c>
      <c r="BY85" s="75" t="e">
        <f>_xll.qlBlackFormula("Call",BW85,BW85,BX85*SQRT($A64),,,Trigger)</f>
        <v>#VALUE!</v>
      </c>
      <c r="CA85" s="19" t="e">
        <f>_xll.qlIndexFixing(CA$46,$A85,,Trigger)</f>
        <v>#NUM!</v>
      </c>
      <c r="CB85" s="22" t="e">
        <f>_xll.qlSwaptionVTSVolatility2(Vol,$B85,CA$47,,,Trigger)</f>
        <v>#NUM!</v>
      </c>
      <c r="CC85" s="75" t="e">
        <f>_xll.qlBlackFormula("Call",CA85,CA85,CB85*SQRT($A64),,,Trigger)</f>
        <v>#VALUE!</v>
      </c>
      <c r="CD85" s="93"/>
      <c r="CE85" s="19" t="e">
        <f>_xll.qlIndexFixing(CE$46,$A85,,Trigger)</f>
        <v>#NUM!</v>
      </c>
      <c r="CF85" s="22" t="e">
        <f>_xll.qlSwaptionVTSVolatility2(Vol,$B85,CE$47,,,Trigger)</f>
        <v>#NUM!</v>
      </c>
      <c r="CG85" s="75" t="e">
        <f>_xll.qlBlackFormula("Call",CE85,CE85,CF85*SQRT($A64),,,Trigger)</f>
        <v>#VALUE!</v>
      </c>
      <c r="CH85" s="93"/>
      <c r="CI85" s="19" t="e">
        <f>_xll.qlIndexFixing(CI$46,$A85,,Trigger)</f>
        <v>#NUM!</v>
      </c>
      <c r="CJ85" s="22" t="e">
        <f>_xll.qlSwaptionVTSVolatility2(Vol,$B85,CI$47,,,Trigger)</f>
        <v>#NUM!</v>
      </c>
      <c r="CK85" s="75" t="e">
        <f>_xll.qlBlackFormula("Call",CI85,CI85,CJ85*SQRT($A64),,,Trigger)</f>
        <v>#VALUE!</v>
      </c>
      <c r="CL85" s="93"/>
      <c r="CM85" s="19" t="e">
        <f>_xll.qlIndexFixing(CM$46,$A85,,Trigger)</f>
        <v>#NUM!</v>
      </c>
      <c r="CN85" s="22" t="e">
        <f>_xll.qlSwaptionVTSVolatility2(Vol,$B85,CM$47,,,Trigger)</f>
        <v>#NUM!</v>
      </c>
      <c r="CO85" s="75" t="e">
        <f>_xll.qlBlackFormula("Call",CM85,CM85,CN85*SQRT($A64),,,Trigger)</f>
        <v>#VALUE!</v>
      </c>
      <c r="CP85" s="93"/>
      <c r="CQ85" s="19" t="e">
        <f>_xll.qlIndexFixing(CQ$46,$A85,,Trigger)</f>
        <v>#NUM!</v>
      </c>
      <c r="CR85" s="22" t="e">
        <f>_xll.qlSwaptionVTSVolatility2(Vol,$B85,CQ$47,,,Trigger)</f>
        <v>#NUM!</v>
      </c>
      <c r="CS85" s="75" t="e">
        <f>_xll.qlBlackFormula("Call",CQ85,CQ85,CR85*SQRT($A64),,,Trigger)</f>
        <v>#VALUE!</v>
      </c>
      <c r="CU85" s="19" t="e">
        <f>_xll.qlIndexFixing(CU$46,$A85,,Trigger)</f>
        <v>#NUM!</v>
      </c>
      <c r="CV85" s="22" t="e">
        <f>_xll.qlSwaptionVTSVolatility2(Vol,$B85,CU$47,,,Trigger)</f>
        <v>#NUM!</v>
      </c>
      <c r="CW85" s="75" t="e">
        <f>_xll.qlBlackFormula("Call",CU85,CU85,CV85*SQRT($A64),,,Trigger)</f>
        <v>#VALUE!</v>
      </c>
      <c r="CX85" s="93"/>
      <c r="CY85" s="19" t="e">
        <f>_xll.qlIndexFixing(CY$46,$A85,,Trigger)</f>
        <v>#NUM!</v>
      </c>
      <c r="CZ85" s="22" t="e">
        <f>_xll.qlSwaptionVTSVolatility2(Vol,$B85,CY$47,,,Trigger)</f>
        <v>#NUM!</v>
      </c>
      <c r="DA85" s="75" t="e">
        <f>_xll.qlBlackFormula("Call",CY85,CY85,CZ85*SQRT($A64),,,Trigger)</f>
        <v>#VALUE!</v>
      </c>
      <c r="DB85" s="93"/>
      <c r="DC85" s="19" t="e">
        <f>_xll.qlIndexFixing(DC$46,$A85,,Trigger)</f>
        <v>#NUM!</v>
      </c>
      <c r="DD85" s="22" t="e">
        <f>_xll.qlSwaptionVTSVolatility2(Vol,$B85,DC$47,,,Trigger)</f>
        <v>#NUM!</v>
      </c>
      <c r="DE85" s="75" t="e">
        <f>_xll.qlBlackFormula("Call",DC85,DC85,DD85*SQRT($A64),,,Trigger)</f>
        <v>#VALUE!</v>
      </c>
      <c r="DF85" s="93"/>
      <c r="DG85" s="19" t="e">
        <f>_xll.qlIndexFixing(DG$46,$A85,,Trigger)</f>
        <v>#NUM!</v>
      </c>
      <c r="DH85" s="22" t="e">
        <f>_xll.qlSwaptionVTSVolatility2(Vol,$B85,DG$47,,,Trigger)</f>
        <v>#NUM!</v>
      </c>
      <c r="DI85" s="75" t="e">
        <f>_xll.qlBlackFormula("Call",DG85,DG85,DH85*SQRT($A64),,,Trigger)</f>
        <v>#VALUE!</v>
      </c>
      <c r="DJ85" s="93"/>
      <c r="DK85" s="19" t="e">
        <f>_xll.qlIndexFixing(DK$46,$A85,,Trigger)</f>
        <v>#NUM!</v>
      </c>
      <c r="DL85" s="22" t="e">
        <f>_xll.qlSwaptionVTSVolatility2(Vol,$B85,DK$47,,,Trigger)</f>
        <v>#NUM!</v>
      </c>
      <c r="DM85" s="75" t="e">
        <f>_xll.qlBlackFormula("Call",DK85,DK85,DL85*SQRT($A64),,,Trigger)</f>
        <v>#VALUE!</v>
      </c>
      <c r="DO85" s="19" t="e">
        <f>_xll.qlIndexFixing(DO$46,$A85,,Trigger)</f>
        <v>#NUM!</v>
      </c>
      <c r="DP85" s="22" t="e">
        <f>_xll.qlSwaptionVTSVolatility2(Vol,$B85,DO$47,,,Trigger)</f>
        <v>#NUM!</v>
      </c>
      <c r="DQ85" s="75" t="e">
        <f>_xll.qlBlackFormula("Call",DO85,DO85,DP85*SQRT($A64),,,Trigger)</f>
        <v>#VALUE!</v>
      </c>
    </row>
    <row r="86" spans="1:121" x14ac:dyDescent="0.2">
      <c r="A86" s="100" t="e">
        <v>#NUM!</v>
      </c>
      <c r="B86" s="15" t="s">
        <v>34</v>
      </c>
      <c r="C86" s="19" t="e">
        <f>_xll.qlIndexFixing(C$46,$A86,,Trigger)</f>
        <v>#NUM!</v>
      </c>
      <c r="D86" s="22" t="e">
        <f>_xll.qlSwaptionVTSVolatility2(Vol,$B86,C$47,,,Trigger)</f>
        <v>#NUM!</v>
      </c>
      <c r="E86" s="75" t="e">
        <f>_xll.qlBlackFormula("Call",C86,C86,D86*SQRT($A65),,,Trigger)</f>
        <v>#VALUE!</v>
      </c>
      <c r="G86" s="19" t="e">
        <f>_xll.qlIndexFixing(G$46,$A86,,Trigger)</f>
        <v>#NUM!</v>
      </c>
      <c r="H86" s="22" t="e">
        <f>_xll.qlSwaptionVTSVolatility2(Vol,$B86,G$47,,,Trigger)</f>
        <v>#NUM!</v>
      </c>
      <c r="I86" s="75" t="e">
        <f>_xll.qlBlackFormula("Call",G86,G86,H86*SQRT($A65),,,Trigger)</f>
        <v>#VALUE!</v>
      </c>
      <c r="K86" s="19" t="e">
        <f>_xll.qlIndexFixing(K$46,$A86,,Trigger)</f>
        <v>#NUM!</v>
      </c>
      <c r="L86" s="22" t="e">
        <f>_xll.qlSwaptionVTSVolatility2(Vol,$B86,K$47,,,Trigger)</f>
        <v>#NUM!</v>
      </c>
      <c r="M86" s="75" t="e">
        <f>_xll.qlBlackFormula("Call",K86,K86,L86*SQRT($A65),,,Trigger)</f>
        <v>#VALUE!</v>
      </c>
      <c r="O86" s="19" t="e">
        <f>_xll.qlIndexFixing(O$46,$A86,,Trigger)</f>
        <v>#NUM!</v>
      </c>
      <c r="P86" s="22" t="e">
        <f>_xll.qlSwaptionVTSVolatility2(Vol,$B86,O$47,,,Trigger)</f>
        <v>#NUM!</v>
      </c>
      <c r="Q86" s="75" t="e">
        <f>_xll.qlBlackFormula("Call",O86,O86,P86*SQRT($A65),,,Trigger)</f>
        <v>#VALUE!</v>
      </c>
      <c r="S86" s="19" t="e">
        <f>_xll.qlIndexFixing(S$46,$A86,,Trigger)</f>
        <v>#NUM!</v>
      </c>
      <c r="T86" s="22" t="e">
        <f>_xll.qlSwaptionVTSVolatility2(Vol,$B86,S$47,,,Trigger)</f>
        <v>#NUM!</v>
      </c>
      <c r="U86" s="75" t="e">
        <f>_xll.qlBlackFormula("Call",S86,S86,T86*SQRT($A65),,,Trigger)</f>
        <v>#VALUE!</v>
      </c>
      <c r="W86" s="19" t="e">
        <f>_xll.qlIndexFixing(W$46,$A86,,Trigger)</f>
        <v>#NUM!</v>
      </c>
      <c r="X86" s="22" t="e">
        <f>_xll.qlSwaptionVTSVolatility2(Vol,$B86,W$47,,,Trigger)</f>
        <v>#NUM!</v>
      </c>
      <c r="Y86" s="75" t="e">
        <f>_xll.qlBlackFormula("Call",W86,W86,X86*SQRT($A65),,,Trigger)</f>
        <v>#VALUE!</v>
      </c>
      <c r="AA86" s="19" t="e">
        <f>_xll.qlIndexFixing(AA$46,$A86,,Trigger)</f>
        <v>#NUM!</v>
      </c>
      <c r="AB86" s="22" t="e">
        <f>_xll.qlSwaptionVTSVolatility2(Vol,$B86,AA$47,,,Trigger)</f>
        <v>#NUM!</v>
      </c>
      <c r="AC86" s="75" t="e">
        <f>_xll.qlBlackFormula("Call",AA86,AA86,AB86*SQRT($A65),,,Trigger)</f>
        <v>#VALUE!</v>
      </c>
      <c r="AE86" s="19" t="e">
        <f>_xll.qlIndexFixing(AE$46,$A86,,Trigger)</f>
        <v>#NUM!</v>
      </c>
      <c r="AF86" s="22" t="e">
        <f>_xll.qlSwaptionVTSVolatility2(Vol,$B86,AE$47,,,Trigger)</f>
        <v>#NUM!</v>
      </c>
      <c r="AG86" s="75" t="e">
        <f>_xll.qlBlackFormula("Call",AE86,AE86,AF86*SQRT($A65),,,Trigger)</f>
        <v>#VALUE!</v>
      </c>
      <c r="AI86" s="19" t="e">
        <f>_xll.qlIndexFixing(AI$46,$A86,,Trigger)</f>
        <v>#NUM!</v>
      </c>
      <c r="AJ86" s="22" t="e">
        <f>_xll.qlSwaptionVTSVolatility2(Vol,$B86,AI$47,,,Trigger)</f>
        <v>#NUM!</v>
      </c>
      <c r="AK86" s="75" t="e">
        <f>_xll.qlBlackFormula("Call",AI86,AI86,AJ86*SQRT($A65),,,Trigger)</f>
        <v>#VALUE!</v>
      </c>
      <c r="AM86" s="19" t="e">
        <f>_xll.qlIndexFixing(AM$46,$A86,,Trigger)</f>
        <v>#NUM!</v>
      </c>
      <c r="AN86" s="22" t="e">
        <f>_xll.qlSwaptionVTSVolatility2(Vol,$B86,AM$47,,,Trigger)</f>
        <v>#NUM!</v>
      </c>
      <c r="AO86" s="75" t="e">
        <f>_xll.qlBlackFormula("Call",AM86,AM86,AN86*SQRT($A65),,,Trigger)</f>
        <v>#VALUE!</v>
      </c>
      <c r="AP86" s="93"/>
      <c r="AQ86" s="19" t="e">
        <f>_xll.qlIndexFixing(AQ$46,$A86,,Trigger)</f>
        <v>#NUM!</v>
      </c>
      <c r="AR86" s="22" t="e">
        <f>_xll.qlSwaptionVTSVolatility2(Vol,$B86,AQ$47,,,Trigger)</f>
        <v>#NUM!</v>
      </c>
      <c r="AS86" s="75" t="e">
        <f>_xll.qlBlackFormula("Call",AQ86,AQ86,AR86*SQRT($A65),,,Trigger)</f>
        <v>#VALUE!</v>
      </c>
      <c r="AU86" s="19" t="e">
        <f>_xll.qlIndexFixing(AU$46,$A86,,Trigger)</f>
        <v>#NUM!</v>
      </c>
      <c r="AV86" s="22" t="e">
        <f>_xll.qlSwaptionVTSVolatility2(Vol,$B86,AU$47,,,Trigger)</f>
        <v>#NUM!</v>
      </c>
      <c r="AW86" s="75" t="e">
        <f>_xll.qlBlackFormula("Call",AU86,AU86,AV86*SQRT($A65),,,Trigger)</f>
        <v>#VALUE!</v>
      </c>
      <c r="AX86" s="93"/>
      <c r="AY86" s="19" t="e">
        <f>_xll.qlIndexFixing(AY$46,$A86,,Trigger)</f>
        <v>#NUM!</v>
      </c>
      <c r="AZ86" s="22" t="e">
        <f>_xll.qlSwaptionVTSVolatility2(Vol,$B86,AY$47,,,Trigger)</f>
        <v>#NUM!</v>
      </c>
      <c r="BA86" s="75" t="e">
        <f>_xll.qlBlackFormula("Call",AY86,AY86,AZ86*SQRT($A65),,,Trigger)</f>
        <v>#VALUE!</v>
      </c>
      <c r="BB86" s="93"/>
      <c r="BC86" s="19" t="e">
        <f>_xll.qlIndexFixing(BC$46,$A86,,Trigger)</f>
        <v>#NUM!</v>
      </c>
      <c r="BD86" s="22" t="e">
        <f>_xll.qlSwaptionVTSVolatility2(Vol,$B86,BC$47,,,Trigger)</f>
        <v>#NUM!</v>
      </c>
      <c r="BE86" s="75" t="e">
        <f>_xll.qlBlackFormula("Call",BC86,BC86,BD86*SQRT($A65),,,Trigger)</f>
        <v>#VALUE!</v>
      </c>
      <c r="BG86" s="19" t="e">
        <f>_xll.qlIndexFixing(BG$46,$A86,,Trigger)</f>
        <v>#NUM!</v>
      </c>
      <c r="BH86" s="22" t="e">
        <f>_xll.qlSwaptionVTSVolatility2(Vol,$B86,BG$47,,,Trigger)</f>
        <v>#NUM!</v>
      </c>
      <c r="BI86" s="75" t="e">
        <f>_xll.qlBlackFormula("Call",BG86,BG86,BH86*SQRT($A65),,,Trigger)</f>
        <v>#VALUE!</v>
      </c>
      <c r="BJ86" s="93"/>
      <c r="BK86" s="19" t="e">
        <f>_xll.qlIndexFixing(BK$46,$A86,,Trigger)</f>
        <v>#NUM!</v>
      </c>
      <c r="BL86" s="22" t="e">
        <f>_xll.qlSwaptionVTSVolatility2(Vol,$B86,BK$47,,,Trigger)</f>
        <v>#NUM!</v>
      </c>
      <c r="BM86" s="75" t="e">
        <f>_xll.qlBlackFormula("Call",BK86,BK86,BL86*SQRT($A65),,,Trigger)</f>
        <v>#VALUE!</v>
      </c>
      <c r="BN86" s="93"/>
      <c r="BO86" s="19" t="e">
        <f>_xll.qlIndexFixing(BO$46,$A86,,Trigger)</f>
        <v>#NUM!</v>
      </c>
      <c r="BP86" s="22" t="e">
        <f>_xll.qlSwaptionVTSVolatility2(Vol,$B86,BO$47,,,Trigger)</f>
        <v>#NUM!</v>
      </c>
      <c r="BQ86" s="75" t="e">
        <f>_xll.qlBlackFormula("Call",BO86,BO86,BP86*SQRT($A65),,,Trigger)</f>
        <v>#VALUE!</v>
      </c>
      <c r="BR86" s="93"/>
      <c r="BS86" s="19" t="e">
        <f>_xll.qlIndexFixing(BS$46,$A86,,Trigger)</f>
        <v>#NUM!</v>
      </c>
      <c r="BT86" s="22" t="e">
        <f>_xll.qlSwaptionVTSVolatility2(Vol,$B86,BS$47,,,Trigger)</f>
        <v>#NUM!</v>
      </c>
      <c r="BU86" s="75" t="e">
        <f>_xll.qlBlackFormula("Call",BS86,BS86,BT86*SQRT($A65),,,Trigger)</f>
        <v>#VALUE!</v>
      </c>
      <c r="BV86" s="93"/>
      <c r="BW86" s="19" t="e">
        <f>_xll.qlIndexFixing(BW$46,$A86,,Trigger)</f>
        <v>#NUM!</v>
      </c>
      <c r="BX86" s="22" t="e">
        <f>_xll.qlSwaptionVTSVolatility2(Vol,$B86,BW$47,,,Trigger)</f>
        <v>#NUM!</v>
      </c>
      <c r="BY86" s="75" t="e">
        <f>_xll.qlBlackFormula("Call",BW86,BW86,BX86*SQRT($A65),,,Trigger)</f>
        <v>#VALUE!</v>
      </c>
      <c r="CA86" s="19" t="e">
        <f>_xll.qlIndexFixing(CA$46,$A86,,Trigger)</f>
        <v>#NUM!</v>
      </c>
      <c r="CB86" s="22" t="e">
        <f>_xll.qlSwaptionVTSVolatility2(Vol,$B86,CA$47,,,Trigger)</f>
        <v>#NUM!</v>
      </c>
      <c r="CC86" s="75" t="e">
        <f>_xll.qlBlackFormula("Call",CA86,CA86,CB86*SQRT($A65),,,Trigger)</f>
        <v>#VALUE!</v>
      </c>
      <c r="CD86" s="93"/>
      <c r="CE86" s="19" t="e">
        <f>_xll.qlIndexFixing(CE$46,$A86,,Trigger)</f>
        <v>#NUM!</v>
      </c>
      <c r="CF86" s="22" t="e">
        <f>_xll.qlSwaptionVTSVolatility2(Vol,$B86,CE$47,,,Trigger)</f>
        <v>#NUM!</v>
      </c>
      <c r="CG86" s="75" t="e">
        <f>_xll.qlBlackFormula("Call",CE86,CE86,CF86*SQRT($A65),,,Trigger)</f>
        <v>#VALUE!</v>
      </c>
      <c r="CH86" s="93"/>
      <c r="CI86" s="19" t="e">
        <f>_xll.qlIndexFixing(CI$46,$A86,,Trigger)</f>
        <v>#NUM!</v>
      </c>
      <c r="CJ86" s="22" t="e">
        <f>_xll.qlSwaptionVTSVolatility2(Vol,$B86,CI$47,,,Trigger)</f>
        <v>#NUM!</v>
      </c>
      <c r="CK86" s="75" t="e">
        <f>_xll.qlBlackFormula("Call",CI86,CI86,CJ86*SQRT($A65),,,Trigger)</f>
        <v>#VALUE!</v>
      </c>
      <c r="CL86" s="93"/>
      <c r="CM86" s="19" t="e">
        <f>_xll.qlIndexFixing(CM$46,$A86,,Trigger)</f>
        <v>#NUM!</v>
      </c>
      <c r="CN86" s="22" t="e">
        <f>_xll.qlSwaptionVTSVolatility2(Vol,$B86,CM$47,,,Trigger)</f>
        <v>#NUM!</v>
      </c>
      <c r="CO86" s="75" t="e">
        <f>_xll.qlBlackFormula("Call",CM86,CM86,CN86*SQRT($A65),,,Trigger)</f>
        <v>#VALUE!</v>
      </c>
      <c r="CP86" s="93"/>
      <c r="CQ86" s="19" t="e">
        <f>_xll.qlIndexFixing(CQ$46,$A86,,Trigger)</f>
        <v>#NUM!</v>
      </c>
      <c r="CR86" s="22" t="e">
        <f>_xll.qlSwaptionVTSVolatility2(Vol,$B86,CQ$47,,,Trigger)</f>
        <v>#NUM!</v>
      </c>
      <c r="CS86" s="75" t="e">
        <f>_xll.qlBlackFormula("Call",CQ86,CQ86,CR86*SQRT($A65),,,Trigger)</f>
        <v>#VALUE!</v>
      </c>
      <c r="CU86" s="19" t="e">
        <f>_xll.qlIndexFixing(CU$46,$A86,,Trigger)</f>
        <v>#NUM!</v>
      </c>
      <c r="CV86" s="22" t="e">
        <f>_xll.qlSwaptionVTSVolatility2(Vol,$B86,CU$47,,,Trigger)</f>
        <v>#NUM!</v>
      </c>
      <c r="CW86" s="75" t="e">
        <f>_xll.qlBlackFormula("Call",CU86,CU86,CV86*SQRT($A65),,,Trigger)</f>
        <v>#VALUE!</v>
      </c>
      <c r="CX86" s="93"/>
      <c r="CY86" s="19" t="e">
        <f>_xll.qlIndexFixing(CY$46,$A86,,Trigger)</f>
        <v>#NUM!</v>
      </c>
      <c r="CZ86" s="22" t="e">
        <f>_xll.qlSwaptionVTSVolatility2(Vol,$B86,CY$47,,,Trigger)</f>
        <v>#NUM!</v>
      </c>
      <c r="DA86" s="75" t="e">
        <f>_xll.qlBlackFormula("Call",CY86,CY86,CZ86*SQRT($A65),,,Trigger)</f>
        <v>#VALUE!</v>
      </c>
      <c r="DB86" s="93"/>
      <c r="DC86" s="19" t="e">
        <f>_xll.qlIndexFixing(DC$46,$A86,,Trigger)</f>
        <v>#NUM!</v>
      </c>
      <c r="DD86" s="22" t="e">
        <f>_xll.qlSwaptionVTSVolatility2(Vol,$B86,DC$47,,,Trigger)</f>
        <v>#NUM!</v>
      </c>
      <c r="DE86" s="75" t="e">
        <f>_xll.qlBlackFormula("Call",DC86,DC86,DD86*SQRT($A65),,,Trigger)</f>
        <v>#VALUE!</v>
      </c>
      <c r="DF86" s="93"/>
      <c r="DG86" s="19" t="e">
        <f>_xll.qlIndexFixing(DG$46,$A86,,Trigger)</f>
        <v>#NUM!</v>
      </c>
      <c r="DH86" s="22" t="e">
        <f>_xll.qlSwaptionVTSVolatility2(Vol,$B86,DG$47,,,Trigger)</f>
        <v>#NUM!</v>
      </c>
      <c r="DI86" s="75" t="e">
        <f>_xll.qlBlackFormula("Call",DG86,DG86,DH86*SQRT($A65),,,Trigger)</f>
        <v>#VALUE!</v>
      </c>
      <c r="DJ86" s="93"/>
      <c r="DK86" s="19" t="e">
        <f>_xll.qlIndexFixing(DK$46,$A86,,Trigger)</f>
        <v>#NUM!</v>
      </c>
      <c r="DL86" s="22" t="e">
        <f>_xll.qlSwaptionVTSVolatility2(Vol,$B86,DK$47,,,Trigger)</f>
        <v>#NUM!</v>
      </c>
      <c r="DM86" s="75" t="e">
        <f>_xll.qlBlackFormula("Call",DK86,DK86,DL86*SQRT($A65),,,Trigger)</f>
        <v>#VALUE!</v>
      </c>
      <c r="DO86" s="19" t="e">
        <f>_xll.qlIndexFixing(DO$46,$A86,,Trigger)</f>
        <v>#NUM!</v>
      </c>
      <c r="DP86" s="22" t="e">
        <f>_xll.qlSwaptionVTSVolatility2(Vol,$B86,DO$47,,,Trigger)</f>
        <v>#NUM!</v>
      </c>
      <c r="DQ86" s="75" t="e">
        <f>_xll.qlBlackFormula("Call",DO86,DO86,DP86*SQRT($A65),,,Trigger)</f>
        <v>#VALUE!</v>
      </c>
    </row>
    <row r="87" spans="1:121" x14ac:dyDescent="0.2">
      <c r="A87" s="100" t="e">
        <v>#NUM!</v>
      </c>
      <c r="B87" s="15" t="s">
        <v>35</v>
      </c>
      <c r="C87" s="19" t="e">
        <f>_xll.qlIndexFixing(C$46,$A87,,Trigger)</f>
        <v>#NUM!</v>
      </c>
      <c r="D87" s="22" t="e">
        <f>_xll.qlSwaptionVTSVolatility2(Vol,$B87,C$47,,,Trigger)</f>
        <v>#NUM!</v>
      </c>
      <c r="E87" s="75" t="e">
        <f>_xll.qlBlackFormula("Call",C87,C87,D87*SQRT($A66),,,Trigger)</f>
        <v>#VALUE!</v>
      </c>
      <c r="G87" s="19" t="e">
        <f>_xll.qlIndexFixing(G$46,$A87,,Trigger)</f>
        <v>#NUM!</v>
      </c>
      <c r="H87" s="22" t="e">
        <f>_xll.qlSwaptionVTSVolatility2(Vol,$B87,G$47,,,Trigger)</f>
        <v>#NUM!</v>
      </c>
      <c r="I87" s="75" t="e">
        <f>_xll.qlBlackFormula("Call",G87,G87,H87*SQRT($A66),,,Trigger)</f>
        <v>#VALUE!</v>
      </c>
      <c r="K87" s="19" t="e">
        <f>_xll.qlIndexFixing(K$46,$A87,,Trigger)</f>
        <v>#NUM!</v>
      </c>
      <c r="L87" s="22" t="e">
        <f>_xll.qlSwaptionVTSVolatility2(Vol,$B87,K$47,,,Trigger)</f>
        <v>#NUM!</v>
      </c>
      <c r="M87" s="75" t="e">
        <f>_xll.qlBlackFormula("Call",K87,K87,L87*SQRT($A66),,,Trigger)</f>
        <v>#VALUE!</v>
      </c>
      <c r="O87" s="19" t="e">
        <f>_xll.qlIndexFixing(O$46,$A87,,Trigger)</f>
        <v>#NUM!</v>
      </c>
      <c r="P87" s="22" t="e">
        <f>_xll.qlSwaptionVTSVolatility2(Vol,$B87,O$47,,,Trigger)</f>
        <v>#NUM!</v>
      </c>
      <c r="Q87" s="75" t="e">
        <f>_xll.qlBlackFormula("Call",O87,O87,P87*SQRT($A66),,,Trigger)</f>
        <v>#VALUE!</v>
      </c>
      <c r="S87" s="19" t="e">
        <f>_xll.qlIndexFixing(S$46,$A87,,Trigger)</f>
        <v>#NUM!</v>
      </c>
      <c r="T87" s="22" t="e">
        <f>_xll.qlSwaptionVTSVolatility2(Vol,$B87,S$47,,,Trigger)</f>
        <v>#NUM!</v>
      </c>
      <c r="U87" s="75" t="e">
        <f>_xll.qlBlackFormula("Call",S87,S87,T87*SQRT($A66),,,Trigger)</f>
        <v>#VALUE!</v>
      </c>
      <c r="W87" s="19" t="e">
        <f>_xll.qlIndexFixing(W$46,$A87,,Trigger)</f>
        <v>#NUM!</v>
      </c>
      <c r="X87" s="22" t="e">
        <f>_xll.qlSwaptionVTSVolatility2(Vol,$B87,W$47,,,Trigger)</f>
        <v>#NUM!</v>
      </c>
      <c r="Y87" s="75" t="e">
        <f>_xll.qlBlackFormula("Call",W87,W87,X87*SQRT($A66),,,Trigger)</f>
        <v>#VALUE!</v>
      </c>
      <c r="AA87" s="19" t="e">
        <f>_xll.qlIndexFixing(AA$46,$A87,,Trigger)</f>
        <v>#NUM!</v>
      </c>
      <c r="AB87" s="22" t="e">
        <f>_xll.qlSwaptionVTSVolatility2(Vol,$B87,AA$47,,,Trigger)</f>
        <v>#NUM!</v>
      </c>
      <c r="AC87" s="75" t="e">
        <f>_xll.qlBlackFormula("Call",AA87,AA87,AB87*SQRT($A66),,,Trigger)</f>
        <v>#VALUE!</v>
      </c>
      <c r="AE87" s="19" t="e">
        <f>_xll.qlIndexFixing(AE$46,$A87,,Trigger)</f>
        <v>#NUM!</v>
      </c>
      <c r="AF87" s="22" t="e">
        <f>_xll.qlSwaptionVTSVolatility2(Vol,$B87,AE$47,,,Trigger)</f>
        <v>#NUM!</v>
      </c>
      <c r="AG87" s="75" t="e">
        <f>_xll.qlBlackFormula("Call",AE87,AE87,AF87*SQRT($A66),,,Trigger)</f>
        <v>#VALUE!</v>
      </c>
      <c r="AI87" s="19" t="e">
        <f>_xll.qlIndexFixing(AI$46,$A87,,Trigger)</f>
        <v>#NUM!</v>
      </c>
      <c r="AJ87" s="22" t="e">
        <f>_xll.qlSwaptionVTSVolatility2(Vol,$B87,AI$47,,,Trigger)</f>
        <v>#NUM!</v>
      </c>
      <c r="AK87" s="75" t="e">
        <f>_xll.qlBlackFormula("Call",AI87,AI87,AJ87*SQRT($A66),,,Trigger)</f>
        <v>#VALUE!</v>
      </c>
      <c r="AM87" s="19" t="e">
        <f>_xll.qlIndexFixing(AM$46,$A87,,Trigger)</f>
        <v>#NUM!</v>
      </c>
      <c r="AN87" s="22" t="e">
        <f>_xll.qlSwaptionVTSVolatility2(Vol,$B87,AM$47,,,Trigger)</f>
        <v>#NUM!</v>
      </c>
      <c r="AO87" s="75" t="e">
        <f>_xll.qlBlackFormula("Call",AM87,AM87,AN87*SQRT($A66),,,Trigger)</f>
        <v>#VALUE!</v>
      </c>
      <c r="AP87" s="93"/>
      <c r="AQ87" s="19" t="e">
        <f>_xll.qlIndexFixing(AQ$46,$A87,,Trigger)</f>
        <v>#NUM!</v>
      </c>
      <c r="AR87" s="22" t="e">
        <f>_xll.qlSwaptionVTSVolatility2(Vol,$B87,AQ$47,,,Trigger)</f>
        <v>#NUM!</v>
      </c>
      <c r="AS87" s="75" t="e">
        <f>_xll.qlBlackFormula("Call",AQ87,AQ87,AR87*SQRT($A66),,,Trigger)</f>
        <v>#VALUE!</v>
      </c>
      <c r="AU87" s="19" t="e">
        <f>_xll.qlIndexFixing(AU$46,$A87,,Trigger)</f>
        <v>#NUM!</v>
      </c>
      <c r="AV87" s="22" t="e">
        <f>_xll.qlSwaptionVTSVolatility2(Vol,$B87,AU$47,,,Trigger)</f>
        <v>#NUM!</v>
      </c>
      <c r="AW87" s="75" t="e">
        <f>_xll.qlBlackFormula("Call",AU87,AU87,AV87*SQRT($A66),,,Trigger)</f>
        <v>#VALUE!</v>
      </c>
      <c r="AX87" s="93"/>
      <c r="AY87" s="19" t="e">
        <f>_xll.qlIndexFixing(AY$46,$A87,,Trigger)</f>
        <v>#NUM!</v>
      </c>
      <c r="AZ87" s="22" t="e">
        <f>_xll.qlSwaptionVTSVolatility2(Vol,$B87,AY$47,,,Trigger)</f>
        <v>#NUM!</v>
      </c>
      <c r="BA87" s="75" t="e">
        <f>_xll.qlBlackFormula("Call",AY87,AY87,AZ87*SQRT($A66),,,Trigger)</f>
        <v>#VALUE!</v>
      </c>
      <c r="BB87" s="93"/>
      <c r="BC87" s="19" t="e">
        <f>_xll.qlIndexFixing(BC$46,$A87,,Trigger)</f>
        <v>#NUM!</v>
      </c>
      <c r="BD87" s="22" t="e">
        <f>_xll.qlSwaptionVTSVolatility2(Vol,$B87,BC$47,,,Trigger)</f>
        <v>#NUM!</v>
      </c>
      <c r="BE87" s="75" t="e">
        <f>_xll.qlBlackFormula("Call",BC87,BC87,BD87*SQRT($A66),,,Trigger)</f>
        <v>#VALUE!</v>
      </c>
      <c r="BG87" s="19" t="e">
        <f>_xll.qlIndexFixing(BG$46,$A87,,Trigger)</f>
        <v>#NUM!</v>
      </c>
      <c r="BH87" s="22" t="e">
        <f>_xll.qlSwaptionVTSVolatility2(Vol,$B87,BG$47,,,Trigger)</f>
        <v>#NUM!</v>
      </c>
      <c r="BI87" s="75" t="e">
        <f>_xll.qlBlackFormula("Call",BG87,BG87,BH87*SQRT($A66),,,Trigger)</f>
        <v>#VALUE!</v>
      </c>
      <c r="BJ87" s="93"/>
      <c r="BK87" s="19" t="e">
        <f>_xll.qlIndexFixing(BK$46,$A87,,Trigger)</f>
        <v>#NUM!</v>
      </c>
      <c r="BL87" s="22" t="e">
        <f>_xll.qlSwaptionVTSVolatility2(Vol,$B87,BK$47,,,Trigger)</f>
        <v>#NUM!</v>
      </c>
      <c r="BM87" s="75" t="e">
        <f>_xll.qlBlackFormula("Call",BK87,BK87,BL87*SQRT($A66),,,Trigger)</f>
        <v>#VALUE!</v>
      </c>
      <c r="BN87" s="93"/>
      <c r="BO87" s="19" t="e">
        <f>_xll.qlIndexFixing(BO$46,$A87,,Trigger)</f>
        <v>#NUM!</v>
      </c>
      <c r="BP87" s="22" t="e">
        <f>_xll.qlSwaptionVTSVolatility2(Vol,$B87,BO$47,,,Trigger)</f>
        <v>#NUM!</v>
      </c>
      <c r="BQ87" s="75" t="e">
        <f>_xll.qlBlackFormula("Call",BO87,BO87,BP87*SQRT($A66),,,Trigger)</f>
        <v>#VALUE!</v>
      </c>
      <c r="BR87" s="93"/>
      <c r="BS87" s="19" t="e">
        <f>_xll.qlIndexFixing(BS$46,$A87,,Trigger)</f>
        <v>#NUM!</v>
      </c>
      <c r="BT87" s="22" t="e">
        <f>_xll.qlSwaptionVTSVolatility2(Vol,$B87,BS$47,,,Trigger)</f>
        <v>#NUM!</v>
      </c>
      <c r="BU87" s="75" t="e">
        <f>_xll.qlBlackFormula("Call",BS87,BS87,BT87*SQRT($A66),,,Trigger)</f>
        <v>#VALUE!</v>
      </c>
      <c r="BV87" s="93"/>
      <c r="BW87" s="19" t="e">
        <f>_xll.qlIndexFixing(BW$46,$A87,,Trigger)</f>
        <v>#NUM!</v>
      </c>
      <c r="BX87" s="22" t="e">
        <f>_xll.qlSwaptionVTSVolatility2(Vol,$B87,BW$47,,,Trigger)</f>
        <v>#NUM!</v>
      </c>
      <c r="BY87" s="75" t="e">
        <f>_xll.qlBlackFormula("Call",BW87,BW87,BX87*SQRT($A66),,,Trigger)</f>
        <v>#VALUE!</v>
      </c>
      <c r="CA87" s="19" t="e">
        <f>_xll.qlIndexFixing(CA$46,$A87,,Trigger)</f>
        <v>#NUM!</v>
      </c>
      <c r="CB87" s="22" t="e">
        <f>_xll.qlSwaptionVTSVolatility2(Vol,$B87,CA$47,,,Trigger)</f>
        <v>#NUM!</v>
      </c>
      <c r="CC87" s="75" t="e">
        <f>_xll.qlBlackFormula("Call",CA87,CA87,CB87*SQRT($A66),,,Trigger)</f>
        <v>#VALUE!</v>
      </c>
      <c r="CD87" s="93"/>
      <c r="CE87" s="19" t="e">
        <f>_xll.qlIndexFixing(CE$46,$A87,,Trigger)</f>
        <v>#NUM!</v>
      </c>
      <c r="CF87" s="22" t="e">
        <f>_xll.qlSwaptionVTSVolatility2(Vol,$B87,CE$47,,,Trigger)</f>
        <v>#NUM!</v>
      </c>
      <c r="CG87" s="75" t="e">
        <f>_xll.qlBlackFormula("Call",CE87,CE87,CF87*SQRT($A66),,,Trigger)</f>
        <v>#VALUE!</v>
      </c>
      <c r="CH87" s="93"/>
      <c r="CI87" s="19" t="e">
        <f>_xll.qlIndexFixing(CI$46,$A87,,Trigger)</f>
        <v>#NUM!</v>
      </c>
      <c r="CJ87" s="22" t="e">
        <f>_xll.qlSwaptionVTSVolatility2(Vol,$B87,CI$47,,,Trigger)</f>
        <v>#NUM!</v>
      </c>
      <c r="CK87" s="75" t="e">
        <f>_xll.qlBlackFormula("Call",CI87,CI87,CJ87*SQRT($A66),,,Trigger)</f>
        <v>#VALUE!</v>
      </c>
      <c r="CL87" s="93"/>
      <c r="CM87" s="19" t="e">
        <f>_xll.qlIndexFixing(CM$46,$A87,,Trigger)</f>
        <v>#NUM!</v>
      </c>
      <c r="CN87" s="22" t="e">
        <f>_xll.qlSwaptionVTSVolatility2(Vol,$B87,CM$47,,,Trigger)</f>
        <v>#NUM!</v>
      </c>
      <c r="CO87" s="75" t="e">
        <f>_xll.qlBlackFormula("Call",CM87,CM87,CN87*SQRT($A66),,,Trigger)</f>
        <v>#VALUE!</v>
      </c>
      <c r="CP87" s="93"/>
      <c r="CQ87" s="19" t="e">
        <f>_xll.qlIndexFixing(CQ$46,$A87,,Trigger)</f>
        <v>#NUM!</v>
      </c>
      <c r="CR87" s="22" t="e">
        <f>_xll.qlSwaptionVTSVolatility2(Vol,$B87,CQ$47,,,Trigger)</f>
        <v>#NUM!</v>
      </c>
      <c r="CS87" s="75" t="e">
        <f>_xll.qlBlackFormula("Call",CQ87,CQ87,CR87*SQRT($A66),,,Trigger)</f>
        <v>#VALUE!</v>
      </c>
      <c r="CU87" s="19" t="e">
        <f>_xll.qlIndexFixing(CU$46,$A87,,Trigger)</f>
        <v>#NUM!</v>
      </c>
      <c r="CV87" s="22" t="e">
        <f>_xll.qlSwaptionVTSVolatility2(Vol,$B87,CU$47,,,Trigger)</f>
        <v>#NUM!</v>
      </c>
      <c r="CW87" s="75" t="e">
        <f>_xll.qlBlackFormula("Call",CU87,CU87,CV87*SQRT($A66),,,Trigger)</f>
        <v>#VALUE!</v>
      </c>
      <c r="CX87" s="93"/>
      <c r="CY87" s="19" t="e">
        <f>_xll.qlIndexFixing(CY$46,$A87,,Trigger)</f>
        <v>#NUM!</v>
      </c>
      <c r="CZ87" s="22" t="e">
        <f>_xll.qlSwaptionVTSVolatility2(Vol,$B87,CY$47,,,Trigger)</f>
        <v>#NUM!</v>
      </c>
      <c r="DA87" s="75" t="e">
        <f>_xll.qlBlackFormula("Call",CY87,CY87,CZ87*SQRT($A66),,,Trigger)</f>
        <v>#VALUE!</v>
      </c>
      <c r="DB87" s="93"/>
      <c r="DC87" s="19" t="e">
        <f>_xll.qlIndexFixing(DC$46,$A87,,Trigger)</f>
        <v>#NUM!</v>
      </c>
      <c r="DD87" s="22" t="e">
        <f>_xll.qlSwaptionVTSVolatility2(Vol,$B87,DC$47,,,Trigger)</f>
        <v>#NUM!</v>
      </c>
      <c r="DE87" s="75" t="e">
        <f>_xll.qlBlackFormula("Call",DC87,DC87,DD87*SQRT($A66),,,Trigger)</f>
        <v>#VALUE!</v>
      </c>
      <c r="DF87" s="93"/>
      <c r="DG87" s="19" t="e">
        <f>_xll.qlIndexFixing(DG$46,$A87,,Trigger)</f>
        <v>#NUM!</v>
      </c>
      <c r="DH87" s="22" t="e">
        <f>_xll.qlSwaptionVTSVolatility2(Vol,$B87,DG$47,,,Trigger)</f>
        <v>#NUM!</v>
      </c>
      <c r="DI87" s="75" t="e">
        <f>_xll.qlBlackFormula("Call",DG87,DG87,DH87*SQRT($A66),,,Trigger)</f>
        <v>#VALUE!</v>
      </c>
      <c r="DJ87" s="93"/>
      <c r="DK87" s="19" t="e">
        <f>_xll.qlIndexFixing(DK$46,$A87,,Trigger)</f>
        <v>#NUM!</v>
      </c>
      <c r="DL87" s="22" t="e">
        <f>_xll.qlSwaptionVTSVolatility2(Vol,$B87,DK$47,,,Trigger)</f>
        <v>#NUM!</v>
      </c>
      <c r="DM87" s="75" t="e">
        <f>_xll.qlBlackFormula("Call",DK87,DK87,DL87*SQRT($A66),,,Trigger)</f>
        <v>#VALUE!</v>
      </c>
      <c r="DO87" s="19" t="e">
        <f>_xll.qlIndexFixing(DO$46,$A87,,Trigger)</f>
        <v>#NUM!</v>
      </c>
      <c r="DP87" s="22" t="e">
        <f>_xll.qlSwaptionVTSVolatility2(Vol,$B87,DO$47,,,Trigger)</f>
        <v>#NUM!</v>
      </c>
      <c r="DQ87" s="75" t="e">
        <f>_xll.qlBlackFormula("Call",DO87,DO87,DP87*SQRT($A66),,,Trigger)</f>
        <v>#VALUE!</v>
      </c>
    </row>
    <row r="88" spans="1:121" x14ac:dyDescent="0.2">
      <c r="A88" s="100" t="e">
        <v>#NUM!</v>
      </c>
      <c r="B88" s="15" t="s">
        <v>36</v>
      </c>
      <c r="C88" s="19" t="e">
        <f>_xll.qlIndexFixing(C$46,$A88,,Trigger)</f>
        <v>#NUM!</v>
      </c>
      <c r="D88" s="22" t="e">
        <f>_xll.qlSwaptionVTSVolatility2(Vol,$B88,C$47,,,Trigger)</f>
        <v>#NUM!</v>
      </c>
      <c r="E88" s="75" t="e">
        <f>_xll.qlBlackFormula("Call",C88,C88,D88*SQRT($A67),,,Trigger)</f>
        <v>#VALUE!</v>
      </c>
      <c r="G88" s="19" t="e">
        <f>_xll.qlIndexFixing(G$46,$A88,,Trigger)</f>
        <v>#NUM!</v>
      </c>
      <c r="H88" s="22" t="e">
        <f>_xll.qlSwaptionVTSVolatility2(Vol,$B88,G$47,,,Trigger)</f>
        <v>#NUM!</v>
      </c>
      <c r="I88" s="75" t="e">
        <f>_xll.qlBlackFormula("Call",G88,G88,H88*SQRT($A67),,,Trigger)</f>
        <v>#VALUE!</v>
      </c>
      <c r="K88" s="19" t="e">
        <f>_xll.qlIndexFixing(K$46,$A88,,Trigger)</f>
        <v>#NUM!</v>
      </c>
      <c r="L88" s="22" t="e">
        <f>_xll.qlSwaptionVTSVolatility2(Vol,$B88,K$47,,,Trigger)</f>
        <v>#NUM!</v>
      </c>
      <c r="M88" s="75" t="e">
        <f>_xll.qlBlackFormula("Call",K88,K88,L88*SQRT($A67),,,Trigger)</f>
        <v>#VALUE!</v>
      </c>
      <c r="O88" s="19" t="e">
        <f>_xll.qlIndexFixing(O$46,$A88,,Trigger)</f>
        <v>#NUM!</v>
      </c>
      <c r="P88" s="22" t="e">
        <f>_xll.qlSwaptionVTSVolatility2(Vol,$B88,O$47,,,Trigger)</f>
        <v>#NUM!</v>
      </c>
      <c r="Q88" s="75" t="e">
        <f>_xll.qlBlackFormula("Call",O88,O88,P88*SQRT($A67),,,Trigger)</f>
        <v>#VALUE!</v>
      </c>
      <c r="S88" s="19" t="e">
        <f>_xll.qlIndexFixing(S$46,$A88,,Trigger)</f>
        <v>#NUM!</v>
      </c>
      <c r="T88" s="22" t="e">
        <f>_xll.qlSwaptionVTSVolatility2(Vol,$B88,S$47,,,Trigger)</f>
        <v>#NUM!</v>
      </c>
      <c r="U88" s="75" t="e">
        <f>_xll.qlBlackFormula("Call",S88,S88,T88*SQRT($A67),,,Trigger)</f>
        <v>#VALUE!</v>
      </c>
      <c r="W88" s="19" t="e">
        <f>_xll.qlIndexFixing(W$46,$A88,,Trigger)</f>
        <v>#NUM!</v>
      </c>
      <c r="X88" s="22" t="e">
        <f>_xll.qlSwaptionVTSVolatility2(Vol,$B88,W$47,,,Trigger)</f>
        <v>#NUM!</v>
      </c>
      <c r="Y88" s="75" t="e">
        <f>_xll.qlBlackFormula("Call",W88,W88,X88*SQRT($A67),,,Trigger)</f>
        <v>#VALUE!</v>
      </c>
      <c r="AA88" s="19" t="e">
        <f>_xll.qlIndexFixing(AA$46,$A88,,Trigger)</f>
        <v>#NUM!</v>
      </c>
      <c r="AB88" s="22" t="e">
        <f>_xll.qlSwaptionVTSVolatility2(Vol,$B88,AA$47,,,Trigger)</f>
        <v>#NUM!</v>
      </c>
      <c r="AC88" s="75" t="e">
        <f>_xll.qlBlackFormula("Call",AA88,AA88,AB88*SQRT($A67),,,Trigger)</f>
        <v>#VALUE!</v>
      </c>
      <c r="AE88" s="19" t="e">
        <f>_xll.qlIndexFixing(AE$46,$A88,,Trigger)</f>
        <v>#NUM!</v>
      </c>
      <c r="AF88" s="22" t="e">
        <f>_xll.qlSwaptionVTSVolatility2(Vol,$B88,AE$47,,,Trigger)</f>
        <v>#NUM!</v>
      </c>
      <c r="AG88" s="75" t="e">
        <f>_xll.qlBlackFormula("Call",AE88,AE88,AF88*SQRT($A67),,,Trigger)</f>
        <v>#VALUE!</v>
      </c>
      <c r="AI88" s="19" t="e">
        <f>_xll.qlIndexFixing(AI$46,$A88,,Trigger)</f>
        <v>#NUM!</v>
      </c>
      <c r="AJ88" s="22" t="e">
        <f>_xll.qlSwaptionVTSVolatility2(Vol,$B88,AI$47,,,Trigger)</f>
        <v>#NUM!</v>
      </c>
      <c r="AK88" s="75" t="e">
        <f>_xll.qlBlackFormula("Call",AI88,AI88,AJ88*SQRT($A67),,,Trigger)</f>
        <v>#VALUE!</v>
      </c>
      <c r="AM88" s="19" t="e">
        <f>_xll.qlIndexFixing(AM$46,$A88,,Trigger)</f>
        <v>#NUM!</v>
      </c>
      <c r="AN88" s="22" t="e">
        <f>_xll.qlSwaptionVTSVolatility2(Vol,$B88,AM$47,,,Trigger)</f>
        <v>#NUM!</v>
      </c>
      <c r="AO88" s="75" t="e">
        <f>_xll.qlBlackFormula("Call",AM88,AM88,AN88*SQRT($A67),,,Trigger)</f>
        <v>#VALUE!</v>
      </c>
      <c r="AP88" s="93"/>
      <c r="AQ88" s="19" t="e">
        <f>_xll.qlIndexFixing(AQ$46,$A88,,Trigger)</f>
        <v>#NUM!</v>
      </c>
      <c r="AR88" s="22" t="e">
        <f>_xll.qlSwaptionVTSVolatility2(Vol,$B88,AQ$47,,,Trigger)</f>
        <v>#NUM!</v>
      </c>
      <c r="AS88" s="75" t="e">
        <f>_xll.qlBlackFormula("Call",AQ88,AQ88,AR88*SQRT($A67),,,Trigger)</f>
        <v>#VALUE!</v>
      </c>
      <c r="AU88" s="19" t="e">
        <f>_xll.qlIndexFixing(AU$46,$A88,,Trigger)</f>
        <v>#NUM!</v>
      </c>
      <c r="AV88" s="22" t="e">
        <f>_xll.qlSwaptionVTSVolatility2(Vol,$B88,AU$47,,,Trigger)</f>
        <v>#NUM!</v>
      </c>
      <c r="AW88" s="75" t="e">
        <f>_xll.qlBlackFormula("Call",AU88,AU88,AV88*SQRT($A67),,,Trigger)</f>
        <v>#VALUE!</v>
      </c>
      <c r="AX88" s="93"/>
      <c r="AY88" s="19" t="e">
        <f>_xll.qlIndexFixing(AY$46,$A88,,Trigger)</f>
        <v>#NUM!</v>
      </c>
      <c r="AZ88" s="22" t="e">
        <f>_xll.qlSwaptionVTSVolatility2(Vol,$B88,AY$47,,,Trigger)</f>
        <v>#NUM!</v>
      </c>
      <c r="BA88" s="75" t="e">
        <f>_xll.qlBlackFormula("Call",AY88,AY88,AZ88*SQRT($A67),,,Trigger)</f>
        <v>#VALUE!</v>
      </c>
      <c r="BB88" s="93"/>
      <c r="BC88" s="19" t="e">
        <f>_xll.qlIndexFixing(BC$46,$A88,,Trigger)</f>
        <v>#NUM!</v>
      </c>
      <c r="BD88" s="22" t="e">
        <f>_xll.qlSwaptionVTSVolatility2(Vol,$B88,BC$47,,,Trigger)</f>
        <v>#NUM!</v>
      </c>
      <c r="BE88" s="75" t="e">
        <f>_xll.qlBlackFormula("Call",BC88,BC88,BD88*SQRT($A67),,,Trigger)</f>
        <v>#VALUE!</v>
      </c>
      <c r="BG88" s="19" t="e">
        <f>_xll.qlIndexFixing(BG$46,$A88,,Trigger)</f>
        <v>#NUM!</v>
      </c>
      <c r="BH88" s="22" t="e">
        <f>_xll.qlSwaptionVTSVolatility2(Vol,$B88,BG$47,,,Trigger)</f>
        <v>#NUM!</v>
      </c>
      <c r="BI88" s="75" t="e">
        <f>_xll.qlBlackFormula("Call",BG88,BG88,BH88*SQRT($A67),,,Trigger)</f>
        <v>#VALUE!</v>
      </c>
      <c r="BJ88" s="93"/>
      <c r="BK88" s="19" t="e">
        <f>_xll.qlIndexFixing(BK$46,$A88,,Trigger)</f>
        <v>#NUM!</v>
      </c>
      <c r="BL88" s="22" t="e">
        <f>_xll.qlSwaptionVTSVolatility2(Vol,$B88,BK$47,,,Trigger)</f>
        <v>#NUM!</v>
      </c>
      <c r="BM88" s="75" t="e">
        <f>_xll.qlBlackFormula("Call",BK88,BK88,BL88*SQRT($A67),,,Trigger)</f>
        <v>#VALUE!</v>
      </c>
      <c r="BN88" s="93"/>
      <c r="BO88" s="19" t="e">
        <f>_xll.qlIndexFixing(BO$46,$A88,,Trigger)</f>
        <v>#NUM!</v>
      </c>
      <c r="BP88" s="22" t="e">
        <f>_xll.qlSwaptionVTSVolatility2(Vol,$B88,BO$47,,,Trigger)</f>
        <v>#NUM!</v>
      </c>
      <c r="BQ88" s="75" t="e">
        <f>_xll.qlBlackFormula("Call",BO88,BO88,BP88*SQRT($A67),,,Trigger)</f>
        <v>#VALUE!</v>
      </c>
      <c r="BR88" s="93"/>
      <c r="BS88" s="19" t="e">
        <f>_xll.qlIndexFixing(BS$46,$A88,,Trigger)</f>
        <v>#NUM!</v>
      </c>
      <c r="BT88" s="22" t="e">
        <f>_xll.qlSwaptionVTSVolatility2(Vol,$B88,BS$47,,,Trigger)</f>
        <v>#NUM!</v>
      </c>
      <c r="BU88" s="75" t="e">
        <f>_xll.qlBlackFormula("Call",BS88,BS88,BT88*SQRT($A67),,,Trigger)</f>
        <v>#VALUE!</v>
      </c>
      <c r="BV88" s="93"/>
      <c r="BW88" s="19" t="e">
        <f>_xll.qlIndexFixing(BW$46,$A88,,Trigger)</f>
        <v>#NUM!</v>
      </c>
      <c r="BX88" s="22" t="e">
        <f>_xll.qlSwaptionVTSVolatility2(Vol,$B88,BW$47,,,Trigger)</f>
        <v>#NUM!</v>
      </c>
      <c r="BY88" s="75" t="e">
        <f>_xll.qlBlackFormula("Call",BW88,BW88,BX88*SQRT($A67),,,Trigger)</f>
        <v>#VALUE!</v>
      </c>
      <c r="CA88" s="19" t="e">
        <f>_xll.qlIndexFixing(CA$46,$A88,,Trigger)</f>
        <v>#NUM!</v>
      </c>
      <c r="CB88" s="22" t="e">
        <f>_xll.qlSwaptionVTSVolatility2(Vol,$B88,CA$47,,,Trigger)</f>
        <v>#NUM!</v>
      </c>
      <c r="CC88" s="75" t="e">
        <f>_xll.qlBlackFormula("Call",CA88,CA88,CB88*SQRT($A67),,,Trigger)</f>
        <v>#VALUE!</v>
      </c>
      <c r="CD88" s="93"/>
      <c r="CE88" s="19" t="e">
        <f>_xll.qlIndexFixing(CE$46,$A88,,Trigger)</f>
        <v>#NUM!</v>
      </c>
      <c r="CF88" s="22" t="e">
        <f>_xll.qlSwaptionVTSVolatility2(Vol,$B88,CE$47,,,Trigger)</f>
        <v>#NUM!</v>
      </c>
      <c r="CG88" s="75" t="e">
        <f>_xll.qlBlackFormula("Call",CE88,CE88,CF88*SQRT($A67),,,Trigger)</f>
        <v>#VALUE!</v>
      </c>
      <c r="CH88" s="93"/>
      <c r="CI88" s="19" t="e">
        <f>_xll.qlIndexFixing(CI$46,$A88,,Trigger)</f>
        <v>#NUM!</v>
      </c>
      <c r="CJ88" s="22" t="e">
        <f>_xll.qlSwaptionVTSVolatility2(Vol,$B88,CI$47,,,Trigger)</f>
        <v>#NUM!</v>
      </c>
      <c r="CK88" s="75" t="e">
        <f>_xll.qlBlackFormula("Call",CI88,CI88,CJ88*SQRT($A67),,,Trigger)</f>
        <v>#VALUE!</v>
      </c>
      <c r="CL88" s="93"/>
      <c r="CM88" s="19" t="e">
        <f>_xll.qlIndexFixing(CM$46,$A88,,Trigger)</f>
        <v>#NUM!</v>
      </c>
      <c r="CN88" s="22" t="e">
        <f>_xll.qlSwaptionVTSVolatility2(Vol,$B88,CM$47,,,Trigger)</f>
        <v>#NUM!</v>
      </c>
      <c r="CO88" s="75" t="e">
        <f>_xll.qlBlackFormula("Call",CM88,CM88,CN88*SQRT($A67),,,Trigger)</f>
        <v>#VALUE!</v>
      </c>
      <c r="CP88" s="93"/>
      <c r="CQ88" s="19" t="e">
        <f>_xll.qlIndexFixing(CQ$46,$A88,,Trigger)</f>
        <v>#NUM!</v>
      </c>
      <c r="CR88" s="22" t="e">
        <f>_xll.qlSwaptionVTSVolatility2(Vol,$B88,CQ$47,,,Trigger)</f>
        <v>#NUM!</v>
      </c>
      <c r="CS88" s="75" t="e">
        <f>_xll.qlBlackFormula("Call",CQ88,CQ88,CR88*SQRT($A67),,,Trigger)</f>
        <v>#VALUE!</v>
      </c>
      <c r="CU88" s="19" t="e">
        <f>_xll.qlIndexFixing(CU$46,$A88,,Trigger)</f>
        <v>#NUM!</v>
      </c>
      <c r="CV88" s="22" t="e">
        <f>_xll.qlSwaptionVTSVolatility2(Vol,$B88,CU$47,,,Trigger)</f>
        <v>#NUM!</v>
      </c>
      <c r="CW88" s="75" t="e">
        <f>_xll.qlBlackFormula("Call",CU88,CU88,CV88*SQRT($A67),,,Trigger)</f>
        <v>#VALUE!</v>
      </c>
      <c r="CX88" s="93"/>
      <c r="CY88" s="19" t="e">
        <f>_xll.qlIndexFixing(CY$46,$A88,,Trigger)</f>
        <v>#NUM!</v>
      </c>
      <c r="CZ88" s="22" t="e">
        <f>_xll.qlSwaptionVTSVolatility2(Vol,$B88,CY$47,,,Trigger)</f>
        <v>#NUM!</v>
      </c>
      <c r="DA88" s="75" t="e">
        <f>_xll.qlBlackFormula("Call",CY88,CY88,CZ88*SQRT($A67),,,Trigger)</f>
        <v>#VALUE!</v>
      </c>
      <c r="DB88" s="93"/>
      <c r="DC88" s="19" t="e">
        <f>_xll.qlIndexFixing(DC$46,$A88,,Trigger)</f>
        <v>#NUM!</v>
      </c>
      <c r="DD88" s="22" t="e">
        <f>_xll.qlSwaptionVTSVolatility2(Vol,$B88,DC$47,,,Trigger)</f>
        <v>#NUM!</v>
      </c>
      <c r="DE88" s="75" t="e">
        <f>_xll.qlBlackFormula("Call",DC88,DC88,DD88*SQRT($A67),,,Trigger)</f>
        <v>#VALUE!</v>
      </c>
      <c r="DF88" s="93"/>
      <c r="DG88" s="19" t="e">
        <f>_xll.qlIndexFixing(DG$46,$A88,,Trigger)</f>
        <v>#NUM!</v>
      </c>
      <c r="DH88" s="22" t="e">
        <f>_xll.qlSwaptionVTSVolatility2(Vol,$B88,DG$47,,,Trigger)</f>
        <v>#NUM!</v>
      </c>
      <c r="DI88" s="75" t="e">
        <f>_xll.qlBlackFormula("Call",DG88,DG88,DH88*SQRT($A67),,,Trigger)</f>
        <v>#VALUE!</v>
      </c>
      <c r="DJ88" s="93"/>
      <c r="DK88" s="19" t="e">
        <f>_xll.qlIndexFixing(DK$46,$A88,,Trigger)</f>
        <v>#NUM!</v>
      </c>
      <c r="DL88" s="22" t="e">
        <f>_xll.qlSwaptionVTSVolatility2(Vol,$B88,DK$47,,,Trigger)</f>
        <v>#NUM!</v>
      </c>
      <c r="DM88" s="75" t="e">
        <f>_xll.qlBlackFormula("Call",DK88,DK88,DL88*SQRT($A67),,,Trigger)</f>
        <v>#VALUE!</v>
      </c>
      <c r="DO88" s="19" t="e">
        <f>_xll.qlIndexFixing(DO$46,$A88,,Trigger)</f>
        <v>#NUM!</v>
      </c>
      <c r="DP88" s="22" t="e">
        <f>_xll.qlSwaptionVTSVolatility2(Vol,$B88,DO$47,,,Trigger)</f>
        <v>#NUM!</v>
      </c>
      <c r="DQ88" s="75" t="e">
        <f>_xll.qlBlackFormula("Call",DO88,DO88,DP88*SQRT($A67),,,Trigger)</f>
        <v>#VALUE!</v>
      </c>
    </row>
    <row r="89" spans="1:121" x14ac:dyDescent="0.2">
      <c r="A89" s="101" t="e">
        <v>#NUM!</v>
      </c>
      <c r="B89" s="16" t="s">
        <v>37</v>
      </c>
      <c r="C89" s="20" t="e">
        <f>_xll.qlIndexFixing(C$46,$A89,,Trigger)</f>
        <v>#NUM!</v>
      </c>
      <c r="D89" s="23" t="e">
        <f>_xll.qlSwaptionVTSVolatility2(Vol,$B89,C$47,,,Trigger)</f>
        <v>#NUM!</v>
      </c>
      <c r="E89" s="76" t="e">
        <f>_xll.qlBlackFormula("Call",C89,C89,D89*SQRT($A68),,,Trigger)</f>
        <v>#VALUE!</v>
      </c>
      <c r="G89" s="20" t="e">
        <f>_xll.qlIndexFixing(G$46,$A89,,Trigger)</f>
        <v>#NUM!</v>
      </c>
      <c r="H89" s="23" t="e">
        <f>_xll.qlSwaptionVTSVolatility2(Vol,$B89,G$47,,,Trigger)</f>
        <v>#NUM!</v>
      </c>
      <c r="I89" s="76" t="e">
        <f>_xll.qlBlackFormula("Call",G89,G89,H89*SQRT($A68),,,Trigger)</f>
        <v>#VALUE!</v>
      </c>
      <c r="K89" s="20" t="e">
        <f>_xll.qlIndexFixing(K$46,$A89,,Trigger)</f>
        <v>#NUM!</v>
      </c>
      <c r="L89" s="23" t="e">
        <f>_xll.qlSwaptionVTSVolatility2(Vol,$B89,K$47,,,Trigger)</f>
        <v>#NUM!</v>
      </c>
      <c r="M89" s="76" t="e">
        <f>_xll.qlBlackFormula("Call",K89,K89,L89*SQRT($A68),,,Trigger)</f>
        <v>#VALUE!</v>
      </c>
      <c r="O89" s="20" t="e">
        <f>_xll.qlIndexFixing(O$46,$A89,,Trigger)</f>
        <v>#NUM!</v>
      </c>
      <c r="P89" s="23" t="e">
        <f>_xll.qlSwaptionVTSVolatility2(Vol,$B89,O$47,,,Trigger)</f>
        <v>#NUM!</v>
      </c>
      <c r="Q89" s="76" t="e">
        <f>_xll.qlBlackFormula("Call",O89,O89,P89*SQRT($A68),,,Trigger)</f>
        <v>#VALUE!</v>
      </c>
      <c r="S89" s="20" t="e">
        <f>_xll.qlIndexFixing(S$46,$A89,,Trigger)</f>
        <v>#NUM!</v>
      </c>
      <c r="T89" s="23" t="e">
        <f>_xll.qlSwaptionVTSVolatility2(Vol,$B89,S$47,,,Trigger)</f>
        <v>#NUM!</v>
      </c>
      <c r="U89" s="76" t="e">
        <f>_xll.qlBlackFormula("Call",S89,S89,T89*SQRT($A68),,,Trigger)</f>
        <v>#VALUE!</v>
      </c>
      <c r="W89" s="20" t="e">
        <f>_xll.qlIndexFixing(W$46,$A89,,Trigger)</f>
        <v>#NUM!</v>
      </c>
      <c r="X89" s="23" t="e">
        <f>_xll.qlSwaptionVTSVolatility2(Vol,$B89,W$47,,,Trigger)</f>
        <v>#NUM!</v>
      </c>
      <c r="Y89" s="76" t="e">
        <f>_xll.qlBlackFormula("Call",W89,W89,X89*SQRT($A68),,,Trigger)</f>
        <v>#VALUE!</v>
      </c>
      <c r="AA89" s="20" t="e">
        <f>_xll.qlIndexFixing(AA$46,$A89,,Trigger)</f>
        <v>#NUM!</v>
      </c>
      <c r="AB89" s="23" t="e">
        <f>_xll.qlSwaptionVTSVolatility2(Vol,$B89,AA$47,,,Trigger)</f>
        <v>#NUM!</v>
      </c>
      <c r="AC89" s="76" t="e">
        <f>_xll.qlBlackFormula("Call",AA89,AA89,AB89*SQRT($A68),,,Trigger)</f>
        <v>#VALUE!</v>
      </c>
      <c r="AE89" s="20" t="e">
        <f>_xll.qlIndexFixing(AE$46,$A89,,Trigger)</f>
        <v>#NUM!</v>
      </c>
      <c r="AF89" s="23" t="e">
        <f>_xll.qlSwaptionVTSVolatility2(Vol,$B89,AE$47,,,Trigger)</f>
        <v>#NUM!</v>
      </c>
      <c r="AG89" s="76" t="e">
        <f>_xll.qlBlackFormula("Call",AE89,AE89,AF89*SQRT($A68),,,Trigger)</f>
        <v>#VALUE!</v>
      </c>
      <c r="AI89" s="20" t="e">
        <f>_xll.qlIndexFixing(AI$46,$A89,,Trigger)</f>
        <v>#NUM!</v>
      </c>
      <c r="AJ89" s="23" t="e">
        <f>_xll.qlSwaptionVTSVolatility2(Vol,$B89,AI$47,,,Trigger)</f>
        <v>#NUM!</v>
      </c>
      <c r="AK89" s="76" t="e">
        <f>_xll.qlBlackFormula("Call",AI89,AI89,AJ89*SQRT($A68),,,Trigger)</f>
        <v>#VALUE!</v>
      </c>
      <c r="AM89" s="20" t="e">
        <f>_xll.qlIndexFixing(AM$46,$A89,,Trigger)</f>
        <v>#NUM!</v>
      </c>
      <c r="AN89" s="23" t="e">
        <f>_xll.qlSwaptionVTSVolatility2(Vol,$B89,AM$47,,,Trigger)</f>
        <v>#NUM!</v>
      </c>
      <c r="AO89" s="76" t="e">
        <f>_xll.qlBlackFormula("Call",AM89,AM89,AN89*SQRT($A68),,,Trigger)</f>
        <v>#VALUE!</v>
      </c>
      <c r="AP89" s="93"/>
      <c r="AQ89" s="20" t="e">
        <f>_xll.qlIndexFixing(AQ$46,$A89,,Trigger)</f>
        <v>#NUM!</v>
      </c>
      <c r="AR89" s="23" t="e">
        <f>_xll.qlSwaptionVTSVolatility2(Vol,$B89,AQ$47,,,Trigger)</f>
        <v>#NUM!</v>
      </c>
      <c r="AS89" s="76" t="e">
        <f>_xll.qlBlackFormula("Call",AQ89,AQ89,AR89*SQRT($A68),,,Trigger)</f>
        <v>#VALUE!</v>
      </c>
      <c r="AU89" s="20" t="e">
        <f>_xll.qlIndexFixing(AU$46,$A89,,Trigger)</f>
        <v>#NUM!</v>
      </c>
      <c r="AV89" s="23" t="e">
        <f>_xll.qlSwaptionVTSVolatility2(Vol,$B89,AU$47,,,Trigger)</f>
        <v>#NUM!</v>
      </c>
      <c r="AW89" s="76" t="e">
        <f>_xll.qlBlackFormula("Call",AU89,AU89,AV89*SQRT($A68),,,Trigger)</f>
        <v>#VALUE!</v>
      </c>
      <c r="AX89" s="93"/>
      <c r="AY89" s="20" t="e">
        <f>_xll.qlIndexFixing(AY$46,$A89,,Trigger)</f>
        <v>#NUM!</v>
      </c>
      <c r="AZ89" s="23" t="e">
        <f>_xll.qlSwaptionVTSVolatility2(Vol,$B89,AY$47,,,Trigger)</f>
        <v>#NUM!</v>
      </c>
      <c r="BA89" s="76" t="e">
        <f>_xll.qlBlackFormula("Call",AY89,AY89,AZ89*SQRT($A68),,,Trigger)</f>
        <v>#VALUE!</v>
      </c>
      <c r="BB89" s="93"/>
      <c r="BC89" s="20" t="e">
        <f>_xll.qlIndexFixing(BC$46,$A89,,Trigger)</f>
        <v>#NUM!</v>
      </c>
      <c r="BD89" s="23" t="e">
        <f>_xll.qlSwaptionVTSVolatility2(Vol,$B89,BC$47,,,Trigger)</f>
        <v>#NUM!</v>
      </c>
      <c r="BE89" s="76" t="e">
        <f>_xll.qlBlackFormula("Call",BC89,BC89,BD89*SQRT($A68),,,Trigger)</f>
        <v>#VALUE!</v>
      </c>
      <c r="BG89" s="20" t="e">
        <f>_xll.qlIndexFixing(BG$46,$A89,,Trigger)</f>
        <v>#NUM!</v>
      </c>
      <c r="BH89" s="23" t="e">
        <f>_xll.qlSwaptionVTSVolatility2(Vol,$B89,BG$47,,,Trigger)</f>
        <v>#NUM!</v>
      </c>
      <c r="BI89" s="76" t="e">
        <f>_xll.qlBlackFormula("Call",BG89,BG89,BH89*SQRT($A68),,,Trigger)</f>
        <v>#VALUE!</v>
      </c>
      <c r="BJ89" s="93"/>
      <c r="BK89" s="20" t="e">
        <f>_xll.qlIndexFixing(BK$46,$A89,,Trigger)</f>
        <v>#NUM!</v>
      </c>
      <c r="BL89" s="23" t="e">
        <f>_xll.qlSwaptionVTSVolatility2(Vol,$B89,BK$47,,,Trigger)</f>
        <v>#NUM!</v>
      </c>
      <c r="BM89" s="76" t="e">
        <f>_xll.qlBlackFormula("Call",BK89,BK89,BL89*SQRT($A68),,,Trigger)</f>
        <v>#VALUE!</v>
      </c>
      <c r="BN89" s="93"/>
      <c r="BO89" s="20" t="e">
        <f>_xll.qlIndexFixing(BO$46,$A89,,Trigger)</f>
        <v>#NUM!</v>
      </c>
      <c r="BP89" s="23" t="e">
        <f>_xll.qlSwaptionVTSVolatility2(Vol,$B89,BO$47,,,Trigger)</f>
        <v>#NUM!</v>
      </c>
      <c r="BQ89" s="76" t="e">
        <f>_xll.qlBlackFormula("Call",BO89,BO89,BP89*SQRT($A68),,,Trigger)</f>
        <v>#VALUE!</v>
      </c>
      <c r="BR89" s="93"/>
      <c r="BS89" s="20" t="e">
        <f>_xll.qlIndexFixing(BS$46,$A89,,Trigger)</f>
        <v>#NUM!</v>
      </c>
      <c r="BT89" s="23" t="e">
        <f>_xll.qlSwaptionVTSVolatility2(Vol,$B89,BS$47,,,Trigger)</f>
        <v>#NUM!</v>
      </c>
      <c r="BU89" s="76" t="e">
        <f>_xll.qlBlackFormula("Call",BS89,BS89,BT89*SQRT($A68),,,Trigger)</f>
        <v>#VALUE!</v>
      </c>
      <c r="BV89" s="93"/>
      <c r="BW89" s="20" t="e">
        <f>_xll.qlIndexFixing(BW$46,$A89,,Trigger)</f>
        <v>#NUM!</v>
      </c>
      <c r="BX89" s="23" t="e">
        <f>_xll.qlSwaptionVTSVolatility2(Vol,$B89,BW$47,,,Trigger)</f>
        <v>#NUM!</v>
      </c>
      <c r="BY89" s="76" t="e">
        <f>_xll.qlBlackFormula("Call",BW89,BW89,BX89*SQRT($A68),,,Trigger)</f>
        <v>#VALUE!</v>
      </c>
      <c r="CA89" s="20" t="e">
        <f>_xll.qlIndexFixing(CA$46,$A89,,Trigger)</f>
        <v>#NUM!</v>
      </c>
      <c r="CB89" s="23" t="e">
        <f>_xll.qlSwaptionVTSVolatility2(Vol,$B89,CA$47,,,Trigger)</f>
        <v>#NUM!</v>
      </c>
      <c r="CC89" s="76" t="e">
        <f>_xll.qlBlackFormula("Call",CA89,CA89,CB89*SQRT($A68),,,Trigger)</f>
        <v>#VALUE!</v>
      </c>
      <c r="CD89" s="93"/>
      <c r="CE89" s="20" t="e">
        <f>_xll.qlIndexFixing(CE$46,$A89,,Trigger)</f>
        <v>#NUM!</v>
      </c>
      <c r="CF89" s="23" t="e">
        <f>_xll.qlSwaptionVTSVolatility2(Vol,$B89,CE$47,,,Trigger)</f>
        <v>#NUM!</v>
      </c>
      <c r="CG89" s="76" t="e">
        <f>_xll.qlBlackFormula("Call",CE89,CE89,CF89*SQRT($A68),,,Trigger)</f>
        <v>#VALUE!</v>
      </c>
      <c r="CH89" s="93"/>
      <c r="CI89" s="20" t="e">
        <f>_xll.qlIndexFixing(CI$46,$A89,,Trigger)</f>
        <v>#NUM!</v>
      </c>
      <c r="CJ89" s="23" t="e">
        <f>_xll.qlSwaptionVTSVolatility2(Vol,$B89,CI$47,,,Trigger)</f>
        <v>#NUM!</v>
      </c>
      <c r="CK89" s="76" t="e">
        <f>_xll.qlBlackFormula("Call",CI89,CI89,CJ89*SQRT($A68),,,Trigger)</f>
        <v>#VALUE!</v>
      </c>
      <c r="CL89" s="93"/>
      <c r="CM89" s="20" t="e">
        <f>_xll.qlIndexFixing(CM$46,$A89,,Trigger)</f>
        <v>#NUM!</v>
      </c>
      <c r="CN89" s="23" t="e">
        <f>_xll.qlSwaptionVTSVolatility2(Vol,$B89,CM$47,,,Trigger)</f>
        <v>#NUM!</v>
      </c>
      <c r="CO89" s="76" t="e">
        <f>_xll.qlBlackFormula("Call",CM89,CM89,CN89*SQRT($A68),,,Trigger)</f>
        <v>#VALUE!</v>
      </c>
      <c r="CP89" s="93"/>
      <c r="CQ89" s="20" t="e">
        <f>_xll.qlIndexFixing(CQ$46,$A89,,Trigger)</f>
        <v>#NUM!</v>
      </c>
      <c r="CR89" s="23" t="e">
        <f>_xll.qlSwaptionVTSVolatility2(Vol,$B89,CQ$47,,,Trigger)</f>
        <v>#NUM!</v>
      </c>
      <c r="CS89" s="76" t="e">
        <f>_xll.qlBlackFormula("Call",CQ89,CQ89,CR89*SQRT($A68),,,Trigger)</f>
        <v>#VALUE!</v>
      </c>
      <c r="CU89" s="20" t="e">
        <f>_xll.qlIndexFixing(CU$46,$A89,,Trigger)</f>
        <v>#NUM!</v>
      </c>
      <c r="CV89" s="23" t="e">
        <f>_xll.qlSwaptionVTSVolatility2(Vol,$B89,CU$47,,,Trigger)</f>
        <v>#NUM!</v>
      </c>
      <c r="CW89" s="76" t="e">
        <f>_xll.qlBlackFormula("Call",CU89,CU89,CV89*SQRT($A68),,,Trigger)</f>
        <v>#VALUE!</v>
      </c>
      <c r="CX89" s="93"/>
      <c r="CY89" s="20" t="e">
        <f>_xll.qlIndexFixing(CY$46,$A89,,Trigger)</f>
        <v>#NUM!</v>
      </c>
      <c r="CZ89" s="23" t="e">
        <f>_xll.qlSwaptionVTSVolatility2(Vol,$B89,CY$47,,,Trigger)</f>
        <v>#NUM!</v>
      </c>
      <c r="DA89" s="76" t="e">
        <f>_xll.qlBlackFormula("Call",CY89,CY89,CZ89*SQRT($A68),,,Trigger)</f>
        <v>#VALUE!</v>
      </c>
      <c r="DB89" s="93"/>
      <c r="DC89" s="20" t="e">
        <f>_xll.qlIndexFixing(DC$46,$A89,,Trigger)</f>
        <v>#NUM!</v>
      </c>
      <c r="DD89" s="23" t="e">
        <f>_xll.qlSwaptionVTSVolatility2(Vol,$B89,DC$47,,,Trigger)</f>
        <v>#NUM!</v>
      </c>
      <c r="DE89" s="76" t="e">
        <f>_xll.qlBlackFormula("Call",DC89,DC89,DD89*SQRT($A68),,,Trigger)</f>
        <v>#VALUE!</v>
      </c>
      <c r="DF89" s="93"/>
      <c r="DG89" s="20" t="e">
        <f>_xll.qlIndexFixing(DG$46,$A89,,Trigger)</f>
        <v>#NUM!</v>
      </c>
      <c r="DH89" s="23" t="e">
        <f>_xll.qlSwaptionVTSVolatility2(Vol,$B89,DG$47,,,Trigger)</f>
        <v>#NUM!</v>
      </c>
      <c r="DI89" s="76" t="e">
        <f>_xll.qlBlackFormula("Call",DG89,DG89,DH89*SQRT($A68),,,Trigger)</f>
        <v>#VALUE!</v>
      </c>
      <c r="DJ89" s="93"/>
      <c r="DK89" s="20" t="e">
        <f>_xll.qlIndexFixing(DK$46,$A89,,Trigger)</f>
        <v>#NUM!</v>
      </c>
      <c r="DL89" s="23" t="e">
        <f>_xll.qlSwaptionVTSVolatility2(Vol,$B89,DK$47,,,Trigger)</f>
        <v>#NUM!</v>
      </c>
      <c r="DM89" s="76" t="e">
        <f>_xll.qlBlackFormula("Call",DK89,DK89,DL89*SQRT($A68),,,Trigger)</f>
        <v>#VALUE!</v>
      </c>
      <c r="DO89" s="20" t="e">
        <f>_xll.qlIndexFixing(DO$46,$A89,,Trigger)</f>
        <v>#NUM!</v>
      </c>
      <c r="DP89" s="23" t="e">
        <f>_xll.qlSwaptionVTSVolatility2(Vol,$B89,DO$47,,,Trigger)</f>
        <v>#NUM!</v>
      </c>
      <c r="DQ89" s="76" t="e">
        <f>_xll.qlBlackFormula("Call",DO89,DO89,DP89*SQRT($A68),,,Trigger)</f>
        <v>#VALUE!</v>
      </c>
    </row>
  </sheetData>
  <mergeCells count="30">
    <mergeCell ref="X46:Y46"/>
    <mergeCell ref="D46:E46"/>
    <mergeCell ref="H46:I46"/>
    <mergeCell ref="L46:M46"/>
    <mergeCell ref="P46:Q46"/>
    <mergeCell ref="T46:U46"/>
    <mergeCell ref="DP46:DQ46"/>
    <mergeCell ref="AJ46:AK46"/>
    <mergeCell ref="AN46:AO46"/>
    <mergeCell ref="AV46:AW46"/>
    <mergeCell ref="BH46:BI46"/>
    <mergeCell ref="AR46:AS46"/>
    <mergeCell ref="BX46:BY46"/>
    <mergeCell ref="DH46:DI46"/>
    <mergeCell ref="DL46:DM46"/>
    <mergeCell ref="CZ46:DA46"/>
    <mergeCell ref="DD46:DE46"/>
    <mergeCell ref="AB46:AC46"/>
    <mergeCell ref="AF46:AG46"/>
    <mergeCell ref="CB46:CC46"/>
    <mergeCell ref="CV46:CW46"/>
    <mergeCell ref="AZ46:BA46"/>
    <mergeCell ref="BD46:BE46"/>
    <mergeCell ref="BL46:BM46"/>
    <mergeCell ref="BP46:BQ46"/>
    <mergeCell ref="BT46:BU46"/>
    <mergeCell ref="CF46:CG46"/>
    <mergeCell ref="CJ46:CK46"/>
    <mergeCell ref="CN46:CO46"/>
    <mergeCell ref="CR46:CS46"/>
  </mergeCells>
  <phoneticPr fontId="2" type="noConversion"/>
  <dataValidations disablePrompts="1" count="3">
    <dataValidation type="list" allowBlank="1" showInputMessage="1" showErrorMessage="1" sqref="DP27 DL27 DH27 DD27 CZ27 CV27 CR27 CN27 CJ27 CF27 CB27 BX27 BT27 BP27 BL27 BH27 BD27 AZ27 AV27 AR27 AN27 AJ27 AF27 AB27 X27 T27 P27 L27 H27 D27">
      <formula1>"Default,LevenbergMarquardt,Simplex"</formula1>
    </dataValidation>
    <dataValidation type="list" allowBlank="1" showInputMessage="1" showErrorMessage="1" sqref="DP28 DL28 DH28 DD28 CZ28 CV28 CR28 CN28 CJ28 CF28 CB28 BX28 BT28 BP28 BL28 BH28 BD28 AZ28 AV28 AR28 AN28 AJ28 AF28 AB28 X28 T28 P28 L28 H28 D28">
      <formula1>"Default,Customized"</formula1>
    </dataValidation>
    <dataValidation type="list" allowBlank="1" showInputMessage="1" showErrorMessage="1" sqref="B3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1Y">
          <controlPr defaultSize="0" autoLine="0" r:id="rId5">
            <anchor moveWithCells="1">
              <from>
                <xdr:col>4</xdr:col>
                <xdr:colOff>85725</xdr:colOff>
                <xdr:row>31</xdr:row>
                <xdr:rowOff>0</xdr:rowOff>
              </from>
              <to>
                <xdr:col>4</xdr:col>
                <xdr:colOff>762000</xdr:colOff>
                <xdr:row>33</xdr:row>
                <xdr:rowOff>0</xdr:rowOff>
              </to>
            </anchor>
          </controlPr>
        </control>
      </mc:Choice>
      <mc:Fallback>
        <control shapeId="6145" r:id="rId4" name="CommandButton1Y"/>
      </mc:Fallback>
    </mc:AlternateContent>
    <mc:AlternateContent xmlns:mc="http://schemas.openxmlformats.org/markup-compatibility/2006">
      <mc:Choice Requires="x14">
        <control shapeId="6146" r:id="rId6" name="CommandButton2Y">
          <controlPr defaultSize="0" autoLine="0" r:id="rId7">
            <anchor moveWithCells="1">
              <from>
                <xdr:col>8</xdr:col>
                <xdr:colOff>95250</xdr:colOff>
                <xdr:row>31</xdr:row>
                <xdr:rowOff>0</xdr:rowOff>
              </from>
              <to>
                <xdr:col>8</xdr:col>
                <xdr:colOff>771525</xdr:colOff>
                <xdr:row>33</xdr:row>
                <xdr:rowOff>0</xdr:rowOff>
              </to>
            </anchor>
          </controlPr>
        </control>
      </mc:Choice>
      <mc:Fallback>
        <control shapeId="6146" r:id="rId6" name="CommandButton2Y"/>
      </mc:Fallback>
    </mc:AlternateContent>
    <mc:AlternateContent xmlns:mc="http://schemas.openxmlformats.org/markup-compatibility/2006">
      <mc:Choice Requires="x14">
        <control shapeId="6147" r:id="rId8" name="CommandButton3Y">
          <controlPr defaultSize="0" autoLine="0" r:id="rId9">
            <anchor moveWithCells="1">
              <from>
                <xdr:col>12</xdr:col>
                <xdr:colOff>85725</xdr:colOff>
                <xdr:row>31</xdr:row>
                <xdr:rowOff>0</xdr:rowOff>
              </from>
              <to>
                <xdr:col>12</xdr:col>
                <xdr:colOff>762000</xdr:colOff>
                <xdr:row>33</xdr:row>
                <xdr:rowOff>0</xdr:rowOff>
              </to>
            </anchor>
          </controlPr>
        </control>
      </mc:Choice>
      <mc:Fallback>
        <control shapeId="6147" r:id="rId8" name="CommandButton3Y"/>
      </mc:Fallback>
    </mc:AlternateContent>
    <mc:AlternateContent xmlns:mc="http://schemas.openxmlformats.org/markup-compatibility/2006">
      <mc:Choice Requires="x14">
        <control shapeId="6148" r:id="rId10" name="CommandButton4Y">
          <controlPr defaultSize="0" autoLine="0" r:id="rId11">
            <anchor moveWithCells="1">
              <from>
                <xdr:col>16</xdr:col>
                <xdr:colOff>76200</xdr:colOff>
                <xdr:row>31</xdr:row>
                <xdr:rowOff>0</xdr:rowOff>
              </from>
              <to>
                <xdr:col>16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148" r:id="rId10" name="CommandButton4Y"/>
      </mc:Fallback>
    </mc:AlternateContent>
    <mc:AlternateContent xmlns:mc="http://schemas.openxmlformats.org/markup-compatibility/2006">
      <mc:Choice Requires="x14">
        <control shapeId="6149" r:id="rId12" name="CommandButton5Y">
          <controlPr defaultSize="0" autoLine="0" r:id="rId13">
            <anchor moveWithCells="1">
              <from>
                <xdr:col>20</xdr:col>
                <xdr:colOff>76200</xdr:colOff>
                <xdr:row>31</xdr:row>
                <xdr:rowOff>0</xdr:rowOff>
              </from>
              <to>
                <xdr:col>20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149" r:id="rId12" name="CommandButton5Y"/>
      </mc:Fallback>
    </mc:AlternateContent>
    <mc:AlternateContent xmlns:mc="http://schemas.openxmlformats.org/markup-compatibility/2006">
      <mc:Choice Requires="x14">
        <control shapeId="6150" r:id="rId14" name="CommandButton6Y">
          <controlPr defaultSize="0" autoLine="0" r:id="rId15">
            <anchor moveWithCells="1">
              <from>
                <xdr:col>24</xdr:col>
                <xdr:colOff>85725</xdr:colOff>
                <xdr:row>31</xdr:row>
                <xdr:rowOff>0</xdr:rowOff>
              </from>
              <to>
                <xdr:col>24</xdr:col>
                <xdr:colOff>762000</xdr:colOff>
                <xdr:row>33</xdr:row>
                <xdr:rowOff>0</xdr:rowOff>
              </to>
            </anchor>
          </controlPr>
        </control>
      </mc:Choice>
      <mc:Fallback>
        <control shapeId="6150" r:id="rId14" name="CommandButton6Y"/>
      </mc:Fallback>
    </mc:AlternateContent>
    <mc:AlternateContent xmlns:mc="http://schemas.openxmlformats.org/markup-compatibility/2006">
      <mc:Choice Requires="x14">
        <control shapeId="6151" r:id="rId16" name="CommandButton7Y">
          <controlPr defaultSize="0" autoLine="0" r:id="rId17">
            <anchor moveWithCells="1">
              <from>
                <xdr:col>28</xdr:col>
                <xdr:colOff>57150</xdr:colOff>
                <xdr:row>31</xdr:row>
                <xdr:rowOff>0</xdr:rowOff>
              </from>
              <to>
                <xdr:col>28</xdr:col>
                <xdr:colOff>733425</xdr:colOff>
                <xdr:row>33</xdr:row>
                <xdr:rowOff>0</xdr:rowOff>
              </to>
            </anchor>
          </controlPr>
        </control>
      </mc:Choice>
      <mc:Fallback>
        <control shapeId="6151" r:id="rId16" name="CommandButton7Y"/>
      </mc:Fallback>
    </mc:AlternateContent>
    <mc:AlternateContent xmlns:mc="http://schemas.openxmlformats.org/markup-compatibility/2006">
      <mc:Choice Requires="x14">
        <control shapeId="6152" r:id="rId18" name="CommandButton8Y">
          <controlPr defaultSize="0" autoLine="0" r:id="rId19">
            <anchor moveWithCells="1">
              <from>
                <xdr:col>32</xdr:col>
                <xdr:colOff>85725</xdr:colOff>
                <xdr:row>31</xdr:row>
                <xdr:rowOff>0</xdr:rowOff>
              </from>
              <to>
                <xdr:col>32</xdr:col>
                <xdr:colOff>762000</xdr:colOff>
                <xdr:row>33</xdr:row>
                <xdr:rowOff>0</xdr:rowOff>
              </to>
            </anchor>
          </controlPr>
        </control>
      </mc:Choice>
      <mc:Fallback>
        <control shapeId="6152" r:id="rId18" name="CommandButton8Y"/>
      </mc:Fallback>
    </mc:AlternateContent>
    <mc:AlternateContent xmlns:mc="http://schemas.openxmlformats.org/markup-compatibility/2006">
      <mc:Choice Requires="x14">
        <control shapeId="6153" r:id="rId20" name="CommandButton9Y">
          <controlPr defaultSize="0" autoLine="0" r:id="rId21">
            <anchor moveWithCells="1">
              <from>
                <xdr:col>36</xdr:col>
                <xdr:colOff>85725</xdr:colOff>
                <xdr:row>31</xdr:row>
                <xdr:rowOff>0</xdr:rowOff>
              </from>
              <to>
                <xdr:col>36</xdr:col>
                <xdr:colOff>762000</xdr:colOff>
                <xdr:row>33</xdr:row>
                <xdr:rowOff>0</xdr:rowOff>
              </to>
            </anchor>
          </controlPr>
        </control>
      </mc:Choice>
      <mc:Fallback>
        <control shapeId="6153" r:id="rId20" name="CommandButton9Y"/>
      </mc:Fallback>
    </mc:AlternateContent>
    <mc:AlternateContent xmlns:mc="http://schemas.openxmlformats.org/markup-compatibility/2006">
      <mc:Choice Requires="x14">
        <control shapeId="6154" r:id="rId22" name="CommandButton10Y">
          <controlPr defaultSize="0" autoLine="0" r:id="rId23">
            <anchor moveWithCells="1">
              <from>
                <xdr:col>40</xdr:col>
                <xdr:colOff>57150</xdr:colOff>
                <xdr:row>31</xdr:row>
                <xdr:rowOff>0</xdr:rowOff>
              </from>
              <to>
                <xdr:col>40</xdr:col>
                <xdr:colOff>733425</xdr:colOff>
                <xdr:row>33</xdr:row>
                <xdr:rowOff>0</xdr:rowOff>
              </to>
            </anchor>
          </controlPr>
        </control>
      </mc:Choice>
      <mc:Fallback>
        <control shapeId="6154" r:id="rId22" name="CommandButton10Y"/>
      </mc:Fallback>
    </mc:AlternateContent>
    <mc:AlternateContent xmlns:mc="http://schemas.openxmlformats.org/markup-compatibility/2006">
      <mc:Choice Requires="x14">
        <control shapeId="6155" r:id="rId24" name="CommandButton12Y">
          <controlPr defaultSize="0" autoLine="0" r:id="rId25">
            <anchor moveWithCells="1">
              <from>
                <xdr:col>48</xdr:col>
                <xdr:colOff>76200</xdr:colOff>
                <xdr:row>31</xdr:row>
                <xdr:rowOff>0</xdr:rowOff>
              </from>
              <to>
                <xdr:col>48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155" r:id="rId24" name="CommandButton12Y"/>
      </mc:Fallback>
    </mc:AlternateContent>
    <mc:AlternateContent xmlns:mc="http://schemas.openxmlformats.org/markup-compatibility/2006">
      <mc:Choice Requires="x14">
        <control shapeId="6156" r:id="rId26" name="CommandButton15Y">
          <controlPr defaultSize="0" autoLine="0" r:id="rId27">
            <anchor moveWithCells="1">
              <from>
                <xdr:col>60</xdr:col>
                <xdr:colOff>76200</xdr:colOff>
                <xdr:row>31</xdr:row>
                <xdr:rowOff>0</xdr:rowOff>
              </from>
              <to>
                <xdr:col>60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156" r:id="rId26" name="CommandButton15Y"/>
      </mc:Fallback>
    </mc:AlternateContent>
    <mc:AlternateContent xmlns:mc="http://schemas.openxmlformats.org/markup-compatibility/2006">
      <mc:Choice Requires="x14">
        <control shapeId="6157" r:id="rId28" name="CommandButton20Y">
          <controlPr defaultSize="0" autoLine="0" r:id="rId29">
            <anchor moveWithCells="1">
              <from>
                <xdr:col>80</xdr:col>
                <xdr:colOff>66675</xdr:colOff>
                <xdr:row>31</xdr:row>
                <xdr:rowOff>0</xdr:rowOff>
              </from>
              <to>
                <xdr:col>80</xdr:col>
                <xdr:colOff>742950</xdr:colOff>
                <xdr:row>33</xdr:row>
                <xdr:rowOff>0</xdr:rowOff>
              </to>
            </anchor>
          </controlPr>
        </control>
      </mc:Choice>
      <mc:Fallback>
        <control shapeId="6157" r:id="rId28" name="CommandButton20Y"/>
      </mc:Fallback>
    </mc:AlternateContent>
    <mc:AlternateContent xmlns:mc="http://schemas.openxmlformats.org/markup-compatibility/2006">
      <mc:Choice Requires="x14">
        <control shapeId="6158" r:id="rId30" name="CommandButton25Y">
          <controlPr defaultSize="0" autoLine="0" r:id="rId31">
            <anchor moveWithCells="1">
              <from>
                <xdr:col>100</xdr:col>
                <xdr:colOff>66675</xdr:colOff>
                <xdr:row>31</xdr:row>
                <xdr:rowOff>0</xdr:rowOff>
              </from>
              <to>
                <xdr:col>100</xdr:col>
                <xdr:colOff>742950</xdr:colOff>
                <xdr:row>33</xdr:row>
                <xdr:rowOff>0</xdr:rowOff>
              </to>
            </anchor>
          </controlPr>
        </control>
      </mc:Choice>
      <mc:Fallback>
        <control shapeId="6158" r:id="rId30" name="CommandButton25Y"/>
      </mc:Fallback>
    </mc:AlternateContent>
    <mc:AlternateContent xmlns:mc="http://schemas.openxmlformats.org/markup-compatibility/2006">
      <mc:Choice Requires="x14">
        <control shapeId="6159" r:id="rId32" name="CommandButton30Y">
          <controlPr defaultSize="0" autoLine="0" r:id="rId33">
            <anchor moveWithCells="1">
              <from>
                <xdr:col>120</xdr:col>
                <xdr:colOff>76200</xdr:colOff>
                <xdr:row>31</xdr:row>
                <xdr:rowOff>0</xdr:rowOff>
              </from>
              <to>
                <xdr:col>120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159" r:id="rId32" name="CommandButton30Y"/>
      </mc:Fallback>
    </mc:AlternateContent>
    <mc:AlternateContent xmlns:mc="http://schemas.openxmlformats.org/markup-compatibility/2006">
      <mc:Choice Requires="x14">
        <control shapeId="6432" r:id="rId34" name="CommandButtonAll">
          <controlPr defaultSize="0" autoLine="0" autoPict="0" r:id="rId35">
            <anchor moveWithCells="1">
              <from>
                <xdr:col>4</xdr:col>
                <xdr:colOff>285750</xdr:colOff>
                <xdr:row>0</xdr:row>
                <xdr:rowOff>0</xdr:rowOff>
              </from>
              <to>
                <xdr:col>6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6432" r:id="rId34" name="CommandButtonAll"/>
      </mc:Fallback>
    </mc:AlternateContent>
    <mc:AlternateContent xmlns:mc="http://schemas.openxmlformats.org/markup-compatibility/2006">
      <mc:Choice Requires="x14">
        <control shapeId="6581" r:id="rId36" name="CommandButton11Y">
          <controlPr defaultSize="0" autoLine="0" r:id="rId37">
            <anchor moveWithCells="1">
              <from>
                <xdr:col>44</xdr:col>
                <xdr:colOff>57150</xdr:colOff>
                <xdr:row>31</xdr:row>
                <xdr:rowOff>0</xdr:rowOff>
              </from>
              <to>
                <xdr:col>44</xdr:col>
                <xdr:colOff>733425</xdr:colOff>
                <xdr:row>33</xdr:row>
                <xdr:rowOff>0</xdr:rowOff>
              </to>
            </anchor>
          </controlPr>
        </control>
      </mc:Choice>
      <mc:Fallback>
        <control shapeId="6581" r:id="rId36" name="CommandButton11Y"/>
      </mc:Fallback>
    </mc:AlternateContent>
    <mc:AlternateContent xmlns:mc="http://schemas.openxmlformats.org/markup-compatibility/2006">
      <mc:Choice Requires="x14">
        <control shapeId="6582" r:id="rId38" name="CommandButton13Y">
          <controlPr defaultSize="0" autoLine="0" r:id="rId39">
            <anchor moveWithCells="1">
              <from>
                <xdr:col>52</xdr:col>
                <xdr:colOff>76200</xdr:colOff>
                <xdr:row>31</xdr:row>
                <xdr:rowOff>0</xdr:rowOff>
              </from>
              <to>
                <xdr:col>52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582" r:id="rId38" name="CommandButton13Y"/>
      </mc:Fallback>
    </mc:AlternateContent>
    <mc:AlternateContent xmlns:mc="http://schemas.openxmlformats.org/markup-compatibility/2006">
      <mc:Choice Requires="x14">
        <control shapeId="6592" r:id="rId40" name="CommandButton14Y">
          <controlPr defaultSize="0" autoLine="0" r:id="rId41">
            <anchor moveWithCells="1">
              <from>
                <xdr:col>56</xdr:col>
                <xdr:colOff>76200</xdr:colOff>
                <xdr:row>31</xdr:row>
                <xdr:rowOff>0</xdr:rowOff>
              </from>
              <to>
                <xdr:col>56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592" r:id="rId40" name="CommandButton14Y"/>
      </mc:Fallback>
    </mc:AlternateContent>
    <mc:AlternateContent xmlns:mc="http://schemas.openxmlformats.org/markup-compatibility/2006">
      <mc:Choice Requires="x14">
        <control shapeId="6602" r:id="rId42" name="CommandButton16Y">
          <controlPr defaultSize="0" autoLine="0" r:id="rId43">
            <anchor moveWithCells="1">
              <from>
                <xdr:col>64</xdr:col>
                <xdr:colOff>76200</xdr:colOff>
                <xdr:row>31</xdr:row>
                <xdr:rowOff>0</xdr:rowOff>
              </from>
              <to>
                <xdr:col>64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02" r:id="rId42" name="CommandButton16Y"/>
      </mc:Fallback>
    </mc:AlternateContent>
    <mc:AlternateContent xmlns:mc="http://schemas.openxmlformats.org/markup-compatibility/2006">
      <mc:Choice Requires="x14">
        <control shapeId="6612" r:id="rId44" name="CommandButton17Y">
          <controlPr defaultSize="0" autoLine="0" r:id="rId45">
            <anchor moveWithCells="1">
              <from>
                <xdr:col>68</xdr:col>
                <xdr:colOff>76200</xdr:colOff>
                <xdr:row>31</xdr:row>
                <xdr:rowOff>0</xdr:rowOff>
              </from>
              <to>
                <xdr:col>68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12" r:id="rId44" name="CommandButton17Y"/>
      </mc:Fallback>
    </mc:AlternateContent>
    <mc:AlternateContent xmlns:mc="http://schemas.openxmlformats.org/markup-compatibility/2006">
      <mc:Choice Requires="x14">
        <control shapeId="6622" r:id="rId46" name="CommandButton18Y">
          <controlPr defaultSize="0" autoLine="0" r:id="rId47">
            <anchor moveWithCells="1">
              <from>
                <xdr:col>72</xdr:col>
                <xdr:colOff>76200</xdr:colOff>
                <xdr:row>31</xdr:row>
                <xdr:rowOff>0</xdr:rowOff>
              </from>
              <to>
                <xdr:col>72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22" r:id="rId46" name="CommandButton18Y"/>
      </mc:Fallback>
    </mc:AlternateContent>
    <mc:AlternateContent xmlns:mc="http://schemas.openxmlformats.org/markup-compatibility/2006">
      <mc:Choice Requires="x14">
        <control shapeId="6632" r:id="rId48" name="CommandButton19Y">
          <controlPr defaultSize="0" autoLine="0" r:id="rId49">
            <anchor moveWithCells="1">
              <from>
                <xdr:col>76</xdr:col>
                <xdr:colOff>76200</xdr:colOff>
                <xdr:row>31</xdr:row>
                <xdr:rowOff>0</xdr:rowOff>
              </from>
              <to>
                <xdr:col>76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32" r:id="rId48" name="CommandButton19Y"/>
      </mc:Fallback>
    </mc:AlternateContent>
    <mc:AlternateContent xmlns:mc="http://schemas.openxmlformats.org/markup-compatibility/2006">
      <mc:Choice Requires="x14">
        <control shapeId="6642" r:id="rId50" name="CommandButton21Y">
          <controlPr defaultSize="0" autoLine="0" r:id="rId51">
            <anchor moveWithCells="1">
              <from>
                <xdr:col>84</xdr:col>
                <xdr:colOff>76200</xdr:colOff>
                <xdr:row>31</xdr:row>
                <xdr:rowOff>0</xdr:rowOff>
              </from>
              <to>
                <xdr:col>84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42" r:id="rId50" name="CommandButton21Y"/>
      </mc:Fallback>
    </mc:AlternateContent>
    <mc:AlternateContent xmlns:mc="http://schemas.openxmlformats.org/markup-compatibility/2006">
      <mc:Choice Requires="x14">
        <control shapeId="6652" r:id="rId52" name="CommandButton22Y">
          <controlPr defaultSize="0" autoLine="0" r:id="rId53">
            <anchor moveWithCells="1">
              <from>
                <xdr:col>88</xdr:col>
                <xdr:colOff>76200</xdr:colOff>
                <xdr:row>31</xdr:row>
                <xdr:rowOff>0</xdr:rowOff>
              </from>
              <to>
                <xdr:col>88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52" r:id="rId52" name="CommandButton22Y"/>
      </mc:Fallback>
    </mc:AlternateContent>
    <mc:AlternateContent xmlns:mc="http://schemas.openxmlformats.org/markup-compatibility/2006">
      <mc:Choice Requires="x14">
        <control shapeId="6662" r:id="rId54" name="CommandButton23Y">
          <controlPr defaultSize="0" autoLine="0" r:id="rId55">
            <anchor moveWithCells="1">
              <from>
                <xdr:col>92</xdr:col>
                <xdr:colOff>76200</xdr:colOff>
                <xdr:row>31</xdr:row>
                <xdr:rowOff>0</xdr:rowOff>
              </from>
              <to>
                <xdr:col>92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62" r:id="rId54" name="CommandButton23Y"/>
      </mc:Fallback>
    </mc:AlternateContent>
    <mc:AlternateContent xmlns:mc="http://schemas.openxmlformats.org/markup-compatibility/2006">
      <mc:Choice Requires="x14">
        <control shapeId="6672" r:id="rId56" name="CommandButton24Y">
          <controlPr defaultSize="0" autoLine="0" r:id="rId57">
            <anchor moveWithCells="1">
              <from>
                <xdr:col>96</xdr:col>
                <xdr:colOff>76200</xdr:colOff>
                <xdr:row>31</xdr:row>
                <xdr:rowOff>0</xdr:rowOff>
              </from>
              <to>
                <xdr:col>96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72" r:id="rId56" name="CommandButton24Y"/>
      </mc:Fallback>
    </mc:AlternateContent>
    <mc:AlternateContent xmlns:mc="http://schemas.openxmlformats.org/markup-compatibility/2006">
      <mc:Choice Requires="x14">
        <control shapeId="6682" r:id="rId58" name="CommandButton26Y">
          <controlPr defaultSize="0" autoLine="0" r:id="rId59">
            <anchor moveWithCells="1">
              <from>
                <xdr:col>104</xdr:col>
                <xdr:colOff>76200</xdr:colOff>
                <xdr:row>31</xdr:row>
                <xdr:rowOff>0</xdr:rowOff>
              </from>
              <to>
                <xdr:col>104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82" r:id="rId58" name="CommandButton26Y"/>
      </mc:Fallback>
    </mc:AlternateContent>
    <mc:AlternateContent xmlns:mc="http://schemas.openxmlformats.org/markup-compatibility/2006">
      <mc:Choice Requires="x14">
        <control shapeId="6692" r:id="rId60" name="CommandButton27Y">
          <controlPr defaultSize="0" autoLine="0" r:id="rId61">
            <anchor moveWithCells="1">
              <from>
                <xdr:col>108</xdr:col>
                <xdr:colOff>76200</xdr:colOff>
                <xdr:row>31</xdr:row>
                <xdr:rowOff>0</xdr:rowOff>
              </from>
              <to>
                <xdr:col>108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692" r:id="rId60" name="CommandButton27Y"/>
      </mc:Fallback>
    </mc:AlternateContent>
    <mc:AlternateContent xmlns:mc="http://schemas.openxmlformats.org/markup-compatibility/2006">
      <mc:Choice Requires="x14">
        <control shapeId="6702" r:id="rId62" name="CommandButton28Y">
          <controlPr defaultSize="0" autoLine="0" r:id="rId63">
            <anchor moveWithCells="1">
              <from>
                <xdr:col>112</xdr:col>
                <xdr:colOff>76200</xdr:colOff>
                <xdr:row>31</xdr:row>
                <xdr:rowOff>0</xdr:rowOff>
              </from>
              <to>
                <xdr:col>112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702" r:id="rId62" name="CommandButton28Y"/>
      </mc:Fallback>
    </mc:AlternateContent>
    <mc:AlternateContent xmlns:mc="http://schemas.openxmlformats.org/markup-compatibility/2006">
      <mc:Choice Requires="x14">
        <control shapeId="6712" r:id="rId64" name="CommandButton29Y">
          <controlPr defaultSize="0" autoLine="0" r:id="rId65">
            <anchor moveWithCells="1">
              <from>
                <xdr:col>116</xdr:col>
                <xdr:colOff>76200</xdr:colOff>
                <xdr:row>31</xdr:row>
                <xdr:rowOff>0</xdr:rowOff>
              </from>
              <to>
                <xdr:col>116</xdr:col>
                <xdr:colOff>752475</xdr:colOff>
                <xdr:row>33</xdr:row>
                <xdr:rowOff>0</xdr:rowOff>
              </to>
            </anchor>
          </controlPr>
        </control>
      </mc:Choice>
      <mc:Fallback>
        <control shapeId="6712" r:id="rId64" name="CommandButton29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61"/>
  <sheetViews>
    <sheetView topLeftCell="A19" workbookViewId="0"/>
  </sheetViews>
  <sheetFormatPr defaultRowHeight="12.75" x14ac:dyDescent="0.2"/>
  <cols>
    <col min="1" max="1" width="12.5703125" bestFit="1" customWidth="1"/>
    <col min="2" max="10" width="16.28515625" bestFit="1" customWidth="1"/>
    <col min="11" max="11" width="17.28515625" bestFit="1" customWidth="1"/>
    <col min="12" max="12" width="18.85546875" bestFit="1" customWidth="1"/>
    <col min="13" max="16" width="17.28515625" bestFit="1" customWidth="1"/>
  </cols>
  <sheetData>
    <row r="1" spans="1:36" x14ac:dyDescent="0.2">
      <c r="A1" s="34" t="s">
        <v>15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6"/>
    </row>
    <row r="2" spans="1:36" x14ac:dyDescent="0.2">
      <c r="A2" s="9" t="s">
        <v>19</v>
      </c>
      <c r="B2" s="33" t="str">
        <f>+Calibration!E48</f>
        <v>1Y_K</v>
      </c>
      <c r="C2" s="33" t="str">
        <f>Calibration!I48</f>
        <v>2Y_K</v>
      </c>
      <c r="D2" s="33" t="str">
        <f>Calibration!M48</f>
        <v>3Y_K</v>
      </c>
      <c r="E2" s="33" t="str">
        <f>Calibration!Q48</f>
        <v>4Y_K</v>
      </c>
      <c r="F2" s="33" t="str">
        <f>Calibration!U48</f>
        <v>5Y_K</v>
      </c>
      <c r="G2" s="33" t="str">
        <f>Calibration!Y48</f>
        <v>6Y_K</v>
      </c>
      <c r="H2" s="33" t="str">
        <f>Calibration!AC48</f>
        <v>7Y_K</v>
      </c>
      <c r="I2" s="33" t="str">
        <f>Calibration!AG48</f>
        <v>8Y_K</v>
      </c>
      <c r="J2" s="33" t="str">
        <f>Calibration!AK48</f>
        <v>9Y_K</v>
      </c>
      <c r="K2" s="33" t="str">
        <f>Calibration!AO48</f>
        <v>10Y_K</v>
      </c>
      <c r="L2" s="33" t="str">
        <f>Calibration!AW48</f>
        <v>12Y_K</v>
      </c>
      <c r="M2" s="33" t="str">
        <f>Calibration!BI48</f>
        <v>15Y_K</v>
      </c>
      <c r="N2" s="33" t="str">
        <f>Calibration!CC48</f>
        <v>20Y_K</v>
      </c>
      <c r="O2" s="33" t="str">
        <f>Calibration!CW48</f>
        <v>25Y_K</v>
      </c>
      <c r="P2" s="33" t="str">
        <f>Calibration!DQ48</f>
        <v>30Y_K</v>
      </c>
    </row>
    <row r="3" spans="1:36" x14ac:dyDescent="0.2">
      <c r="A3" s="37" t="s">
        <v>21</v>
      </c>
      <c r="B3" s="43" t="e">
        <f>+Calibration!E49</f>
        <v>#VALUE!</v>
      </c>
      <c r="C3" s="43" t="e">
        <f>Calibration!I49</f>
        <v>#VALUE!</v>
      </c>
      <c r="D3" s="43" t="e">
        <f>Calibration!M49</f>
        <v>#VALUE!</v>
      </c>
      <c r="E3" s="43" t="e">
        <f>Calibration!Q49</f>
        <v>#VALUE!</v>
      </c>
      <c r="F3" s="43" t="e">
        <f>Calibration!U49</f>
        <v>#VALUE!</v>
      </c>
      <c r="G3" s="43" t="e">
        <f>Calibration!Y49</f>
        <v>#VALUE!</v>
      </c>
      <c r="H3" s="43" t="e">
        <f>Calibration!AC49</f>
        <v>#VALUE!</v>
      </c>
      <c r="I3" s="43" t="e">
        <f>Calibration!AG49</f>
        <v>#VALUE!</v>
      </c>
      <c r="J3" s="43" t="e">
        <f>Calibration!AK49</f>
        <v>#VALUE!</v>
      </c>
      <c r="K3" s="43" t="e">
        <f>Calibration!AO49</f>
        <v>#VALUE!</v>
      </c>
      <c r="L3" s="43" t="e">
        <f>Calibration!AW49</f>
        <v>#VALUE!</v>
      </c>
      <c r="M3" s="43" t="e">
        <f>Calibration!BI49</f>
        <v>#VALUE!</v>
      </c>
      <c r="N3" s="43" t="e">
        <f>Calibration!CC49</f>
        <v>#VALUE!</v>
      </c>
      <c r="O3" s="43" t="e">
        <f>Calibration!CW49</f>
        <v>#VALUE!</v>
      </c>
      <c r="P3" s="43" t="e">
        <f>Calibration!DQ49</f>
        <v>#VALUE!</v>
      </c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</row>
    <row r="4" spans="1:36" x14ac:dyDescent="0.2">
      <c r="A4" s="37" t="s">
        <v>22</v>
      </c>
      <c r="B4" s="43" t="e">
        <f>+Calibration!E50</f>
        <v>#VALUE!</v>
      </c>
      <c r="C4" s="43" t="e">
        <f>Calibration!I50</f>
        <v>#VALUE!</v>
      </c>
      <c r="D4" s="43" t="e">
        <f>Calibration!M50</f>
        <v>#VALUE!</v>
      </c>
      <c r="E4" s="43" t="e">
        <f>Calibration!Q50</f>
        <v>#VALUE!</v>
      </c>
      <c r="F4" s="43" t="e">
        <f>Calibration!U50</f>
        <v>#VALUE!</v>
      </c>
      <c r="G4" s="43" t="e">
        <f>Calibration!Y50</f>
        <v>#VALUE!</v>
      </c>
      <c r="H4" s="43" t="e">
        <f>Calibration!AC50</f>
        <v>#VALUE!</v>
      </c>
      <c r="I4" s="43" t="e">
        <f>Calibration!AG50</f>
        <v>#VALUE!</v>
      </c>
      <c r="J4" s="43" t="e">
        <f>Calibration!AK50</f>
        <v>#VALUE!</v>
      </c>
      <c r="K4" s="43" t="e">
        <f>Calibration!AO50</f>
        <v>#VALUE!</v>
      </c>
      <c r="L4" s="43" t="e">
        <f>Calibration!AW50</f>
        <v>#VALUE!</v>
      </c>
      <c r="M4" s="43" t="e">
        <f>Calibration!BI50</f>
        <v>#VALUE!</v>
      </c>
      <c r="N4" s="43" t="e">
        <f>Calibration!CC50</f>
        <v>#VALUE!</v>
      </c>
      <c r="O4" s="43" t="e">
        <f>Calibration!CW50</f>
        <v>#VALUE!</v>
      </c>
      <c r="P4" s="43" t="e">
        <f>Calibration!DQ50</f>
        <v>#VALUE!</v>
      </c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69"/>
      <c r="AH4" s="69"/>
      <c r="AI4" s="69"/>
      <c r="AJ4" s="69"/>
    </row>
    <row r="5" spans="1:36" x14ac:dyDescent="0.2">
      <c r="A5" s="37" t="s">
        <v>23</v>
      </c>
      <c r="B5" s="43" t="e">
        <f>+Calibration!E51</f>
        <v>#VALUE!</v>
      </c>
      <c r="C5" s="43" t="e">
        <f>Calibration!I51</f>
        <v>#VALUE!</v>
      </c>
      <c r="D5" s="43" t="e">
        <f>Calibration!M51</f>
        <v>#VALUE!</v>
      </c>
      <c r="E5" s="43" t="e">
        <f>Calibration!Q51</f>
        <v>#VALUE!</v>
      </c>
      <c r="F5" s="43" t="e">
        <f>Calibration!U51</f>
        <v>#VALUE!</v>
      </c>
      <c r="G5" s="43" t="e">
        <f>Calibration!Y51</f>
        <v>#VALUE!</v>
      </c>
      <c r="H5" s="43" t="e">
        <f>Calibration!AC51</f>
        <v>#VALUE!</v>
      </c>
      <c r="I5" s="43" t="e">
        <f>Calibration!AG51</f>
        <v>#VALUE!</v>
      </c>
      <c r="J5" s="43" t="e">
        <f>Calibration!AK51</f>
        <v>#VALUE!</v>
      </c>
      <c r="K5" s="43" t="e">
        <f>Calibration!AO51</f>
        <v>#VALUE!</v>
      </c>
      <c r="L5" s="43" t="e">
        <f>Calibration!AW51</f>
        <v>#VALUE!</v>
      </c>
      <c r="M5" s="43" t="e">
        <f>Calibration!BI51</f>
        <v>#VALUE!</v>
      </c>
      <c r="N5" s="43" t="e">
        <f>Calibration!CC51</f>
        <v>#VALUE!</v>
      </c>
      <c r="O5" s="43" t="e">
        <f>Calibration!CW51</f>
        <v>#VALUE!</v>
      </c>
      <c r="P5" s="43" t="e">
        <f>Calibration!DQ51</f>
        <v>#VALUE!</v>
      </c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</row>
    <row r="6" spans="1:36" x14ac:dyDescent="0.2">
      <c r="A6" s="37" t="s">
        <v>24</v>
      </c>
      <c r="B6" s="43" t="e">
        <f>+Calibration!E52</f>
        <v>#VALUE!</v>
      </c>
      <c r="C6" s="43" t="e">
        <f>Calibration!I52</f>
        <v>#VALUE!</v>
      </c>
      <c r="D6" s="43" t="e">
        <f>Calibration!M52</f>
        <v>#VALUE!</v>
      </c>
      <c r="E6" s="43" t="e">
        <f>Calibration!Q52</f>
        <v>#VALUE!</v>
      </c>
      <c r="F6" s="43" t="e">
        <f>Calibration!U52</f>
        <v>#VALUE!</v>
      </c>
      <c r="G6" s="43" t="e">
        <f>Calibration!Y52</f>
        <v>#VALUE!</v>
      </c>
      <c r="H6" s="43" t="e">
        <f>Calibration!AC52</f>
        <v>#VALUE!</v>
      </c>
      <c r="I6" s="43" t="e">
        <f>Calibration!AG52</f>
        <v>#VALUE!</v>
      </c>
      <c r="J6" s="43" t="e">
        <f>Calibration!AK52</f>
        <v>#VALUE!</v>
      </c>
      <c r="K6" s="43" t="e">
        <f>Calibration!AO52</f>
        <v>#VALUE!</v>
      </c>
      <c r="L6" s="43" t="e">
        <f>Calibration!AW52</f>
        <v>#VALUE!</v>
      </c>
      <c r="M6" s="43" t="e">
        <f>Calibration!BI52</f>
        <v>#VALUE!</v>
      </c>
      <c r="N6" s="43" t="e">
        <f>Calibration!CC52</f>
        <v>#VALUE!</v>
      </c>
      <c r="O6" s="43" t="e">
        <f>Calibration!CW52</f>
        <v>#VALUE!</v>
      </c>
      <c r="P6" s="43" t="e">
        <f>Calibration!DQ52</f>
        <v>#VALUE!</v>
      </c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</row>
    <row r="7" spans="1:36" x14ac:dyDescent="0.2">
      <c r="A7" s="37" t="s">
        <v>25</v>
      </c>
      <c r="B7" s="43" t="e">
        <f>+Calibration!E53</f>
        <v>#VALUE!</v>
      </c>
      <c r="C7" s="43" t="e">
        <f>Calibration!I53</f>
        <v>#VALUE!</v>
      </c>
      <c r="D7" s="43" t="e">
        <f>Calibration!M53</f>
        <v>#VALUE!</v>
      </c>
      <c r="E7" s="43" t="e">
        <f>Calibration!Q53</f>
        <v>#VALUE!</v>
      </c>
      <c r="F7" s="43" t="e">
        <f>Calibration!U53</f>
        <v>#VALUE!</v>
      </c>
      <c r="G7" s="43" t="e">
        <f>Calibration!Y53</f>
        <v>#VALUE!</v>
      </c>
      <c r="H7" s="43" t="e">
        <f>Calibration!AC53</f>
        <v>#VALUE!</v>
      </c>
      <c r="I7" s="43" t="e">
        <f>Calibration!AG53</f>
        <v>#VALUE!</v>
      </c>
      <c r="J7" s="43" t="e">
        <f>Calibration!AK53</f>
        <v>#VALUE!</v>
      </c>
      <c r="K7" s="43" t="e">
        <f>Calibration!AO53</f>
        <v>#VALUE!</v>
      </c>
      <c r="L7" s="43" t="e">
        <f>Calibration!AW53</f>
        <v>#VALUE!</v>
      </c>
      <c r="M7" s="43" t="e">
        <f>Calibration!BI53</f>
        <v>#VALUE!</v>
      </c>
      <c r="N7" s="43" t="e">
        <f>Calibration!CC53</f>
        <v>#VALUE!</v>
      </c>
      <c r="O7" s="43" t="e">
        <f>Calibration!CW53</f>
        <v>#VALUE!</v>
      </c>
      <c r="P7" s="43" t="e">
        <f>Calibration!DQ53</f>
        <v>#VALUE!</v>
      </c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</row>
    <row r="8" spans="1:36" x14ac:dyDescent="0.2">
      <c r="A8" s="37" t="s">
        <v>26</v>
      </c>
      <c r="B8" s="43" t="e">
        <f>+Calibration!E54</f>
        <v>#VALUE!</v>
      </c>
      <c r="C8" s="43" t="e">
        <f>Calibration!I54</f>
        <v>#VALUE!</v>
      </c>
      <c r="D8" s="43" t="e">
        <f>Calibration!M54</f>
        <v>#VALUE!</v>
      </c>
      <c r="E8" s="43" t="e">
        <f>Calibration!Q54</f>
        <v>#VALUE!</v>
      </c>
      <c r="F8" s="43" t="e">
        <f>Calibration!U54</f>
        <v>#VALUE!</v>
      </c>
      <c r="G8" s="43" t="e">
        <f>Calibration!Y54</f>
        <v>#VALUE!</v>
      </c>
      <c r="H8" s="43" t="e">
        <f>Calibration!AC54</f>
        <v>#VALUE!</v>
      </c>
      <c r="I8" s="43" t="e">
        <f>Calibration!AG54</f>
        <v>#VALUE!</v>
      </c>
      <c r="J8" s="43" t="e">
        <f>Calibration!AK54</f>
        <v>#VALUE!</v>
      </c>
      <c r="K8" s="43" t="e">
        <f>Calibration!AO54</f>
        <v>#VALUE!</v>
      </c>
      <c r="L8" s="43" t="e">
        <f>Calibration!AW54</f>
        <v>#VALUE!</v>
      </c>
      <c r="M8" s="43" t="e">
        <f>Calibration!BI54</f>
        <v>#VALUE!</v>
      </c>
      <c r="N8" s="43" t="e">
        <f>Calibration!CC54</f>
        <v>#VALUE!</v>
      </c>
      <c r="O8" s="43" t="e">
        <f>Calibration!CW54</f>
        <v>#VALUE!</v>
      </c>
      <c r="P8" s="43" t="e">
        <f>Calibration!DQ54</f>
        <v>#VALUE!</v>
      </c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</row>
    <row r="9" spans="1:36" x14ac:dyDescent="0.2">
      <c r="A9" s="37" t="s">
        <v>27</v>
      </c>
      <c r="B9" s="43" t="e">
        <f>+Calibration!E55</f>
        <v>#VALUE!</v>
      </c>
      <c r="C9" s="43" t="e">
        <f>Calibration!I55</f>
        <v>#VALUE!</v>
      </c>
      <c r="D9" s="43" t="e">
        <f>Calibration!M55</f>
        <v>#VALUE!</v>
      </c>
      <c r="E9" s="43" t="e">
        <f>Calibration!Q55</f>
        <v>#VALUE!</v>
      </c>
      <c r="F9" s="43" t="e">
        <f>Calibration!U55</f>
        <v>#VALUE!</v>
      </c>
      <c r="G9" s="43" t="e">
        <f>Calibration!Y55</f>
        <v>#VALUE!</v>
      </c>
      <c r="H9" s="43" t="e">
        <f>Calibration!AC55</f>
        <v>#VALUE!</v>
      </c>
      <c r="I9" s="43" t="e">
        <f>Calibration!AG55</f>
        <v>#VALUE!</v>
      </c>
      <c r="J9" s="43" t="e">
        <f>Calibration!AK55</f>
        <v>#VALUE!</v>
      </c>
      <c r="K9" s="43" t="e">
        <f>Calibration!AO55</f>
        <v>#VALUE!</v>
      </c>
      <c r="L9" s="43" t="e">
        <f>Calibration!AW55</f>
        <v>#VALUE!</v>
      </c>
      <c r="M9" s="43" t="e">
        <f>Calibration!BI55</f>
        <v>#VALUE!</v>
      </c>
      <c r="N9" s="43" t="e">
        <f>Calibration!CC55</f>
        <v>#VALUE!</v>
      </c>
      <c r="O9" s="43" t="e">
        <f>Calibration!CW55</f>
        <v>#VALUE!</v>
      </c>
      <c r="P9" s="43" t="e">
        <f>Calibration!DQ55</f>
        <v>#VALUE!</v>
      </c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</row>
    <row r="10" spans="1:36" x14ac:dyDescent="0.2">
      <c r="A10" s="37" t="s">
        <v>28</v>
      </c>
      <c r="B10" s="43" t="e">
        <f>+Calibration!E56</f>
        <v>#VALUE!</v>
      </c>
      <c r="C10" s="43" t="e">
        <f>Calibration!I56</f>
        <v>#VALUE!</v>
      </c>
      <c r="D10" s="43" t="e">
        <f>Calibration!M56</f>
        <v>#VALUE!</v>
      </c>
      <c r="E10" s="43" t="e">
        <f>Calibration!Q56</f>
        <v>#VALUE!</v>
      </c>
      <c r="F10" s="43" t="e">
        <f>Calibration!U56</f>
        <v>#VALUE!</v>
      </c>
      <c r="G10" s="43" t="e">
        <f>Calibration!Y56</f>
        <v>#VALUE!</v>
      </c>
      <c r="H10" s="43" t="e">
        <f>Calibration!AC56</f>
        <v>#VALUE!</v>
      </c>
      <c r="I10" s="43" t="e">
        <f>Calibration!AG56</f>
        <v>#VALUE!</v>
      </c>
      <c r="J10" s="43" t="e">
        <f>Calibration!AK56</f>
        <v>#VALUE!</v>
      </c>
      <c r="K10" s="43" t="e">
        <f>Calibration!AO56</f>
        <v>#VALUE!</v>
      </c>
      <c r="L10" s="43" t="e">
        <f>Calibration!AW56</f>
        <v>#VALUE!</v>
      </c>
      <c r="M10" s="43" t="e">
        <f>Calibration!BI56</f>
        <v>#VALUE!</v>
      </c>
      <c r="N10" s="43" t="e">
        <f>Calibration!CC56</f>
        <v>#VALUE!</v>
      </c>
      <c r="O10" s="43" t="e">
        <f>Calibration!CW56</f>
        <v>#VALUE!</v>
      </c>
      <c r="P10" s="43" t="e">
        <f>Calibration!DQ56</f>
        <v>#VALUE!</v>
      </c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</row>
    <row r="11" spans="1:36" x14ac:dyDescent="0.2">
      <c r="A11" s="37" t="s">
        <v>29</v>
      </c>
      <c r="B11" s="43" t="e">
        <f>+Calibration!E57</f>
        <v>#VALUE!</v>
      </c>
      <c r="C11" s="43" t="e">
        <f>Calibration!I57</f>
        <v>#VALUE!</v>
      </c>
      <c r="D11" s="43" t="e">
        <f>Calibration!M57</f>
        <v>#VALUE!</v>
      </c>
      <c r="E11" s="43" t="e">
        <f>Calibration!Q57</f>
        <v>#VALUE!</v>
      </c>
      <c r="F11" s="43" t="e">
        <f>Calibration!U57</f>
        <v>#VALUE!</v>
      </c>
      <c r="G11" s="43" t="e">
        <f>Calibration!Y57</f>
        <v>#VALUE!</v>
      </c>
      <c r="H11" s="43" t="e">
        <f>Calibration!AC57</f>
        <v>#VALUE!</v>
      </c>
      <c r="I11" s="43" t="e">
        <f>Calibration!AG57</f>
        <v>#VALUE!</v>
      </c>
      <c r="J11" s="43" t="e">
        <f>Calibration!AK57</f>
        <v>#VALUE!</v>
      </c>
      <c r="K11" s="43" t="e">
        <f>Calibration!AO57</f>
        <v>#VALUE!</v>
      </c>
      <c r="L11" s="43" t="e">
        <f>Calibration!AW57</f>
        <v>#VALUE!</v>
      </c>
      <c r="M11" s="43" t="e">
        <f>Calibration!BI57</f>
        <v>#VALUE!</v>
      </c>
      <c r="N11" s="43" t="e">
        <f>Calibration!CC57</f>
        <v>#VALUE!</v>
      </c>
      <c r="O11" s="43" t="e">
        <f>Calibration!CW57</f>
        <v>#VALUE!</v>
      </c>
      <c r="P11" s="43" t="e">
        <f>Calibration!DQ57</f>
        <v>#VALUE!</v>
      </c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</row>
    <row r="12" spans="1:36" x14ac:dyDescent="0.2">
      <c r="A12" s="37" t="s">
        <v>30</v>
      </c>
      <c r="B12" s="43" t="e">
        <f>+Calibration!E58</f>
        <v>#VALUE!</v>
      </c>
      <c r="C12" s="43" t="e">
        <f>Calibration!I58</f>
        <v>#VALUE!</v>
      </c>
      <c r="D12" s="43" t="e">
        <f>Calibration!M58</f>
        <v>#VALUE!</v>
      </c>
      <c r="E12" s="43" t="e">
        <f>Calibration!Q58</f>
        <v>#VALUE!</v>
      </c>
      <c r="F12" s="43" t="e">
        <f>Calibration!U58</f>
        <v>#VALUE!</v>
      </c>
      <c r="G12" s="43" t="e">
        <f>Calibration!Y58</f>
        <v>#VALUE!</v>
      </c>
      <c r="H12" s="43" t="e">
        <f>Calibration!AC58</f>
        <v>#VALUE!</v>
      </c>
      <c r="I12" s="43" t="e">
        <f>Calibration!AG58</f>
        <v>#VALUE!</v>
      </c>
      <c r="J12" s="43" t="e">
        <f>Calibration!AK58</f>
        <v>#VALUE!</v>
      </c>
      <c r="K12" s="43" t="e">
        <f>Calibration!AO58</f>
        <v>#VALUE!</v>
      </c>
      <c r="L12" s="43" t="e">
        <f>Calibration!AW58</f>
        <v>#VALUE!</v>
      </c>
      <c r="M12" s="43" t="e">
        <f>Calibration!BI58</f>
        <v>#VALUE!</v>
      </c>
      <c r="N12" s="43" t="e">
        <f>Calibration!CC58</f>
        <v>#VALUE!</v>
      </c>
      <c r="O12" s="43" t="e">
        <f>Calibration!CW58</f>
        <v>#VALUE!</v>
      </c>
      <c r="P12" s="43" t="e">
        <f>Calibration!DQ58</f>
        <v>#VALUE!</v>
      </c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</row>
    <row r="13" spans="1:36" x14ac:dyDescent="0.2">
      <c r="A13" s="37" t="s">
        <v>31</v>
      </c>
      <c r="B13" s="43" t="e">
        <f>+Calibration!E59</f>
        <v>#VALUE!</v>
      </c>
      <c r="C13" s="43" t="e">
        <f>Calibration!I59</f>
        <v>#VALUE!</v>
      </c>
      <c r="D13" s="43" t="e">
        <f>Calibration!M59</f>
        <v>#VALUE!</v>
      </c>
      <c r="E13" s="43" t="e">
        <f>Calibration!Q59</f>
        <v>#VALUE!</v>
      </c>
      <c r="F13" s="43" t="e">
        <f>Calibration!U59</f>
        <v>#VALUE!</v>
      </c>
      <c r="G13" s="43" t="e">
        <f>Calibration!Y59</f>
        <v>#VALUE!</v>
      </c>
      <c r="H13" s="43" t="e">
        <f>Calibration!AC59</f>
        <v>#VALUE!</v>
      </c>
      <c r="I13" s="43" t="e">
        <f>Calibration!AG59</f>
        <v>#VALUE!</v>
      </c>
      <c r="J13" s="43" t="e">
        <f>Calibration!AK59</f>
        <v>#VALUE!</v>
      </c>
      <c r="K13" s="43" t="e">
        <f>Calibration!AO59</f>
        <v>#VALUE!</v>
      </c>
      <c r="L13" s="43" t="e">
        <f>Calibration!AW59</f>
        <v>#VALUE!</v>
      </c>
      <c r="M13" s="43" t="e">
        <f>Calibration!BI59</f>
        <v>#VALUE!</v>
      </c>
      <c r="N13" s="43" t="e">
        <f>Calibration!CC59</f>
        <v>#VALUE!</v>
      </c>
      <c r="O13" s="43" t="e">
        <f>Calibration!CW59</f>
        <v>#VALUE!</v>
      </c>
      <c r="P13" s="43" t="e">
        <f>Calibration!DQ59</f>
        <v>#VALUE!</v>
      </c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</row>
    <row r="14" spans="1:36" x14ac:dyDescent="0.2">
      <c r="A14" s="37" t="s">
        <v>32</v>
      </c>
      <c r="B14" s="43" t="e">
        <f>+Calibration!E61</f>
        <v>#VALUE!</v>
      </c>
      <c r="C14" s="43" t="e">
        <f>Calibration!I61</f>
        <v>#VALUE!</v>
      </c>
      <c r="D14" s="43" t="e">
        <f>Calibration!M61</f>
        <v>#VALUE!</v>
      </c>
      <c r="E14" s="43" t="e">
        <f>Calibration!Q61</f>
        <v>#VALUE!</v>
      </c>
      <c r="F14" s="43" t="e">
        <f>Calibration!U61</f>
        <v>#VALUE!</v>
      </c>
      <c r="G14" s="43" t="e">
        <f>Calibration!Y61</f>
        <v>#VALUE!</v>
      </c>
      <c r="H14" s="43" t="e">
        <f>Calibration!AC61</f>
        <v>#VALUE!</v>
      </c>
      <c r="I14" s="43" t="e">
        <f>Calibration!AG61</f>
        <v>#VALUE!</v>
      </c>
      <c r="J14" s="43" t="e">
        <f>Calibration!AK61</f>
        <v>#VALUE!</v>
      </c>
      <c r="K14" s="43" t="e">
        <f>Calibration!AO61</f>
        <v>#VALUE!</v>
      </c>
      <c r="L14" s="43" t="e">
        <f>Calibration!AW61</f>
        <v>#VALUE!</v>
      </c>
      <c r="M14" s="43" t="e">
        <f>Calibration!BI61</f>
        <v>#VALUE!</v>
      </c>
      <c r="N14" s="43" t="e">
        <f>Calibration!CC61</f>
        <v>#VALUE!</v>
      </c>
      <c r="O14" s="43" t="e">
        <f>Calibration!CW61</f>
        <v>#VALUE!</v>
      </c>
      <c r="P14" s="43" t="e">
        <f>Calibration!DQ61</f>
        <v>#VALUE!</v>
      </c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</row>
    <row r="15" spans="1:36" x14ac:dyDescent="0.2">
      <c r="A15" s="37" t="s">
        <v>33</v>
      </c>
      <c r="B15" s="43" t="e">
        <f>+Calibration!E64</f>
        <v>#VALUE!</v>
      </c>
      <c r="C15" s="43" t="e">
        <f>Calibration!I64</f>
        <v>#VALUE!</v>
      </c>
      <c r="D15" s="43" t="e">
        <f>Calibration!M64</f>
        <v>#VALUE!</v>
      </c>
      <c r="E15" s="43" t="e">
        <f>Calibration!Q64</f>
        <v>#VALUE!</v>
      </c>
      <c r="F15" s="43" t="e">
        <f>Calibration!U64</f>
        <v>#VALUE!</v>
      </c>
      <c r="G15" s="43" t="e">
        <f>Calibration!Y64</f>
        <v>#VALUE!</v>
      </c>
      <c r="H15" s="43" t="e">
        <f>Calibration!AC64</f>
        <v>#VALUE!</v>
      </c>
      <c r="I15" s="43" t="e">
        <f>Calibration!AG64</f>
        <v>#VALUE!</v>
      </c>
      <c r="J15" s="43" t="e">
        <f>Calibration!AK64</f>
        <v>#VALUE!</v>
      </c>
      <c r="K15" s="43" t="e">
        <f>Calibration!AO64</f>
        <v>#VALUE!</v>
      </c>
      <c r="L15" s="43" t="e">
        <f>Calibration!AW64</f>
        <v>#VALUE!</v>
      </c>
      <c r="M15" s="43" t="e">
        <f>Calibration!BI64</f>
        <v>#VALUE!</v>
      </c>
      <c r="N15" s="43" t="e">
        <f>Calibration!CC64</f>
        <v>#VALUE!</v>
      </c>
      <c r="O15" s="43" t="e">
        <f>Calibration!CW64</f>
        <v>#VALUE!</v>
      </c>
      <c r="P15" s="43" t="e">
        <f>Calibration!DQ64</f>
        <v>#VALUE!</v>
      </c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</row>
    <row r="16" spans="1:36" x14ac:dyDescent="0.2">
      <c r="A16" s="37" t="s">
        <v>34</v>
      </c>
      <c r="B16" s="43" t="e">
        <f>+Calibration!E65</f>
        <v>#VALUE!</v>
      </c>
      <c r="C16" s="43" t="e">
        <f>Calibration!I65</f>
        <v>#VALUE!</v>
      </c>
      <c r="D16" s="43" t="e">
        <f>Calibration!M65</f>
        <v>#VALUE!</v>
      </c>
      <c r="E16" s="43" t="e">
        <f>Calibration!Q65</f>
        <v>#VALUE!</v>
      </c>
      <c r="F16" s="43" t="e">
        <f>Calibration!U65</f>
        <v>#VALUE!</v>
      </c>
      <c r="G16" s="43" t="e">
        <f>Calibration!Y65</f>
        <v>#VALUE!</v>
      </c>
      <c r="H16" s="43" t="e">
        <f>Calibration!AC65</f>
        <v>#VALUE!</v>
      </c>
      <c r="I16" s="43" t="e">
        <f>Calibration!AG65</f>
        <v>#VALUE!</v>
      </c>
      <c r="J16" s="43" t="e">
        <f>Calibration!AK65</f>
        <v>#VALUE!</v>
      </c>
      <c r="K16" s="43" t="e">
        <f>Calibration!AO65</f>
        <v>#VALUE!</v>
      </c>
      <c r="L16" s="43" t="e">
        <f>Calibration!AW65</f>
        <v>#VALUE!</v>
      </c>
      <c r="M16" s="43" t="e">
        <f>Calibration!BI65</f>
        <v>#VALUE!</v>
      </c>
      <c r="N16" s="43" t="e">
        <f>Calibration!CC65</f>
        <v>#VALUE!</v>
      </c>
      <c r="O16" s="43" t="e">
        <f>Calibration!CW65</f>
        <v>#VALUE!</v>
      </c>
      <c r="P16" s="43" t="e">
        <f>Calibration!DQ65</f>
        <v>#VALUE!</v>
      </c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</row>
    <row r="17" spans="1:36" x14ac:dyDescent="0.2">
      <c r="A17" s="37" t="s">
        <v>35</v>
      </c>
      <c r="B17" s="43" t="e">
        <f>+Calibration!E66</f>
        <v>#VALUE!</v>
      </c>
      <c r="C17" s="43" t="e">
        <f>Calibration!I66</f>
        <v>#VALUE!</v>
      </c>
      <c r="D17" s="43" t="e">
        <f>Calibration!M66</f>
        <v>#VALUE!</v>
      </c>
      <c r="E17" s="43" t="e">
        <f>Calibration!Q66</f>
        <v>#VALUE!</v>
      </c>
      <c r="F17" s="43" t="e">
        <f>Calibration!U66</f>
        <v>#VALUE!</v>
      </c>
      <c r="G17" s="43" t="e">
        <f>Calibration!Y66</f>
        <v>#VALUE!</v>
      </c>
      <c r="H17" s="43" t="e">
        <f>Calibration!AC66</f>
        <v>#VALUE!</v>
      </c>
      <c r="I17" s="43" t="e">
        <f>Calibration!AG66</f>
        <v>#VALUE!</v>
      </c>
      <c r="J17" s="43" t="e">
        <f>Calibration!AK66</f>
        <v>#VALUE!</v>
      </c>
      <c r="K17" s="43" t="e">
        <f>Calibration!AO66</f>
        <v>#VALUE!</v>
      </c>
      <c r="L17" s="43" t="e">
        <f>Calibration!AW66</f>
        <v>#VALUE!</v>
      </c>
      <c r="M17" s="43" t="e">
        <f>Calibration!BI66</f>
        <v>#VALUE!</v>
      </c>
      <c r="N17" s="43" t="e">
        <f>Calibration!CC66</f>
        <v>#VALUE!</v>
      </c>
      <c r="O17" s="43" t="e">
        <f>Calibration!CW66</f>
        <v>#VALUE!</v>
      </c>
      <c r="P17" s="43" t="e">
        <f>Calibration!DQ66</f>
        <v>#VALUE!</v>
      </c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</row>
    <row r="18" spans="1:36" x14ac:dyDescent="0.2">
      <c r="A18" s="37" t="s">
        <v>36</v>
      </c>
      <c r="B18" s="43" t="e">
        <f>+Calibration!E67</f>
        <v>#VALUE!</v>
      </c>
      <c r="C18" s="43" t="e">
        <f>Calibration!I67</f>
        <v>#VALUE!</v>
      </c>
      <c r="D18" s="43" t="e">
        <f>Calibration!M67</f>
        <v>#VALUE!</v>
      </c>
      <c r="E18" s="43" t="e">
        <f>Calibration!Q67</f>
        <v>#VALUE!</v>
      </c>
      <c r="F18" s="43" t="e">
        <f>Calibration!U67</f>
        <v>#VALUE!</v>
      </c>
      <c r="G18" s="43" t="e">
        <f>Calibration!Y67</f>
        <v>#VALUE!</v>
      </c>
      <c r="H18" s="43" t="e">
        <f>Calibration!AC67</f>
        <v>#VALUE!</v>
      </c>
      <c r="I18" s="43" t="e">
        <f>Calibration!AG67</f>
        <v>#VALUE!</v>
      </c>
      <c r="J18" s="43" t="e">
        <f>Calibration!AK67</f>
        <v>#VALUE!</v>
      </c>
      <c r="K18" s="43" t="e">
        <f>Calibration!AO67</f>
        <v>#VALUE!</v>
      </c>
      <c r="L18" s="43" t="e">
        <f>Calibration!AW67</f>
        <v>#VALUE!</v>
      </c>
      <c r="M18" s="43" t="e">
        <f>Calibration!BI67</f>
        <v>#VALUE!</v>
      </c>
      <c r="N18" s="43" t="e">
        <f>Calibration!CC67</f>
        <v>#VALUE!</v>
      </c>
      <c r="O18" s="43" t="e">
        <f>Calibration!CW67</f>
        <v>#VALUE!</v>
      </c>
      <c r="P18" s="43" t="e">
        <f>Calibration!DQ67</f>
        <v>#VALUE!</v>
      </c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</row>
    <row r="19" spans="1:36" x14ac:dyDescent="0.2">
      <c r="A19" s="38" t="s">
        <v>37</v>
      </c>
      <c r="B19" s="44" t="e">
        <f>+Calibration!E68</f>
        <v>#VALUE!</v>
      </c>
      <c r="C19" s="44" t="e">
        <f>Calibration!I68</f>
        <v>#VALUE!</v>
      </c>
      <c r="D19" s="44" t="e">
        <f>Calibration!M68</f>
        <v>#VALUE!</v>
      </c>
      <c r="E19" s="44" t="e">
        <f>Calibration!Q68</f>
        <v>#VALUE!</v>
      </c>
      <c r="F19" s="44" t="e">
        <f>Calibration!U68</f>
        <v>#VALUE!</v>
      </c>
      <c r="G19" s="44" t="e">
        <f>Calibration!Y68</f>
        <v>#VALUE!</v>
      </c>
      <c r="H19" s="44" t="e">
        <f>Calibration!AC68</f>
        <v>#VALUE!</v>
      </c>
      <c r="I19" s="44" t="e">
        <f>Calibration!AG68</f>
        <v>#VALUE!</v>
      </c>
      <c r="J19" s="44" t="e">
        <f>Calibration!AK68</f>
        <v>#VALUE!</v>
      </c>
      <c r="K19" s="44" t="e">
        <f>Calibration!AO68</f>
        <v>#VALUE!</v>
      </c>
      <c r="L19" s="44" t="e">
        <f>Calibration!AW68</f>
        <v>#VALUE!</v>
      </c>
      <c r="M19" s="44" t="e">
        <f>Calibration!BI68</f>
        <v>#VALUE!</v>
      </c>
      <c r="N19" s="44" t="e">
        <f>Calibration!CC68</f>
        <v>#VALUE!</v>
      </c>
      <c r="O19" s="44" t="e">
        <f>Calibration!CW68</f>
        <v>#VALUE!</v>
      </c>
      <c r="P19" s="44" t="e">
        <f>Calibration!DQ68</f>
        <v>#VALUE!</v>
      </c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</row>
    <row r="20" spans="1:36" x14ac:dyDescent="0.2">
      <c r="B20" s="57" t="s">
        <v>26</v>
      </c>
      <c r="C20" s="57" t="s">
        <v>28</v>
      </c>
      <c r="D20" s="57" t="s">
        <v>29</v>
      </c>
      <c r="E20" s="57" t="s">
        <v>30</v>
      </c>
      <c r="F20" s="57" t="s">
        <v>31</v>
      </c>
      <c r="G20" s="57" t="s">
        <v>53</v>
      </c>
      <c r="H20" s="57" t="s">
        <v>32</v>
      </c>
      <c r="I20" s="57" t="s">
        <v>54</v>
      </c>
      <c r="J20" s="57" t="s">
        <v>55</v>
      </c>
      <c r="K20" s="57" t="s">
        <v>33</v>
      </c>
      <c r="L20" s="57" t="s">
        <v>56</v>
      </c>
      <c r="M20" s="57" t="s">
        <v>34</v>
      </c>
      <c r="N20" s="57" t="s">
        <v>35</v>
      </c>
      <c r="O20" s="57" t="s">
        <v>36</v>
      </c>
      <c r="P20" s="57" t="s">
        <v>37</v>
      </c>
    </row>
    <row r="21" spans="1:36" x14ac:dyDescent="0.2">
      <c r="A21" s="52" t="s">
        <v>2</v>
      </c>
      <c r="B21" s="54" t="e">
        <f>Calibration!D33</f>
        <v>#VALUE!</v>
      </c>
      <c r="C21" s="54" t="e">
        <f>Calibration!H33</f>
        <v>#VALUE!</v>
      </c>
      <c r="D21" s="54" t="e">
        <f>Calibration!L33</f>
        <v>#VALUE!</v>
      </c>
      <c r="E21" s="54" t="e">
        <f>Calibration!P33</f>
        <v>#VALUE!</v>
      </c>
      <c r="F21" s="54" t="e">
        <f>Calibration!T33</f>
        <v>#VALUE!</v>
      </c>
      <c r="G21" s="54" t="e">
        <f>Calibration!X33</f>
        <v>#VALUE!</v>
      </c>
      <c r="H21" s="54" t="e">
        <f>Calibration!AB33</f>
        <v>#VALUE!</v>
      </c>
      <c r="I21" s="54" t="e">
        <f>Calibration!AF33</f>
        <v>#VALUE!</v>
      </c>
      <c r="J21" s="54" t="e">
        <f>Calibration!AJ33</f>
        <v>#VALUE!</v>
      </c>
      <c r="K21" s="54" t="e">
        <f>Calibration!AN33</f>
        <v>#VALUE!</v>
      </c>
      <c r="L21" s="54" t="e">
        <f>Calibration!AV33</f>
        <v>#VALUE!</v>
      </c>
      <c r="M21" s="54" t="e">
        <f>Calibration!BH33</f>
        <v>#VALUE!</v>
      </c>
      <c r="N21" s="54" t="e">
        <f>Calibration!CB33</f>
        <v>#VALUE!</v>
      </c>
      <c r="O21" s="54" t="e">
        <f>Calibration!CV33</f>
        <v>#VALUE!</v>
      </c>
      <c r="P21" s="54" t="e">
        <f>Calibration!DP33</f>
        <v>#VALUE!</v>
      </c>
    </row>
    <row r="22" spans="1:36" x14ac:dyDescent="0.2">
      <c r="A22" s="46" t="s">
        <v>3</v>
      </c>
      <c r="B22" s="55" t="e">
        <f>Calibration!D34</f>
        <v>#VALUE!</v>
      </c>
      <c r="C22" s="55" t="e">
        <f>Calibration!H34</f>
        <v>#VALUE!</v>
      </c>
      <c r="D22" s="55" t="e">
        <f>Calibration!L34</f>
        <v>#VALUE!</v>
      </c>
      <c r="E22" s="55" t="e">
        <f>Calibration!P34</f>
        <v>#VALUE!</v>
      </c>
      <c r="F22" s="55" t="e">
        <f>Calibration!T34</f>
        <v>#VALUE!</v>
      </c>
      <c r="G22" s="55" t="e">
        <f>Calibration!X34</f>
        <v>#VALUE!</v>
      </c>
      <c r="H22" s="55" t="e">
        <f>Calibration!AB34</f>
        <v>#VALUE!</v>
      </c>
      <c r="I22" s="55" t="e">
        <f>Calibration!AF34</f>
        <v>#VALUE!</v>
      </c>
      <c r="J22" s="55" t="e">
        <f>Calibration!AJ34</f>
        <v>#VALUE!</v>
      </c>
      <c r="K22" s="55" t="e">
        <f>Calibration!AN34</f>
        <v>#VALUE!</v>
      </c>
      <c r="L22" s="55" t="e">
        <f>Calibration!AV34</f>
        <v>#VALUE!</v>
      </c>
      <c r="M22" s="55" t="e">
        <f>Calibration!BH34</f>
        <v>#VALUE!</v>
      </c>
      <c r="N22" s="55" t="e">
        <f>Calibration!CB34</f>
        <v>#VALUE!</v>
      </c>
      <c r="O22" s="55" t="e">
        <f>Calibration!CV34</f>
        <v>#VALUE!</v>
      </c>
      <c r="P22" s="55" t="e">
        <f>Calibration!DP34</f>
        <v>#VALUE!</v>
      </c>
    </row>
    <row r="23" spans="1:36" x14ac:dyDescent="0.2">
      <c r="A23" s="46" t="s">
        <v>4</v>
      </c>
      <c r="B23" s="55" t="e">
        <f>Calibration!D35</f>
        <v>#VALUE!</v>
      </c>
      <c r="C23" s="55" t="e">
        <f>Calibration!H35</f>
        <v>#VALUE!</v>
      </c>
      <c r="D23" s="55" t="e">
        <f>Calibration!L35</f>
        <v>#VALUE!</v>
      </c>
      <c r="E23" s="55" t="e">
        <f>Calibration!P35</f>
        <v>#VALUE!</v>
      </c>
      <c r="F23" s="55" t="e">
        <f>Calibration!T35</f>
        <v>#VALUE!</v>
      </c>
      <c r="G23" s="55" t="e">
        <f>Calibration!X35</f>
        <v>#VALUE!</v>
      </c>
      <c r="H23" s="55" t="e">
        <f>Calibration!AB35</f>
        <v>#VALUE!</v>
      </c>
      <c r="I23" s="55" t="e">
        <f>Calibration!AF35</f>
        <v>#VALUE!</v>
      </c>
      <c r="J23" s="55" t="e">
        <f>Calibration!AJ35</f>
        <v>#VALUE!</v>
      </c>
      <c r="K23" s="55" t="e">
        <f>Calibration!AN35</f>
        <v>#VALUE!</v>
      </c>
      <c r="L23" s="55" t="e">
        <f>Calibration!AV35</f>
        <v>#VALUE!</v>
      </c>
      <c r="M23" s="55" t="e">
        <f>Calibration!BH35</f>
        <v>#VALUE!</v>
      </c>
      <c r="N23" s="55" t="e">
        <f>Calibration!CB35</f>
        <v>#VALUE!</v>
      </c>
      <c r="O23" s="55" t="e">
        <f>Calibration!CV35</f>
        <v>#VALUE!</v>
      </c>
      <c r="P23" s="55" t="e">
        <f>Calibration!DP35</f>
        <v>#VALUE!</v>
      </c>
    </row>
    <row r="24" spans="1:36" x14ac:dyDescent="0.2">
      <c r="A24" s="53" t="s">
        <v>5</v>
      </c>
      <c r="B24" s="56" t="e">
        <f>Calibration!D36</f>
        <v>#VALUE!</v>
      </c>
      <c r="C24" s="56" t="e">
        <f>Calibration!H36</f>
        <v>#VALUE!</v>
      </c>
      <c r="D24" s="56" t="e">
        <f>Calibration!L36</f>
        <v>#VALUE!</v>
      </c>
      <c r="E24" s="56" t="e">
        <f>Calibration!P36</f>
        <v>#VALUE!</v>
      </c>
      <c r="F24" s="56" t="e">
        <f>Calibration!T36</f>
        <v>#VALUE!</v>
      </c>
      <c r="G24" s="56" t="e">
        <f>Calibration!X36</f>
        <v>#VALUE!</v>
      </c>
      <c r="H24" s="56" t="e">
        <f>Calibration!AB36</f>
        <v>#VALUE!</v>
      </c>
      <c r="I24" s="56" t="e">
        <f>Calibration!AF36</f>
        <v>#VALUE!</v>
      </c>
      <c r="J24" s="56" t="e">
        <f>Calibration!AJ36</f>
        <v>#VALUE!</v>
      </c>
      <c r="K24" s="56" t="e">
        <f>Calibration!AN36</f>
        <v>#VALUE!</v>
      </c>
      <c r="L24" s="56" t="e">
        <f>Calibration!AV36</f>
        <v>#VALUE!</v>
      </c>
      <c r="M24" s="56" t="e">
        <f>Calibration!BH36</f>
        <v>#VALUE!</v>
      </c>
      <c r="N24" s="56" t="e">
        <f>Calibration!CB36</f>
        <v>#VALUE!</v>
      </c>
      <c r="O24" s="56" t="e">
        <f>Calibration!CV36</f>
        <v>#VALUE!</v>
      </c>
      <c r="P24" s="56" t="e">
        <f>Calibration!DP36</f>
        <v>#VALUE!</v>
      </c>
    </row>
    <row r="25" spans="1:36" x14ac:dyDescent="0.2">
      <c r="A25" s="46" t="s">
        <v>8</v>
      </c>
      <c r="B25" s="55" t="e">
        <f>Calibration!D38</f>
        <v>#VALUE!</v>
      </c>
      <c r="C25" s="55" t="e">
        <f>Calibration!H38</f>
        <v>#VALUE!</v>
      </c>
      <c r="D25" s="55" t="e">
        <f>Calibration!L38</f>
        <v>#VALUE!</v>
      </c>
      <c r="E25" s="55" t="e">
        <f>Calibration!P38</f>
        <v>#VALUE!</v>
      </c>
      <c r="F25" s="55" t="e">
        <f>Calibration!T38</f>
        <v>#VALUE!</v>
      </c>
      <c r="G25" s="55" t="e">
        <f>Calibration!X38</f>
        <v>#VALUE!</v>
      </c>
      <c r="H25" s="55" t="e">
        <f>Calibration!AB38</f>
        <v>#VALUE!</v>
      </c>
      <c r="I25" s="55" t="e">
        <f>Calibration!AF38</f>
        <v>#VALUE!</v>
      </c>
      <c r="J25" s="55" t="e">
        <f>Calibration!AJ38</f>
        <v>#VALUE!</v>
      </c>
      <c r="K25" s="55" t="e">
        <f>Calibration!AN38</f>
        <v>#VALUE!</v>
      </c>
      <c r="L25" s="55" t="e">
        <f>Calibration!AV38</f>
        <v>#VALUE!</v>
      </c>
      <c r="M25" s="55" t="e">
        <f>Calibration!BH38</f>
        <v>#VALUE!</v>
      </c>
      <c r="N25" s="55" t="e">
        <f>Calibration!CB38</f>
        <v>#VALUE!</v>
      </c>
      <c r="O25" s="55" t="e">
        <f>Calibration!CV38</f>
        <v>#VALUE!</v>
      </c>
      <c r="P25" s="55" t="e">
        <f>Calibration!DP38</f>
        <v>#VALUE!</v>
      </c>
    </row>
    <row r="26" spans="1:36" x14ac:dyDescent="0.2">
      <c r="A26" s="46" t="s">
        <v>9</v>
      </c>
      <c r="B26" s="55" t="e">
        <f>Calibration!D39</f>
        <v>#VALUE!</v>
      </c>
      <c r="C26" s="55" t="e">
        <f>Calibration!H39</f>
        <v>#VALUE!</v>
      </c>
      <c r="D26" s="55" t="e">
        <f>Calibration!L39</f>
        <v>#VALUE!</v>
      </c>
      <c r="E26" s="55" t="e">
        <f>Calibration!P39</f>
        <v>#VALUE!</v>
      </c>
      <c r="F26" s="55" t="e">
        <f>Calibration!T39</f>
        <v>#VALUE!</v>
      </c>
      <c r="G26" s="55" t="e">
        <f>Calibration!X39</f>
        <v>#VALUE!</v>
      </c>
      <c r="H26" s="55" t="e">
        <f>Calibration!AB39</f>
        <v>#VALUE!</v>
      </c>
      <c r="I26" s="55" t="e">
        <f>Calibration!AF39</f>
        <v>#VALUE!</v>
      </c>
      <c r="J26" s="55" t="e">
        <f>Calibration!AJ39</f>
        <v>#VALUE!</v>
      </c>
      <c r="K26" s="55" t="e">
        <f>Calibration!AN39</f>
        <v>#VALUE!</v>
      </c>
      <c r="L26" s="55" t="e">
        <f>Calibration!AV39</f>
        <v>#VALUE!</v>
      </c>
      <c r="M26" s="55" t="e">
        <f>Calibration!BH39</f>
        <v>#VALUE!</v>
      </c>
      <c r="N26" s="55" t="e">
        <f>Calibration!CB39</f>
        <v>#VALUE!</v>
      </c>
      <c r="O26" s="55" t="e">
        <f>Calibration!CV39</f>
        <v>#VALUE!</v>
      </c>
      <c r="P26" s="55" t="e">
        <f>Calibration!DP39</f>
        <v>#VALUE!</v>
      </c>
    </row>
    <row r="27" spans="1:36" x14ac:dyDescent="0.2">
      <c r="A27" s="46" t="s">
        <v>10</v>
      </c>
      <c r="B27" s="55" t="e">
        <f>Calibration!D40</f>
        <v>#VALUE!</v>
      </c>
      <c r="C27" s="55" t="e">
        <f>Calibration!H40</f>
        <v>#VALUE!</v>
      </c>
      <c r="D27" s="55" t="e">
        <f>Calibration!L40</f>
        <v>#VALUE!</v>
      </c>
      <c r="E27" s="55" t="e">
        <f>Calibration!P40</f>
        <v>#VALUE!</v>
      </c>
      <c r="F27" s="55" t="e">
        <f>Calibration!T40</f>
        <v>#VALUE!</v>
      </c>
      <c r="G27" s="55" t="e">
        <f>Calibration!X40</f>
        <v>#VALUE!</v>
      </c>
      <c r="H27" s="55" t="e">
        <f>Calibration!AB40</f>
        <v>#VALUE!</v>
      </c>
      <c r="I27" s="55" t="e">
        <f>Calibration!AF40</f>
        <v>#VALUE!</v>
      </c>
      <c r="J27" s="55" t="e">
        <f>Calibration!AJ40</f>
        <v>#VALUE!</v>
      </c>
      <c r="K27" s="55" t="e">
        <f>Calibration!AN40</f>
        <v>#VALUE!</v>
      </c>
      <c r="L27" s="55" t="e">
        <f>Calibration!AV40</f>
        <v>#VALUE!</v>
      </c>
      <c r="M27" s="55" t="e">
        <f>Calibration!BH40</f>
        <v>#VALUE!</v>
      </c>
      <c r="N27" s="55" t="e">
        <f>Calibration!CB40</f>
        <v>#VALUE!</v>
      </c>
      <c r="O27" s="55" t="e">
        <f>Calibration!CV40</f>
        <v>#VALUE!</v>
      </c>
      <c r="P27" s="55" t="e">
        <f>Calibration!DP40</f>
        <v>#VALUE!</v>
      </c>
    </row>
    <row r="28" spans="1:36" x14ac:dyDescent="0.2">
      <c r="A28" s="46" t="s">
        <v>11</v>
      </c>
      <c r="B28" s="55" t="e">
        <f>Calibration!D41</f>
        <v>#VALUE!</v>
      </c>
      <c r="C28" s="55" t="e">
        <f>Calibration!H41</f>
        <v>#VALUE!</v>
      </c>
      <c r="D28" s="55" t="e">
        <f>Calibration!L41</f>
        <v>#VALUE!</v>
      </c>
      <c r="E28" s="55" t="e">
        <f>Calibration!P41</f>
        <v>#VALUE!</v>
      </c>
      <c r="F28" s="55" t="e">
        <f>Calibration!T41</f>
        <v>#VALUE!</v>
      </c>
      <c r="G28" s="55" t="e">
        <f>Calibration!X41</f>
        <v>#VALUE!</v>
      </c>
      <c r="H28" s="55" t="e">
        <f>Calibration!AB41</f>
        <v>#VALUE!</v>
      </c>
      <c r="I28" s="55" t="e">
        <f>Calibration!AF41</f>
        <v>#VALUE!</v>
      </c>
      <c r="J28" s="55" t="e">
        <f>Calibration!AJ41</f>
        <v>#VALUE!</v>
      </c>
      <c r="K28" s="55" t="e">
        <f>Calibration!AN41</f>
        <v>#VALUE!</v>
      </c>
      <c r="L28" s="55" t="e">
        <f>Calibration!AV41</f>
        <v>#VALUE!</v>
      </c>
      <c r="M28" s="55" t="e">
        <f>Calibration!BH41</f>
        <v>#VALUE!</v>
      </c>
      <c r="N28" s="55" t="e">
        <f>Calibration!CB41</f>
        <v>#VALUE!</v>
      </c>
      <c r="O28" s="55" t="e">
        <f>Calibration!CV41</f>
        <v>#VALUE!</v>
      </c>
      <c r="P28" s="55" t="e">
        <f>Calibration!DP41</f>
        <v>#VALUE!</v>
      </c>
    </row>
    <row r="29" spans="1:36" x14ac:dyDescent="0.2">
      <c r="A29" s="46" t="s">
        <v>12</v>
      </c>
      <c r="B29" s="55" t="e">
        <f>Calibration!D42</f>
        <v>#VALUE!</v>
      </c>
      <c r="C29" s="55" t="e">
        <f>Calibration!H42</f>
        <v>#VALUE!</v>
      </c>
      <c r="D29" s="55" t="e">
        <f>Calibration!L42</f>
        <v>#VALUE!</v>
      </c>
      <c r="E29" s="55" t="e">
        <f>Calibration!P42</f>
        <v>#VALUE!</v>
      </c>
      <c r="F29" s="55" t="e">
        <f>Calibration!T42</f>
        <v>#VALUE!</v>
      </c>
      <c r="G29" s="55" t="e">
        <f>Calibration!X42</f>
        <v>#VALUE!</v>
      </c>
      <c r="H29" s="55" t="e">
        <f>Calibration!AB42</f>
        <v>#VALUE!</v>
      </c>
      <c r="I29" s="55" t="e">
        <f>Calibration!AF42</f>
        <v>#VALUE!</v>
      </c>
      <c r="J29" s="55" t="e">
        <f>Calibration!AJ42</f>
        <v>#VALUE!</v>
      </c>
      <c r="K29" s="55" t="e">
        <f>Calibration!AN42</f>
        <v>#VALUE!</v>
      </c>
      <c r="L29" s="55" t="e">
        <f>Calibration!AV42</f>
        <v>#VALUE!</v>
      </c>
      <c r="M29" s="55" t="e">
        <f>Calibration!BH42</f>
        <v>#VALUE!</v>
      </c>
      <c r="N29" s="55" t="e">
        <f>Calibration!CB42</f>
        <v>#VALUE!</v>
      </c>
      <c r="O29" s="55" t="e">
        <f>Calibration!CV42</f>
        <v>#VALUE!</v>
      </c>
      <c r="P29" s="55" t="e">
        <f>Calibration!DP42</f>
        <v>#VALUE!</v>
      </c>
    </row>
    <row r="30" spans="1:36" x14ac:dyDescent="0.2">
      <c r="A30" s="53" t="s">
        <v>13</v>
      </c>
      <c r="B30" s="58" t="e">
        <f>Calibration!D43</f>
        <v>#VALUE!</v>
      </c>
      <c r="C30" s="58" t="e">
        <f>Calibration!H43</f>
        <v>#VALUE!</v>
      </c>
      <c r="D30" s="58" t="e">
        <f>Calibration!L43</f>
        <v>#VALUE!</v>
      </c>
      <c r="E30" s="58" t="e">
        <f>Calibration!P43</f>
        <v>#VALUE!</v>
      </c>
      <c r="F30" s="58" t="e">
        <f>Calibration!T43</f>
        <v>#VALUE!</v>
      </c>
      <c r="G30" s="58" t="e">
        <f>Calibration!X43</f>
        <v>#VALUE!</v>
      </c>
      <c r="H30" s="58" t="e">
        <f>Calibration!AB43</f>
        <v>#VALUE!</v>
      </c>
      <c r="I30" s="58" t="e">
        <f>Calibration!AF43</f>
        <v>#VALUE!</v>
      </c>
      <c r="J30" s="58" t="e">
        <f>Calibration!AJ43</f>
        <v>#VALUE!</v>
      </c>
      <c r="K30" s="58" t="e">
        <f>Calibration!AN43</f>
        <v>#VALUE!</v>
      </c>
      <c r="L30" s="58" t="e">
        <f>Calibration!AV43</f>
        <v>#VALUE!</v>
      </c>
      <c r="M30" s="58" t="e">
        <f>Calibration!BH43</f>
        <v>#VALUE!</v>
      </c>
      <c r="N30" s="58" t="e">
        <f>Calibration!CB43</f>
        <v>#VALUE!</v>
      </c>
      <c r="O30" s="58" t="e">
        <f>Calibration!CV43</f>
        <v>#VALUE!</v>
      </c>
      <c r="P30" s="58" t="e">
        <f>Calibration!DP43</f>
        <v>#VALUE!</v>
      </c>
    </row>
    <row r="31" spans="1:36" x14ac:dyDescent="0.2">
      <c r="A31" s="59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51"/>
      <c r="N31" s="51"/>
      <c r="O31" s="51"/>
      <c r="P31" s="51"/>
    </row>
    <row r="32" spans="1:36" x14ac:dyDescent="0.2">
      <c r="A32" s="59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51"/>
      <c r="N32" s="51"/>
      <c r="O32" s="51"/>
      <c r="P32" s="51"/>
    </row>
    <row r="33" spans="1:16" x14ac:dyDescent="0.2">
      <c r="A33" s="59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51"/>
      <c r="N33" s="51"/>
      <c r="O33" s="51"/>
      <c r="P33" s="51"/>
    </row>
    <row r="34" spans="1:16" x14ac:dyDescent="0.2">
      <c r="A34" s="59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51"/>
      <c r="N34" s="51"/>
      <c r="O34" s="51"/>
      <c r="P34" s="51"/>
    </row>
    <row r="35" spans="1:16" x14ac:dyDescent="0.2">
      <c r="A35" s="59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51"/>
      <c r="N35" s="51"/>
      <c r="O35" s="51"/>
      <c r="P35" s="51"/>
    </row>
    <row r="36" spans="1:16" x14ac:dyDescent="0.2">
      <c r="A36" s="59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</row>
    <row r="37" spans="1:16" x14ac:dyDescent="0.2">
      <c r="A37" s="59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</row>
    <row r="38" spans="1:16" x14ac:dyDescent="0.2">
      <c r="A38" s="59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</row>
    <row r="39" spans="1:16" x14ac:dyDescent="0.2">
      <c r="A39" s="59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</row>
    <row r="40" spans="1:16" x14ac:dyDescent="0.2">
      <c r="A40" s="59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</row>
    <row r="41" spans="1:16" x14ac:dyDescent="0.2">
      <c r="A41" s="59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</row>
    <row r="42" spans="1:16" x14ac:dyDescent="0.2">
      <c r="A42" s="59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</row>
    <row r="43" spans="1:16" x14ac:dyDescent="0.2">
      <c r="A43" s="59"/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</row>
    <row r="44" spans="1:16" x14ac:dyDescent="0.2">
      <c r="A44" s="59"/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</row>
    <row r="45" spans="1:16" x14ac:dyDescent="0.2">
      <c r="A45" s="59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</row>
    <row r="46" spans="1:16" x14ac:dyDescent="0.2">
      <c r="A46" s="59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</row>
    <row r="47" spans="1:16" x14ac:dyDescent="0.2">
      <c r="A47" s="59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</row>
    <row r="48" spans="1:16" x14ac:dyDescent="0.2">
      <c r="A48" s="59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</row>
    <row r="49" spans="1:12" x14ac:dyDescent="0.2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</row>
    <row r="50" spans="1:12" x14ac:dyDescent="0.2">
      <c r="A50" s="59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</row>
    <row r="51" spans="1:12" x14ac:dyDescent="0.2">
      <c r="A51" s="59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</row>
    <row r="52" spans="1:12" x14ac:dyDescent="0.2">
      <c r="A52" s="59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/>
    </row>
    <row r="53" spans="1:12" x14ac:dyDescent="0.2">
      <c r="A53" s="59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</row>
    <row r="54" spans="1:12" x14ac:dyDescent="0.2">
      <c r="A54" s="59"/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59"/>
    </row>
    <row r="55" spans="1:12" x14ac:dyDescent="0.2">
      <c r="A55" s="59"/>
      <c r="B55" s="59"/>
      <c r="C55" s="59"/>
      <c r="D55" s="59"/>
      <c r="E55" s="59"/>
      <c r="F55" s="59"/>
      <c r="G55" s="59"/>
      <c r="H55" s="59"/>
      <c r="I55" s="59"/>
      <c r="J55" s="59"/>
      <c r="K55" s="59"/>
      <c r="L55" s="59"/>
    </row>
    <row r="56" spans="1:12" x14ac:dyDescent="0.2">
      <c r="A56" s="59"/>
      <c r="B56" s="59"/>
      <c r="C56" s="59"/>
      <c r="D56" s="59"/>
      <c r="E56" s="59"/>
      <c r="F56" s="59"/>
      <c r="G56" s="59"/>
      <c r="H56" s="59"/>
      <c r="I56" s="59"/>
      <c r="J56" s="59"/>
      <c r="K56" s="59"/>
      <c r="L56" s="59"/>
    </row>
    <row r="57" spans="1:12" x14ac:dyDescent="0.2">
      <c r="A57" s="59"/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59"/>
    </row>
    <row r="58" spans="1:12" x14ac:dyDescent="0.2">
      <c r="A58" s="59"/>
      <c r="B58" s="59"/>
      <c r="C58" s="59"/>
      <c r="D58" s="59"/>
      <c r="E58" s="59"/>
      <c r="F58" s="59"/>
      <c r="G58" s="59"/>
      <c r="H58" s="59"/>
      <c r="I58" s="59"/>
      <c r="J58" s="59"/>
      <c r="K58" s="59"/>
      <c r="L58" s="59"/>
    </row>
    <row r="59" spans="1:12" x14ac:dyDescent="0.2">
      <c r="A59" s="59"/>
      <c r="B59" s="59"/>
      <c r="C59" s="59"/>
      <c r="D59" s="59"/>
      <c r="E59" s="59"/>
      <c r="F59" s="59"/>
      <c r="G59" s="59"/>
      <c r="H59" s="59"/>
      <c r="I59" s="59"/>
      <c r="J59" s="59"/>
      <c r="K59" s="59"/>
      <c r="L59" s="59"/>
    </row>
    <row r="60" spans="1:12" x14ac:dyDescent="0.2">
      <c r="A60" s="59"/>
      <c r="B60" s="59"/>
      <c r="C60" s="59"/>
      <c r="D60" s="59"/>
      <c r="E60" s="59"/>
      <c r="F60" s="59"/>
      <c r="G60" s="59"/>
      <c r="H60" s="59"/>
      <c r="I60" s="59"/>
      <c r="J60" s="59"/>
      <c r="K60" s="59"/>
      <c r="L60" s="59"/>
    </row>
    <row r="61" spans="1:12" x14ac:dyDescent="0.2">
      <c r="A61" s="59"/>
      <c r="B61" s="59"/>
      <c r="C61" s="59"/>
      <c r="D61" s="59"/>
      <c r="E61" s="59"/>
      <c r="F61" s="59"/>
      <c r="G61" s="59"/>
      <c r="H61" s="59"/>
      <c r="I61" s="59"/>
      <c r="J61" s="59"/>
      <c r="K61" s="59"/>
      <c r="L61" s="59"/>
    </row>
  </sheetData>
  <phoneticPr fontId="2" type="noConversion"/>
  <pageMargins left="0.22" right="0.28999999999999998" top="0.72" bottom="1" header="0.5" footer="0.5"/>
  <pageSetup paperSize="9" scale="75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72</vt:i4>
      </vt:variant>
    </vt:vector>
  </HeadingPairs>
  <TitlesOfParts>
    <vt:vector size="76" baseType="lpstr">
      <vt:lpstr>General Settings</vt:lpstr>
      <vt:lpstr>Calibration</vt:lpstr>
      <vt:lpstr>Summary</vt:lpstr>
      <vt:lpstr>Chart K</vt:lpstr>
      <vt:lpstr>Currency</vt:lpstr>
      <vt:lpstr>Displacement</vt:lpstr>
      <vt:lpstr>FileOverwrite</vt:lpstr>
      <vt:lpstr>Guess10Y</vt:lpstr>
      <vt:lpstr>Guess11Y</vt:lpstr>
      <vt:lpstr>Guess12Y</vt:lpstr>
      <vt:lpstr>Guess13Y</vt:lpstr>
      <vt:lpstr>Guess14Y</vt:lpstr>
      <vt:lpstr>Guess15Y</vt:lpstr>
      <vt:lpstr>Guess16Y</vt:lpstr>
      <vt:lpstr>Guess17Y</vt:lpstr>
      <vt:lpstr>Guess18Y</vt:lpstr>
      <vt:lpstr>Guess19Y</vt:lpstr>
      <vt:lpstr>Guess1Y</vt:lpstr>
      <vt:lpstr>Guess20Y</vt:lpstr>
      <vt:lpstr>Guess21Y</vt:lpstr>
      <vt:lpstr>Guess22Y</vt:lpstr>
      <vt:lpstr>Guess23Y</vt:lpstr>
      <vt:lpstr>Guess24Y</vt:lpstr>
      <vt:lpstr>Guess25Y</vt:lpstr>
      <vt:lpstr>Guess26Y</vt:lpstr>
      <vt:lpstr>Guess27Y</vt:lpstr>
      <vt:lpstr>Guess28Y</vt:lpstr>
      <vt:lpstr>Guess29Y</vt:lpstr>
      <vt:lpstr>Guess2Y</vt:lpstr>
      <vt:lpstr>Guess30Y</vt:lpstr>
      <vt:lpstr>Guess3Y</vt:lpstr>
      <vt:lpstr>Guess4Y</vt:lpstr>
      <vt:lpstr>Guess5Y</vt:lpstr>
      <vt:lpstr>Guess6Y</vt:lpstr>
      <vt:lpstr>Guess7Y</vt:lpstr>
      <vt:lpstr>Guess8Y</vt:lpstr>
      <vt:lpstr>Guess9Y</vt:lpstr>
      <vt:lpstr>Name</vt:lpstr>
      <vt:lpstr>ObjectOverwrite</vt:lpstr>
      <vt:lpstr>OptionTenors</vt:lpstr>
      <vt:lpstr>Permanent</vt:lpstr>
      <vt:lpstr>Summary!Print_Area</vt:lpstr>
      <vt:lpstr>Results10Y</vt:lpstr>
      <vt:lpstr>Results11Y</vt:lpstr>
      <vt:lpstr>Results12Y</vt:lpstr>
      <vt:lpstr>Results13Y</vt:lpstr>
      <vt:lpstr>Results14Y</vt:lpstr>
      <vt:lpstr>Results15Y</vt:lpstr>
      <vt:lpstr>Results16Y</vt:lpstr>
      <vt:lpstr>Results17Y</vt:lpstr>
      <vt:lpstr>Results18Y</vt:lpstr>
      <vt:lpstr>Results19Y</vt:lpstr>
      <vt:lpstr>Results1Y</vt:lpstr>
      <vt:lpstr>Results20Y</vt:lpstr>
      <vt:lpstr>Results21Y</vt:lpstr>
      <vt:lpstr>Results22Y</vt:lpstr>
      <vt:lpstr>Results23Y</vt:lpstr>
      <vt:lpstr>Results24Y</vt:lpstr>
      <vt:lpstr>Results25Y</vt:lpstr>
      <vt:lpstr>Results26Y</vt:lpstr>
      <vt:lpstr>Results27Y</vt:lpstr>
      <vt:lpstr>Results28Y</vt:lpstr>
      <vt:lpstr>Results29Y</vt:lpstr>
      <vt:lpstr>Results2Y</vt:lpstr>
      <vt:lpstr>Results30Y</vt:lpstr>
      <vt:lpstr>Results3Y</vt:lpstr>
      <vt:lpstr>Results4Y</vt:lpstr>
      <vt:lpstr>Results5Y</vt:lpstr>
      <vt:lpstr>Results6Y</vt:lpstr>
      <vt:lpstr>Results7Y</vt:lpstr>
      <vt:lpstr>Results8Y</vt:lpstr>
      <vt:lpstr>Results9Y</vt:lpstr>
      <vt:lpstr>SerializationPath</vt:lpstr>
      <vt:lpstr>Serialize</vt:lpstr>
      <vt:lpstr>Trigger</vt:lpstr>
      <vt:lpstr>Vol</vt:lpstr>
    </vt:vector>
  </TitlesOfParts>
  <Company>QuantLib -- http://quantlib.org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Ametrano, Cristina Duminuco</dc:creator>
  <cp:lastModifiedBy>erik</cp:lastModifiedBy>
  <cp:lastPrinted>2007-02-19T13:34:59Z</cp:lastPrinted>
  <dcterms:created xsi:type="dcterms:W3CDTF">2006-11-27T09:28:03Z</dcterms:created>
  <dcterms:modified xsi:type="dcterms:W3CDTF">2013-11-06T23:47:06Z</dcterms:modified>
</cp:coreProperties>
</file>
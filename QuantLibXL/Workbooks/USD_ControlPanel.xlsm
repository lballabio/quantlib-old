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85" windowHeight="12240"/>
  </bookViews>
  <sheets>
    <sheet name="ControlPanel" sheetId="2" r:id="rId1"/>
  </sheets>
  <definedNames>
    <definedName name="Calendar">ControlPanel!$I$3</definedName>
    <definedName name="Currency">ControlPanel!$C$8</definedName>
    <definedName name="EvaluationDate">ControlPanel!$I$4</definedName>
    <definedName name="Trigger">ControlPanel!$I$6</definedName>
  </definedNames>
  <calcPr calcId="145621"/>
</workbook>
</file>

<file path=xl/calcChain.xml><?xml version="1.0" encoding="utf-8"?>
<calcChain xmlns="http://schemas.openxmlformats.org/spreadsheetml/2006/main">
  <c r="D10" i="2" l="1"/>
  <c r="C20" i="2"/>
  <c r="C19" i="2"/>
  <c r="C18" i="2"/>
  <c r="C17" i="2"/>
  <c r="C16" i="2"/>
  <c r="C15" i="2"/>
  <c r="C14" i="2"/>
  <c r="C13" i="2"/>
  <c r="C12" i="2"/>
  <c r="D25" i="2"/>
  <c r="C25" i="2"/>
  <c r="D24" i="2"/>
  <c r="C24" i="2"/>
  <c r="D23" i="2"/>
  <c r="C23" i="2"/>
  <c r="D22" i="2"/>
  <c r="C22" i="2"/>
  <c r="D21" i="2"/>
  <c r="C21" i="2"/>
  <c r="D20" i="2"/>
  <c r="D19" i="2"/>
  <c r="D18" i="2"/>
  <c r="D17" i="2"/>
  <c r="D33" i="2"/>
  <c r="D32" i="2"/>
  <c r="D31" i="2"/>
  <c r="D30" i="2"/>
  <c r="D28" i="2"/>
  <c r="D27" i="2"/>
  <c r="D16" i="2"/>
  <c r="D15" i="2"/>
  <c r="D14" i="2"/>
  <c r="D13" i="2"/>
  <c r="D12" i="2"/>
  <c r="D11" i="2"/>
  <c r="C33" i="2"/>
  <c r="C32" i="2"/>
  <c r="C31" i="2"/>
  <c r="C30" i="2"/>
  <c r="C28" i="2"/>
  <c r="C27" i="2"/>
  <c r="C11" i="2"/>
  <c r="C10" i="2"/>
  <c r="H24" i="2"/>
  <c r="H17" i="2"/>
  <c r="G33" i="2"/>
  <c r="G15" i="2"/>
  <c r="G13" i="2"/>
  <c r="G27" i="2"/>
  <c r="G21" i="2"/>
  <c r="G17" i="2"/>
  <c r="H16" i="2"/>
  <c r="G24" i="2"/>
  <c r="H32" i="2"/>
  <c r="G16" i="2"/>
  <c r="G32" i="2"/>
  <c r="H23" i="2"/>
  <c r="H18" i="2"/>
  <c r="H10" i="2"/>
  <c r="H21" i="2"/>
  <c r="B1" i="2"/>
  <c r="H15" i="2"/>
  <c r="H31" i="2"/>
  <c r="G31" i="2"/>
  <c r="G19" i="2"/>
  <c r="H28" i="2"/>
  <c r="G22" i="2"/>
  <c r="G28" i="2"/>
  <c r="H27" i="2"/>
  <c r="G23" i="2"/>
  <c r="H20" i="2"/>
  <c r="H11" i="2"/>
  <c r="H14" i="2"/>
  <c r="G20" i="2"/>
  <c r="G11" i="2"/>
  <c r="H30" i="2"/>
  <c r="G14" i="2"/>
  <c r="G30" i="2"/>
  <c r="H22" i="2"/>
  <c r="H19" i="2"/>
  <c r="I4" i="2"/>
  <c r="H13" i="2"/>
  <c r="H25" i="2"/>
  <c r="G12" i="2"/>
  <c r="H12" i="2"/>
  <c r="G25" i="2"/>
  <c r="G18" i="2"/>
  <c r="G10" i="2"/>
  <c r="H33" i="2"/>
  <c r="I12" i="2" l="1"/>
  <c r="I23" i="2"/>
  <c r="I25" i="2"/>
  <c r="I32" i="2"/>
  <c r="I13" i="2"/>
  <c r="I16" i="2"/>
  <c r="I19" i="2"/>
  <c r="I17" i="2"/>
  <c r="I22" i="2"/>
  <c r="I24" i="2"/>
  <c r="I30" i="2"/>
  <c r="I11" i="2"/>
  <c r="I20" i="2"/>
  <c r="I27" i="2"/>
  <c r="I28" i="2"/>
  <c r="I31" i="2"/>
  <c r="I21" i="2"/>
  <c r="I33" i="2"/>
  <c r="I14" i="2"/>
  <c r="I15" i="2"/>
  <c r="I10" i="2"/>
  <c r="I18" i="2"/>
</calcChain>
</file>

<file path=xl/sharedStrings.xml><?xml version="1.0" encoding="utf-8"?>
<sst xmlns="http://schemas.openxmlformats.org/spreadsheetml/2006/main" count="8" uniqueCount="8">
  <si>
    <t>Trigger</t>
  </si>
  <si>
    <t>Calendar</t>
  </si>
  <si>
    <t>Evaluation Date</t>
  </si>
  <si>
    <t>RelinkableHandle</t>
  </si>
  <si>
    <t>LinkTo</t>
  </si>
  <si>
    <t>Extrapolate</t>
  </si>
  <si>
    <t>TARGET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</si>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</sst>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85" formatCode="&quot;£&quot;\ #,##0;[Red]\-&quot;£&quot;\ #,##0"/>
    <numFmt numFmtId="187" formatCode="&quot;£&quot;\ #,##0.00;[Red]\-&quot;£&quot;\ #,##0.00"/>
    <numFmt numFmtId="198" formatCode="[$-409]d\-mmm\-yy;@"/>
    <numFmt numFmtId="208" formatCode="ddd\,\ dd\-mmm\-yy"/>
    <numFmt numFmtId="213" formatCode="#,##0.0;#,##0.0"/>
    <numFmt numFmtId="214" formatCode="ddd\,\ dd\-mmm\-yyyy\,\ hh:mm:ss"/>
    <numFmt numFmtId="215" formatCode="ddd\,\ d\-mmm\-yyyy\,\ hh:mm:ss"/>
  </numFmts>
  <fonts count="8" x14ac:knownFonts="1">
    <font>
      <sz val="10"/>
      <name val="Arial"/>
    </font>
    <font>
      <sz val="8"/>
      <name val="Arial"/>
      <family val="2"/>
    </font>
    <font>
      <sz val="10"/>
      <name val="MS Sans Serif"/>
      <family val="2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0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0" fontId="2" fillId="0" borderId="0"/>
    <xf numFmtId="213" fontId="3" fillId="2" borderId="0">
      <alignment horizontal="center" vertical="center"/>
    </xf>
    <xf numFmtId="185" fontId="2" fillId="0" borderId="0" applyFont="0" applyFill="0" applyBorder="0" applyAlignment="0" applyProtection="0"/>
    <xf numFmtId="187" fontId="2" fillId="0" borderId="0" applyFont="0" applyFill="0" applyBorder="0" applyAlignment="0" applyProtection="0"/>
  </cellStyleXfs>
  <cellXfs count="35">
    <xf numFmtId="0" fontId="0" fillId="0" borderId="0" xfId="0"/>
    <xf numFmtId="0" fontId="4" fillId="3" borderId="0" xfId="0" applyFont="1" applyFill="1"/>
    <xf numFmtId="0" fontId="5" fillId="3" borderId="0" xfId="0" applyFont="1" applyFill="1"/>
    <xf numFmtId="0" fontId="5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4" borderId="0" xfId="0" applyFont="1" applyFill="1" applyBorder="1"/>
    <xf numFmtId="0" fontId="4" fillId="3" borderId="5" xfId="0" applyFont="1" applyFill="1" applyBorder="1"/>
    <xf numFmtId="198" fontId="4" fillId="5" borderId="6" xfId="0" applyNumberFormat="1" applyFont="1" applyFill="1" applyBorder="1" applyAlignment="1" applyProtection="1">
      <alignment horizontal="center"/>
    </xf>
    <xf numFmtId="15" fontId="4" fillId="4" borderId="7" xfId="0" applyNumberFormat="1" applyFont="1" applyFill="1" applyBorder="1"/>
    <xf numFmtId="215" fontId="4" fillId="5" borderId="6" xfId="0" applyNumberFormat="1" applyFont="1" applyFill="1" applyBorder="1" applyAlignment="1" applyProtection="1">
      <alignment horizontal="center"/>
    </xf>
    <xf numFmtId="0" fontId="4" fillId="3" borderId="5" xfId="0" applyNumberFormat="1" applyFont="1" applyFill="1" applyBorder="1"/>
    <xf numFmtId="214" fontId="4" fillId="5" borderId="6" xfId="0" applyNumberFormat="1" applyFont="1" applyFill="1" applyBorder="1" applyAlignment="1" applyProtection="1">
      <alignment horizontal="center"/>
    </xf>
    <xf numFmtId="0" fontId="6" fillId="3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right"/>
    </xf>
    <xf numFmtId="0" fontId="4" fillId="3" borderId="8" xfId="0" applyFont="1" applyFill="1" applyBorder="1" applyAlignment="1"/>
    <xf numFmtId="208" fontId="4" fillId="4" borderId="9" xfId="0" applyNumberFormat="1" applyFont="1" applyFill="1" applyBorder="1" applyAlignment="1" applyProtection="1">
      <protection locked="0"/>
    </xf>
    <xf numFmtId="198" fontId="4" fillId="5" borderId="8" xfId="0" applyNumberFormat="1" applyFont="1" applyFill="1" applyBorder="1" applyAlignment="1" applyProtection="1">
      <alignment horizontal="center"/>
    </xf>
    <xf numFmtId="198" fontId="7" fillId="5" borderId="8" xfId="0" applyNumberFormat="1" applyFont="1" applyFill="1" applyBorder="1" applyAlignment="1" applyProtection="1">
      <alignment horizontal="left"/>
    </xf>
    <xf numFmtId="0" fontId="4" fillId="3" borderId="10" xfId="0" applyFont="1" applyFill="1" applyBorder="1" applyAlignment="1"/>
    <xf numFmtId="208" fontId="4" fillId="4" borderId="11" xfId="0" applyNumberFormat="1" applyFont="1" applyFill="1" applyBorder="1" applyAlignment="1" applyProtection="1">
      <protection locked="0"/>
    </xf>
    <xf numFmtId="198" fontId="4" fillId="5" borderId="10" xfId="0" applyNumberFormat="1" applyFont="1" applyFill="1" applyBorder="1" applyAlignment="1" applyProtection="1">
      <alignment horizontal="center"/>
    </xf>
    <xf numFmtId="198" fontId="7" fillId="5" borderId="10" xfId="0" applyNumberFormat="1" applyFont="1" applyFill="1" applyBorder="1" applyAlignment="1" applyProtection="1">
      <alignment horizontal="left"/>
    </xf>
    <xf numFmtId="0" fontId="4" fillId="3" borderId="5" xfId="0" applyFont="1" applyFill="1" applyBorder="1" applyAlignment="1"/>
    <xf numFmtId="208" fontId="4" fillId="4" borderId="6" xfId="0" applyNumberFormat="1" applyFont="1" applyFill="1" applyBorder="1" applyAlignment="1" applyProtection="1">
      <protection locked="0"/>
    </xf>
    <xf numFmtId="198" fontId="4" fillId="5" borderId="5" xfId="0" applyNumberFormat="1" applyFont="1" applyFill="1" applyBorder="1" applyAlignment="1" applyProtection="1">
      <alignment horizontal="center"/>
    </xf>
    <xf numFmtId="198" fontId="7" fillId="5" borderId="5" xfId="0" applyNumberFormat="1" applyFont="1" applyFill="1" applyBorder="1" applyAlignment="1" applyProtection="1">
      <alignment horizontal="left"/>
    </xf>
    <xf numFmtId="0" fontId="4" fillId="4" borderId="6" xfId="0" applyFont="1" applyFill="1" applyBorder="1" applyAlignment="1" applyProtection="1">
      <protection locked="0"/>
    </xf>
    <xf numFmtId="0" fontId="4" fillId="4" borderId="5" xfId="0" applyFont="1" applyFill="1" applyBorder="1" applyAlignment="1"/>
    <xf numFmtId="0" fontId="4" fillId="4" borderId="12" xfId="0" applyFont="1" applyFill="1" applyBorder="1"/>
    <xf numFmtId="0" fontId="4" fillId="4" borderId="13" xfId="0" applyFont="1" applyFill="1" applyBorder="1"/>
    <xf numFmtId="0" fontId="4" fillId="4" borderId="14" xfId="0" applyFont="1" applyFill="1" applyBorder="1"/>
    <xf numFmtId="0" fontId="4" fillId="0" borderId="0" xfId="0" applyFont="1"/>
  </cellXfs>
  <cellStyles count="7">
    <cellStyle name="Migliaia (0)_BENCH2" xfId="1"/>
    <cellStyle name="Migliaia_BENCH2" xfId="2"/>
    <cellStyle name="Normal" xfId="0" builtinId="0"/>
    <cellStyle name="Normale_BENCH2" xfId="3"/>
    <cellStyle name="result" xfId="4"/>
    <cellStyle name="Valuta (0)_BENCH2" xfId="5"/>
    <cellStyle name="Valuta_BENCH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123825</xdr:rowOff>
        </xdr:from>
        <xdr:to>
          <xdr:col>3</xdr:col>
          <xdr:colOff>1314450</xdr:colOff>
          <xdr:row>3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114300</xdr:rowOff>
        </xdr:from>
        <xdr:to>
          <xdr:col>3</xdr:col>
          <xdr:colOff>200025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28575</xdr:rowOff>
        </xdr:from>
        <xdr:to>
          <xdr:col>3</xdr:col>
          <xdr:colOff>1409700</xdr:colOff>
          <xdr:row>6</xdr:row>
          <xdr:rowOff>95250</xdr:rowOff>
        </xdr:to>
        <xdr:sp macro="" textlink="">
          <xdr:nvSpPr>
            <xdr:cNvPr id="1183" name="CommandButton3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76200</xdr:rowOff>
        </xdr:from>
        <xdr:to>
          <xdr:col>3</xdr:col>
          <xdr:colOff>1419225</xdr:colOff>
          <xdr:row>4</xdr:row>
          <xdr:rowOff>133350</xdr:rowOff>
        </xdr:to>
        <xdr:sp macro="" textlink="">
          <xdr:nvSpPr>
            <xdr:cNvPr id="1184" name="ToggleButton1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6"/>
  <sheetViews>
    <sheetView tabSelected="1" workbookViewId="0">
      <selection activeCell="I6" sqref="I6"/>
    </sheetView>
  </sheetViews>
  <sheetFormatPr defaultRowHeight="13.5" x14ac:dyDescent="0.25"/>
  <cols>
    <col min="1" max="1" width="1.42578125" style="3" customWidth="1"/>
    <col min="2" max="2" width="1.85546875" style="3" customWidth="1"/>
    <col min="3" max="3" width="18.28515625" style="3" bestFit="1" customWidth="1"/>
    <col min="4" max="4" width="30.7109375" style="3" bestFit="1" customWidth="1"/>
    <col min="5" max="5" width="12" style="3" bestFit="1" customWidth="1"/>
    <col min="6" max="6" width="2" style="3" customWidth="1"/>
    <col min="7" max="7" width="6" style="3" bestFit="1" customWidth="1"/>
    <col min="8" max="8" width="16.140625" style="3" bestFit="1" customWidth="1"/>
    <col min="9" max="9" width="70.7109375" style="3" customWidth="1"/>
    <col min="10" max="10" width="2.28515625" style="3" customWidth="1"/>
    <col min="11" max="16384" width="9.140625" style="3"/>
  </cols>
  <sheetData>
    <row r="1" spans="1:32" ht="14.25" thickBot="1" x14ac:dyDescent="0.3">
      <c r="A1" s="1"/>
      <c r="B1" s="1" t="str">
        <f>_xll.qlxlVersion(TRUE,Trigger)</f>
        <v>QuantLibXL 1.2.0 - MS VC++ 9.0 - Multithreaded Dynamic Runtime library - Release Configuration - Jan 18 2013 12:11:06</v>
      </c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 s="1"/>
      <c r="B2" s="4"/>
      <c r="C2" s="5"/>
      <c r="D2" s="5"/>
      <c r="E2" s="5"/>
      <c r="F2" s="5"/>
      <c r="G2" s="5"/>
      <c r="H2" s="5"/>
      <c r="I2" s="5"/>
      <c r="J2" s="6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5">
      <c r="A3" s="1"/>
      <c r="B3" s="7"/>
      <c r="C3" s="8"/>
      <c r="D3" s="8"/>
      <c r="E3" s="8"/>
      <c r="F3" s="8"/>
      <c r="G3" s="8"/>
      <c r="H3" s="9" t="s">
        <v>1</v>
      </c>
      <c r="I3" s="10" t="s">
        <v>6</v>
      </c>
      <c r="J3" s="1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25">
      <c r="A4" s="1"/>
      <c r="B4" s="7"/>
      <c r="C4" s="8"/>
      <c r="D4" s="8"/>
      <c r="E4" s="8"/>
      <c r="F4" s="8"/>
      <c r="G4" s="8"/>
      <c r="H4" s="9" t="s">
        <v>2</v>
      </c>
      <c r="I4" s="12">
        <f>_xll.qlSettingsEvaluationDate(Trigger)</f>
        <v>41570</v>
      </c>
      <c r="J4" s="1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25">
      <c r="A5" s="1"/>
      <c r="B5" s="7"/>
      <c r="C5" s="8"/>
      <c r="D5" s="8"/>
      <c r="E5" s="8"/>
      <c r="F5" s="8"/>
      <c r="G5" s="8"/>
      <c r="H5" s="8"/>
      <c r="I5" s="8"/>
      <c r="J5" s="1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1"/>
      <c r="B6" s="7"/>
      <c r="C6" s="8"/>
      <c r="D6" s="8"/>
      <c r="E6" s="8"/>
      <c r="F6" s="8"/>
      <c r="G6" s="8"/>
      <c r="H6" s="13" t="s">
        <v>0</v>
      </c>
      <c r="I6" s="14"/>
      <c r="J6" s="1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x14ac:dyDescent="0.25">
      <c r="A7" s="1"/>
      <c r="B7" s="7"/>
      <c r="C7" s="8"/>
      <c r="D7" s="8"/>
      <c r="E7" s="8"/>
      <c r="F7" s="8"/>
      <c r="G7" s="8"/>
      <c r="H7" s="8"/>
      <c r="I7" s="8"/>
      <c r="J7" s="1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x14ac:dyDescent="0.25">
      <c r="A8" s="1"/>
      <c r="B8" s="7"/>
      <c r="C8" s="8" t="s">
        <v>7</v>
      </c>
      <c r="D8" s="8"/>
      <c r="E8" s="8"/>
      <c r="F8" s="8"/>
      <c r="G8" s="8"/>
      <c r="H8" s="8"/>
      <c r="I8" s="8"/>
      <c r="J8" s="1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x14ac:dyDescent="0.25">
      <c r="A9" s="1"/>
      <c r="B9" s="7"/>
      <c r="C9" s="15" t="s">
        <v>3</v>
      </c>
      <c r="D9" s="15" t="s">
        <v>4</v>
      </c>
      <c r="E9" s="15" t="s">
        <v>5</v>
      </c>
      <c r="F9" s="8"/>
      <c r="G9" s="16"/>
      <c r="H9" s="16"/>
      <c r="I9" s="16"/>
      <c r="J9" s="1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ht="14.25" thickBot="1" x14ac:dyDescent="0.3">
      <c r="A10" s="1"/>
      <c r="B10" s="7"/>
      <c r="C10" s="17" t="str">
        <f>PROPER(Currency)&amp;"YC"</f>
        <v>UsdYC</v>
      </c>
      <c r="D10" s="18" t="str">
        <f>"_"&amp;PROPER(Currency)&amp;"YC"</f>
        <v>_UsdYC</v>
      </c>
      <c r="E10" s="18" t="b">
        <v>1</v>
      </c>
      <c r="F10" s="8"/>
      <c r="G10" s="19" t="b">
        <f>_xll.qlRelinkableHandleLinkTo($C10,$D10,Trigger)</f>
        <v>1</v>
      </c>
      <c r="H10" s="19" t="b">
        <f>_xll.qlExtrapolatorEnableExtrapolation($D10,$E10,Trigger)</f>
        <v>1</v>
      </c>
      <c r="I10" s="20" t="str">
        <f>IF(ISERROR(H10),_xll.ohRangeRetrieveError(H10),_xll.ohRangeRetrieveError(G10))</f>
        <v/>
      </c>
      <c r="J10" s="1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15" thickTop="1" thickBot="1" x14ac:dyDescent="0.3">
      <c r="A11" s="1"/>
      <c r="B11" s="7"/>
      <c r="C11" s="17" t="str">
        <f>PROPER(Currency)&amp;"YCSTD"</f>
        <v>UsdYCSTD</v>
      </c>
      <c r="D11" s="18" t="str">
        <f>"_"&amp;PROPER(Currency)&amp;"YCSTD"</f>
        <v>_UsdYCSTD</v>
      </c>
      <c r="E11" s="18" t="b">
        <v>1</v>
      </c>
      <c r="F11" s="8"/>
      <c r="G11" s="19" t="b">
        <f>_xll.qlRelinkableHandleLinkTo($C11,$D11,Trigger)</f>
        <v>1</v>
      </c>
      <c r="H11" s="19" t="b">
        <f>_xll.qlExtrapolatorEnableExtrapolation($D11,$E11,Trigger)</f>
        <v>1</v>
      </c>
      <c r="I11" s="20" t="str">
        <f>IF(ISERROR(H11),_xll.ohRangeRetrieveError(H11),_xll.ohRangeRetrieveError(G11))</f>
        <v/>
      </c>
      <c r="J11" s="1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ht="14.25" thickTop="1" x14ac:dyDescent="0.25">
      <c r="A12" s="1"/>
      <c r="B12" s="7"/>
      <c r="C12" s="21" t="str">
        <f>PROPER(Currency)&amp;IF(UPPER(Currency)="EUR","","L")&amp;"iborYCON"</f>
        <v>UsdLiborYCON</v>
      </c>
      <c r="D12" s="22" t="str">
        <f>"_"&amp;PROPER(Currency)&amp;"YCON"</f>
        <v>_UsdYCON</v>
      </c>
      <c r="E12" s="26" t="b">
        <v>1</v>
      </c>
      <c r="F12" s="8"/>
      <c r="G12" s="23" t="b">
        <f>_xll.qlRelinkableHandleLinkTo($C12,$D12,Trigger)</f>
        <v>1</v>
      </c>
      <c r="H12" s="23" t="b">
        <f>_xll.qlExtrapolatorEnableExtrapolation($D12,$E12,Trigger)</f>
        <v>1</v>
      </c>
      <c r="I12" s="24" t="str">
        <f>IF(ISERROR(H12),_xll.ohRangeRetrieveError(H12),_xll.ohRangeRetrieveError(G12))</f>
        <v/>
      </c>
      <c r="J12" s="1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25">
      <c r="A13" s="1"/>
      <c r="B13" s="7"/>
      <c r="C13" s="25" t="str">
        <f>PROPER(Currency)&amp;IF(UPPER(Currency)="EUR","","L")&amp;"iborYC1M"</f>
        <v>UsdLiborYC1M</v>
      </c>
      <c r="D13" s="26" t="str">
        <f>"_"&amp;PROPER(Currency)&amp;"YC1M"</f>
        <v>_UsdYC1M</v>
      </c>
      <c r="E13" s="26" t="b">
        <v>1</v>
      </c>
      <c r="F13" s="8"/>
      <c r="G13" s="27" t="b">
        <f>_xll.qlRelinkableHandleLinkTo($C13,$D13,Trigger)</f>
        <v>1</v>
      </c>
      <c r="H13" s="27" t="b">
        <f>_xll.qlExtrapolatorEnableExtrapolation($D13,$E13,Trigger)</f>
        <v>1</v>
      </c>
      <c r="I13" s="28" t="str">
        <f>IF(ISERROR(H13),_xll.ohRangeRetrieveError(H13),_xll.ohRangeRetrieveError(G13))</f>
        <v/>
      </c>
      <c r="J13" s="1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25">
      <c r="A14" s="1"/>
      <c r="B14" s="7"/>
      <c r="C14" s="25" t="str">
        <f>PROPER(Currency)&amp;IF(UPPER(Currency)="EUR","","L")&amp;"iborYC3M"</f>
        <v>UsdLiborYC3M</v>
      </c>
      <c r="D14" s="26" t="str">
        <f>"_"&amp;PROPER(Currency)&amp;"YC3M"</f>
        <v>_UsdYC3M</v>
      </c>
      <c r="E14" s="26" t="b">
        <v>1</v>
      </c>
      <c r="F14" s="8"/>
      <c r="G14" s="27" t="b">
        <f>_xll.qlRelinkableHandleLinkTo($C14,$D14,Trigger)</f>
        <v>1</v>
      </c>
      <c r="H14" s="27" t="b">
        <f>_xll.qlExtrapolatorEnableExtrapolation($D14,$E14,Trigger)</f>
        <v>1</v>
      </c>
      <c r="I14" s="28" t="str">
        <f>IF(ISERROR(H14),_xll.ohRangeRetrieveError(H14),_xll.ohRangeRetrieveError(G14))</f>
        <v/>
      </c>
      <c r="J14" s="1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25">
      <c r="A15" s="1"/>
      <c r="B15" s="7"/>
      <c r="C15" s="25" t="str">
        <f>PROPER(Currency)&amp;IF(UPPER(Currency)="EUR","","L")&amp;"iborYC6M"</f>
        <v>UsdLiborYC6M</v>
      </c>
      <c r="D15" s="26" t="str">
        <f>"_"&amp;PROPER(Currency)&amp;"YC6M"</f>
        <v>_UsdYC6M</v>
      </c>
      <c r="E15" s="26" t="b">
        <v>1</v>
      </c>
      <c r="F15" s="8"/>
      <c r="G15" s="27" t="b">
        <f>_xll.qlRelinkableHandleLinkTo($C15,$D15,Trigger)</f>
        <v>1</v>
      </c>
      <c r="H15" s="27" t="b">
        <f>_xll.qlExtrapolatorEnableExtrapolation($D15,$E15,Trigger)</f>
        <v>1</v>
      </c>
      <c r="I15" s="28" t="str">
        <f>IF(ISERROR(H15),_xll.ohRangeRetrieveError(H15),_xll.ohRangeRetrieveError(G15))</f>
        <v/>
      </c>
      <c r="J15" s="1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14.25" customHeight="1" thickBot="1" x14ac:dyDescent="0.3">
      <c r="A16" s="1"/>
      <c r="B16" s="7"/>
      <c r="C16" s="17" t="str">
        <f>PROPER(Currency)&amp;IF(UPPER(Currency)="EUR","","L")&amp;"iborYC1Y"</f>
        <v>UsdLiborYC1Y</v>
      </c>
      <c r="D16" s="18" t="str">
        <f>"_"&amp;PROPER(Currency)&amp;"YC1Y"</f>
        <v>_UsdYC1Y</v>
      </c>
      <c r="E16" s="18" t="b">
        <v>1</v>
      </c>
      <c r="F16" s="8"/>
      <c r="G16" s="19" t="b">
        <f>_xll.qlRelinkableHandleLinkTo($C16,$D16,Trigger)</f>
        <v>1</v>
      </c>
      <c r="H16" s="19" t="b">
        <f>_xll.qlExtrapolatorEnableExtrapolation($D16,$E16,Trigger)</f>
        <v>1</v>
      </c>
      <c r="I16" s="20" t="str">
        <f>IF(ISERROR(H16),_xll.ohRangeRetrieveError(H16),_xll.ohRangeRetrieveError(G16))</f>
        <v/>
      </c>
      <c r="J16" s="1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14.25" thickTop="1" x14ac:dyDescent="0.25">
      <c r="A17" s="1"/>
      <c r="B17" s="7"/>
      <c r="C17" s="21" t="str">
        <f>PROPER(Currency)&amp;IF(UPPER(Currency)="EUR","","L")&amp;"iborYC1M-Mx"</f>
        <v>UsdLiborYC1M-Mx</v>
      </c>
      <c r="D17" s="22" t="str">
        <f>"_"&amp;PROPER(Currency)&amp;"YC1M-Mx"</f>
        <v>_UsdYC1M-Mx</v>
      </c>
      <c r="E17" s="22" t="b">
        <v>1</v>
      </c>
      <c r="F17" s="8"/>
      <c r="G17" s="23" t="b">
        <f>_xll.qlRelinkableHandleLinkTo($C17,$D17,Trigger)</f>
        <v>1</v>
      </c>
      <c r="H17" s="23" t="b">
        <f>_xll.qlExtrapolatorEnableExtrapolation($D17,$E17,Trigger)</f>
        <v>1</v>
      </c>
      <c r="I17" s="24" t="str">
        <f>IF(ISERROR(H17),_xll.ohRangeRetrieveError(H17),_xll.ohRangeRetrieveError(G17))</f>
        <v/>
      </c>
      <c r="J17" s="1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5">
      <c r="A18" s="1"/>
      <c r="B18" s="7"/>
      <c r="C18" s="25" t="str">
        <f>PROPER(Currency)&amp;IF(UPPER(Currency)="EUR","","L")&amp;"iborYC3M-Mx"</f>
        <v>UsdLiborYC3M-Mx</v>
      </c>
      <c r="D18" s="26" t="str">
        <f>"_"&amp;PROPER(Currency)&amp;"YC3M-Mx"</f>
        <v>_UsdYC3M-Mx</v>
      </c>
      <c r="E18" s="26" t="b">
        <v>1</v>
      </c>
      <c r="F18" s="8"/>
      <c r="G18" s="27" t="b">
        <f>_xll.qlRelinkableHandleLinkTo($C18,$D18,Trigger)</f>
        <v>1</v>
      </c>
      <c r="H18" s="27" t="b">
        <f>_xll.qlExtrapolatorEnableExtrapolation($D18,$E18,Trigger)</f>
        <v>1</v>
      </c>
      <c r="I18" s="28" t="str">
        <f>IF(ISERROR(H18),_xll.ohRangeRetrieveError(H18),_xll.ohRangeRetrieveError(G18))</f>
        <v/>
      </c>
      <c r="J18" s="1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5">
      <c r="A19" s="1"/>
      <c r="B19" s="7"/>
      <c r="C19" s="25" t="str">
        <f>PROPER(Currency)&amp;IF(UPPER(Currency)="EUR","","L")&amp;"iborYC6M-Mx"</f>
        <v>UsdLiborYC6M-Mx</v>
      </c>
      <c r="D19" s="26" t="str">
        <f>"_"&amp;PROPER(Currency)&amp;"YC6M-Mx"</f>
        <v>_UsdYC6M-Mx</v>
      </c>
      <c r="E19" s="26" t="b">
        <v>1</v>
      </c>
      <c r="F19" s="8"/>
      <c r="G19" s="27" t="b">
        <f>_xll.qlRelinkableHandleLinkTo($C19,$D19,Trigger)</f>
        <v>1</v>
      </c>
      <c r="H19" s="27" t="b">
        <f>_xll.qlExtrapolatorEnableExtrapolation($D19,$E19,Trigger)</f>
        <v>1</v>
      </c>
      <c r="I19" s="28" t="str">
        <f>IF(ISERROR(H19),_xll.ohRangeRetrieveError(H19),_xll.ohRangeRetrieveError(G19))</f>
        <v/>
      </c>
      <c r="J19" s="1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14.25" thickBot="1" x14ac:dyDescent="0.3">
      <c r="A20" s="1"/>
      <c r="B20" s="7"/>
      <c r="C20" s="17" t="str">
        <f>PROPER(Currency)&amp;IF(UPPER(Currency)="EUR","","L")&amp;"iborYC1Y-Mx"</f>
        <v>UsdLiborYC1Y-Mx</v>
      </c>
      <c r="D20" s="18" t="str">
        <f>"_"&amp;PROPER(Currency)&amp;"YC1Y-Mx"</f>
        <v>_UsdYC1Y-Mx</v>
      </c>
      <c r="E20" s="18" t="b">
        <v>1</v>
      </c>
      <c r="F20" s="8"/>
      <c r="G20" s="19" t="b">
        <f>_xll.qlRelinkableHandleLinkTo($C20,$D20,Trigger)</f>
        <v>1</v>
      </c>
      <c r="H20" s="19" t="b">
        <f>_xll.qlExtrapolatorEnableExtrapolation($D20,$E20,Trigger)</f>
        <v>1</v>
      </c>
      <c r="I20" s="20" t="str">
        <f>IF(ISERROR(H20),_xll.ohRangeRetrieveError(H20),_xll.ohRangeRetrieveError(G20))</f>
        <v/>
      </c>
      <c r="J20" s="1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4.25" thickTop="1" x14ac:dyDescent="0.25">
      <c r="A21" s="1"/>
      <c r="B21" s="7"/>
      <c r="C21" s="21" t="str">
        <f>PROPER(Currency)&amp;"LiborYCON"</f>
        <v>UsdLiborYCON</v>
      </c>
      <c r="D21" s="22" t="str">
        <f>"_"&amp;PROPER(Currency)&amp;"YCON"</f>
        <v>_UsdYCON</v>
      </c>
      <c r="E21" s="26" t="b">
        <v>1</v>
      </c>
      <c r="F21" s="8"/>
      <c r="G21" s="23" t="b">
        <f>_xll.qlRelinkableHandleLinkTo($C21,$D21,Trigger)</f>
        <v>1</v>
      </c>
      <c r="H21" s="23" t="b">
        <f>_xll.qlExtrapolatorEnableExtrapolation($D21,$E21,Trigger)</f>
        <v>1</v>
      </c>
      <c r="I21" s="24" t="str">
        <f>IF(ISERROR(H21),_xll.ohRangeRetrieveError(H21),_xll.ohRangeRetrieveError(G21))</f>
        <v/>
      </c>
      <c r="J21" s="11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5">
      <c r="A22" s="1"/>
      <c r="B22" s="7"/>
      <c r="C22" s="25" t="str">
        <f>PROPER(Currency)&amp;"LiborYC1M"</f>
        <v>UsdLiborYC1M</v>
      </c>
      <c r="D22" s="26" t="str">
        <f>"_"&amp;PROPER(Currency)&amp;"YC1M"</f>
        <v>_UsdYC1M</v>
      </c>
      <c r="E22" s="26" t="b">
        <v>1</v>
      </c>
      <c r="F22" s="8"/>
      <c r="G22" s="27" t="b">
        <f>_xll.qlRelinkableHandleLinkTo($C22,$D22,Trigger)</f>
        <v>1</v>
      </c>
      <c r="H22" s="27" t="b">
        <f>_xll.qlExtrapolatorEnableExtrapolation($D22,$E22,Trigger)</f>
        <v>1</v>
      </c>
      <c r="I22" s="28" t="str">
        <f>IF(ISERROR(H22),_xll.ohRangeRetrieveError(H22),_xll.ohRangeRetrieveError(G22))</f>
        <v/>
      </c>
      <c r="J22" s="11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5">
      <c r="A23" s="1"/>
      <c r="B23" s="7"/>
      <c r="C23" s="25" t="str">
        <f>PROPER(Currency)&amp;"LiborYC3M"</f>
        <v>UsdLiborYC3M</v>
      </c>
      <c r="D23" s="26" t="str">
        <f>"_"&amp;PROPER(Currency)&amp;"YC3M"</f>
        <v>_UsdYC3M</v>
      </c>
      <c r="E23" s="26" t="b">
        <v>1</v>
      </c>
      <c r="F23" s="8"/>
      <c r="G23" s="27" t="b">
        <f>_xll.qlRelinkableHandleLinkTo($C23,$D23,Trigger)</f>
        <v>1</v>
      </c>
      <c r="H23" s="27" t="b">
        <f>_xll.qlExtrapolatorEnableExtrapolation($D23,$E23,Trigger)</f>
        <v>1</v>
      </c>
      <c r="I23" s="28" t="str">
        <f>IF(ISERROR(H23),_xll.ohRangeRetrieveError(H23),_xll.ohRangeRetrieveError(G23))</f>
        <v/>
      </c>
      <c r="J23" s="11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5">
      <c r="A24" s="1"/>
      <c r="B24" s="7"/>
      <c r="C24" s="25" t="str">
        <f>PROPER(Currency)&amp;"LiborYC6M"</f>
        <v>UsdLiborYC6M</v>
      </c>
      <c r="D24" s="26" t="str">
        <f>"_"&amp;PROPER(Currency)&amp;"YC6M"</f>
        <v>_UsdYC6M</v>
      </c>
      <c r="E24" s="26" t="b">
        <v>1</v>
      </c>
      <c r="F24" s="8"/>
      <c r="G24" s="27" t="b">
        <f>_xll.qlRelinkableHandleLinkTo($C24,$D24,Trigger)</f>
        <v>1</v>
      </c>
      <c r="H24" s="27" t="b">
        <f>_xll.qlExtrapolatorEnableExtrapolation($D24,$E24,Trigger)</f>
        <v>1</v>
      </c>
      <c r="I24" s="28" t="str">
        <f>IF(ISERROR(H24),_xll.ohRangeRetrieveError(H24),_xll.ohRangeRetrieveError(G24))</f>
        <v/>
      </c>
      <c r="J24" s="1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4.25" customHeight="1" thickBot="1" x14ac:dyDescent="0.3">
      <c r="A25" s="1"/>
      <c r="B25" s="7"/>
      <c r="C25" s="17" t="str">
        <f>PROPER(Currency)&amp;"LiborYC1Y"</f>
        <v>UsdLiborYC1Y</v>
      </c>
      <c r="D25" s="18" t="str">
        <f>"_"&amp;PROPER(Currency)&amp;"YC1Y"</f>
        <v>_UsdYC1Y</v>
      </c>
      <c r="E25" s="18" t="b">
        <v>1</v>
      </c>
      <c r="F25" s="8"/>
      <c r="G25" s="19" t="b">
        <f>_xll.qlRelinkableHandleLinkTo($C25,$D25,Trigger)</f>
        <v>1</v>
      </c>
      <c r="H25" s="19" t="b">
        <f>_xll.qlExtrapolatorEnableExtrapolation($D25,$E25,Trigger)</f>
        <v>1</v>
      </c>
      <c r="I25" s="20" t="str">
        <f>IF(ISERROR(H25),_xll.ohRangeRetrieveError(H25),_xll.ohRangeRetrieveError(G25))</f>
        <v/>
      </c>
      <c r="J25" s="1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4.25" thickTop="1" x14ac:dyDescent="0.25">
      <c r="A26" s="1"/>
      <c r="B26" s="7"/>
      <c r="C26" s="8"/>
      <c r="D26" s="8"/>
      <c r="E26" s="8"/>
      <c r="F26" s="8"/>
      <c r="G26" s="8"/>
      <c r="H26" s="8"/>
      <c r="I26" s="8"/>
      <c r="J26" s="1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5">
      <c r="A27" s="1"/>
      <c r="B27" s="7"/>
      <c r="C27" s="25" t="str">
        <f>PROPER(Currency)&amp;"SwaptionATMVol"</f>
        <v>UsdSwaptionATMVol</v>
      </c>
      <c r="D27" s="29" t="str">
        <f>"_"&amp;PROPER(Currency)&amp;"SwaptionATMVol_ICAP"</f>
        <v>_UsdSwaptionATMVol_ICAP</v>
      </c>
      <c r="E27" s="29" t="b">
        <v>1</v>
      </c>
      <c r="F27" s="8"/>
      <c r="G27" s="27" t="e">
        <f>_xll.qlRelinkableHandleLinkTo($C27,$D27,Trigger)</f>
        <v>#NUM!</v>
      </c>
      <c r="H27" s="27" t="e">
        <f>_xll.qlExtrapolatorEnableExtrapolation($D27,$E27,Trigger)</f>
        <v>#NUM!</v>
      </c>
      <c r="I27" s="28" t="str">
        <f ca="1">IF(ISERROR(H27),_xll.ohRangeRetrieveError(H27),_xll.ohRangeRetrieveError(G27))</f>
        <v>qlExtrapolatorEnableExtrapolation - ObjectHandler error: attempt to retrieve object with unknown ID '_UsdSwaptionATMVol_ICAP'</v>
      </c>
      <c r="J27" s="1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5">
      <c r="A28" s="1"/>
      <c r="B28" s="7"/>
      <c r="C28" s="25" t="str">
        <f>PROPER(Currency)&amp;"SwaptionVol"</f>
        <v>UsdSwaptionVol</v>
      </c>
      <c r="D28" s="29" t="str">
        <f>"_"&amp;PROPER(Currency)&amp;"SwaptionVol1"</f>
        <v>_UsdSwaptionVol1</v>
      </c>
      <c r="E28" s="29" t="b">
        <v>1</v>
      </c>
      <c r="F28" s="8"/>
      <c r="G28" s="27" t="e">
        <f>_xll.qlRelinkableHandleLinkTo($C28,$D28,Trigger)</f>
        <v>#NUM!</v>
      </c>
      <c r="H28" s="27" t="e">
        <f>_xll.qlExtrapolatorEnableExtrapolation($D28,$E28,Trigger)</f>
        <v>#NUM!</v>
      </c>
      <c r="I28" s="28" t="str">
        <f ca="1">IF(ISERROR(H28),_xll.ohRangeRetrieveError(H28),_xll.ohRangeRetrieveError(G28))</f>
        <v>qlExtrapolatorEnableExtrapolation - ObjectHandler error: attempt to retrieve object with unknown ID '_UsdSwaptionVol1'</v>
      </c>
      <c r="J28" s="1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5">
      <c r="A29" s="1"/>
      <c r="B29" s="7"/>
      <c r="C29" s="8"/>
      <c r="D29" s="8"/>
      <c r="E29" s="8"/>
      <c r="F29" s="8"/>
      <c r="G29" s="8"/>
      <c r="H29" s="8"/>
      <c r="I29" s="8"/>
      <c r="J29" s="11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5">
      <c r="A30" s="1"/>
      <c r="B30" s="7"/>
      <c r="C30" s="25" t="str">
        <f>PROPER(Currency)&amp;"1MCapletVol"</f>
        <v>Usd1MCapletVol</v>
      </c>
      <c r="D30" s="30" t="str">
        <f>"_"&amp;PROPER(Currency)&amp;"OptionletStripperAdapter6M"</f>
        <v>_UsdOptionletStripperAdapter6M</v>
      </c>
      <c r="E30" s="30" t="b">
        <v>1</v>
      </c>
      <c r="F30" s="8"/>
      <c r="G30" s="27" t="e">
        <f>_xll.qlRelinkableHandleLinkTo($C30,$D30,Trigger)</f>
        <v>#NUM!</v>
      </c>
      <c r="H30" s="27" t="e">
        <f>_xll.qlExtrapolatorEnableExtrapolation($D30,$E30,Trigger)</f>
        <v>#NUM!</v>
      </c>
      <c r="I30" s="28" t="str">
        <f ca="1">IF(ISERROR(H30),_xll.ohRangeRetrieveError(H30),_xll.ohRangeRetrieveError(G30))</f>
        <v>qlExtrapolatorEnableExtrapolation - ObjectHandler error: attempt to retrieve object with unknown ID '_UsdOptionletStripperAdapter6M'</v>
      </c>
      <c r="J30" s="11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5">
      <c r="A31" s="1"/>
      <c r="B31" s="7"/>
      <c r="C31" s="25" t="str">
        <f>PROPER(Currency)&amp;"3MCapletVol"</f>
        <v>Usd3MCapletVol</v>
      </c>
      <c r="D31" s="30" t="str">
        <f>"_"&amp;PROPER(Currency)&amp;"OptionletStripperAdapter6M"</f>
        <v>_UsdOptionletStripperAdapter6M</v>
      </c>
      <c r="E31" s="30" t="b">
        <v>1</v>
      </c>
      <c r="F31" s="8"/>
      <c r="G31" s="27" t="e">
        <f>_xll.qlRelinkableHandleLinkTo($C31,$D31,Trigger)</f>
        <v>#NUM!</v>
      </c>
      <c r="H31" s="27" t="e">
        <f>_xll.qlExtrapolatorEnableExtrapolation($D31,$E31,Trigger)</f>
        <v>#NUM!</v>
      </c>
      <c r="I31" s="28" t="str">
        <f ca="1">IF(ISERROR(H31),_xll.ohRangeRetrieveError(H31),_xll.ohRangeRetrieveError(G31))</f>
        <v>qlExtrapolatorEnableExtrapolation - ObjectHandler error: attempt to retrieve object with unknown ID '_UsdOptionletStripperAdapter6M'</v>
      </c>
      <c r="J31" s="11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5">
      <c r="A32" s="1"/>
      <c r="B32" s="7"/>
      <c r="C32" s="25" t="str">
        <f>PROPER(Currency)&amp;"6MCapletVol"</f>
        <v>Usd6MCapletVol</v>
      </c>
      <c r="D32" s="30" t="str">
        <f>"_"&amp;PROPER(Currency)&amp;"OptionletStripperAdapter6M"</f>
        <v>_UsdOptionletStripperAdapter6M</v>
      </c>
      <c r="E32" s="30" t="b">
        <v>1</v>
      </c>
      <c r="F32" s="8"/>
      <c r="G32" s="27" t="e">
        <f>_xll.qlRelinkableHandleLinkTo($C32,$D32,Trigger)</f>
        <v>#NUM!</v>
      </c>
      <c r="H32" s="27" t="e">
        <f>_xll.qlExtrapolatorEnableExtrapolation($D32,$E32,Trigger)</f>
        <v>#NUM!</v>
      </c>
      <c r="I32" s="28" t="str">
        <f ca="1">IF(ISERROR(H32),_xll.ohRangeRetrieveError(H32),_xll.ohRangeRetrieveError(G32))</f>
        <v>qlExtrapolatorEnableExtrapolation - ObjectHandler error: attempt to retrieve object with unknown ID '_UsdOptionletStripperAdapter6M'</v>
      </c>
      <c r="J32" s="11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5">
      <c r="A33" s="1"/>
      <c r="B33" s="7"/>
      <c r="C33" s="25" t="str">
        <f>PROPER(Currency)&amp;"1YCapletVol"</f>
        <v>Usd1YCapletVol</v>
      </c>
      <c r="D33" s="30" t="str">
        <f>"_"&amp;PROPER(Currency)&amp;"OptionletStripperAdapter6M"</f>
        <v>_UsdOptionletStripperAdapter6M</v>
      </c>
      <c r="E33" s="30" t="b">
        <v>1</v>
      </c>
      <c r="F33" s="8"/>
      <c r="G33" s="27" t="e">
        <f>_xll.qlRelinkableHandleLinkTo($C33,$D33,Trigger)</f>
        <v>#NUM!</v>
      </c>
      <c r="H33" s="27" t="e">
        <f>_xll.qlExtrapolatorEnableExtrapolation($D33,$E33,Trigger)</f>
        <v>#NUM!</v>
      </c>
      <c r="I33" s="28" t="str">
        <f ca="1">IF(ISERROR(H33),_xll.ohRangeRetrieveError(H33),_xll.ohRangeRetrieveError(G33))</f>
        <v>qlExtrapolatorEnableExtrapolation - ObjectHandler error: attempt to retrieve object with unknown ID '_UsdOptionletStripperAdapter6M'</v>
      </c>
      <c r="J33" s="11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4.25" thickBot="1" x14ac:dyDescent="0.3">
      <c r="A34" s="1"/>
      <c r="B34" s="31"/>
      <c r="C34" s="32"/>
      <c r="D34" s="32"/>
      <c r="E34" s="32"/>
      <c r="F34" s="32"/>
      <c r="G34" s="32"/>
      <c r="H34" s="32"/>
      <c r="I34" s="32"/>
      <c r="J34" s="33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5">
      <c r="A36" s="2"/>
      <c r="B36" s="2"/>
      <c r="C36" s="1"/>
      <c r="D36" s="1"/>
      <c r="E36" s="1"/>
      <c r="F36" s="1"/>
      <c r="G36" s="1"/>
      <c r="H36" s="1"/>
      <c r="I36" s="1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5">
      <c r="A38" s="2"/>
      <c r="B38" s="2"/>
      <c r="C38" s="1"/>
      <c r="D38" s="2"/>
      <c r="E38" s="1"/>
      <c r="F38" s="1"/>
      <c r="G38" s="1"/>
      <c r="H38" s="1"/>
      <c r="I38" s="1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5">
      <c r="A39" s="2"/>
      <c r="B39" s="2"/>
      <c r="C39" s="1"/>
      <c r="D39" s="2"/>
      <c r="E39" s="1"/>
      <c r="F39" s="1"/>
      <c r="G39" s="1"/>
      <c r="H39" s="1"/>
      <c r="I39" s="1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5">
      <c r="A40" s="2"/>
      <c r="B40" s="2"/>
      <c r="C40" s="1"/>
      <c r="D40" s="2"/>
      <c r="E40" s="1"/>
      <c r="F40" s="1"/>
      <c r="G40" s="1"/>
      <c r="H40" s="1"/>
      <c r="I40" s="1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5">
      <c r="A41" s="2"/>
      <c r="B41" s="2"/>
      <c r="C41" s="1"/>
      <c r="D41" s="1"/>
      <c r="E41" s="1"/>
      <c r="F41" s="1"/>
      <c r="G41" s="1"/>
      <c r="H41" s="1"/>
      <c r="I41" s="1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5">
      <c r="A42" s="2"/>
      <c r="B42" s="2"/>
      <c r="C42" s="1"/>
      <c r="D42" s="1"/>
      <c r="E42" s="1"/>
      <c r="F42" s="1"/>
      <c r="G42" s="1"/>
      <c r="H42" s="1"/>
      <c r="I42" s="1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5">
      <c r="A43" s="2"/>
      <c r="B43" s="2"/>
      <c r="C43" s="1"/>
      <c r="D43" s="1"/>
      <c r="E43" s="1"/>
      <c r="F43" s="1"/>
      <c r="G43" s="1"/>
      <c r="H43" s="1"/>
      <c r="I43" s="1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5">
      <c r="A44" s="2"/>
      <c r="B44" s="2"/>
      <c r="C44" s="1"/>
      <c r="D44" s="1"/>
      <c r="E44" s="1"/>
      <c r="F44" s="1"/>
      <c r="G44" s="1"/>
      <c r="H44" s="1"/>
      <c r="I44" s="1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5">
      <c r="A45" s="2"/>
      <c r="B45" s="2"/>
      <c r="C45" s="1"/>
      <c r="D45" s="1"/>
      <c r="E45" s="1"/>
      <c r="F45" s="1"/>
      <c r="G45" s="1"/>
      <c r="H45" s="1"/>
      <c r="I45" s="1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5">
      <c r="A46" s="2"/>
      <c r="B46" s="2"/>
      <c r="C46" s="1"/>
      <c r="D46" s="1"/>
      <c r="E46" s="1"/>
      <c r="F46" s="1"/>
      <c r="G46" s="1"/>
      <c r="H46" s="1"/>
      <c r="I46" s="1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5">
      <c r="A47" s="2"/>
      <c r="B47" s="2"/>
      <c r="C47" s="1"/>
      <c r="D47" s="1"/>
      <c r="E47" s="1"/>
      <c r="F47" s="1"/>
      <c r="G47" s="1"/>
      <c r="H47" s="1"/>
      <c r="I47" s="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5">
      <c r="A48" s="2"/>
      <c r="B48" s="2"/>
      <c r="C48" s="1"/>
      <c r="D48" s="1"/>
      <c r="E48" s="1"/>
      <c r="F48" s="1"/>
      <c r="G48" s="1"/>
      <c r="H48" s="1"/>
      <c r="I48" s="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5">
      <c r="A49" s="2"/>
      <c r="B49" s="2"/>
      <c r="C49" s="1"/>
      <c r="D49" s="1"/>
      <c r="E49" s="1"/>
      <c r="F49" s="1"/>
      <c r="G49" s="1"/>
      <c r="H49" s="1"/>
      <c r="I49" s="1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5">
      <c r="A50" s="2"/>
      <c r="B50" s="2"/>
      <c r="C50" s="1"/>
      <c r="D50" s="1"/>
      <c r="E50" s="1"/>
      <c r="F50" s="1"/>
      <c r="G50" s="1"/>
      <c r="H50" s="1"/>
      <c r="I50" s="1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5">
      <c r="A51" s="2"/>
      <c r="B51" s="2"/>
      <c r="C51" s="1"/>
      <c r="D51" s="1"/>
      <c r="E51" s="1"/>
      <c r="F51" s="1"/>
      <c r="G51" s="1"/>
      <c r="H51" s="1"/>
      <c r="I51" s="1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5">
      <c r="A52" s="2"/>
      <c r="B52" s="2"/>
      <c r="C52" s="1"/>
      <c r="D52" s="1"/>
      <c r="E52" s="1"/>
      <c r="F52" s="1"/>
      <c r="G52" s="1"/>
      <c r="H52" s="1"/>
      <c r="I52" s="1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5">
      <c r="A53" s="2"/>
      <c r="B53" s="2"/>
      <c r="C53" s="1"/>
      <c r="D53" s="1"/>
      <c r="E53" s="1"/>
      <c r="F53" s="1"/>
      <c r="G53" s="1"/>
      <c r="H53" s="1"/>
      <c r="I53" s="1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5">
      <c r="A54" s="2"/>
      <c r="B54" s="2"/>
      <c r="C54" s="1"/>
      <c r="D54" s="1"/>
      <c r="E54" s="1"/>
      <c r="F54" s="1"/>
      <c r="G54" s="1"/>
      <c r="H54" s="1"/>
      <c r="I54" s="1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5">
      <c r="A55" s="2"/>
      <c r="B55" s="2"/>
      <c r="C55" s="1"/>
      <c r="D55" s="1"/>
      <c r="E55" s="1"/>
      <c r="F55" s="1"/>
      <c r="G55" s="1"/>
      <c r="H55" s="1"/>
      <c r="I55" s="1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5">
      <c r="A56" s="2"/>
      <c r="B56" s="2"/>
      <c r="C56" s="1"/>
      <c r="D56" s="1"/>
      <c r="E56" s="1"/>
      <c r="F56" s="1"/>
      <c r="G56" s="1"/>
      <c r="H56" s="1"/>
      <c r="I56" s="1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5">
      <c r="A57" s="2"/>
      <c r="B57" s="2"/>
      <c r="C57" s="1"/>
      <c r="D57" s="1"/>
      <c r="E57" s="1"/>
      <c r="F57" s="1"/>
      <c r="G57" s="1"/>
      <c r="H57" s="1"/>
      <c r="I57" s="1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5">
      <c r="A58" s="2"/>
      <c r="B58" s="2"/>
      <c r="C58" s="1"/>
      <c r="D58" s="1"/>
      <c r="E58" s="1"/>
      <c r="F58" s="1"/>
      <c r="G58" s="1"/>
      <c r="H58" s="1"/>
      <c r="I58" s="1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5">
      <c r="A59" s="2"/>
      <c r="B59" s="2"/>
      <c r="C59" s="1"/>
      <c r="D59" s="1"/>
      <c r="E59" s="1"/>
      <c r="F59" s="1"/>
      <c r="G59" s="1"/>
      <c r="H59" s="1"/>
      <c r="I59" s="1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5">
      <c r="A60" s="2"/>
      <c r="B60" s="2"/>
      <c r="C60" s="1"/>
      <c r="D60" s="1"/>
      <c r="E60" s="1"/>
      <c r="F60" s="1"/>
      <c r="G60" s="1"/>
      <c r="H60" s="1"/>
      <c r="I60" s="1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5">
      <c r="A61" s="2"/>
      <c r="B61" s="2"/>
      <c r="C61" s="1"/>
      <c r="D61" s="1"/>
      <c r="E61" s="1"/>
      <c r="F61" s="1"/>
      <c r="G61" s="1"/>
      <c r="H61" s="1"/>
      <c r="I61" s="1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5">
      <c r="A62" s="2"/>
      <c r="B62" s="2"/>
      <c r="C62" s="1"/>
      <c r="D62" s="1"/>
      <c r="E62" s="1"/>
      <c r="F62" s="1"/>
      <c r="G62" s="1"/>
      <c r="H62" s="1"/>
      <c r="I62" s="1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5">
      <c r="A63" s="2"/>
      <c r="B63" s="2"/>
      <c r="C63" s="1"/>
      <c r="D63" s="1"/>
      <c r="E63" s="1"/>
      <c r="F63" s="1"/>
      <c r="G63" s="1"/>
      <c r="H63" s="1"/>
      <c r="I63" s="1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5">
      <c r="A64" s="2"/>
      <c r="B64" s="2"/>
      <c r="C64" s="1"/>
      <c r="D64" s="1"/>
      <c r="E64" s="1"/>
      <c r="F64" s="1"/>
      <c r="G64" s="1"/>
      <c r="H64" s="1"/>
      <c r="I64" s="1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5">
      <c r="A65" s="2"/>
      <c r="B65" s="2"/>
      <c r="C65" s="1"/>
      <c r="D65" s="1"/>
      <c r="E65" s="1"/>
      <c r="F65" s="1"/>
      <c r="G65" s="1"/>
      <c r="H65" s="1"/>
      <c r="I65" s="1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5">
      <c r="A66" s="2"/>
      <c r="B66" s="2"/>
      <c r="C66" s="1"/>
      <c r="D66" s="1"/>
      <c r="E66" s="1"/>
      <c r="F66" s="1"/>
      <c r="G66" s="1"/>
      <c r="H66" s="1"/>
      <c r="I66" s="1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5">
      <c r="A67" s="2"/>
      <c r="B67" s="2"/>
      <c r="C67" s="1"/>
      <c r="D67" s="1"/>
      <c r="E67" s="1"/>
      <c r="F67" s="1"/>
      <c r="G67" s="1"/>
      <c r="H67" s="1"/>
      <c r="I67" s="1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5">
      <c r="A68" s="2"/>
      <c r="B68" s="2"/>
      <c r="C68" s="1"/>
      <c r="D68" s="1"/>
      <c r="E68" s="1"/>
      <c r="F68" s="1"/>
      <c r="G68" s="1"/>
      <c r="H68" s="1"/>
      <c r="I68" s="1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5">
      <c r="A69" s="2"/>
      <c r="B69" s="2"/>
      <c r="C69" s="1"/>
      <c r="D69" s="1"/>
      <c r="E69" s="1"/>
      <c r="F69" s="1"/>
      <c r="G69" s="1"/>
      <c r="H69" s="1"/>
      <c r="I69" s="1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5">
      <c r="A70" s="2"/>
      <c r="B70" s="2"/>
      <c r="C70" s="1"/>
      <c r="D70" s="1"/>
      <c r="E70" s="1"/>
      <c r="F70" s="1"/>
      <c r="G70" s="1"/>
      <c r="H70" s="1"/>
      <c r="I70" s="1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5">
      <c r="A71" s="2"/>
      <c r="B71" s="2"/>
      <c r="C71" s="1"/>
      <c r="D71" s="1"/>
      <c r="E71" s="1"/>
      <c r="F71" s="1"/>
      <c r="G71" s="1"/>
      <c r="H71" s="1"/>
      <c r="I71" s="1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5">
      <c r="A72" s="2"/>
      <c r="B72" s="2"/>
      <c r="C72" s="1"/>
      <c r="D72" s="1"/>
      <c r="E72" s="1"/>
      <c r="F72" s="1"/>
      <c r="G72" s="1"/>
      <c r="H72" s="1"/>
      <c r="I72" s="1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5">
      <c r="A73" s="2"/>
      <c r="B73" s="2"/>
      <c r="C73" s="1"/>
      <c r="D73" s="1"/>
      <c r="E73" s="1"/>
      <c r="F73" s="1"/>
      <c r="G73" s="1"/>
      <c r="H73" s="1"/>
      <c r="I73" s="1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5">
      <c r="A74" s="2"/>
      <c r="B74" s="2"/>
      <c r="C74" s="1"/>
      <c r="D74" s="1"/>
      <c r="E74" s="1"/>
      <c r="F74" s="1"/>
      <c r="G74" s="1"/>
      <c r="H74" s="1"/>
      <c r="I74" s="1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5">
      <c r="A75" s="2"/>
      <c r="B75" s="2"/>
      <c r="C75" s="1"/>
      <c r="D75" s="1"/>
      <c r="E75" s="1"/>
      <c r="F75" s="1"/>
      <c r="G75" s="1"/>
      <c r="H75" s="1"/>
      <c r="I75" s="1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5">
      <c r="C76" s="34"/>
      <c r="D76" s="34"/>
      <c r="E76" s="34"/>
      <c r="F76" s="34"/>
      <c r="G76" s="34"/>
      <c r="H76" s="34"/>
      <c r="I76" s="34"/>
    </row>
  </sheetData>
  <phoneticPr fontId="1" type="noConversion"/>
  <dataValidations count="2">
    <dataValidation type="list" allowBlank="1" showInputMessage="1" showErrorMessage="1" sqref="C8">
      <formula1>"EUR,USD,GBP,JPY,CHF"</formula1>
    </dataValidation>
    <dataValidation type="list" allowBlank="1" showInputMessage="1" showErrorMessage="1" sqref="I3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84" r:id="rId4" name="ToggleButton1">
          <controlPr defaultSize="0" autoLine="0" autoPict="0" r:id="rId5">
            <anchor moveWithCells="1">
              <from>
                <xdr:col>2</xdr:col>
                <xdr:colOff>9525</xdr:colOff>
                <xdr:row>3</xdr:row>
                <xdr:rowOff>76200</xdr:rowOff>
              </from>
              <to>
                <xdr:col>3</xdr:col>
                <xdr:colOff>1419225</xdr:colOff>
                <xdr:row>4</xdr:row>
                <xdr:rowOff>133350</xdr:rowOff>
              </to>
            </anchor>
          </controlPr>
        </control>
      </mc:Choice>
      <mc:Fallback>
        <control shapeId="1184" r:id="rId4" name="ToggleButton1"/>
      </mc:Fallback>
    </mc:AlternateContent>
    <mc:AlternateContent xmlns:mc="http://schemas.openxmlformats.org/markup-compatibility/2006">
      <mc:Choice Requires="x14">
        <control shapeId="1183" r:id="rId6" name="CommandButton3">
          <controlPr defaultSize="0" autoLine="0" r:id="rId7">
            <anchor moveWithCells="1">
              <from>
                <xdr:col>2</xdr:col>
                <xdr:colOff>0</xdr:colOff>
                <xdr:row>5</xdr:row>
                <xdr:rowOff>28575</xdr:rowOff>
              </from>
              <to>
                <xdr:col>3</xdr:col>
                <xdr:colOff>1409700</xdr:colOff>
                <xdr:row>6</xdr:row>
                <xdr:rowOff>95250</xdr:rowOff>
              </to>
            </anchor>
          </controlPr>
        </control>
      </mc:Choice>
      <mc:Fallback>
        <control shapeId="1183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autoPict="0" r:id="rId9">
            <anchor moveWithCells="1" sizeWithCells="1">
              <from>
                <xdr:col>2</xdr:col>
                <xdr:colOff>19050</xdr:colOff>
                <xdr:row>1</xdr:row>
                <xdr:rowOff>114300</xdr:rowOff>
              </from>
              <to>
                <xdr:col>2</xdr:col>
                <xdr:colOff>1419225</xdr:colOff>
                <xdr:row>3</xdr:row>
                <xdr:rowOff>38100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autoPict="0" r:id="rId11">
            <anchor moveWithCells="1" sizeWithCells="1">
              <from>
                <xdr:col>3</xdr:col>
                <xdr:colOff>47625</xdr:colOff>
                <xdr:row>1</xdr:row>
                <xdr:rowOff>123825</xdr:rowOff>
              </from>
              <to>
                <xdr:col>3</xdr:col>
                <xdr:colOff>1314450</xdr:colOff>
                <xdr:row>3</xdr:row>
                <xdr:rowOff>47625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ControlPanel</vt:lpstr>
      <vt:lpstr>Calendar</vt:lpstr>
      <vt:lpstr>Currency</vt:lpstr>
      <vt:lpstr>EvaluationDate</vt:lpstr>
      <vt:lpstr>Trigger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2013-10-23T14:53:30Z</dcterms:modified>
</cp:coreProperties>
</file>
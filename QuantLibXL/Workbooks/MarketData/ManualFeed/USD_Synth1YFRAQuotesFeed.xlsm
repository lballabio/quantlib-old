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1335" yWindow="1695" windowWidth="17535" windowHeight="10530" activeTab="1"/>
  </bookViews>
  <sheets>
    <sheet name="General Settings" sheetId="3" r:id="rId1"/>
    <sheet name="Triggers" sheetId="7" r:id="rId2"/>
    <sheet name="RateHelpers" sheetId="2" r:id="rId3"/>
    <sheet name="Calculation" sheetId="4" r:id="rId4"/>
    <sheet name="Interpolated1Y" sheetId="8" r:id="rId5"/>
  </sheets>
  <definedNames>
    <definedName name="Accuracy">'General Settings'!$D$14</definedName>
    <definedName name="BasisInterpolation">'General Settings'!$D$21</definedName>
    <definedName name="BasisInterpolator">'General Settings'!$D$22</definedName>
    <definedName name="Calendar">'General Settings'!$D$12</definedName>
    <definedName name="Currency">'General Settings'!$D$4</definedName>
    <definedName name="DayCounter">'General Settings'!$D$13</definedName>
    <definedName name="DiscountingCurve">'General Settings'!$D$5</definedName>
    <definedName name="EvaluationDate">Triggers!$C$2</definedName>
    <definedName name="IborIndex">'General Settings'!$D$20</definedName>
    <definedName name="IborTenor">'General Settings'!#REF!</definedName>
    <definedName name="IborType">'General Settings'!#REF!</definedName>
    <definedName name="InterestRatesTrigger">Triggers!$C$4</definedName>
    <definedName name="InterpolatorID">'General Settings'!$D$16</definedName>
    <definedName name="LastUpdate">'General Settings'!$E$28</definedName>
    <definedName name="LiveDataFeed">'General Settings'!$E$31</definedName>
    <definedName name="MinDistance">RateHelpers!$J$2:$J$6</definedName>
    <definedName name="NDays">'General Settings'!$D$11</definedName>
    <definedName name="OvernightIndex">'General Settings'!$D$6</definedName>
    <definedName name="_xlnm.Print_Area" localSheetId="3">Calculation!$A$2:$E$51</definedName>
    <definedName name="Quote" localSheetId="4">Interpolated1Y!$H$5:$H$48</definedName>
    <definedName name="QuoteLive" localSheetId="4">Interpolated1Y!$C$5:$C$48</definedName>
    <definedName name="QuoteStatic" localSheetId="4">Interpolated1Y!$E$5:$E$48</definedName>
    <definedName name="RateHelpers">RateHelpers!$F$2:$F$6</definedName>
    <definedName name="RateHelpersIncluded">RateHelpers!$H$2:$H$6</definedName>
    <definedName name="RateHelpersPriority">RateHelpers!$I$2:$I$6</definedName>
    <definedName name="SettlementDate">'General Settings'!#REF!</definedName>
    <definedName name="TraitsID">'General Settings'!$D$15</definedName>
    <definedName name="TriggerCounter">'General Settings'!$D$7</definedName>
    <definedName name="YieldCurve">'General Settings'!$D$9</definedName>
  </definedNames>
  <calcPr calcId="145621"/>
</workbook>
</file>

<file path=xl/calcChain.xml><?xml version="1.0" encoding="utf-8"?>
<calcChain xmlns="http://schemas.openxmlformats.org/spreadsheetml/2006/main">
  <c r="C2" i="7" l="1"/>
  <c r="E2" i="2" l="1"/>
  <c r="E3" i="2"/>
  <c r="E4" i="2"/>
  <c r="D5" i="3"/>
  <c r="E5" i="2"/>
  <c r="E6" i="2"/>
  <c r="D14" i="3"/>
  <c r="A5" i="8"/>
  <c r="B5" i="8"/>
  <c r="G5" i="8"/>
  <c r="A6" i="8"/>
  <c r="B6" i="8"/>
  <c r="G6" i="8" s="1"/>
  <c r="A7" i="8"/>
  <c r="B7" i="8" s="1"/>
  <c r="G7" i="8" s="1"/>
  <c r="A8" i="8"/>
  <c r="B8" i="8" s="1"/>
  <c r="G8" i="8" s="1"/>
  <c r="A9" i="8"/>
  <c r="B9" i="8"/>
  <c r="G9" i="8" s="1"/>
  <c r="A10" i="8"/>
  <c r="B10" i="8"/>
  <c r="G10" i="8"/>
  <c r="A11" i="8"/>
  <c r="B11" i="8"/>
  <c r="G11" i="8" s="1"/>
  <c r="A12" i="8"/>
  <c r="B12" i="8"/>
  <c r="G12" i="8"/>
  <c r="A13" i="8"/>
  <c r="B13" i="8" s="1"/>
  <c r="G13" i="8" s="1"/>
  <c r="A14" i="8"/>
  <c r="B14" i="8" s="1"/>
  <c r="G14" i="8" s="1"/>
  <c r="A15" i="8"/>
  <c r="B15" i="8" s="1"/>
  <c r="G15" i="8" s="1"/>
  <c r="A16" i="8"/>
  <c r="B16" i="8"/>
  <c r="G16" i="8"/>
  <c r="A17" i="8"/>
  <c r="B17" i="8"/>
  <c r="G17" i="8" s="1"/>
  <c r="A18" i="8"/>
  <c r="B18" i="8" s="1"/>
  <c r="G18" i="8" s="1"/>
  <c r="A19" i="8"/>
  <c r="B19" i="8"/>
  <c r="G19" i="8" s="1"/>
  <c r="A20" i="8"/>
  <c r="B20" i="8" s="1"/>
  <c r="G20" i="8" s="1"/>
  <c r="A21" i="8"/>
  <c r="B21" i="8"/>
  <c r="G21" i="8"/>
  <c r="A22" i="8"/>
  <c r="B22" i="8" s="1"/>
  <c r="G22" i="8" s="1"/>
  <c r="A23" i="8"/>
  <c r="B23" i="8"/>
  <c r="G23" i="8" s="1"/>
  <c r="A24" i="8"/>
  <c r="B24" i="8"/>
  <c r="G24" i="8"/>
  <c r="A25" i="8"/>
  <c r="B25" i="8"/>
  <c r="G25" i="8" s="1"/>
  <c r="A26" i="8"/>
  <c r="B26" i="8"/>
  <c r="G26" i="8"/>
  <c r="A27" i="8"/>
  <c r="B27" i="8"/>
  <c r="G27" i="8"/>
  <c r="A28" i="8"/>
  <c r="B28" i="8" s="1"/>
  <c r="G28" i="8" s="1"/>
  <c r="A29" i="8"/>
  <c r="B29" i="8" s="1"/>
  <c r="G29" i="8" s="1"/>
  <c r="A30" i="8"/>
  <c r="B30" i="8" s="1"/>
  <c r="G30" i="8" s="1"/>
  <c r="A31" i="8"/>
  <c r="B31" i="8" s="1"/>
  <c r="G31" i="8" s="1"/>
  <c r="A32" i="8"/>
  <c r="B32" i="8"/>
  <c r="G32" i="8"/>
  <c r="A33" i="8"/>
  <c r="B33" i="8"/>
  <c r="G33" i="8"/>
  <c r="A34" i="8"/>
  <c r="B34" i="8" s="1"/>
  <c r="G34" i="8" s="1"/>
  <c r="A35" i="8"/>
  <c r="B35" i="8"/>
  <c r="G35" i="8" s="1"/>
  <c r="A36" i="8"/>
  <c r="B36" i="8" s="1"/>
  <c r="G36" i="8" s="1"/>
  <c r="A37" i="8"/>
  <c r="B37" i="8"/>
  <c r="G37" i="8"/>
  <c r="A38" i="8"/>
  <c r="B38" i="8"/>
  <c r="G38" i="8"/>
  <c r="A39" i="8"/>
  <c r="B39" i="8"/>
  <c r="G39" i="8" s="1"/>
  <c r="A40" i="8"/>
  <c r="B40" i="8"/>
  <c r="G40" i="8"/>
  <c r="A41" i="8"/>
  <c r="B41" i="8"/>
  <c r="G41" i="8" s="1"/>
  <c r="A42" i="8"/>
  <c r="B42" i="8"/>
  <c r="G42" i="8"/>
  <c r="A43" i="8"/>
  <c r="B43" i="8" s="1"/>
  <c r="G43" i="8" s="1"/>
  <c r="A44" i="8"/>
  <c r="B44" i="8"/>
  <c r="G44" i="8"/>
  <c r="A45" i="8"/>
  <c r="B45" i="8" s="1"/>
  <c r="G45" i="8" s="1"/>
  <c r="A46" i="8"/>
  <c r="B46" i="8" s="1"/>
  <c r="G46" i="8" s="1"/>
  <c r="A47" i="8"/>
  <c r="B47" i="8" s="1"/>
  <c r="G47" i="8" s="1"/>
  <c r="A48" i="8"/>
  <c r="B48" i="8"/>
  <c r="G48" i="8"/>
  <c r="D6" i="3"/>
  <c r="F10" i="2"/>
  <c r="F5" i="2"/>
  <c r="B1" i="3"/>
  <c r="L5" i="2"/>
  <c r="K5" i="2"/>
  <c r="G5" i="2"/>
  <c r="F2" i="2"/>
  <c r="F3" i="2"/>
  <c r="F4" i="2"/>
  <c r="L4" i="2"/>
  <c r="G4" i="2"/>
  <c r="K4" i="2"/>
  <c r="A6" i="4" l="1"/>
  <c r="A5" i="4"/>
  <c r="A4" i="4"/>
  <c r="A3" i="4"/>
  <c r="D6" i="4"/>
  <c r="C3" i="4"/>
  <c r="D5" i="4"/>
  <c r="C4" i="4"/>
  <c r="D3" i="4"/>
  <c r="D4" i="4"/>
  <c r="C5" i="4"/>
  <c r="F6" i="2"/>
  <c r="C6" i="4"/>
  <c r="K6" i="2"/>
  <c r="B5" i="4"/>
  <c r="B6" i="4"/>
  <c r="G6" i="2"/>
  <c r="L6" i="2"/>
  <c r="A7" i="4" l="1"/>
  <c r="D9" i="3"/>
  <c r="D18" i="3"/>
  <c r="C7" i="4"/>
  <c r="C24" i="3"/>
  <c r="D10" i="3"/>
  <c r="D7" i="4"/>
  <c r="B7" i="4"/>
  <c r="D2" i="4" l="1"/>
  <c r="D20" i="3"/>
  <c r="I24" i="4"/>
  <c r="I5" i="4"/>
  <c r="I10" i="4"/>
  <c r="I44" i="4"/>
  <c r="I19" i="4"/>
  <c r="I4" i="4"/>
  <c r="I49" i="4"/>
  <c r="I16" i="4"/>
  <c r="I22" i="4"/>
  <c r="I37" i="4"/>
  <c r="I3" i="4"/>
  <c r="C25" i="3"/>
  <c r="I17" i="4"/>
  <c r="J17" i="4" s="1"/>
  <c r="I26" i="4"/>
  <c r="I32" i="4"/>
  <c r="I31" i="4"/>
  <c r="G19" i="4"/>
  <c r="I38" i="4"/>
  <c r="J38" i="4" s="1"/>
  <c r="I41" i="4"/>
  <c r="I9" i="4"/>
  <c r="G37" i="4"/>
  <c r="I14" i="4"/>
  <c r="I27" i="4"/>
  <c r="G4" i="4"/>
  <c r="I23" i="4"/>
  <c r="I2" i="4"/>
  <c r="G2" i="4" s="1"/>
  <c r="G44" i="4"/>
  <c r="I36" i="4"/>
  <c r="J3" i="4"/>
  <c r="I18" i="4"/>
  <c r="G18" i="4" s="1"/>
  <c r="I48" i="4"/>
  <c r="J48" i="4"/>
  <c r="G9" i="4"/>
  <c r="J16" i="4"/>
  <c r="J49" i="4"/>
  <c r="H49" i="4" s="1"/>
  <c r="G3" i="4"/>
  <c r="H3" i="4"/>
  <c r="I39" i="4"/>
  <c r="G39" i="4" s="1"/>
  <c r="G17" i="4"/>
  <c r="J2" i="4"/>
  <c r="I45" i="4"/>
  <c r="H16" i="4"/>
  <c r="I8" i="4"/>
  <c r="G32" i="4"/>
  <c r="I34" i="4"/>
  <c r="J9" i="4"/>
  <c r="H9" i="4" s="1"/>
  <c r="J14" i="4"/>
  <c r="J26" i="4"/>
  <c r="H26" i="4" s="1"/>
  <c r="J10" i="4"/>
  <c r="H10" i="4" s="1"/>
  <c r="I29" i="4"/>
  <c r="G29" i="4" s="1"/>
  <c r="I40" i="4"/>
  <c r="G38" i="4"/>
  <c r="G45" i="4"/>
  <c r="I51" i="4"/>
  <c r="G31" i="4"/>
  <c r="I20" i="4"/>
  <c r="J23" i="4"/>
  <c r="H23" i="4" s="1"/>
  <c r="I33" i="4"/>
  <c r="I6" i="4"/>
  <c r="J39" i="4"/>
  <c r="H39" i="4" s="1"/>
  <c r="J27" i="4"/>
  <c r="H27" i="4" s="1"/>
  <c r="G40" i="4"/>
  <c r="J4" i="4"/>
  <c r="H4" i="4" s="1"/>
  <c r="G20" i="4"/>
  <c r="I30" i="4"/>
  <c r="J33" i="4"/>
  <c r="J24" i="4"/>
  <c r="H24" i="4" s="1"/>
  <c r="I46" i="4"/>
  <c r="J34" i="4"/>
  <c r="I13" i="4"/>
  <c r="J32" i="4"/>
  <c r="H32" i="4" s="1"/>
  <c r="H2" i="4"/>
  <c r="I47" i="4"/>
  <c r="I21" i="4"/>
  <c r="I25" i="4"/>
  <c r="J8" i="4"/>
  <c r="I43" i="4"/>
  <c r="J37" i="4"/>
  <c r="J46" i="4"/>
  <c r="H46" i="4" s="1"/>
  <c r="G22" i="4"/>
  <c r="H37" i="4"/>
  <c r="G23" i="4"/>
  <c r="G27" i="4"/>
  <c r="G5" i="4"/>
  <c r="J18" i="4"/>
  <c r="I50" i="4"/>
  <c r="I12" i="4"/>
  <c r="G46" i="4"/>
  <c r="J22" i="4"/>
  <c r="H22" i="4" s="1"/>
  <c r="H48" i="4"/>
  <c r="I28" i="4"/>
  <c r="G26" i="4"/>
  <c r="H17" i="4"/>
  <c r="I15" i="4"/>
  <c r="J29" i="4"/>
  <c r="H29" i="4" s="1"/>
  <c r="H38" i="4"/>
  <c r="I35" i="4"/>
  <c r="J25" i="4"/>
  <c r="I11" i="4"/>
  <c r="I42" i="4"/>
  <c r="G24" i="4"/>
  <c r="H18" i="4"/>
  <c r="J43" i="4"/>
  <c r="J31" i="4"/>
  <c r="H31" i="4"/>
  <c r="G41" i="4"/>
  <c r="J41" i="4"/>
  <c r="H41" i="4" s="1"/>
  <c r="G14" i="4"/>
  <c r="H14" i="4"/>
  <c r="G36" i="4"/>
  <c r="J36" i="4"/>
  <c r="H36" i="4" s="1"/>
  <c r="J45" i="4"/>
  <c r="H45" i="4" s="1"/>
  <c r="H8" i="4"/>
  <c r="H34" i="4"/>
  <c r="J51" i="4"/>
  <c r="H51" i="4" s="1"/>
  <c r="G51" i="4"/>
  <c r="G33" i="4"/>
  <c r="H33" i="4"/>
  <c r="G6" i="4"/>
  <c r="J6" i="4"/>
  <c r="H6" i="4" s="1"/>
  <c r="G30" i="4"/>
  <c r="G13" i="4"/>
  <c r="J13" i="4"/>
  <c r="H13" i="4"/>
  <c r="G47" i="4"/>
  <c r="J47" i="4"/>
  <c r="H47" i="4" s="1"/>
  <c r="J21" i="4"/>
  <c r="H21" i="4"/>
  <c r="G21" i="4"/>
  <c r="H25" i="4"/>
  <c r="G43" i="4"/>
  <c r="H43" i="4"/>
  <c r="J50" i="4"/>
  <c r="H50" i="4"/>
  <c r="G12" i="4"/>
  <c r="J12" i="4"/>
  <c r="H12" i="4"/>
  <c r="J28" i="4"/>
  <c r="H28" i="4" s="1"/>
  <c r="G15" i="4"/>
  <c r="J35" i="4"/>
  <c r="H35" i="4" s="1"/>
  <c r="J11" i="4"/>
  <c r="H11" i="4" s="1"/>
  <c r="G42" i="4"/>
  <c r="J42" i="4"/>
  <c r="H42" i="4"/>
  <c r="J20" i="4"/>
  <c r="H20" i="4" s="1"/>
  <c r="J40" i="4"/>
  <c r="H40" i="4" s="1"/>
  <c r="G34" i="4"/>
  <c r="G8" i="4"/>
  <c r="G48" i="4"/>
  <c r="G16" i="4"/>
  <c r="G49" i="4"/>
  <c r="J19" i="4"/>
  <c r="H19" i="4" s="1"/>
  <c r="J44" i="4"/>
  <c r="H44" i="4" s="1"/>
  <c r="G11" i="4"/>
  <c r="G10" i="4"/>
  <c r="G35" i="4"/>
  <c r="J5" i="4"/>
  <c r="H5" i="4" s="1"/>
  <c r="J15" i="4"/>
  <c r="H15" i="4" s="1"/>
  <c r="G28" i="4"/>
  <c r="G50" i="4"/>
  <c r="G25" i="4"/>
  <c r="J30" i="4"/>
  <c r="H30" i="4" s="1"/>
  <c r="L30" i="4"/>
  <c r="L15" i="4"/>
  <c r="L5" i="4"/>
  <c r="L44" i="4"/>
  <c r="L19" i="4"/>
  <c r="L40" i="4"/>
  <c r="L20" i="4"/>
  <c r="L42" i="4"/>
  <c r="L11" i="4"/>
  <c r="L35" i="4"/>
  <c r="L28" i="4"/>
  <c r="L12" i="4"/>
  <c r="L50" i="4"/>
  <c r="L43" i="4"/>
  <c r="L25" i="4"/>
  <c r="L21" i="4"/>
  <c r="L47" i="4"/>
  <c r="L13" i="4"/>
  <c r="L6" i="4"/>
  <c r="K6" i="4"/>
  <c r="L33" i="4"/>
  <c r="L51" i="4"/>
  <c r="L34" i="4"/>
  <c r="L8" i="4"/>
  <c r="L45" i="4"/>
  <c r="L36" i="4"/>
  <c r="L14" i="4"/>
  <c r="L41" i="4"/>
  <c r="L31" i="4"/>
  <c r="L29" i="4"/>
  <c r="L26" i="4"/>
  <c r="L24" i="4"/>
  <c r="L3" i="4"/>
  <c r="L10" i="4"/>
  <c r="L4" i="4"/>
  <c r="K3" i="4"/>
  <c r="K2" i="4"/>
  <c r="L22" i="4"/>
  <c r="L2" i="4"/>
  <c r="L9" i="4"/>
  <c r="L46" i="4"/>
  <c r="L16" i="4"/>
  <c r="K5" i="4"/>
  <c r="L48" i="4"/>
  <c r="L37" i="4"/>
  <c r="L49" i="4"/>
  <c r="L18" i="4"/>
  <c r="K4" i="4"/>
  <c r="L39" i="4"/>
  <c r="L27" i="4"/>
  <c r="L32" i="4"/>
  <c r="L17" i="4"/>
  <c r="L23" i="4"/>
  <c r="L38" i="4"/>
  <c r="B3" i="4"/>
  <c r="K3" i="2"/>
  <c r="K2" i="2"/>
  <c r="L2" i="2"/>
  <c r="G2" i="2"/>
  <c r="G3" i="2"/>
  <c r="B4" i="4"/>
  <c r="L3" i="2"/>
  <c r="E2" i="4" a="1"/>
  <c r="E4" i="4" l="1"/>
  <c r="E53" i="4"/>
  <c r="E71" i="4"/>
  <c r="E28" i="4"/>
  <c r="E27" i="4"/>
  <c r="E68" i="4"/>
  <c r="E46" i="4"/>
  <c r="E99" i="4"/>
  <c r="E49" i="4"/>
  <c r="E50" i="4"/>
  <c r="E47" i="4"/>
  <c r="E95" i="4"/>
  <c r="E35" i="4"/>
  <c r="E20" i="4"/>
  <c r="E82" i="4"/>
  <c r="E73" i="4"/>
  <c r="E85" i="4"/>
  <c r="E78" i="4"/>
  <c r="E87" i="4"/>
  <c r="E74" i="4"/>
  <c r="E62" i="4"/>
  <c r="E76" i="4"/>
  <c r="E65" i="4"/>
  <c r="E114" i="4"/>
  <c r="E113" i="4"/>
  <c r="E123" i="4"/>
  <c r="E38" i="4"/>
  <c r="E72" i="4"/>
  <c r="E67" i="4"/>
  <c r="E17" i="4"/>
  <c r="E125" i="4"/>
  <c r="E22" i="4"/>
  <c r="E81" i="4"/>
  <c r="E101" i="4"/>
  <c r="E119" i="4"/>
  <c r="E111" i="4"/>
  <c r="E100" i="4"/>
  <c r="E7" i="4"/>
  <c r="E39" i="4"/>
  <c r="E75" i="4"/>
  <c r="E94" i="4"/>
  <c r="E24" i="4"/>
  <c r="E112" i="4"/>
  <c r="E89" i="4"/>
  <c r="E86" i="4"/>
  <c r="E9" i="4"/>
  <c r="E41" i="4"/>
  <c r="E80" i="4"/>
  <c r="E18" i="4"/>
  <c r="E26" i="4"/>
  <c r="E60" i="4"/>
  <c r="E105" i="4"/>
  <c r="E104" i="4"/>
  <c r="E11" i="4"/>
  <c r="E43" i="4"/>
  <c r="E93" i="4"/>
  <c r="E96" i="4"/>
  <c r="E66" i="4"/>
  <c r="E36" i="4"/>
  <c r="E121" i="4"/>
  <c r="E106" i="4"/>
  <c r="E110" i="4"/>
  <c r="E34" i="4"/>
  <c r="E83" i="4"/>
  <c r="E90" i="4"/>
  <c r="E63" i="4"/>
  <c r="E117" i="4"/>
  <c r="E52" i="4"/>
  <c r="E33" i="4"/>
  <c r="E79" i="4"/>
  <c r="E12" i="4"/>
  <c r="E44" i="4"/>
  <c r="E64" i="4"/>
  <c r="E124" i="4"/>
  <c r="E40" i="4"/>
  <c r="E6" i="4"/>
  <c r="E108" i="4"/>
  <c r="E92" i="4"/>
  <c r="E16" i="4"/>
  <c r="E103" i="4"/>
  <c r="E21" i="4"/>
  <c r="E61" i="4"/>
  <c r="E42" i="4"/>
  <c r="E56" i="4"/>
  <c r="E15" i="4"/>
  <c r="E19" i="4"/>
  <c r="E51" i="4"/>
  <c r="E13" i="4"/>
  <c r="E37" i="4"/>
  <c r="E98" i="4"/>
  <c r="E109" i="4"/>
  <c r="E58" i="4"/>
  <c r="E116" i="4"/>
  <c r="E70" i="4"/>
  <c r="E5" i="4"/>
  <c r="E115" i="4"/>
  <c r="E91" i="4"/>
  <c r="E84" i="4"/>
  <c r="E97" i="4"/>
  <c r="E2" i="4"/>
  <c r="E118" i="4"/>
  <c r="E23" i="4"/>
  <c r="E55" i="4"/>
  <c r="E127" i="4"/>
  <c r="E31" i="4"/>
  <c r="E14" i="4"/>
  <c r="E30" i="4"/>
  <c r="E120" i="4"/>
  <c r="E25" i="4"/>
  <c r="E57" i="4"/>
  <c r="E48" i="4"/>
  <c r="E122" i="4"/>
  <c r="E59" i="4"/>
  <c r="E77" i="4"/>
  <c r="E8" i="4"/>
  <c r="E69" i="4"/>
  <c r="E54" i="4"/>
  <c r="E45" i="4"/>
  <c r="E10" i="4"/>
  <c r="E88" i="4"/>
  <c r="E126" i="4"/>
  <c r="E32" i="4"/>
  <c r="E107" i="4"/>
  <c r="E3" i="4"/>
  <c r="E29" i="4"/>
  <c r="E102" i="4"/>
  <c r="M4" i="4"/>
  <c r="M5" i="4"/>
  <c r="M2" i="4"/>
  <c r="M3" i="4"/>
  <c r="M6" i="4"/>
  <c r="D25" i="3" l="1"/>
  <c r="D24" i="3"/>
  <c r="D22" i="3"/>
  <c r="M17" i="4"/>
  <c r="M13" i="4"/>
  <c r="M48" i="4"/>
  <c r="M22" i="4"/>
  <c r="M26" i="4"/>
  <c r="M30" i="4"/>
  <c r="M12" i="4"/>
  <c r="M11" i="4"/>
  <c r="M19" i="4"/>
  <c r="M35" i="4"/>
  <c r="M46" i="4"/>
  <c r="M51" i="4"/>
  <c r="M43" i="4"/>
  <c r="M49" i="4"/>
  <c r="M34" i="4"/>
  <c r="M24" i="4"/>
  <c r="M27" i="4"/>
  <c r="M28" i="4"/>
  <c r="M40" i="4"/>
  <c r="M15" i="4"/>
  <c r="M45" i="4"/>
  <c r="M44" i="4"/>
  <c r="M21" i="4"/>
  <c r="M32" i="4"/>
  <c r="M18" i="4"/>
  <c r="M31" i="4"/>
  <c r="M14" i="4"/>
  <c r="M25" i="4"/>
  <c r="M36" i="4"/>
  <c r="M9" i="4"/>
  <c r="M8" i="4"/>
  <c r="M38" i="4"/>
  <c r="M29" i="4"/>
  <c r="M41" i="4"/>
  <c r="M16" i="4"/>
  <c r="M23" i="4"/>
  <c r="M47" i="4"/>
  <c r="M33" i="4"/>
  <c r="M39" i="4"/>
  <c r="M42" i="4"/>
  <c r="M37" i="4"/>
  <c r="M50" i="4"/>
  <c r="M10" i="4"/>
  <c r="M20" i="4"/>
  <c r="N49" i="4"/>
  <c r="C46" i="8" s="1"/>
  <c r="N14" i="4"/>
  <c r="C11" i="8"/>
  <c r="N35" i="4"/>
  <c r="C32" i="8"/>
  <c r="N46" i="4"/>
  <c r="C43" i="8"/>
  <c r="N9" i="4"/>
  <c r="C6" i="8"/>
  <c r="N44" i="4"/>
  <c r="C41" i="8"/>
  <c r="N39" i="4"/>
  <c r="C36" i="8"/>
  <c r="N50" i="4"/>
  <c r="C47" i="8"/>
  <c r="N31" i="4"/>
  <c r="C28" i="8" s="1"/>
  <c r="N41" i="4"/>
  <c r="C38" i="8"/>
  <c r="N37" i="4"/>
  <c r="C34" i="8" s="1"/>
  <c r="N36" i="4"/>
  <c r="C33" i="8"/>
  <c r="N11" i="4"/>
  <c r="C8" i="8"/>
  <c r="N8" i="4"/>
  <c r="C5" i="8"/>
  <c r="H5" i="8" a="1"/>
  <c r="N51" i="4"/>
  <c r="C48" i="8"/>
  <c r="H48" i="8"/>
  <c r="I48" i="8"/>
  <c r="H47" i="8"/>
  <c r="I47" i="8"/>
  <c r="N38" i="4"/>
  <c r="C35" i="8" s="1"/>
  <c r="H35" i="8" s="1"/>
  <c r="I35" i="8"/>
  <c r="H34" i="8"/>
  <c r="I34" i="8"/>
  <c r="H33" i="8"/>
  <c r="I33" i="8"/>
  <c r="H32" i="8"/>
  <c r="I32" i="8"/>
  <c r="N21" i="4"/>
  <c r="C18" i="8" s="1"/>
  <c r="H18" i="8" s="1"/>
  <c r="I18" i="8"/>
  <c r="N20" i="4"/>
  <c r="C17" i="8"/>
  <c r="H17" i="8" s="1"/>
  <c r="I17" i="8"/>
  <c r="N34" i="4"/>
  <c r="C31" i="8"/>
  <c r="H31" i="8"/>
  <c r="I31" i="8"/>
  <c r="N22" i="4"/>
  <c r="C19" i="8"/>
  <c r="H19" i="8" s="1"/>
  <c r="I19" i="8"/>
  <c r="N19" i="4"/>
  <c r="C16" i="8"/>
  <c r="H16" i="8" s="1"/>
  <c r="I16" i="8"/>
  <c r="N18" i="4"/>
  <c r="C15" i="8"/>
  <c r="H15" i="8" s="1"/>
  <c r="I15" i="8"/>
  <c r="H46" i="8"/>
  <c r="I46" i="8"/>
  <c r="N33" i="4"/>
  <c r="C30" i="8"/>
  <c r="H30" i="8" s="1"/>
  <c r="I30" i="8"/>
  <c r="N17" i="4"/>
  <c r="C14" i="8"/>
  <c r="H14" i="8" s="1"/>
  <c r="I14" i="8"/>
  <c r="N48" i="4"/>
  <c r="C45" i="8"/>
  <c r="H45" i="8" s="1"/>
  <c r="I45" i="8"/>
  <c r="N32" i="4"/>
  <c r="C29" i="8"/>
  <c r="H29" i="8" s="1"/>
  <c r="I29" i="8"/>
  <c r="N16" i="4"/>
  <c r="C13" i="8"/>
  <c r="H13" i="8" s="1"/>
  <c r="I13" i="8"/>
  <c r="N47" i="4"/>
  <c r="C44" i="8"/>
  <c r="H44" i="8" s="1"/>
  <c r="I44" i="8"/>
  <c r="H28" i="8"/>
  <c r="I28" i="8"/>
  <c r="N15" i="4"/>
  <c r="C12" i="8"/>
  <c r="H12" i="8" s="1"/>
  <c r="I12" i="8"/>
  <c r="H43" i="8"/>
  <c r="I43" i="8"/>
  <c r="N30" i="4"/>
  <c r="C27" i="8"/>
  <c r="H27" i="8" s="1"/>
  <c r="I27" i="8"/>
  <c r="H11" i="8"/>
  <c r="I11" i="8"/>
  <c r="N29" i="4"/>
  <c r="C26" i="8"/>
  <c r="H26" i="8" s="1"/>
  <c r="I26" i="8"/>
  <c r="H41" i="8"/>
  <c r="I41" i="8"/>
  <c r="N43" i="4"/>
  <c r="C40" i="8"/>
  <c r="H40" i="8" s="1"/>
  <c r="I40" i="8"/>
  <c r="N42" i="4"/>
  <c r="C39" i="8"/>
  <c r="H39" i="8" s="1"/>
  <c r="I39" i="8"/>
  <c r="N10" i="4"/>
  <c r="C7" i="8"/>
  <c r="H7" i="8" s="1"/>
  <c r="I7" i="8"/>
  <c r="H38" i="8"/>
  <c r="I38" i="8"/>
  <c r="N25" i="4"/>
  <c r="C22" i="8"/>
  <c r="H22" i="8" s="1"/>
  <c r="I22" i="8"/>
  <c r="H6" i="8"/>
  <c r="I6" i="8"/>
  <c r="N45" i="4"/>
  <c r="C42" i="8"/>
  <c r="H42" i="8" s="1"/>
  <c r="I42" i="8"/>
  <c r="N13" i="4"/>
  <c r="C10" i="8"/>
  <c r="H10" i="8" s="1"/>
  <c r="I10" i="8"/>
  <c r="N12" i="4"/>
  <c r="C9" i="8"/>
  <c r="H9" i="8"/>
  <c r="I9" i="8"/>
  <c r="H8" i="8"/>
  <c r="I8" i="8"/>
  <c r="N26" i="4"/>
  <c r="C23" i="8"/>
  <c r="H23" i="8" s="1"/>
  <c r="I23" i="8"/>
  <c r="N40" i="4"/>
  <c r="C37" i="8" s="1"/>
  <c r="H37" i="8" s="1"/>
  <c r="I37" i="8"/>
  <c r="N24" i="4"/>
  <c r="C21" i="8"/>
  <c r="H21" i="8" s="1"/>
  <c r="I21" i="8"/>
  <c r="H5" i="8"/>
  <c r="I5" i="8"/>
  <c r="N28" i="4"/>
  <c r="C25" i="8"/>
  <c r="H25" i="8" s="1"/>
  <c r="I25" i="8"/>
  <c r="N27" i="4"/>
  <c r="C24" i="8"/>
  <c r="H24" i="8" s="1"/>
  <c r="I24" i="8"/>
  <c r="H36" i="8"/>
  <c r="I36" i="8"/>
  <c r="N23" i="4"/>
  <c r="C20" i="8"/>
  <c r="H20" i="8"/>
  <c r="I20" i="8"/>
  <c r="I3" i="8"/>
  <c r="D7" i="3"/>
</calcChain>
</file>

<file path=xl/comments1.xml><?xml version="1.0" encoding="utf-8"?>
<comments xmlns="http://schemas.openxmlformats.org/spreadsheetml/2006/main">
  <authors>
    <author>Ferdinando Ametrano</author>
  </authors>
  <commentList>
    <comment ref="D11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I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sharedStrings.xml><?xml version="1.0" encoding="utf-8"?>
<sst xmlns="http://schemas.openxmlformats.org/spreadsheetml/2006/main" count="66" uniqueCount="61">
  <si>
    <t>Earliest Date</t>
  </si>
  <si>
    <t>Latest Date</t>
  </si>
  <si>
    <t>Include Flag</t>
  </si>
  <si>
    <t>Priority</t>
  </si>
  <si>
    <t>Calendar</t>
  </si>
  <si>
    <t>Currency</t>
  </si>
  <si>
    <t>General Settings</t>
  </si>
  <si>
    <t>Day Counter</t>
  </si>
  <si>
    <t>NDays</t>
  </si>
  <si>
    <t>TraitsID</t>
  </si>
  <si>
    <t>InterpolatorID</t>
  </si>
  <si>
    <t>PiecewiseYieldCurve</t>
  </si>
  <si>
    <t>Error</t>
  </si>
  <si>
    <t>Quote Value</t>
  </si>
  <si>
    <t>Accuracy</t>
  </si>
  <si>
    <t>1Y</t>
  </si>
  <si>
    <t>Min Distance</t>
  </si>
  <si>
    <t>Rate</t>
  </si>
  <si>
    <t>OIS</t>
  </si>
  <si>
    <t>MonotonicCubicNaturalSpline</t>
  </si>
  <si>
    <t>Selected</t>
  </si>
  <si>
    <t>Quote suffix</t>
  </si>
  <si>
    <t>Live</t>
  </si>
  <si>
    <t>Static</t>
  </si>
  <si>
    <t>Object ID</t>
  </si>
  <si>
    <t>Effective</t>
  </si>
  <si>
    <t>Change</t>
  </si>
  <si>
    <t>LiveDataFeed</t>
  </si>
  <si>
    <t>LastUpdate</t>
  </si>
  <si>
    <t>Quote</t>
  </si>
  <si>
    <t>RateHelper</t>
  </si>
  <si>
    <t>Code</t>
  </si>
  <si>
    <t>Evaluation Date</t>
  </si>
  <si>
    <t>TriggerCounter</t>
  </si>
  <si>
    <t>IborIndex</t>
  </si>
  <si>
    <t>Discount</t>
  </si>
  <si>
    <t>MonotonicLogCubicNaturalSpline</t>
  </si>
  <si>
    <t>D</t>
  </si>
  <si>
    <t>x24</t>
  </si>
  <si>
    <t>F</t>
  </si>
  <si>
    <t>3Y</t>
  </si>
  <si>
    <t>4Y</t>
  </si>
  <si>
    <t>5Y</t>
  </si>
  <si>
    <t>DiscountingCurve</t>
  </si>
  <si>
    <t>Fixing Date</t>
  </si>
  <si>
    <t>FRA</t>
  </si>
  <si>
    <t>Value Date</t>
  </si>
  <si>
    <t>Maturity Date</t>
  </si>
  <si>
    <t>OvernightIndex</t>
  </si>
  <si>
    <t>spread</t>
  </si>
  <si>
    <t>BasisInterpolator</t>
  </si>
  <si>
    <t>BasisInterpolation</t>
  </si>
  <si>
    <t>_SYNTH1Y_Quote</t>
  </si>
  <si>
    <t>InterestRatesTrigger</t>
  </si>
  <si>
    <t>AllowInterpolation</t>
  </si>
  <si>
    <t>External Link Cleaned Up</t>
  </si>
  <si>
    <t>interp. FRA</t>
  </si>
  <si>
    <t>UnitedKingdom::Exchange</t>
  </si>
  <si>
    <t>Actual/365 (Fixed)</t>
  </si>
  <si>
    <t>SB6L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</si>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</sst>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&quot;£&quot;#,##0;[Red]\-&quot;£&quot;#,##0"/>
    <numFmt numFmtId="165" formatCode="0.0000%"/>
    <numFmt numFmtId="166" formatCode="ddd\,\ d\-mmm\-yy"/>
    <numFmt numFmtId="167" formatCode="ddd\,\ dd\-mmm\-yyyy"/>
    <numFmt numFmtId="168" formatCode="0.000000000"/>
    <numFmt numFmtId="169" formatCode="ddd\,\ dd\-mmm\-yyyy\,\ hh:mm:ss"/>
    <numFmt numFmtId="170" formatCode="ddd\,\ d\-mmm\-yyyy"/>
    <numFmt numFmtId="171" formatCode="ddd\,\ dd\-mmm\-yyyy\ h:mm:ss"/>
    <numFmt numFmtId="172" formatCode="ddd\,\ dd\-mmm\-yyyy\,\ h:mm:ss"/>
    <numFmt numFmtId="173" formatCode="#,##0.0;#,##0.0"/>
    <numFmt numFmtId="174" formatCode="_([$€-2]* #,##0.00_);_([$€-2]* \(#,##0.00\);_([$€-2]* &quot;-&quot;??_)"/>
    <numFmt numFmtId="175" formatCode="General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Courier New"/>
      <family val="3"/>
    </font>
    <font>
      <sz val="14"/>
      <name val="Courier New"/>
      <family val="3"/>
    </font>
    <font>
      <b/>
      <sz val="8"/>
      <name val="Courier New"/>
      <family val="3"/>
    </font>
    <font>
      <sz val="8"/>
      <color indexed="10"/>
      <name val="Courier New"/>
      <family val="3"/>
    </font>
    <font>
      <sz val="8"/>
      <color indexed="12"/>
      <name val="Courier New"/>
      <family val="3"/>
    </font>
    <font>
      <sz val="14"/>
      <name val="Arial"/>
      <family val="2"/>
    </font>
    <font>
      <b/>
      <u/>
      <sz val="8"/>
      <name val="Courier New"/>
      <family val="3"/>
    </font>
  </fonts>
  <fills count="14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bgColor indexed="43"/>
      </patternFill>
    </fill>
    <fill>
      <patternFill patternType="solid">
        <fgColor indexed="9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41"/>
        <bgColor indexed="64"/>
      </patternFill>
    </fill>
    <fill>
      <patternFill patternType="solid">
        <fgColor indexed="3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174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2" fillId="0" borderId="0"/>
    <xf numFmtId="175" fontId="6" fillId="0" borderId="0"/>
    <xf numFmtId="9" fontId="1" fillId="0" borderId="0" applyFont="0" applyFill="0" applyBorder="0" applyAlignment="0" applyProtection="0"/>
    <xf numFmtId="173" fontId="7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157">
    <xf numFmtId="0" fontId="0" fillId="0" borderId="0" xfId="0"/>
    <xf numFmtId="0" fontId="8" fillId="3" borderId="0" xfId="7" applyFont="1" applyFill="1"/>
    <xf numFmtId="0" fontId="8" fillId="4" borderId="1" xfId="7" applyFont="1" applyFill="1" applyBorder="1"/>
    <xf numFmtId="0" fontId="10" fillId="4" borderId="0" xfId="7" applyFont="1" applyFill="1" applyBorder="1"/>
    <xf numFmtId="0" fontId="8" fillId="4" borderId="0" xfId="7" applyFont="1" applyFill="1" applyBorder="1"/>
    <xf numFmtId="0" fontId="8" fillId="4" borderId="2" xfId="7" applyFont="1" applyFill="1" applyBorder="1"/>
    <xf numFmtId="0" fontId="8" fillId="0" borderId="0" xfId="7" applyFont="1"/>
    <xf numFmtId="0" fontId="8" fillId="4" borderId="3" xfId="7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4" borderId="0" xfId="6" applyFont="1" applyFill="1" applyBorder="1"/>
    <xf numFmtId="171" fontId="8" fillId="4" borderId="0" xfId="6" applyNumberFormat="1" applyFont="1" applyFill="1" applyBorder="1" applyAlignment="1">
      <alignment horizontal="center"/>
    </xf>
    <xf numFmtId="0" fontId="8" fillId="4" borderId="2" xfId="6" applyFont="1" applyFill="1" applyBorder="1"/>
    <xf numFmtId="169" fontId="8" fillId="4" borderId="0" xfId="7" applyNumberFormat="1" applyFont="1" applyFill="1" applyBorder="1" applyAlignment="1">
      <alignment horizontal="center"/>
    </xf>
    <xf numFmtId="0" fontId="10" fillId="5" borderId="4" xfId="0" applyFont="1" applyFill="1" applyBorder="1" applyAlignment="1">
      <alignment horizontal="right"/>
    </xf>
    <xf numFmtId="166" fontId="8" fillId="6" borderId="3" xfId="0" quotePrefix="1" applyNumberFormat="1" applyFont="1" applyFill="1" applyBorder="1" applyAlignment="1">
      <alignment horizontal="center"/>
    </xf>
    <xf numFmtId="0" fontId="10" fillId="5" borderId="5" xfId="0" applyFont="1" applyFill="1" applyBorder="1" applyAlignment="1">
      <alignment horizontal="right"/>
    </xf>
    <xf numFmtId="1" fontId="11" fillId="6" borderId="6" xfId="0" applyNumberFormat="1" applyFont="1" applyFill="1" applyBorder="1" applyAlignment="1">
      <alignment horizontal="left"/>
    </xf>
    <xf numFmtId="0" fontId="10" fillId="5" borderId="7" xfId="0" applyFont="1" applyFill="1" applyBorder="1" applyAlignment="1">
      <alignment horizontal="right"/>
    </xf>
    <xf numFmtId="3" fontId="8" fillId="7" borderId="2" xfId="0" applyNumberFormat="1" applyFont="1" applyFill="1" applyBorder="1" applyAlignment="1">
      <alignment horizontal="center"/>
    </xf>
    <xf numFmtId="0" fontId="8" fillId="4" borderId="2" xfId="7" applyFont="1" applyFill="1" applyBorder="1" applyAlignment="1">
      <alignment horizontal="center"/>
    </xf>
    <xf numFmtId="11" fontId="8" fillId="7" borderId="2" xfId="0" applyNumberFormat="1" applyFont="1" applyFill="1" applyBorder="1" applyAlignment="1">
      <alignment horizontal="center"/>
    </xf>
    <xf numFmtId="0" fontId="8" fillId="7" borderId="2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170" fontId="8" fillId="4" borderId="4" xfId="0" applyNumberFormat="1" applyFont="1" applyFill="1" applyBorder="1" applyAlignment="1">
      <alignment horizontal="right"/>
    </xf>
    <xf numFmtId="168" fontId="8" fillId="4" borderId="3" xfId="0" applyNumberFormat="1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0" fontId="8" fillId="0" borderId="0" xfId="0" applyFont="1"/>
    <xf numFmtId="0" fontId="8" fillId="4" borderId="1" xfId="0" applyFont="1" applyFill="1" applyBorder="1" applyAlignment="1"/>
    <xf numFmtId="165" fontId="8" fillId="4" borderId="0" xfId="0" applyNumberFormat="1" applyFont="1" applyFill="1" applyBorder="1" applyAlignment="1"/>
    <xf numFmtId="165" fontId="8" fillId="0" borderId="0" xfId="9" applyNumberFormat="1" applyFont="1"/>
    <xf numFmtId="0" fontId="8" fillId="4" borderId="10" xfId="0" applyFont="1" applyFill="1" applyBorder="1" applyAlignment="1"/>
    <xf numFmtId="165" fontId="8" fillId="4" borderId="11" xfId="0" applyNumberFormat="1" applyFont="1" applyFill="1" applyBorder="1" applyAlignment="1"/>
    <xf numFmtId="0" fontId="8" fillId="0" borderId="0" xfId="0" applyFont="1" applyAlignment="1">
      <alignment horizontal="left"/>
    </xf>
    <xf numFmtId="167" fontId="8" fillId="4" borderId="0" xfId="0" applyNumberFormat="1" applyFont="1" applyFill="1" applyBorder="1" applyAlignment="1"/>
    <xf numFmtId="167" fontId="8" fillId="4" borderId="2" xfId="0" applyNumberFormat="1" applyFont="1" applyFill="1" applyBorder="1" applyAlignment="1"/>
    <xf numFmtId="167" fontId="8" fillId="4" borderId="11" xfId="0" applyNumberFormat="1" applyFont="1" applyFill="1" applyBorder="1" applyAlignment="1"/>
    <xf numFmtId="167" fontId="8" fillId="4" borderId="6" xfId="0" applyNumberFormat="1" applyFont="1" applyFill="1" applyBorder="1" applyAlignment="1"/>
    <xf numFmtId="0" fontId="10" fillId="8" borderId="12" xfId="0" applyFont="1" applyFill="1" applyBorder="1" applyAlignment="1">
      <alignment horizontal="center" vertical="center" wrapText="1"/>
    </xf>
    <xf numFmtId="0" fontId="8" fillId="9" borderId="8" xfId="0" applyFont="1" applyFill="1" applyBorder="1"/>
    <xf numFmtId="0" fontId="8" fillId="9" borderId="12" xfId="0" applyFont="1" applyFill="1" applyBorder="1"/>
    <xf numFmtId="167" fontId="8" fillId="9" borderId="9" xfId="0" applyNumberFormat="1" applyFont="1" applyFill="1" applyBorder="1"/>
    <xf numFmtId="170" fontId="8" fillId="4" borderId="5" xfId="0" applyNumberFormat="1" applyFont="1" applyFill="1" applyBorder="1" applyAlignment="1">
      <alignment horizontal="right"/>
    </xf>
    <xf numFmtId="0" fontId="8" fillId="0" borderId="13" xfId="0" applyFont="1" applyBorder="1"/>
    <xf numFmtId="0" fontId="8" fillId="0" borderId="11" xfId="0" applyFont="1" applyBorder="1"/>
    <xf numFmtId="0" fontId="8" fillId="4" borderId="0" xfId="6" applyFont="1" applyFill="1" applyBorder="1" applyAlignment="1">
      <alignment horizontal="center"/>
    </xf>
    <xf numFmtId="0" fontId="12" fillId="4" borderId="0" xfId="6" applyFont="1" applyFill="1" applyBorder="1" applyAlignment="1">
      <alignment horizontal="right"/>
    </xf>
    <xf numFmtId="172" fontId="11" fillId="4" borderId="0" xfId="6" applyNumberFormat="1" applyFont="1" applyFill="1" applyBorder="1" applyAlignment="1">
      <alignment horizontal="left"/>
    </xf>
    <xf numFmtId="0" fontId="11" fillId="4" borderId="0" xfId="6" quotePrefix="1" applyFont="1" applyFill="1" applyBorder="1" applyAlignment="1">
      <alignment horizontal="left"/>
    </xf>
    <xf numFmtId="0" fontId="8" fillId="4" borderId="11" xfId="6" applyFont="1" applyFill="1" applyBorder="1"/>
    <xf numFmtId="0" fontId="8" fillId="4" borderId="6" xfId="6" applyFont="1" applyFill="1" applyBorder="1"/>
    <xf numFmtId="165" fontId="8" fillId="0" borderId="0" xfId="0" applyNumberFormat="1" applyFont="1"/>
    <xf numFmtId="0" fontId="8" fillId="4" borderId="6" xfId="0" applyNumberFormat="1" applyFont="1" applyFill="1" applyBorder="1" applyAlignment="1">
      <alignment horizontal="center"/>
    </xf>
    <xf numFmtId="0" fontId="8" fillId="5" borderId="4" xfId="7" applyFont="1" applyFill="1" applyBorder="1" applyAlignment="1">
      <alignment horizontal="right"/>
    </xf>
    <xf numFmtId="0" fontId="8" fillId="5" borderId="7" xfId="7" applyFont="1" applyFill="1" applyBorder="1" applyAlignment="1">
      <alignment horizontal="right"/>
    </xf>
    <xf numFmtId="0" fontId="8" fillId="5" borderId="5" xfId="0" applyFont="1" applyFill="1" applyBorder="1" applyAlignment="1">
      <alignment horizontal="right"/>
    </xf>
    <xf numFmtId="0" fontId="8" fillId="5" borderId="4" xfId="6" applyFont="1" applyFill="1" applyBorder="1" applyAlignment="1">
      <alignment horizontal="right"/>
    </xf>
    <xf numFmtId="0" fontId="8" fillId="4" borderId="1" xfId="6" applyFont="1" applyFill="1" applyBorder="1"/>
    <xf numFmtId="0" fontId="8" fillId="3" borderId="0" xfId="6" applyFont="1" applyFill="1"/>
    <xf numFmtId="0" fontId="8" fillId="4" borderId="0" xfId="6" applyFont="1" applyFill="1" applyAlignment="1">
      <alignment horizontal="right"/>
    </xf>
    <xf numFmtId="0" fontId="11" fillId="4" borderId="0" xfId="6" applyFont="1" applyFill="1" applyAlignment="1">
      <alignment horizontal="right"/>
    </xf>
    <xf numFmtId="0" fontId="8" fillId="4" borderId="10" xfId="6" applyFont="1" applyFill="1" applyBorder="1"/>
    <xf numFmtId="0" fontId="8" fillId="5" borderId="5" xfId="6" applyFont="1" applyFill="1" applyBorder="1"/>
    <xf numFmtId="0" fontId="8" fillId="4" borderId="1" xfId="4" applyFont="1" applyFill="1" applyBorder="1"/>
    <xf numFmtId="0" fontId="8" fillId="4" borderId="0" xfId="4" applyFont="1" applyFill="1" applyBorder="1"/>
    <xf numFmtId="0" fontId="8" fillId="4" borderId="2" xfId="4" applyFont="1" applyFill="1" applyBorder="1"/>
    <xf numFmtId="0" fontId="8" fillId="4" borderId="0" xfId="4" applyFont="1" applyFill="1"/>
    <xf numFmtId="0" fontId="8" fillId="0" borderId="0" xfId="4" applyFont="1"/>
    <xf numFmtId="0" fontId="10" fillId="5" borderId="14" xfId="4" applyFont="1" applyFill="1" applyBorder="1" applyProtection="1"/>
    <xf numFmtId="167" fontId="8" fillId="10" borderId="9" xfId="4" applyNumberFormat="1" applyFont="1" applyFill="1" applyBorder="1" applyAlignment="1" applyProtection="1">
      <alignment horizontal="right"/>
    </xf>
    <xf numFmtId="0" fontId="8" fillId="0" borderId="14" xfId="4" applyFont="1" applyBorder="1"/>
    <xf numFmtId="0" fontId="8" fillId="4" borderId="10" xfId="4" applyFont="1" applyFill="1" applyBorder="1"/>
    <xf numFmtId="0" fontId="8" fillId="4" borderId="11" xfId="4" applyFont="1" applyFill="1" applyBorder="1"/>
    <xf numFmtId="0" fontId="8" fillId="4" borderId="6" xfId="4" applyFont="1" applyFill="1" applyBorder="1"/>
    <xf numFmtId="0" fontId="8" fillId="4" borderId="0" xfId="0" applyNumberFormat="1" applyFont="1" applyFill="1" applyBorder="1" applyAlignment="1"/>
    <xf numFmtId="0" fontId="8" fillId="4" borderId="0" xfId="0" applyFont="1" applyFill="1" applyBorder="1" applyAlignment="1"/>
    <xf numFmtId="0" fontId="8" fillId="0" borderId="0" xfId="0" applyFont="1" applyBorder="1"/>
    <xf numFmtId="165" fontId="8" fillId="4" borderId="0" xfId="9" applyNumberFormat="1" applyFont="1" applyFill="1" applyBorder="1" applyAlignment="1">
      <alignment horizontal="right"/>
    </xf>
    <xf numFmtId="0" fontId="8" fillId="4" borderId="0" xfId="0" applyFont="1" applyFill="1" applyBorder="1" applyAlignment="1">
      <alignment horizontal="center"/>
    </xf>
    <xf numFmtId="170" fontId="8" fillId="4" borderId="0" xfId="0" applyNumberFormat="1" applyFont="1" applyFill="1" applyBorder="1" applyAlignment="1">
      <alignment horizontal="right"/>
    </xf>
    <xf numFmtId="167" fontId="8" fillId="0" borderId="0" xfId="0" applyNumberFormat="1" applyFont="1"/>
    <xf numFmtId="0" fontId="8" fillId="5" borderId="7" xfId="6" applyFont="1" applyFill="1" applyBorder="1"/>
    <xf numFmtId="170" fontId="8" fillId="11" borderId="4" xfId="9" applyNumberFormat="1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4" borderId="12" xfId="0" applyNumberFormat="1" applyFont="1" applyFill="1" applyBorder="1" applyAlignment="1"/>
    <xf numFmtId="0" fontId="8" fillId="0" borderId="12" xfId="0" applyFont="1" applyBorder="1"/>
    <xf numFmtId="165" fontId="8" fillId="4" borderId="12" xfId="9" applyNumberFormat="1" applyFont="1" applyFill="1" applyBorder="1" applyAlignment="1">
      <alignment horizontal="right"/>
    </xf>
    <xf numFmtId="0" fontId="8" fillId="4" borderId="12" xfId="0" applyFont="1" applyFill="1" applyBorder="1" applyAlignment="1">
      <alignment horizontal="center"/>
    </xf>
    <xf numFmtId="170" fontId="8" fillId="4" borderId="12" xfId="0" applyNumberFormat="1" applyFont="1" applyFill="1" applyBorder="1" applyAlignment="1">
      <alignment horizontal="right"/>
    </xf>
    <xf numFmtId="170" fontId="8" fillId="4" borderId="9" xfId="0" applyNumberFormat="1" applyFont="1" applyFill="1" applyBorder="1" applyAlignment="1">
      <alignment horizontal="right"/>
    </xf>
    <xf numFmtId="0" fontId="8" fillId="4" borderId="8" xfId="0" applyNumberFormat="1" applyFont="1" applyFill="1" applyBorder="1" applyAlignment="1"/>
    <xf numFmtId="0" fontId="8" fillId="4" borderId="13" xfId="0" applyNumberFormat="1" applyFont="1" applyFill="1" applyBorder="1" applyAlignment="1"/>
    <xf numFmtId="0" fontId="8" fillId="4" borderId="13" xfId="0" applyFont="1" applyFill="1" applyBorder="1" applyAlignment="1"/>
    <xf numFmtId="165" fontId="8" fillId="4" borderId="13" xfId="9" applyNumberFormat="1" applyFont="1" applyFill="1" applyBorder="1" applyAlignment="1">
      <alignment horizontal="right"/>
    </xf>
    <xf numFmtId="0" fontId="8" fillId="4" borderId="13" xfId="0" applyFont="1" applyFill="1" applyBorder="1" applyAlignment="1">
      <alignment horizontal="center"/>
    </xf>
    <xf numFmtId="170" fontId="8" fillId="4" borderId="13" xfId="0" applyNumberFormat="1" applyFont="1" applyFill="1" applyBorder="1" applyAlignment="1">
      <alignment horizontal="right"/>
    </xf>
    <xf numFmtId="170" fontId="8" fillId="4" borderId="3" xfId="0" applyNumberFormat="1" applyFont="1" applyFill="1" applyBorder="1" applyAlignment="1">
      <alignment horizontal="right"/>
    </xf>
    <xf numFmtId="0" fontId="8" fillId="4" borderId="1" xfId="0" applyNumberFormat="1" applyFont="1" applyFill="1" applyBorder="1" applyAlignment="1"/>
    <xf numFmtId="170" fontId="8" fillId="4" borderId="2" xfId="0" applyNumberFormat="1" applyFont="1" applyFill="1" applyBorder="1" applyAlignment="1">
      <alignment horizontal="right"/>
    </xf>
    <xf numFmtId="0" fontId="8" fillId="4" borderId="11" xfId="0" applyNumberFormat="1" applyFont="1" applyFill="1" applyBorder="1" applyAlignment="1"/>
    <xf numFmtId="0" fontId="8" fillId="4" borderId="11" xfId="0" applyFont="1" applyFill="1" applyBorder="1" applyAlignment="1"/>
    <xf numFmtId="165" fontId="8" fillId="4" borderId="11" xfId="9" applyNumberFormat="1" applyFont="1" applyFill="1" applyBorder="1" applyAlignment="1">
      <alignment horizontal="right"/>
    </xf>
    <xf numFmtId="0" fontId="8" fillId="4" borderId="11" xfId="0" applyFont="1" applyFill="1" applyBorder="1" applyAlignment="1">
      <alignment horizontal="center"/>
    </xf>
    <xf numFmtId="170" fontId="8" fillId="4" borderId="11" xfId="0" applyNumberFormat="1" applyFont="1" applyFill="1" applyBorder="1" applyAlignment="1">
      <alignment horizontal="right"/>
    </xf>
    <xf numFmtId="170" fontId="8" fillId="4" borderId="6" xfId="0" applyNumberFormat="1" applyFont="1" applyFill="1" applyBorder="1" applyAlignment="1">
      <alignment horizontal="right"/>
    </xf>
    <xf numFmtId="0" fontId="10" fillId="4" borderId="10" xfId="0" applyFont="1" applyFill="1" applyBorder="1" applyAlignment="1">
      <alignment vertical="center" textRotation="90"/>
    </xf>
    <xf numFmtId="0" fontId="8" fillId="5" borderId="14" xfId="6" applyFont="1" applyFill="1" applyBorder="1"/>
    <xf numFmtId="0" fontId="8" fillId="0" borderId="14" xfId="0" applyFont="1" applyFill="1" applyBorder="1" applyAlignment="1">
      <alignment horizontal="center"/>
    </xf>
    <xf numFmtId="0" fontId="8" fillId="0" borderId="13" xfId="0" applyFont="1" applyBorder="1" applyAlignment="1">
      <alignment horizontal="left"/>
    </xf>
    <xf numFmtId="168" fontId="8" fillId="4" borderId="6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4" borderId="15" xfId="5" applyFont="1" applyFill="1" applyBorder="1"/>
    <xf numFmtId="0" fontId="8" fillId="4" borderId="16" xfId="5" applyFont="1" applyFill="1" applyBorder="1"/>
    <xf numFmtId="0" fontId="8" fillId="4" borderId="17" xfId="5" applyFont="1" applyFill="1" applyBorder="1"/>
    <xf numFmtId="0" fontId="8" fillId="0" borderId="0" xfId="5" applyFont="1"/>
    <xf numFmtId="0" fontId="8" fillId="4" borderId="18" xfId="5" applyFont="1" applyFill="1" applyBorder="1"/>
    <xf numFmtId="0" fontId="14" fillId="4" borderId="0" xfId="5" applyFont="1" applyFill="1" applyBorder="1"/>
    <xf numFmtId="0" fontId="8" fillId="4" borderId="0" xfId="5" applyFont="1" applyFill="1" applyBorder="1" applyAlignment="1">
      <alignment horizontal="center"/>
    </xf>
    <xf numFmtId="0" fontId="10" fillId="12" borderId="14" xfId="5" applyFont="1" applyFill="1" applyBorder="1" applyAlignment="1">
      <alignment horizontal="center" vertical="center"/>
    </xf>
    <xf numFmtId="0" fontId="8" fillId="4" borderId="14" xfId="5" applyFont="1" applyFill="1" applyBorder="1" applyAlignment="1">
      <alignment horizontal="center" vertical="center"/>
    </xf>
    <xf numFmtId="0" fontId="8" fillId="4" borderId="0" xfId="5" applyFont="1" applyFill="1" applyBorder="1"/>
    <xf numFmtId="0" fontId="8" fillId="4" borderId="19" xfId="5" applyFont="1" applyFill="1" applyBorder="1"/>
    <xf numFmtId="0" fontId="8" fillId="4" borderId="18" xfId="5" applyFont="1" applyFill="1" applyBorder="1" applyAlignment="1">
      <alignment horizontal="center"/>
    </xf>
    <xf numFmtId="0" fontId="8" fillId="0" borderId="0" xfId="5" applyFont="1" applyFill="1" applyBorder="1"/>
    <xf numFmtId="0" fontId="8" fillId="4" borderId="19" xfId="5" applyFont="1" applyFill="1" applyBorder="1" applyAlignment="1">
      <alignment horizontal="center"/>
    </xf>
    <xf numFmtId="0" fontId="8" fillId="0" borderId="20" xfId="5" applyFont="1" applyBorder="1" applyAlignment="1">
      <alignment horizontal="center"/>
    </xf>
    <xf numFmtId="0" fontId="10" fillId="0" borderId="3" xfId="5" applyFont="1" applyBorder="1" applyAlignment="1">
      <alignment horizontal="center"/>
    </xf>
    <xf numFmtId="165" fontId="10" fillId="0" borderId="14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165" fontId="10" fillId="0" borderId="13" xfId="9" applyNumberFormat="1" applyFont="1" applyFill="1" applyBorder="1" applyAlignment="1">
      <alignment horizontal="center" vertical="center" wrapText="1"/>
    </xf>
    <xf numFmtId="165" fontId="10" fillId="0" borderId="3" xfId="9" applyNumberFormat="1" applyFont="1" applyFill="1" applyBorder="1" applyAlignment="1">
      <alignment horizontal="center" vertical="center" wrapText="1"/>
    </xf>
    <xf numFmtId="0" fontId="8" fillId="0" borderId="20" xfId="5" applyFont="1" applyBorder="1"/>
    <xf numFmtId="165" fontId="8" fillId="0" borderId="3" xfId="5" applyNumberFormat="1" applyFont="1" applyBorder="1"/>
    <xf numFmtId="165" fontId="8" fillId="0" borderId="4" xfId="9" applyNumberFormat="1" applyFont="1" applyBorder="1" applyAlignment="1"/>
    <xf numFmtId="165" fontId="8" fillId="0" borderId="13" xfId="9" applyNumberFormat="1" applyFont="1" applyBorder="1"/>
    <xf numFmtId="165" fontId="8" fillId="0" borderId="3" xfId="9" applyNumberFormat="1" applyFont="1" applyFill="1" applyBorder="1" applyAlignment="1"/>
    <xf numFmtId="0" fontId="8" fillId="0" borderId="1" xfId="5" applyFont="1" applyBorder="1"/>
    <xf numFmtId="165" fontId="8" fillId="0" borderId="2" xfId="5" applyNumberFormat="1" applyFont="1" applyBorder="1"/>
    <xf numFmtId="165" fontId="8" fillId="0" borderId="7" xfId="9" applyNumberFormat="1" applyFont="1" applyBorder="1" applyAlignment="1"/>
    <xf numFmtId="165" fontId="8" fillId="0" borderId="0" xfId="9" applyNumberFormat="1" applyFont="1" applyBorder="1"/>
    <xf numFmtId="165" fontId="8" fillId="0" borderId="2" xfId="9" applyNumberFormat="1" applyFont="1" applyFill="1" applyBorder="1" applyAlignment="1"/>
    <xf numFmtId="0" fontId="10" fillId="0" borderId="1" xfId="5" applyFont="1" applyBorder="1"/>
    <xf numFmtId="165" fontId="10" fillId="0" borderId="0" xfId="9" applyNumberFormat="1" applyFont="1" applyBorder="1"/>
    <xf numFmtId="0" fontId="8" fillId="0" borderId="10" xfId="5" applyFont="1" applyBorder="1"/>
    <xf numFmtId="165" fontId="8" fillId="0" borderId="6" xfId="5" applyNumberFormat="1" applyFont="1" applyBorder="1"/>
    <xf numFmtId="165" fontId="8" fillId="0" borderId="5" xfId="9" applyNumberFormat="1" applyFont="1" applyBorder="1" applyAlignment="1"/>
    <xf numFmtId="165" fontId="8" fillId="0" borderId="11" xfId="9" applyNumberFormat="1" applyFont="1" applyBorder="1"/>
    <xf numFmtId="165" fontId="8" fillId="0" borderId="6" xfId="9" applyNumberFormat="1" applyFont="1" applyFill="1" applyBorder="1" applyAlignment="1"/>
    <xf numFmtId="0" fontId="8" fillId="4" borderId="21" xfId="5" applyFont="1" applyFill="1" applyBorder="1" applyAlignment="1">
      <alignment horizontal="center"/>
    </xf>
    <xf numFmtId="0" fontId="8" fillId="4" borderId="22" xfId="5" applyFont="1" applyFill="1" applyBorder="1" applyAlignment="1">
      <alignment horizontal="center"/>
    </xf>
    <xf numFmtId="0" fontId="8" fillId="4" borderId="23" xfId="5" applyFont="1" applyFill="1" applyBorder="1" applyAlignment="1">
      <alignment horizontal="center"/>
    </xf>
    <xf numFmtId="0" fontId="8" fillId="0" borderId="0" xfId="5" applyFont="1" applyBorder="1"/>
    <xf numFmtId="0" fontId="9" fillId="13" borderId="8" xfId="7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horizontal="center" vertical="center" wrapText="1"/>
    </xf>
  </cellXfs>
  <cellStyles count="13">
    <cellStyle name="Euro" xfId="1"/>
    <cellStyle name="Migliaia (0)_AZIONI" xfId="2"/>
    <cellStyle name="Migliaia_AZIONI" xfId="3"/>
    <cellStyle name="Normal" xfId="0" builtinId="0"/>
    <cellStyle name="Normal_EUR_SynthDepoQuotesFeed" xfId="4"/>
    <cellStyle name="Normal_EUR_TurnOfYearQuotesFeed" xfId="5"/>
    <cellStyle name="Normal_InterestRateQuotesFeed" xfId="6"/>
    <cellStyle name="Normal_SwaptionATMVols" xfId="7"/>
    <cellStyle name="Normale_AZIONI" xfId="8"/>
    <cellStyle name="Percent" xfId="9" builtinId="5"/>
    <cellStyle name="result" xfId="10"/>
    <cellStyle name="Valuta (0)_AZIONI" xfId="11"/>
    <cellStyle name="Valuta_AZIONI" xfId="12"/>
  </cellStyles>
  <dxfs count="3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66675</xdr:rowOff>
        </xdr:from>
        <xdr:to>
          <xdr:col>3</xdr:col>
          <xdr:colOff>0</xdr:colOff>
          <xdr:row>28</xdr:row>
          <xdr:rowOff>76200</xdr:rowOff>
        </xdr:to>
        <xdr:sp macro="" textlink="">
          <xdr:nvSpPr>
            <xdr:cNvPr id="3198" name="CommandButton1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28575</xdr:rowOff>
        </xdr:from>
        <xdr:to>
          <xdr:col>3</xdr:col>
          <xdr:colOff>19050</xdr:colOff>
          <xdr:row>31</xdr:row>
          <xdr:rowOff>38100</xdr:rowOff>
        </xdr:to>
        <xdr:sp macro="" textlink="">
          <xdr:nvSpPr>
            <xdr:cNvPr id="3199" name="CommandButton2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4"/>
  <sheetViews>
    <sheetView workbookViewId="0">
      <selection activeCell="D4" sqref="D4"/>
    </sheetView>
  </sheetViews>
  <sheetFormatPr defaultColWidth="7.140625" defaultRowHeight="11.25" x14ac:dyDescent="0.2"/>
  <cols>
    <col min="1" max="1" width="7.140625" style="6" customWidth="1"/>
    <col min="2" max="2" width="10" style="6" customWidth="1"/>
    <col min="3" max="3" width="22.5703125" style="6" customWidth="1"/>
    <col min="4" max="4" width="31.7109375" style="6" bestFit="1" customWidth="1"/>
    <col min="5" max="5" width="27.5703125" style="6" bestFit="1" customWidth="1"/>
    <col min="6" max="16384" width="7.140625" style="6"/>
  </cols>
  <sheetData>
    <row r="1" spans="1:26" s="1" customFormat="1" x14ac:dyDescent="0.2">
      <c r="B1" s="1" t="str">
        <f>_xll.qlxlVersion(TRUE,EvaluationDate)</f>
        <v>QuantLibXL 1.2.0 - MS VC++ 9.0 - Multithreaded Dynamic Runtime library - Release Configuration - Jan 18 2013 12:11:06</v>
      </c>
    </row>
    <row r="2" spans="1:26" s="1" customFormat="1" ht="18.75" x14ac:dyDescent="0.2">
      <c r="B2" s="152" t="s">
        <v>6</v>
      </c>
      <c r="C2" s="153"/>
      <c r="D2" s="153"/>
      <c r="E2" s="153"/>
      <c r="F2" s="154"/>
    </row>
    <row r="3" spans="1:26" x14ac:dyDescent="0.2">
      <c r="A3" s="1"/>
      <c r="B3" s="2"/>
      <c r="C3" s="3"/>
      <c r="D3" s="4"/>
      <c r="E3" s="4"/>
      <c r="F3" s="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B4" s="2"/>
      <c r="C4" s="53" t="s">
        <v>5</v>
      </c>
      <c r="D4" s="7" t="s">
        <v>60</v>
      </c>
      <c r="E4" s="4"/>
      <c r="F4" s="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B5" s="2"/>
      <c r="C5" s="54" t="s">
        <v>43</v>
      </c>
      <c r="D5" s="8" t="str">
        <f>Currency&amp;"YC"</f>
        <v>USDYC</v>
      </c>
      <c r="E5" s="4"/>
      <c r="F5" s="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2"/>
      <c r="C6" s="54" t="s">
        <v>48</v>
      </c>
      <c r="D6" s="8" t="str">
        <f>_xll.qlEonia(,DiscountingCurve,,,EvaluationDate)</f>
        <v>obj_00043#0005</v>
      </c>
      <c r="E6" s="4"/>
      <c r="F6" s="5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2"/>
      <c r="C7" s="55" t="s">
        <v>33</v>
      </c>
      <c r="D7" s="52">
        <f>_xll.ohTrigger(Interpolated1Y!I3)</f>
        <v>22</v>
      </c>
      <c r="E7" s="4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2"/>
      <c r="C8" s="12"/>
      <c r="D8" s="12"/>
      <c r="E8" s="4"/>
      <c r="F8" s="5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2"/>
      <c r="C9" s="13" t="s">
        <v>11</v>
      </c>
      <c r="D9" s="14" t="str">
        <f>_xll.qlPiecewiseYieldCurve(,NDays,Calendar,_xll.ohPack(Calculation!A3:A127),DayCounter,,,Accuracy,TraitsID,InterpolatorID)</f>
        <v>obj_00047#0005</v>
      </c>
      <c r="E9" s="4"/>
      <c r="F9" s="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2"/>
      <c r="C10" s="15" t="s">
        <v>12</v>
      </c>
      <c r="D10" s="16" t="str">
        <f>_xll.ohRangeRetrieveError(YieldCurve)</f>
        <v/>
      </c>
      <c r="E10" s="4"/>
      <c r="F10" s="5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2"/>
      <c r="C11" s="17" t="s">
        <v>8</v>
      </c>
      <c r="D11" s="18">
        <v>0</v>
      </c>
      <c r="E11" s="4"/>
      <c r="F11" s="5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B12" s="2"/>
      <c r="C12" s="17" t="s">
        <v>4</v>
      </c>
      <c r="D12" s="19" t="s">
        <v>57</v>
      </c>
      <c r="E12" s="4"/>
      <c r="F12" s="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1"/>
      <c r="B13" s="2"/>
      <c r="C13" s="17" t="s">
        <v>7</v>
      </c>
      <c r="D13" s="19" t="s">
        <v>58</v>
      </c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"/>
      <c r="B14" s="2"/>
      <c r="C14" s="17" t="s">
        <v>14</v>
      </c>
      <c r="D14" s="20" t="e">
        <f>NA()</f>
        <v>#N/A</v>
      </c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2"/>
      <c r="C15" s="17" t="s">
        <v>9</v>
      </c>
      <c r="D15" s="21" t="s">
        <v>35</v>
      </c>
      <c r="E15" s="4"/>
      <c r="F15" s="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"/>
      <c r="B16" s="2"/>
      <c r="C16" s="15" t="s">
        <v>10</v>
      </c>
      <c r="D16" s="22" t="s">
        <v>36</v>
      </c>
      <c r="E16" s="4"/>
      <c r="F16" s="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"/>
      <c r="B17" s="57"/>
      <c r="C17" s="9"/>
      <c r="D17" s="10"/>
      <c r="E17" s="27"/>
      <c r="F17" s="1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"/>
      <c r="B18" s="57"/>
      <c r="C18" s="106" t="s">
        <v>54</v>
      </c>
      <c r="D18" s="107" t="b">
        <f>_xll.qlExtrapolatorEnableExtrapolation(YieldCurve,TRUE)</f>
        <v>1</v>
      </c>
      <c r="E18" s="9"/>
      <c r="F18" s="1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1"/>
      <c r="B19" s="57"/>
      <c r="C19" s="9"/>
      <c r="D19" s="10"/>
      <c r="E19" s="27"/>
      <c r="F19" s="1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1"/>
      <c r="B20" s="57"/>
      <c r="C20" s="56" t="s">
        <v>34</v>
      </c>
      <c r="D20" s="82" t="str">
        <f>_xll.qlLibor(,Currency,"1Y",YieldCurve,,D18)</f>
        <v>obj_00048#0005</v>
      </c>
      <c r="E20" s="9"/>
      <c r="F20" s="1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"/>
      <c r="B21" s="57"/>
      <c r="C21" s="81" t="s">
        <v>51</v>
      </c>
      <c r="D21" s="83" t="s">
        <v>19</v>
      </c>
      <c r="E21" s="9"/>
      <c r="F21" s="1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">
      <c r="A22" s="1"/>
      <c r="B22" s="57"/>
      <c r="C22" s="62" t="s">
        <v>50</v>
      </c>
      <c r="D22" s="52" t="e">
        <f>_xll.qlInterpolation(,BasisInterpolation,Calculation!I2:I6,Calculation!M2:M6)</f>
        <v>#NUM!</v>
      </c>
      <c r="E22" s="9"/>
      <c r="F22" s="1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">
      <c r="A23" s="1"/>
      <c r="B23" s="2"/>
      <c r="C23" s="12"/>
      <c r="D23" s="12"/>
      <c r="E23" s="9"/>
      <c r="F23" s="1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">
      <c r="A24" s="1"/>
      <c r="B24" s="2"/>
      <c r="C24" s="23">
        <f>_xll.qlTermStructureReferenceDate(YieldCurve)</f>
        <v>41570</v>
      </c>
      <c r="D24" s="24" t="e">
        <f>MAX(_xll.ohPack(Calculation!E2:E127))</f>
        <v>#NUM!</v>
      </c>
      <c r="E24" s="9"/>
      <c r="F24" s="1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">
      <c r="A25" s="58"/>
      <c r="B25" s="2"/>
      <c r="C25" s="42">
        <f>MAX(_xll.ohPack(Calculation!D3:D127))</f>
        <v>42304</v>
      </c>
      <c r="D25" s="109" t="e">
        <f>MIN(_xll.ohPack(Calculation!E2:E127))</f>
        <v>#NUM!</v>
      </c>
      <c r="E25" s="9"/>
      <c r="F25" s="1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">
      <c r="A26" s="58"/>
      <c r="B26" s="57"/>
      <c r="C26" s="9"/>
      <c r="D26" s="9"/>
      <c r="E26" s="9"/>
      <c r="F26" s="1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">
      <c r="A27" s="58"/>
      <c r="B27" s="57"/>
      <c r="C27" s="45"/>
      <c r="D27" s="45"/>
      <c r="E27" s="9"/>
      <c r="F27" s="1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">
      <c r="A28" s="58"/>
      <c r="B28" s="57"/>
      <c r="C28" s="45"/>
      <c r="D28" s="46" t="s">
        <v>28</v>
      </c>
      <c r="E28" s="47">
        <v>41570.838067129633</v>
      </c>
      <c r="F28" s="1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">
      <c r="A29" s="58"/>
      <c r="B29" s="57"/>
      <c r="C29" s="45"/>
      <c r="D29" s="59"/>
      <c r="E29" s="60"/>
      <c r="F29" s="1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">
      <c r="A30" s="58"/>
      <c r="B30" s="57"/>
      <c r="C30" s="45"/>
      <c r="D30" s="46"/>
      <c r="E30" s="60"/>
      <c r="F30" s="1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">
      <c r="A31" s="58"/>
      <c r="B31" s="57"/>
      <c r="C31" s="45"/>
      <c r="D31" s="46" t="s">
        <v>27</v>
      </c>
      <c r="E31" s="48" t="b">
        <v>1</v>
      </c>
      <c r="F31" s="1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">
      <c r="A32" s="1"/>
      <c r="B32" s="61"/>
      <c r="C32" s="49"/>
      <c r="D32" s="49"/>
      <c r="E32" s="49"/>
      <c r="F32" s="5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">
      <c r="B62" s="1"/>
      <c r="C62" s="1"/>
      <c r="D62" s="1"/>
      <c r="E62" s="1"/>
      <c r="F62" s="1"/>
    </row>
    <row r="63" spans="1:26" x14ac:dyDescent="0.2">
      <c r="B63" s="1"/>
      <c r="C63" s="1"/>
      <c r="D63" s="1"/>
      <c r="E63" s="1"/>
      <c r="F63" s="1"/>
    </row>
    <row r="64" spans="1:26" x14ac:dyDescent="0.2">
      <c r="B64" s="1"/>
      <c r="C64" s="1"/>
      <c r="D64" s="1"/>
      <c r="E64" s="1"/>
      <c r="F64" s="1"/>
    </row>
  </sheetData>
  <mergeCells count="1">
    <mergeCell ref="B2:F2"/>
  </mergeCells>
  <phoneticPr fontId="2" type="noConversion"/>
  <conditionalFormatting sqref="E31">
    <cfRule type="cellIs" dxfId="2" priority="1" stopIfTrue="1" operator="equal">
      <formula>TRUE</formula>
    </cfRule>
  </conditionalFormatting>
  <dataValidations count="6">
    <dataValidation type="list" allowBlank="1" showInputMessage="1" showErrorMessage="1" sqref="D12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13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15">
      <formula1>"Discount,ZeroYield,ForwardRate"</formula1>
    </dataValidation>
    <dataValidation type="list" allowBlank="1" showInputMessage="1" showErrorMessage="1" sqref="D1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1">
      <formula1>"BackwardFlat,ForwardFlat,Linear,Parabolic,MonotonicParabolic,CubicNaturalSpline,MonotonicCubicNaturalSpline,KrugerCubic,FritschButlandCubic,Abcd"</formula1>
    </dataValidation>
    <dataValidation type="list" allowBlank="1" showInputMessage="1" showErrorMessage="1" sqref="D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98" r:id="rId4" name="CommandButton1">
          <controlPr defaultSize="0" autoLine="0" autoPict="0" r:id="rId5">
            <anchor moveWithCells="1">
              <from>
                <xdr:col>2</xdr:col>
                <xdr:colOff>9525</xdr:colOff>
                <xdr:row>26</xdr:row>
                <xdr:rowOff>66675</xdr:rowOff>
              </from>
              <to>
                <xdr:col>3</xdr:col>
                <xdr:colOff>0</xdr:colOff>
                <xdr:row>28</xdr:row>
                <xdr:rowOff>76200</xdr:rowOff>
              </to>
            </anchor>
          </controlPr>
        </control>
      </mc:Choice>
      <mc:Fallback>
        <control shapeId="3198" r:id="rId4" name="CommandButton1"/>
      </mc:Fallback>
    </mc:AlternateContent>
    <mc:AlternateContent xmlns:mc="http://schemas.openxmlformats.org/markup-compatibility/2006">
      <mc:Choice Requires="x14">
        <control shapeId="3199" r:id="rId6" name="CommandButton2">
          <controlPr defaultSize="0" autoLine="0" r:id="rId7">
            <anchor moveWithCells="1">
              <from>
                <xdr:col>2</xdr:col>
                <xdr:colOff>9525</xdr:colOff>
                <xdr:row>29</xdr:row>
                <xdr:rowOff>28575</xdr:rowOff>
              </from>
              <to>
                <xdr:col>3</xdr:col>
                <xdr:colOff>19050</xdr:colOff>
                <xdr:row>31</xdr:row>
                <xdr:rowOff>38100</xdr:rowOff>
              </to>
            </anchor>
          </controlPr>
        </control>
      </mc:Choice>
      <mc:Fallback>
        <control shapeId="3199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4"/>
  <sheetViews>
    <sheetView tabSelected="1" workbookViewId="0">
      <selection activeCell="C2" sqref="C2"/>
    </sheetView>
  </sheetViews>
  <sheetFormatPr defaultColWidth="8" defaultRowHeight="11.25" x14ac:dyDescent="0.2"/>
  <cols>
    <col min="1" max="1" width="3.28515625" style="67" customWidth="1"/>
    <col min="2" max="2" width="23.5703125" style="67" bestFit="1" customWidth="1"/>
    <col min="3" max="3" width="26.5703125" style="67" customWidth="1"/>
    <col min="4" max="16384" width="8" style="67"/>
  </cols>
  <sheetData>
    <row r="1" spans="1:26" x14ac:dyDescent="0.2">
      <c r="A1" s="63"/>
      <c r="B1" s="64"/>
      <c r="C1" s="64"/>
      <c r="D1" s="65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</row>
    <row r="2" spans="1:26" x14ac:dyDescent="0.2">
      <c r="A2" s="63"/>
      <c r="B2" s="68" t="s">
        <v>32</v>
      </c>
      <c r="C2" s="69">
        <f>_xll.qlSettingsEvaluationDate()</f>
        <v>41570</v>
      </c>
      <c r="D2" s="65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</row>
    <row r="3" spans="1:26" x14ac:dyDescent="0.2">
      <c r="A3" s="63"/>
      <c r="B3" s="64"/>
      <c r="C3" s="64"/>
      <c r="D3" s="65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</row>
    <row r="4" spans="1:26" x14ac:dyDescent="0.2">
      <c r="A4" s="63"/>
      <c r="B4" s="68" t="s">
        <v>53</v>
      </c>
      <c r="C4" s="70" t="s">
        <v>55</v>
      </c>
      <c r="D4" s="65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</row>
    <row r="5" spans="1:26" x14ac:dyDescent="0.2">
      <c r="A5" s="71"/>
      <c r="B5" s="72"/>
      <c r="C5" s="72"/>
      <c r="D5" s="73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</row>
    <row r="6" spans="1:26" x14ac:dyDescent="0.2">
      <c r="A6" s="66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</row>
    <row r="7" spans="1:26" x14ac:dyDescent="0.2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</row>
    <row r="8" spans="1:26" x14ac:dyDescent="0.2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</row>
    <row r="9" spans="1:26" x14ac:dyDescent="0.2">
      <c r="A9" s="66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</row>
    <row r="10" spans="1:26" x14ac:dyDescent="0.2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</row>
    <row r="11" spans="1:26" x14ac:dyDescent="0.2">
      <c r="A11" s="66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</row>
    <row r="12" spans="1:26" x14ac:dyDescent="0.2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</row>
    <row r="13" spans="1:26" x14ac:dyDescent="0.2">
      <c r="A13" s="66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</row>
    <row r="14" spans="1:26" x14ac:dyDescent="0.2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</row>
    <row r="15" spans="1:26" x14ac:dyDescent="0.2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</row>
    <row r="16" spans="1:26" x14ac:dyDescent="0.2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</row>
    <row r="17" spans="1:26" x14ac:dyDescent="0.2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</row>
    <row r="18" spans="1:26" x14ac:dyDescent="0.2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</row>
    <row r="19" spans="1:26" x14ac:dyDescent="0.2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</row>
    <row r="20" spans="1:26" x14ac:dyDescent="0.2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</row>
    <row r="21" spans="1:26" x14ac:dyDescent="0.2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</row>
    <row r="22" spans="1:26" x14ac:dyDescent="0.2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</row>
    <row r="23" spans="1:26" x14ac:dyDescent="0.2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</row>
    <row r="24" spans="1:26" x14ac:dyDescent="0.2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</row>
    <row r="25" spans="1:26" x14ac:dyDescent="0.2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</row>
    <row r="26" spans="1:26" x14ac:dyDescent="0.2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</row>
    <row r="27" spans="1:26" x14ac:dyDescent="0.2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</row>
    <row r="28" spans="1:26" x14ac:dyDescent="0.2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</row>
    <row r="29" spans="1:26" x14ac:dyDescent="0.2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</row>
    <row r="30" spans="1:26" x14ac:dyDescent="0.2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</row>
    <row r="31" spans="1:26" x14ac:dyDescent="0.2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</row>
    <row r="32" spans="1:26" x14ac:dyDescent="0.2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</row>
    <row r="33" spans="1:26" x14ac:dyDescent="0.2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</row>
    <row r="34" spans="1:26" x14ac:dyDescent="0.2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</row>
    <row r="35" spans="1:26" x14ac:dyDescent="0.2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</row>
    <row r="36" spans="1:26" x14ac:dyDescent="0.2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</row>
    <row r="37" spans="1:26" x14ac:dyDescent="0.2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</row>
    <row r="38" spans="1:26" x14ac:dyDescent="0.2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</row>
    <row r="39" spans="1:26" x14ac:dyDescent="0.2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</row>
    <row r="40" spans="1:26" x14ac:dyDescent="0.2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</row>
    <row r="41" spans="1:26" x14ac:dyDescent="0.2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</row>
    <row r="42" spans="1:26" x14ac:dyDescent="0.2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</row>
    <row r="43" spans="1:26" x14ac:dyDescent="0.2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</row>
    <row r="44" spans="1:26" x14ac:dyDescent="0.2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</row>
    <row r="45" spans="1:26" x14ac:dyDescent="0.2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</row>
    <row r="46" spans="1:26" x14ac:dyDescent="0.2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</row>
    <row r="47" spans="1:26" x14ac:dyDescent="0.2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</row>
    <row r="48" spans="1:26" x14ac:dyDescent="0.2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</row>
    <row r="49" spans="1:26" x14ac:dyDescent="0.2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</row>
    <row r="50" spans="1:26" x14ac:dyDescent="0.2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</row>
    <row r="51" spans="1:26" x14ac:dyDescent="0.2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</row>
    <row r="52" spans="1:26" x14ac:dyDescent="0.2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</row>
    <row r="53" spans="1:26" x14ac:dyDescent="0.2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</row>
    <row r="54" spans="1:26" x14ac:dyDescent="0.2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</row>
    <row r="55" spans="1:26" x14ac:dyDescent="0.2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</row>
    <row r="56" spans="1:26" x14ac:dyDescent="0.2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</row>
    <row r="57" spans="1:26" x14ac:dyDescent="0.2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</row>
    <row r="58" spans="1:26" x14ac:dyDescent="0.2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</row>
    <row r="59" spans="1:26" x14ac:dyDescent="0.2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</row>
    <row r="60" spans="1:26" x14ac:dyDescent="0.2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</row>
    <row r="61" spans="1:26" x14ac:dyDescent="0.2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</row>
    <row r="62" spans="1:26" x14ac:dyDescent="0.2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</row>
    <row r="63" spans="1:26" x14ac:dyDescent="0.2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</row>
    <row r="64" spans="1:26" x14ac:dyDescent="0.2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</row>
    <row r="65" spans="1:26" x14ac:dyDescent="0.2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</row>
    <row r="66" spans="1:26" x14ac:dyDescent="0.2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</row>
    <row r="67" spans="1:26" x14ac:dyDescent="0.2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</row>
    <row r="68" spans="1:26" x14ac:dyDescent="0.2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</row>
    <row r="69" spans="1:26" x14ac:dyDescent="0.2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</row>
    <row r="70" spans="1:26" x14ac:dyDescent="0.2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</row>
    <row r="71" spans="1:26" x14ac:dyDescent="0.2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</row>
    <row r="72" spans="1:26" x14ac:dyDescent="0.2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</row>
    <row r="73" spans="1:26" x14ac:dyDescent="0.2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</row>
    <row r="74" spans="1:26" x14ac:dyDescent="0.2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</row>
    <row r="75" spans="1:26" x14ac:dyDescent="0.2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</row>
    <row r="76" spans="1:26" x14ac:dyDescent="0.2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</row>
    <row r="77" spans="1:26" x14ac:dyDescent="0.2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</row>
    <row r="78" spans="1:26" x14ac:dyDescent="0.2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</row>
    <row r="79" spans="1:26" x14ac:dyDescent="0.2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</row>
    <row r="80" spans="1:26" x14ac:dyDescent="0.2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</row>
    <row r="81" spans="1:26" x14ac:dyDescent="0.2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</row>
    <row r="82" spans="1:26" x14ac:dyDescent="0.2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</row>
    <row r="83" spans="1:26" x14ac:dyDescent="0.2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</row>
    <row r="84" spans="1:26" x14ac:dyDescent="0.2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</row>
    <row r="85" spans="1:26" x14ac:dyDescent="0.2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</row>
    <row r="86" spans="1:26" x14ac:dyDescent="0.2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</row>
    <row r="87" spans="1:26" x14ac:dyDescent="0.2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</row>
    <row r="88" spans="1:26" x14ac:dyDescent="0.2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</row>
    <row r="89" spans="1:26" x14ac:dyDescent="0.2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</row>
    <row r="90" spans="1:26" x14ac:dyDescent="0.2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</row>
    <row r="91" spans="1:26" x14ac:dyDescent="0.2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</row>
    <row r="92" spans="1:26" x14ac:dyDescent="0.2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</row>
    <row r="93" spans="1:26" x14ac:dyDescent="0.2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</row>
    <row r="94" spans="1:26" x14ac:dyDescent="0.2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</row>
    <row r="95" spans="1:26" x14ac:dyDescent="0.2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</row>
    <row r="96" spans="1:26" x14ac:dyDescent="0.2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</row>
    <row r="97" spans="1:26" x14ac:dyDescent="0.2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</row>
    <row r="98" spans="1:26" x14ac:dyDescent="0.2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</row>
    <row r="99" spans="1:26" x14ac:dyDescent="0.2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</row>
    <row r="100" spans="1:26" x14ac:dyDescent="0.2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</row>
    <row r="101" spans="1:26" x14ac:dyDescent="0.2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</row>
    <row r="102" spans="1:26" x14ac:dyDescent="0.2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</row>
    <row r="103" spans="1:26" x14ac:dyDescent="0.2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</row>
    <row r="104" spans="1:26" x14ac:dyDescent="0.2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</row>
    <row r="105" spans="1:26" x14ac:dyDescent="0.2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</row>
    <row r="106" spans="1:26" x14ac:dyDescent="0.2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</row>
    <row r="107" spans="1:26" x14ac:dyDescent="0.2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</row>
    <row r="108" spans="1:26" x14ac:dyDescent="0.2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</row>
    <row r="109" spans="1:26" x14ac:dyDescent="0.2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</row>
    <row r="110" spans="1:26" x14ac:dyDescent="0.2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</row>
    <row r="111" spans="1:26" x14ac:dyDescent="0.2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</row>
    <row r="112" spans="1:26" x14ac:dyDescent="0.2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</row>
    <row r="113" spans="1:26" x14ac:dyDescent="0.2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</row>
    <row r="114" spans="1:26" x14ac:dyDescent="0.2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</row>
    <row r="115" spans="1:26" x14ac:dyDescent="0.2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</row>
    <row r="116" spans="1:26" x14ac:dyDescent="0.2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</row>
    <row r="117" spans="1:26" x14ac:dyDescent="0.2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</row>
    <row r="118" spans="1:26" x14ac:dyDescent="0.2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</row>
    <row r="119" spans="1:26" x14ac:dyDescent="0.2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</row>
    <row r="120" spans="1:26" x14ac:dyDescent="0.2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</row>
    <row r="121" spans="1:26" x14ac:dyDescent="0.2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</row>
    <row r="122" spans="1:26" x14ac:dyDescent="0.2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</row>
    <row r="123" spans="1:26" x14ac:dyDescent="0.2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</row>
    <row r="124" spans="1:26" x14ac:dyDescent="0.2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</row>
    <row r="125" spans="1:26" x14ac:dyDescent="0.2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</row>
    <row r="126" spans="1:26" x14ac:dyDescent="0.2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</row>
    <row r="127" spans="1:26" x14ac:dyDescent="0.2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</row>
    <row r="128" spans="1:26" x14ac:dyDescent="0.2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</row>
    <row r="129" spans="1:26" x14ac:dyDescent="0.2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</row>
    <row r="130" spans="1:26" x14ac:dyDescent="0.2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</row>
    <row r="131" spans="1:26" x14ac:dyDescent="0.2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</row>
    <row r="132" spans="1:26" x14ac:dyDescent="0.2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</row>
    <row r="133" spans="1:26" x14ac:dyDescent="0.2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</row>
    <row r="134" spans="1:26" x14ac:dyDescent="0.2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</row>
    <row r="135" spans="1:26" x14ac:dyDescent="0.2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</row>
    <row r="136" spans="1:26" x14ac:dyDescent="0.2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</row>
    <row r="137" spans="1:26" x14ac:dyDescent="0.2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</row>
    <row r="138" spans="1:26" x14ac:dyDescent="0.2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</row>
    <row r="139" spans="1:26" x14ac:dyDescent="0.2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</row>
    <row r="140" spans="1:26" x14ac:dyDescent="0.2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</row>
    <row r="141" spans="1:26" x14ac:dyDescent="0.2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</row>
    <row r="142" spans="1:26" x14ac:dyDescent="0.2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</row>
    <row r="143" spans="1:26" x14ac:dyDescent="0.2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</row>
    <row r="144" spans="1:26" x14ac:dyDescent="0.2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</row>
    <row r="145" spans="1:26" x14ac:dyDescent="0.2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</row>
    <row r="146" spans="1:26" x14ac:dyDescent="0.2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</row>
    <row r="147" spans="1:26" x14ac:dyDescent="0.2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</row>
    <row r="148" spans="1:26" x14ac:dyDescent="0.2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</row>
    <row r="149" spans="1:26" x14ac:dyDescent="0.2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</row>
    <row r="150" spans="1:26" x14ac:dyDescent="0.2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</row>
    <row r="151" spans="1:26" x14ac:dyDescent="0.2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</row>
    <row r="152" spans="1:26" x14ac:dyDescent="0.2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</row>
    <row r="153" spans="1:26" x14ac:dyDescent="0.2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</row>
    <row r="154" spans="1:26" x14ac:dyDescent="0.2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</row>
    <row r="155" spans="1:26" x14ac:dyDescent="0.2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</row>
    <row r="156" spans="1:26" x14ac:dyDescent="0.2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</row>
    <row r="157" spans="1:26" x14ac:dyDescent="0.2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</row>
    <row r="158" spans="1:26" x14ac:dyDescent="0.2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</row>
    <row r="159" spans="1:26" x14ac:dyDescent="0.2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</row>
    <row r="160" spans="1:26" x14ac:dyDescent="0.2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</row>
    <row r="161" spans="1:26" x14ac:dyDescent="0.2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</row>
    <row r="162" spans="1:26" x14ac:dyDescent="0.2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</row>
    <row r="163" spans="1:26" x14ac:dyDescent="0.2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</row>
    <row r="164" spans="1:26" x14ac:dyDescent="0.2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</row>
    <row r="165" spans="1:26" x14ac:dyDescent="0.2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</row>
    <row r="166" spans="1:26" x14ac:dyDescent="0.2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</row>
    <row r="167" spans="1:26" x14ac:dyDescent="0.2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</row>
    <row r="168" spans="1:26" x14ac:dyDescent="0.2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</row>
    <row r="169" spans="1:26" x14ac:dyDescent="0.2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</row>
    <row r="170" spans="1:26" x14ac:dyDescent="0.2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</row>
    <row r="171" spans="1:26" x14ac:dyDescent="0.2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</row>
    <row r="172" spans="1:26" x14ac:dyDescent="0.2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</row>
    <row r="173" spans="1:26" x14ac:dyDescent="0.2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</row>
    <row r="174" spans="1:26" x14ac:dyDescent="0.2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</row>
    <row r="175" spans="1:26" x14ac:dyDescent="0.2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</row>
    <row r="176" spans="1:26" x14ac:dyDescent="0.2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</row>
    <row r="177" spans="1:26" x14ac:dyDescent="0.2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</row>
    <row r="178" spans="1:26" x14ac:dyDescent="0.2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</row>
    <row r="179" spans="1:26" x14ac:dyDescent="0.2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</row>
    <row r="180" spans="1:26" x14ac:dyDescent="0.2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</row>
    <row r="181" spans="1:26" x14ac:dyDescent="0.2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</row>
    <row r="182" spans="1:26" x14ac:dyDescent="0.2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</row>
    <row r="183" spans="1:26" x14ac:dyDescent="0.2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</row>
    <row r="184" spans="1:26" x14ac:dyDescent="0.2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</row>
    <row r="185" spans="1:26" x14ac:dyDescent="0.2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</row>
    <row r="186" spans="1:26" x14ac:dyDescent="0.2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</row>
    <row r="187" spans="1:26" x14ac:dyDescent="0.2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</row>
    <row r="188" spans="1:26" x14ac:dyDescent="0.2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</row>
    <row r="189" spans="1:26" x14ac:dyDescent="0.2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</row>
    <row r="190" spans="1:26" x14ac:dyDescent="0.2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</row>
    <row r="191" spans="1:26" x14ac:dyDescent="0.2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</row>
    <row r="192" spans="1:26" x14ac:dyDescent="0.2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</row>
    <row r="193" spans="1:26" x14ac:dyDescent="0.2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</row>
    <row r="194" spans="1:26" x14ac:dyDescent="0.2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"/>
  <sheetViews>
    <sheetView topLeftCell="D1" workbookViewId="0">
      <selection activeCell="F8" sqref="F8"/>
    </sheetView>
  </sheetViews>
  <sheetFormatPr defaultRowHeight="11.25" outlineLevelCol="1" x14ac:dyDescent="0.2"/>
  <cols>
    <col min="1" max="1" width="5.7109375" style="27" hidden="1" customWidth="1" outlineLevel="1"/>
    <col min="2" max="3" width="6" style="33" hidden="1" customWidth="1" outlineLevel="1"/>
    <col min="4" max="4" width="5.140625" style="33" customWidth="1" collapsed="1"/>
    <col min="5" max="5" width="30.7109375" style="27" bestFit="1" customWidth="1"/>
    <col min="6" max="6" width="19.28515625" style="27" bestFit="1" customWidth="1"/>
    <col min="7" max="8" width="8" style="33" bestFit="1" customWidth="1"/>
    <col min="9" max="10" width="9" style="33" bestFit="1" customWidth="1"/>
    <col min="11" max="12" width="17.28515625" style="33" bestFit="1" customWidth="1"/>
    <col min="13" max="13" width="2.7109375" style="27" bestFit="1" customWidth="1"/>
    <col min="14" max="16384" width="9.140625" style="27"/>
  </cols>
  <sheetData>
    <row r="1" spans="2:13" ht="22.5" x14ac:dyDescent="0.2">
      <c r="B1" s="155" t="s">
        <v>31</v>
      </c>
      <c r="C1" s="156"/>
      <c r="D1" s="156"/>
      <c r="E1" s="38" t="s">
        <v>29</v>
      </c>
      <c r="F1" s="38" t="s">
        <v>30</v>
      </c>
      <c r="G1" s="38" t="s">
        <v>13</v>
      </c>
      <c r="H1" s="38" t="s">
        <v>2</v>
      </c>
      <c r="I1" s="38" t="s">
        <v>3</v>
      </c>
      <c r="J1" s="38" t="s">
        <v>16</v>
      </c>
      <c r="K1" s="38" t="s">
        <v>0</v>
      </c>
      <c r="L1" s="26" t="s">
        <v>1</v>
      </c>
    </row>
    <row r="2" spans="2:13" x14ac:dyDescent="0.2">
      <c r="B2" s="105"/>
      <c r="C2" s="99" t="s">
        <v>15</v>
      </c>
      <c r="D2" s="100" t="s">
        <v>37</v>
      </c>
      <c r="E2" s="44" t="str">
        <f>Currency&amp;"1YD_SYNTH1Y_Quote"</f>
        <v>USD1YD_SYNTH1Y_Quote</v>
      </c>
      <c r="F2" s="44" t="str">
        <f>_xll.qlDepositRateHelper(,E2,$F$10)</f>
        <v>obj_00045#0005</v>
      </c>
      <c r="G2" s="101">
        <f>_xll.qlRateHelperQuoteValue(F2,InterestRatesTrigger)</f>
        <v>6.0860000000000003E-3</v>
      </c>
      <c r="H2" s="102" t="b">
        <v>1</v>
      </c>
      <c r="I2" s="102">
        <v>70</v>
      </c>
      <c r="J2" s="102">
        <v>1</v>
      </c>
      <c r="K2" s="103">
        <f>_xll.qlRateHelperEarliestDate($F2,InterestRatesTrigger)</f>
        <v>41572</v>
      </c>
      <c r="L2" s="104">
        <f>_xll.qlRateHelperLatestDate($F2,InterestRatesTrigger)</f>
        <v>41939</v>
      </c>
    </row>
    <row r="3" spans="2:13" ht="11.25" customHeight="1" x14ac:dyDescent="0.2">
      <c r="B3" s="90">
        <v>12</v>
      </c>
      <c r="C3" s="84" t="s">
        <v>38</v>
      </c>
      <c r="D3" s="84" t="s">
        <v>39</v>
      </c>
      <c r="E3" s="43" t="str">
        <f>Currency&amp;"12x24F_Quote"</f>
        <v>USD12x24F_Quote</v>
      </c>
      <c r="F3" s="85" t="str">
        <f>_xll.qlFraRateHelper(,E3,B3&amp;"M",$F$10)</f>
        <v>obj_00046#0005</v>
      </c>
      <c r="G3" s="86" t="e">
        <f>_xll.qlRateHelperQuoteValue(F3,InterestRatesTrigger)</f>
        <v>#NUM!</v>
      </c>
      <c r="H3" s="87" t="b">
        <v>1</v>
      </c>
      <c r="I3" s="87">
        <v>70</v>
      </c>
      <c r="J3" s="87">
        <v>1</v>
      </c>
      <c r="K3" s="88">
        <f>_xll.qlRateHelperEarliestDate($F3,InterestRatesTrigger)</f>
        <v>41939</v>
      </c>
      <c r="L3" s="89">
        <f>_xll.qlRateHelperLatestDate($F3,InterestRatesTrigger)</f>
        <v>42304</v>
      </c>
      <c r="M3" s="51"/>
    </row>
    <row r="4" spans="2:13" x14ac:dyDescent="0.2">
      <c r="B4" s="97" t="s">
        <v>59</v>
      </c>
      <c r="C4" s="91"/>
      <c r="D4" s="92" t="s">
        <v>40</v>
      </c>
      <c r="E4" s="76" t="str">
        <f>Currency&amp;B4&amp;C4&amp;D4&amp;"_Quote"</f>
        <v>USDSB6L3Y_Quote</v>
      </c>
      <c r="F4" s="43" t="e">
        <f>_xll.qlSwapRateHelper2(,E4,D4,Calendar,"annual","mf","30/360 (Bond Basis)",$F$10,0,"0D",DiscountingCurve)</f>
        <v>#NUM!</v>
      </c>
      <c r="G4" s="93" t="e">
        <f>_xll.qlRateHelperQuoteValue(F4,InterestRatesTrigger)</f>
        <v>#VALUE!</v>
      </c>
      <c r="H4" s="94" t="b">
        <v>1</v>
      </c>
      <c r="I4" s="94">
        <v>50</v>
      </c>
      <c r="J4" s="94">
        <v>1</v>
      </c>
      <c r="K4" s="95" t="e">
        <f>_xll.qlRateHelperEarliestDate($F4,InterestRatesTrigger)</f>
        <v>#VALUE!</v>
      </c>
      <c r="L4" s="96" t="e">
        <f>_xll.qlRateHelperLatestDate($F4,InterestRatesTrigger)</f>
        <v>#VALUE!</v>
      </c>
    </row>
    <row r="5" spans="2:13" x14ac:dyDescent="0.2">
      <c r="B5" s="97" t="s">
        <v>59</v>
      </c>
      <c r="C5" s="74"/>
      <c r="D5" s="75" t="s">
        <v>41</v>
      </c>
      <c r="E5" s="76" t="str">
        <f>Currency&amp;B5&amp;C5&amp;D5&amp;"_Quote"</f>
        <v>USDSB6L4Y_Quote</v>
      </c>
      <c r="F5" s="76" t="e">
        <f>_xll.qlSwapRateHelper2(,E5,D5,Calendar,"annual","mf","30/360 (Bond Basis)",$F$10,0,"0D",DiscountingCurve)</f>
        <v>#NUM!</v>
      </c>
      <c r="G5" s="77" t="e">
        <f>_xll.qlRateHelperQuoteValue(F5,InterestRatesTrigger)</f>
        <v>#VALUE!</v>
      </c>
      <c r="H5" s="78" t="b">
        <v>1</v>
      </c>
      <c r="I5" s="78">
        <v>50</v>
      </c>
      <c r="J5" s="78">
        <v>1</v>
      </c>
      <c r="K5" s="79" t="e">
        <f>_xll.qlRateHelperEarliestDate($F5,InterestRatesTrigger)</f>
        <v>#VALUE!</v>
      </c>
      <c r="L5" s="98" t="e">
        <f>_xll.qlRateHelperLatestDate($F5,InterestRatesTrigger)</f>
        <v>#VALUE!</v>
      </c>
    </row>
    <row r="6" spans="2:13" x14ac:dyDescent="0.2">
      <c r="B6" s="97" t="s">
        <v>59</v>
      </c>
      <c r="C6" s="74"/>
      <c r="D6" s="75" t="s">
        <v>42</v>
      </c>
      <c r="E6" s="76" t="str">
        <f>Currency&amp;B6&amp;C6&amp;D6&amp;"_Quote"</f>
        <v>USDSB6L5Y_Quote</v>
      </c>
      <c r="F6" s="76" t="e">
        <f>_xll.qlSwapRateHelper2(,E6,D6,Calendar,"annual","mf","30/360 (Bond Basis)",$F$10,0,"0D",DiscountingCurve)</f>
        <v>#NUM!</v>
      </c>
      <c r="G6" s="77" t="e">
        <f>_xll.qlRateHelperQuoteValue(F6,InterestRatesTrigger)</f>
        <v>#VALUE!</v>
      </c>
      <c r="H6" s="78" t="b">
        <v>1</v>
      </c>
      <c r="I6" s="78">
        <v>50</v>
      </c>
      <c r="J6" s="78">
        <v>1</v>
      </c>
      <c r="K6" s="79" t="e">
        <f>_xll.qlRateHelperEarliestDate($F6,InterestRatesTrigger)</f>
        <v>#VALUE!</v>
      </c>
      <c r="L6" s="98" t="e">
        <f>_xll.qlRateHelperLatestDate($F6,InterestRatesTrigger)</f>
        <v>#VALUE!</v>
      </c>
    </row>
    <row r="7" spans="2:13" x14ac:dyDescent="0.2">
      <c r="B7" s="108"/>
      <c r="C7" s="108"/>
      <c r="D7" s="108"/>
      <c r="E7" s="43"/>
      <c r="F7" s="43"/>
      <c r="G7" s="108"/>
      <c r="H7" s="108"/>
      <c r="I7" s="108"/>
      <c r="J7" s="108"/>
      <c r="K7" s="108"/>
      <c r="L7" s="108"/>
    </row>
    <row r="10" spans="2:13" x14ac:dyDescent="0.2">
      <c r="F10" s="27" t="str">
        <f>_xll.qlLibor(,Currency,"1Y",,,EvaluationDate)</f>
        <v>obj_00044#0005</v>
      </c>
    </row>
  </sheetData>
  <mergeCells count="1">
    <mergeCell ref="B1:D1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27"/>
  <sheetViews>
    <sheetView workbookViewId="0">
      <selection activeCell="F1" sqref="F1"/>
    </sheetView>
  </sheetViews>
  <sheetFormatPr defaultRowHeight="11.25" outlineLevelCol="1" x14ac:dyDescent="0.2"/>
  <cols>
    <col min="1" max="1" width="14.140625" style="33" bestFit="1" customWidth="1"/>
    <col min="2" max="2" width="8" style="33" bestFit="1" customWidth="1"/>
    <col min="3" max="4" width="17.28515625" style="33" bestFit="1" customWidth="1"/>
    <col min="5" max="5" width="10" style="27" bestFit="1" customWidth="1"/>
    <col min="6" max="6" width="3" style="27" bestFit="1" customWidth="1"/>
    <col min="7" max="7" width="17.28515625" style="27" hidden="1" customWidth="1" outlineLevel="1"/>
    <col min="8" max="8" width="15.140625" style="27" hidden="1" customWidth="1" outlineLevel="1"/>
    <col min="9" max="9" width="17.28515625" style="27" customWidth="1" collapsed="1"/>
    <col min="10" max="10" width="17.28515625" style="27" customWidth="1"/>
    <col min="11" max="12" width="8" style="27" bestFit="1" customWidth="1"/>
    <col min="13" max="13" width="9" style="27" bestFit="1" customWidth="1"/>
    <col min="14" max="14" width="8" style="27" bestFit="1" customWidth="1"/>
    <col min="15" max="16384" width="9.140625" style="27"/>
  </cols>
  <sheetData>
    <row r="1" spans="1:14" ht="24.75" customHeight="1" x14ac:dyDescent="0.2">
      <c r="A1" s="25" t="s">
        <v>20</v>
      </c>
      <c r="B1" s="38" t="s">
        <v>17</v>
      </c>
      <c r="C1" s="38" t="s">
        <v>0</v>
      </c>
      <c r="D1" s="26" t="s">
        <v>1</v>
      </c>
      <c r="E1" s="110" t="s">
        <v>17</v>
      </c>
      <c r="F1" s="110"/>
      <c r="G1" s="110" t="s">
        <v>44</v>
      </c>
      <c r="H1" s="110"/>
      <c r="I1" s="110" t="s">
        <v>46</v>
      </c>
      <c r="J1" s="110" t="s">
        <v>47</v>
      </c>
      <c r="K1" s="110" t="s">
        <v>45</v>
      </c>
      <c r="L1" s="110" t="s">
        <v>18</v>
      </c>
      <c r="M1" s="110" t="s">
        <v>49</v>
      </c>
      <c r="N1" s="110" t="s">
        <v>56</v>
      </c>
    </row>
    <row r="2" spans="1:14" x14ac:dyDescent="0.2">
      <c r="A2" s="39"/>
      <c r="B2" s="40"/>
      <c r="C2" s="41"/>
      <c r="D2" s="35">
        <f>'General Settings'!C24</f>
        <v>41570</v>
      </c>
      <c r="E2" s="30" t="e">
        <f t="array" ref="E2:E127">_xll.qlPiecewiseYieldCurveData(YieldCurve,InterestRatesTrigger)</f>
        <v>#NUM!</v>
      </c>
      <c r="F2" s="27">
        <v>0</v>
      </c>
      <c r="G2" s="80">
        <f>_xll.qlInterestRateIndexFixingDate(IborIndex,I2)</f>
        <v>41568</v>
      </c>
      <c r="H2" s="27" t="str">
        <f>_xll.qlMakeDatedOIS(,I2,J2,OvernightIndex,0,"Act/360",0)</f>
        <v>obj_00078#0005</v>
      </c>
      <c r="I2" s="80">
        <f>_xll.qlCalendarAdvance(Calendar,$D$2,F2&amp;"M","mf")</f>
        <v>41570</v>
      </c>
      <c r="J2" s="80">
        <f>_xll.qlInterestRateIndexMaturity(IborIndex,I2)</f>
        <v>41935</v>
      </c>
      <c r="K2" s="30" t="e">
        <f>_xll.qlIndexFixing(IborIndex,G2,TRUE,InterestRatesTrigger)</f>
        <v>#NUM!</v>
      </c>
      <c r="L2" s="30">
        <f>_xll.qlOvernightIndexedSwapFairRate(H2,InterestRatesTrigger)</f>
        <v>1.1855546261785889E-3</v>
      </c>
      <c r="M2" s="51" t="e">
        <f>K2-L2</f>
        <v>#NUM!</v>
      </c>
      <c r="N2" s="30"/>
    </row>
    <row r="3" spans="1:14" x14ac:dyDescent="0.2">
      <c r="A3" s="28" t="str">
        <f>RateHelpers!F2</f>
        <v>obj_00045#0005</v>
      </c>
      <c r="B3" s="29">
        <f>_xll.qlRateHelperRate($A3,InterestRatesTrigger)</f>
        <v>6.0860000000000003E-3</v>
      </c>
      <c r="C3" s="34">
        <f>_xll.qlRateHelperEarliestDate($A3)</f>
        <v>41572</v>
      </c>
      <c r="D3" s="35">
        <f>_xll.qlRateHelperLatestDate($A3)</f>
        <v>41939</v>
      </c>
      <c r="E3" s="30" t="e">
        <v>#NUM!</v>
      </c>
      <c r="F3" s="27">
        <v>12</v>
      </c>
      <c r="G3" s="80">
        <f>_xll.qlInterestRateIndexFixingDate(IborIndex,I3)</f>
        <v>41933</v>
      </c>
      <c r="H3" s="27" t="str">
        <f>_xll.qlMakeDatedOIS(,I3,J3,OvernightIndex,0,"Act/360",0)</f>
        <v>obj_0006c#0005</v>
      </c>
      <c r="I3" s="80">
        <f>_xll.qlCalendarAdvance(Calendar,$D$2,F3&amp;"M","mf")</f>
        <v>41935</v>
      </c>
      <c r="J3" s="80">
        <f>_xll.qlInterestRateIndexMaturity(IborIndex,I3)</f>
        <v>42300</v>
      </c>
      <c r="K3" s="30" t="e">
        <f>_xll.qlIndexFixing(IborIndex,G3,TRUE,InterestRatesTrigger)</f>
        <v>#NUM!</v>
      </c>
      <c r="L3" s="30">
        <f>_xll.qlOvernightIndexedSwapFairRate(H3,InterestRatesTrigger)</f>
        <v>3.2482760135820418E-3</v>
      </c>
      <c r="M3" s="51" t="e">
        <f>K3-L3</f>
        <v>#NUM!</v>
      </c>
      <c r="N3" s="30"/>
    </row>
    <row r="4" spans="1:14" x14ac:dyDescent="0.2">
      <c r="A4" s="28" t="str">
        <f>RateHelpers!F3</f>
        <v>obj_00046#0005</v>
      </c>
      <c r="B4" s="29" t="e">
        <f>_xll.qlRateHelperRate($A4,InterestRatesTrigger)</f>
        <v>#NUM!</v>
      </c>
      <c r="C4" s="34">
        <f>_xll.qlRateHelperEarliestDate($A4)</f>
        <v>41939</v>
      </c>
      <c r="D4" s="35">
        <f>_xll.qlRateHelperLatestDate($A4)</f>
        <v>42304</v>
      </c>
      <c r="E4" s="30" t="e">
        <v>#NUM!</v>
      </c>
      <c r="F4" s="27">
        <v>24</v>
      </c>
      <c r="G4" s="80">
        <f>_xll.qlInterestRateIndexFixingDate(IborIndex,I4)</f>
        <v>42298</v>
      </c>
      <c r="H4" s="27" t="str">
        <f>_xll.qlMakeDatedOIS(,I4,J4,OvernightIndex,0,"Act/360",0)</f>
        <v>obj_00056#0005</v>
      </c>
      <c r="I4" s="80">
        <f>_xll.qlCalendarAdvance(Calendar,$D$2,F4&amp;"M","mf")</f>
        <v>42300</v>
      </c>
      <c r="J4" s="80">
        <f>_xll.qlInterestRateIndexMaturity(IborIndex,I4)</f>
        <v>42667</v>
      </c>
      <c r="K4" s="30" t="e">
        <f>_xll.qlIndexFixing(IborIndex,G4,TRUE,InterestRatesTrigger)</f>
        <v>#NUM!</v>
      </c>
      <c r="L4" s="30">
        <f>_xll.qlOvernightIndexedSwapFairRate(H4,InterestRatesTrigger)</f>
        <v>9.0845628522239485E-3</v>
      </c>
      <c r="M4" s="51" t="e">
        <f>K4-L4</f>
        <v>#NUM!</v>
      </c>
      <c r="N4" s="30"/>
    </row>
    <row r="5" spans="1:14" x14ac:dyDescent="0.2">
      <c r="A5" s="28" t="e">
        <f>RateHelpers!F4</f>
        <v>#NUM!</v>
      </c>
      <c r="B5" s="29" t="e">
        <f>_xll.qlRateHelperRate($A5,InterestRatesTrigger)</f>
        <v>#VALUE!</v>
      </c>
      <c r="C5" s="34" t="e">
        <f>_xll.qlRateHelperEarliestDate($A5)</f>
        <v>#VALUE!</v>
      </c>
      <c r="D5" s="35" t="e">
        <f>_xll.qlRateHelperLatestDate($A5)</f>
        <v>#VALUE!</v>
      </c>
      <c r="E5" s="30" t="e">
        <v>#NUM!</v>
      </c>
      <c r="F5" s="27">
        <v>36</v>
      </c>
      <c r="G5" s="80">
        <f>_xll.qlInterestRateIndexFixingDate(IborIndex,I5)</f>
        <v>42663</v>
      </c>
      <c r="H5" s="27" t="str">
        <f>_xll.qlMakeDatedOIS(,I5,J5,OvernightIndex,0,"Act/360",0)</f>
        <v>obj_0005c#0005</v>
      </c>
      <c r="I5" s="80">
        <f>_xll.qlCalendarAdvance(Calendar,$D$2,F5&amp;"M","mf")</f>
        <v>42667</v>
      </c>
      <c r="J5" s="80">
        <f>_xll.qlInterestRateIndexMaturity(IborIndex,I5)</f>
        <v>43032</v>
      </c>
      <c r="K5" s="30" t="e">
        <f>_xll.qlIndexFixing(IborIndex,G5,TRUE,InterestRatesTrigger)</f>
        <v>#NUM!</v>
      </c>
      <c r="L5" s="30">
        <f>_xll.qlOvernightIndexedSwapFairRate(H5,InterestRatesTrigger)</f>
        <v>1.786664907655855E-2</v>
      </c>
      <c r="M5" s="51" t="e">
        <f>K5-L5</f>
        <v>#NUM!</v>
      </c>
      <c r="N5" s="30"/>
    </row>
    <row r="6" spans="1:14" x14ac:dyDescent="0.2">
      <c r="A6" s="28" t="e">
        <f>RateHelpers!F5</f>
        <v>#NUM!</v>
      </c>
      <c r="B6" s="29" t="e">
        <f>_xll.qlRateHelperRate($A6,InterestRatesTrigger)</f>
        <v>#VALUE!</v>
      </c>
      <c r="C6" s="34" t="e">
        <f>_xll.qlRateHelperEarliestDate($A6)</f>
        <v>#VALUE!</v>
      </c>
      <c r="D6" s="35" t="e">
        <f>_xll.qlRateHelperLatestDate($A6)</f>
        <v>#VALUE!</v>
      </c>
      <c r="E6" s="30" t="e">
        <v>#NUM!</v>
      </c>
      <c r="F6" s="27">
        <v>48</v>
      </c>
      <c r="G6" s="80">
        <f>_xll.qlInterestRateIndexFixingDate(IborIndex,I6)</f>
        <v>43027</v>
      </c>
      <c r="H6" s="27" t="str">
        <f>_xll.qlMakeDatedOIS(,I6,J6,OvernightIndex,0,"Act/360",0)</f>
        <v>obj_0005e#0005</v>
      </c>
      <c r="I6" s="80">
        <f>_xll.qlCalendarAdvance(Calendar,$D$2,F6&amp;"M","mf")</f>
        <v>43031</v>
      </c>
      <c r="J6" s="80">
        <f>_xll.qlInterestRateIndexMaturity(IborIndex,I6)</f>
        <v>43396</v>
      </c>
      <c r="K6" s="30" t="e">
        <f>_xll.qlIndexFixing(IborIndex,G6,TRUE,InterestRatesTrigger)</f>
        <v>#NUM!</v>
      </c>
      <c r="L6" s="30">
        <f>_xll.qlOvernightIndexedSwapFairRate(H6,InterestRatesTrigger)</f>
        <v>2.5696585178338456E-2</v>
      </c>
      <c r="M6" s="51" t="e">
        <f>K6-L6</f>
        <v>#NUM!</v>
      </c>
      <c r="N6" s="30"/>
    </row>
    <row r="7" spans="1:14" x14ac:dyDescent="0.2">
      <c r="A7" s="28" t="e">
        <f>RateHelpers!F6</f>
        <v>#NUM!</v>
      </c>
      <c r="B7" s="29" t="e">
        <f>_xll.qlRateHelperRate($A7,InterestRatesTrigger)</f>
        <v>#VALUE!</v>
      </c>
      <c r="C7" s="34" t="e">
        <f>_xll.qlRateHelperEarliestDate($A7)</f>
        <v>#VALUE!</v>
      </c>
      <c r="D7" s="35" t="e">
        <f>_xll.qlRateHelperLatestDate($A7)</f>
        <v>#VALUE!</v>
      </c>
      <c r="E7" s="30" t="e">
        <v>#NUM!</v>
      </c>
      <c r="G7" s="80"/>
      <c r="I7" s="80"/>
      <c r="J7" s="80"/>
      <c r="K7" s="30"/>
      <c r="L7" s="30"/>
      <c r="M7" s="51"/>
    </row>
    <row r="8" spans="1:14" x14ac:dyDescent="0.2">
      <c r="A8" s="28"/>
      <c r="B8" s="29"/>
      <c r="C8" s="34"/>
      <c r="D8" s="35"/>
      <c r="E8" s="30" t="e">
        <v>#NUM!</v>
      </c>
      <c r="F8" s="27">
        <v>1</v>
      </c>
      <c r="G8" s="80">
        <f>_xll.qlInterestRateIndexFixingDate(IborIndex,I8)</f>
        <v>41599</v>
      </c>
      <c r="H8" s="27" t="str">
        <f>_xll.qlMakeDatedOIS(,I8,J8,OvernightIndex,0,"Act/360",0)</f>
        <v>obj_00072#0005</v>
      </c>
      <c r="I8" s="80">
        <f>_xll.qlCalendarAdvance(Calendar,$D$2,F8&amp;"M","mf")</f>
        <v>41603</v>
      </c>
      <c r="J8" s="80">
        <f>_xll.qlInterestRateIndexMaturity(IborIndex,I8)</f>
        <v>41968</v>
      </c>
      <c r="L8" s="30">
        <f>_xll.qlOvernightIndexedSwapFairRate(H8,InterestRatesTrigger)</f>
        <v>1.2740685476524769E-3</v>
      </c>
      <c r="M8" s="51" t="e">
        <f>_xll.qlInterpolationInterpolate(BasisInterpolator,I8)</f>
        <v>#VALUE!</v>
      </c>
      <c r="N8" s="30" t="e">
        <f t="shared" ref="N8:N51" si="0">L8+M8</f>
        <v>#VALUE!</v>
      </c>
    </row>
    <row r="9" spans="1:14" x14ac:dyDescent="0.2">
      <c r="A9" s="28"/>
      <c r="B9" s="29"/>
      <c r="C9" s="34"/>
      <c r="D9" s="35"/>
      <c r="E9" s="30" t="e">
        <v>#NUM!</v>
      </c>
      <c r="F9" s="27">
        <v>2</v>
      </c>
      <c r="G9" s="80">
        <f>_xll.qlInterestRateIndexFixingDate(IborIndex,I9)</f>
        <v>41627</v>
      </c>
      <c r="H9" s="27" t="str">
        <f>_xll.qlMakeDatedOIS(,I9,J9,OvernightIndex,0,"Act/360",0)</f>
        <v>obj_00055#0005</v>
      </c>
      <c r="I9" s="80">
        <f>_xll.qlCalendarAdvance(Calendar,$D$2,F9&amp;"M","mf")</f>
        <v>41631</v>
      </c>
      <c r="J9" s="80">
        <f>_xll.qlInterestRateIndexMaturity(IborIndex,I9)</f>
        <v>41996</v>
      </c>
      <c r="L9" s="30">
        <f>_xll.qlOvernightIndexedSwapFairRate(H9,InterestRatesTrigger)</f>
        <v>1.349712136320068E-3</v>
      </c>
      <c r="M9" s="51" t="e">
        <f>_xll.qlInterpolationInterpolate(BasisInterpolator,I9)</f>
        <v>#VALUE!</v>
      </c>
      <c r="N9" s="30" t="e">
        <f t="shared" si="0"/>
        <v>#VALUE!</v>
      </c>
    </row>
    <row r="10" spans="1:14" x14ac:dyDescent="0.2">
      <c r="A10" s="28"/>
      <c r="B10" s="29"/>
      <c r="C10" s="34"/>
      <c r="D10" s="35"/>
      <c r="E10" s="30" t="e">
        <v>#NUM!</v>
      </c>
      <c r="F10" s="27">
        <v>3</v>
      </c>
      <c r="G10" s="80">
        <f>_xll.qlInterestRateIndexFixingDate(IborIndex,I10)</f>
        <v>41660</v>
      </c>
      <c r="H10" s="27" t="str">
        <f>_xll.qlMakeDatedOIS(,I10,J10,OvernightIndex,0,"Act/360",0)</f>
        <v>obj_00058#0005</v>
      </c>
      <c r="I10" s="80">
        <f>_xll.qlCalendarAdvance(Calendar,$D$2,F10&amp;"M","mf")</f>
        <v>41662</v>
      </c>
      <c r="J10" s="80">
        <f>_xll.qlInterestRateIndexMaturity(IborIndex,I10)</f>
        <v>42027</v>
      </c>
      <c r="L10" s="30">
        <f>_xll.qlOvernightIndexedSwapFairRate(H10,InterestRatesTrigger)</f>
        <v>1.4798564975138919E-3</v>
      </c>
      <c r="M10" s="51" t="e">
        <f>_xll.qlInterpolationInterpolate(BasisInterpolator,I10)</f>
        <v>#VALUE!</v>
      </c>
      <c r="N10" s="30" t="e">
        <f t="shared" si="0"/>
        <v>#VALUE!</v>
      </c>
    </row>
    <row r="11" spans="1:14" x14ac:dyDescent="0.2">
      <c r="A11" s="28"/>
      <c r="B11" s="29"/>
      <c r="C11" s="34"/>
      <c r="D11" s="35"/>
      <c r="E11" s="30" t="e">
        <v>#NUM!</v>
      </c>
      <c r="F11" s="27">
        <v>4</v>
      </c>
      <c r="G11" s="80">
        <f>_xll.qlInterestRateIndexFixingDate(IborIndex,I11)</f>
        <v>41690</v>
      </c>
      <c r="H11" s="27" t="str">
        <f>_xll.qlMakeDatedOIS(,I11,J11,OvernightIndex,0,"Act/360",0)</f>
        <v>obj_00049#0005</v>
      </c>
      <c r="I11" s="80">
        <f>_xll.qlCalendarAdvance(Calendar,$D$2,F11&amp;"M","mf")</f>
        <v>41694</v>
      </c>
      <c r="J11" s="80">
        <f>_xll.qlInterestRateIndexMaturity(IborIndex,I11)</f>
        <v>42059</v>
      </c>
      <c r="L11" s="30">
        <f>_xll.qlOvernightIndexedSwapFairRate(H11,InterestRatesTrigger)</f>
        <v>1.6115531965042143E-3</v>
      </c>
      <c r="M11" s="51" t="e">
        <f>_xll.qlInterpolationInterpolate(BasisInterpolator,I11)</f>
        <v>#VALUE!</v>
      </c>
      <c r="N11" s="30" t="e">
        <f t="shared" si="0"/>
        <v>#VALUE!</v>
      </c>
    </row>
    <row r="12" spans="1:14" x14ac:dyDescent="0.2">
      <c r="A12" s="28"/>
      <c r="B12" s="29"/>
      <c r="C12" s="34"/>
      <c r="D12" s="35"/>
      <c r="E12" s="30" t="e">
        <v>#NUM!</v>
      </c>
      <c r="F12" s="27">
        <v>5</v>
      </c>
      <c r="G12" s="80">
        <f>_xll.qlInterestRateIndexFixingDate(IborIndex,I12)</f>
        <v>41718</v>
      </c>
      <c r="H12" s="27" t="str">
        <f>_xll.qlMakeDatedOIS(,I12,J12,OvernightIndex,0,"Act/360",0)</f>
        <v>obj_00079#0005</v>
      </c>
      <c r="I12" s="80">
        <f>_xll.qlCalendarAdvance(Calendar,$D$2,F12&amp;"M","mf")</f>
        <v>41722</v>
      </c>
      <c r="J12" s="80">
        <f>_xll.qlInterestRateIndexMaturity(IborIndex,I12)</f>
        <v>42087</v>
      </c>
      <c r="L12" s="30">
        <f>_xll.qlOvernightIndexedSwapFairRate(H12,InterestRatesTrigger)</f>
        <v>1.7442129668366632E-3</v>
      </c>
      <c r="M12" s="51" t="e">
        <f>_xll.qlInterpolationInterpolate(BasisInterpolator,I12)</f>
        <v>#VALUE!</v>
      </c>
      <c r="N12" s="30" t="e">
        <f t="shared" si="0"/>
        <v>#VALUE!</v>
      </c>
    </row>
    <row r="13" spans="1:14" x14ac:dyDescent="0.2">
      <c r="A13" s="28"/>
      <c r="B13" s="29"/>
      <c r="C13" s="34"/>
      <c r="D13" s="35"/>
      <c r="E13" s="30" t="e">
        <v>#NUM!</v>
      </c>
      <c r="F13" s="27">
        <v>6</v>
      </c>
      <c r="G13" s="80">
        <f>_xll.qlInterestRateIndexFixingDate(IborIndex,I13)</f>
        <v>41746</v>
      </c>
      <c r="H13" s="27" t="str">
        <f>_xll.qlMakeDatedOIS(,I13,J13,OvernightIndex,0,"Act/360",0)</f>
        <v>obj_00066#0005</v>
      </c>
      <c r="I13" s="80">
        <f>_xll.qlCalendarAdvance(Calendar,$D$2,F13&amp;"M","mf")</f>
        <v>41752</v>
      </c>
      <c r="J13" s="80">
        <f>_xll.qlInterestRateIndexMaturity(IborIndex,I13)</f>
        <v>42117</v>
      </c>
      <c r="L13" s="30">
        <f>_xll.qlOvernightIndexedSwapFairRate(H13,InterestRatesTrigger)</f>
        <v>1.8863683673841724E-3</v>
      </c>
      <c r="M13" s="51" t="e">
        <f>_xll.qlInterpolationInterpolate(BasisInterpolator,I13)</f>
        <v>#VALUE!</v>
      </c>
      <c r="N13" s="30" t="e">
        <f t="shared" si="0"/>
        <v>#VALUE!</v>
      </c>
    </row>
    <row r="14" spans="1:14" x14ac:dyDescent="0.2">
      <c r="A14" s="28"/>
      <c r="B14" s="29"/>
      <c r="C14" s="34"/>
      <c r="D14" s="35"/>
      <c r="E14" s="30" t="e">
        <v>#NUM!</v>
      </c>
      <c r="F14" s="27">
        <v>7</v>
      </c>
      <c r="G14" s="80">
        <f>_xll.qlInterestRateIndexFixingDate(IborIndex,I14)</f>
        <v>41780</v>
      </c>
      <c r="H14" s="27" t="str">
        <f>_xll.qlMakeDatedOIS(,I14,J14,OvernightIndex,0,"Act/360",0)</f>
        <v>obj_0004c#0005</v>
      </c>
      <c r="I14" s="80">
        <f>_xll.qlCalendarAdvance(Calendar,$D$2,F14&amp;"M","mf")</f>
        <v>41782</v>
      </c>
      <c r="J14" s="80">
        <f>_xll.qlInterestRateIndexMaturity(IborIndex,I14)</f>
        <v>42150</v>
      </c>
      <c r="L14" s="30">
        <f>_xll.qlOvernightIndexedSwapFairRate(H14,InterestRatesTrigger)</f>
        <v>2.0778215679180235E-3</v>
      </c>
      <c r="M14" s="51" t="e">
        <f>_xll.qlInterpolationInterpolate(BasisInterpolator,I14)</f>
        <v>#VALUE!</v>
      </c>
      <c r="N14" s="30" t="e">
        <f t="shared" si="0"/>
        <v>#VALUE!</v>
      </c>
    </row>
    <row r="15" spans="1:14" x14ac:dyDescent="0.2">
      <c r="A15" s="28"/>
      <c r="B15" s="29"/>
      <c r="C15" s="34"/>
      <c r="D15" s="35"/>
      <c r="E15" s="30" t="e">
        <v>#NUM!</v>
      </c>
      <c r="F15" s="27">
        <v>8</v>
      </c>
      <c r="G15" s="80">
        <f>_xll.qlInterestRateIndexFixingDate(IborIndex,I15)</f>
        <v>41809</v>
      </c>
      <c r="H15" s="27" t="str">
        <f>_xll.qlMakeDatedOIS(,I15,J15,OvernightIndex,0,"Act/360",0)</f>
        <v>obj_0006b#0005</v>
      </c>
      <c r="I15" s="80">
        <f>_xll.qlCalendarAdvance(Calendar,$D$2,F15&amp;"M","mf")</f>
        <v>41813</v>
      </c>
      <c r="J15" s="80">
        <f>_xll.qlInterestRateIndexMaturity(IborIndex,I15)</f>
        <v>42178</v>
      </c>
      <c r="L15" s="30">
        <f>_xll.qlOvernightIndexedSwapFairRate(H15,InterestRatesTrigger)</f>
        <v>2.2716122146736874E-3</v>
      </c>
      <c r="M15" s="51" t="e">
        <f>_xll.qlInterpolationInterpolate(BasisInterpolator,I15)</f>
        <v>#VALUE!</v>
      </c>
      <c r="N15" s="30" t="e">
        <f t="shared" si="0"/>
        <v>#VALUE!</v>
      </c>
    </row>
    <row r="16" spans="1:14" x14ac:dyDescent="0.2">
      <c r="A16" s="28"/>
      <c r="B16" s="29"/>
      <c r="C16" s="34"/>
      <c r="D16" s="35"/>
      <c r="E16" s="30" t="e">
        <v>#NUM!</v>
      </c>
      <c r="F16" s="27">
        <v>9</v>
      </c>
      <c r="G16" s="80">
        <f>_xll.qlInterestRateIndexFixingDate(IborIndex,I16)</f>
        <v>41841</v>
      </c>
      <c r="H16" s="27" t="str">
        <f>_xll.qlMakeDatedOIS(,I16,J16,OvernightIndex,0,"Act/360",0)</f>
        <v>obj_0006d#0005</v>
      </c>
      <c r="I16" s="80">
        <f>_xll.qlCalendarAdvance(Calendar,$D$2,F16&amp;"M","mf")</f>
        <v>41843</v>
      </c>
      <c r="J16" s="80">
        <f>_xll.qlInterestRateIndexMaturity(IborIndex,I16)</f>
        <v>42208</v>
      </c>
      <c r="L16" s="30">
        <f>_xll.qlOvernightIndexedSwapFairRate(H16,InterestRatesTrigger)</f>
        <v>2.4593019785513772E-3</v>
      </c>
      <c r="M16" s="51" t="e">
        <f>_xll.qlInterpolationInterpolate(BasisInterpolator,I16)</f>
        <v>#VALUE!</v>
      </c>
      <c r="N16" s="30" t="e">
        <f t="shared" si="0"/>
        <v>#VALUE!</v>
      </c>
    </row>
    <row r="17" spans="1:14" x14ac:dyDescent="0.2">
      <c r="A17" s="28"/>
      <c r="B17" s="29"/>
      <c r="C17" s="34"/>
      <c r="D17" s="35"/>
      <c r="E17" s="30" t="e">
        <v>#NUM!</v>
      </c>
      <c r="F17" s="27">
        <v>10</v>
      </c>
      <c r="G17" s="80">
        <f>_xll.qlInterestRateIndexFixingDate(IborIndex,I17)</f>
        <v>41872</v>
      </c>
      <c r="H17" s="27" t="str">
        <f>_xll.qlMakeDatedOIS(,I17,J17,OvernightIndex,0,"Act/360",0)</f>
        <v>obj_00059#0005</v>
      </c>
      <c r="I17" s="80">
        <f>_xll.qlCalendarAdvance(Calendar,$D$2,F17&amp;"M","mf")</f>
        <v>41877</v>
      </c>
      <c r="J17" s="80">
        <f>_xll.qlInterestRateIndexMaturity(IborIndex,I17)</f>
        <v>42242</v>
      </c>
      <c r="L17" s="30">
        <f>_xll.qlOvernightIndexedSwapFairRate(H17,InterestRatesTrigger)</f>
        <v>2.7320406961727933E-3</v>
      </c>
      <c r="M17" s="51" t="e">
        <f>_xll.qlInterpolationInterpolate(BasisInterpolator,I17)</f>
        <v>#VALUE!</v>
      </c>
      <c r="N17" s="30" t="e">
        <f t="shared" si="0"/>
        <v>#VALUE!</v>
      </c>
    </row>
    <row r="18" spans="1:14" x14ac:dyDescent="0.2">
      <c r="A18" s="28"/>
      <c r="B18" s="29"/>
      <c r="C18" s="34"/>
      <c r="D18" s="35"/>
      <c r="E18" s="30" t="e">
        <v>#NUM!</v>
      </c>
      <c r="F18" s="27">
        <v>11</v>
      </c>
      <c r="G18" s="80">
        <f>_xll.qlInterestRateIndexFixingDate(IborIndex,I18)</f>
        <v>41901</v>
      </c>
      <c r="H18" s="27" t="str">
        <f>_xll.qlMakeDatedOIS(,I18,J18,OvernightIndex,0,"Act/360",0)</f>
        <v>obj_00067#0005</v>
      </c>
      <c r="I18" s="80">
        <f>_xll.qlCalendarAdvance(Calendar,$D$2,F18&amp;"M","mf")</f>
        <v>41905</v>
      </c>
      <c r="J18" s="80">
        <f>_xll.qlInterestRateIndexMaturity(IborIndex,I18)</f>
        <v>42270</v>
      </c>
      <c r="L18" s="30">
        <f>_xll.qlOvernightIndexedSwapFairRate(H18,InterestRatesTrigger)</f>
        <v>2.9664469220030496E-3</v>
      </c>
      <c r="M18" s="51" t="e">
        <f>_xll.qlInterpolationInterpolate(BasisInterpolator,I18)</f>
        <v>#VALUE!</v>
      </c>
      <c r="N18" s="30" t="e">
        <f t="shared" si="0"/>
        <v>#VALUE!</v>
      </c>
    </row>
    <row r="19" spans="1:14" x14ac:dyDescent="0.2">
      <c r="A19" s="28"/>
      <c r="B19" s="29"/>
      <c r="C19" s="34"/>
      <c r="D19" s="35"/>
      <c r="E19" s="30" t="e">
        <v>#NUM!</v>
      </c>
      <c r="F19" s="27">
        <v>13</v>
      </c>
      <c r="G19" s="80">
        <f>_xll.qlInterestRateIndexFixingDate(IborIndex,I19)</f>
        <v>41963</v>
      </c>
      <c r="H19" s="27" t="str">
        <f>_xll.qlMakeDatedOIS(,I19,J19,OvernightIndex,0,"Act/360",0)</f>
        <v>obj_00070#0005</v>
      </c>
      <c r="I19" s="80">
        <f>_xll.qlCalendarAdvance(Calendar,$D$2,F19&amp;"M","mf")</f>
        <v>41967</v>
      </c>
      <c r="J19" s="80">
        <f>_xll.qlInterestRateIndexMaturity(IborIndex,I19)</f>
        <v>42332</v>
      </c>
      <c r="L19" s="30">
        <f>_xll.qlOvernightIndexedSwapFairRate(H19,InterestRatesTrigger)</f>
        <v>3.5817321455878593E-3</v>
      </c>
      <c r="M19" s="51" t="e">
        <f>_xll.qlInterpolationInterpolate(BasisInterpolator,I19)</f>
        <v>#VALUE!</v>
      </c>
      <c r="N19" s="30" t="e">
        <f t="shared" si="0"/>
        <v>#VALUE!</v>
      </c>
    </row>
    <row r="20" spans="1:14" x14ac:dyDescent="0.2">
      <c r="A20" s="28"/>
      <c r="B20" s="29"/>
      <c r="C20" s="34"/>
      <c r="D20" s="35"/>
      <c r="E20" s="30" t="e">
        <v>#NUM!</v>
      </c>
      <c r="F20" s="27">
        <v>14</v>
      </c>
      <c r="G20" s="80">
        <f>_xll.qlInterestRateIndexFixingDate(IborIndex,I20)</f>
        <v>41992</v>
      </c>
      <c r="H20" s="27" t="str">
        <f>_xll.qlMakeDatedOIS(,I20,J20,OvernightIndex,0,"Act/360",0)</f>
        <v>obj_00053#0005</v>
      </c>
      <c r="I20" s="80">
        <f>_xll.qlCalendarAdvance(Calendar,$D$2,F20&amp;"M","mf")</f>
        <v>41996</v>
      </c>
      <c r="J20" s="80">
        <f>_xll.qlInterestRateIndexMaturity(IborIndex,I20)</f>
        <v>42361</v>
      </c>
      <c r="L20" s="30">
        <f>_xll.qlOvernightIndexedSwapFairRate(H20,InterestRatesTrigger)</f>
        <v>3.9303138985950755E-3</v>
      </c>
      <c r="M20" s="51" t="e">
        <f>_xll.qlInterpolationInterpolate(BasisInterpolator,I20)</f>
        <v>#VALUE!</v>
      </c>
      <c r="N20" s="30" t="e">
        <f t="shared" si="0"/>
        <v>#VALUE!</v>
      </c>
    </row>
    <row r="21" spans="1:14" x14ac:dyDescent="0.2">
      <c r="A21" s="28"/>
      <c r="B21" s="29"/>
      <c r="C21" s="34"/>
      <c r="D21" s="35"/>
      <c r="E21" s="30" t="e">
        <v>#NUM!</v>
      </c>
      <c r="F21" s="27">
        <v>15</v>
      </c>
      <c r="G21" s="80">
        <f>_xll.qlInterestRateIndexFixingDate(IborIndex,I21)</f>
        <v>42025</v>
      </c>
      <c r="H21" s="27" t="str">
        <f>_xll.qlMakeDatedOIS(,I21,J21,OvernightIndex,0,"Act/360",0)</f>
        <v>obj_00057#0005</v>
      </c>
      <c r="I21" s="80">
        <f>_xll.qlCalendarAdvance(Calendar,$D$2,F21&amp;"M","mf")</f>
        <v>42027</v>
      </c>
      <c r="J21" s="80">
        <f>_xll.qlInterestRateIndexMaturity(IborIndex,I21)</f>
        <v>42394</v>
      </c>
      <c r="L21" s="30">
        <f>_xll.qlOvernightIndexedSwapFairRate(H21,InterestRatesTrigger)</f>
        <v>4.320220689736423E-3</v>
      </c>
      <c r="M21" s="51" t="e">
        <f>_xll.qlInterpolationInterpolate(BasisInterpolator,I21)</f>
        <v>#VALUE!</v>
      </c>
      <c r="N21" s="30" t="e">
        <f t="shared" si="0"/>
        <v>#VALUE!</v>
      </c>
    </row>
    <row r="22" spans="1:14" x14ac:dyDescent="0.2">
      <c r="A22" s="28"/>
      <c r="B22" s="29"/>
      <c r="C22" s="34"/>
      <c r="D22" s="35"/>
      <c r="E22" s="30" t="e">
        <v>#NUM!</v>
      </c>
      <c r="F22" s="27">
        <v>16</v>
      </c>
      <c r="G22" s="80">
        <f>_xll.qlInterestRateIndexFixingDate(IborIndex,I22)</f>
        <v>42054</v>
      </c>
      <c r="H22" s="27" t="str">
        <f>_xll.qlMakeDatedOIS(,I22,J22,OvernightIndex,0,"Act/360",0)</f>
        <v>obj_00071#0005</v>
      </c>
      <c r="I22" s="80">
        <f>_xll.qlCalendarAdvance(Calendar,$D$2,F22&amp;"M","mf")</f>
        <v>42058</v>
      </c>
      <c r="J22" s="80">
        <f>_xll.qlInterestRateIndexMaturity(IborIndex,I22)</f>
        <v>42423</v>
      </c>
      <c r="L22" s="30">
        <f>_xll.qlOvernightIndexedSwapFairRate(H22,InterestRatesTrigger)</f>
        <v>4.7192070665248893E-3</v>
      </c>
      <c r="M22" s="51" t="e">
        <f>_xll.qlInterpolationInterpolate(BasisInterpolator,I22)</f>
        <v>#VALUE!</v>
      </c>
      <c r="N22" s="30" t="e">
        <f t="shared" si="0"/>
        <v>#VALUE!</v>
      </c>
    </row>
    <row r="23" spans="1:14" x14ac:dyDescent="0.2">
      <c r="A23" s="28"/>
      <c r="B23" s="29"/>
      <c r="C23" s="34"/>
      <c r="D23" s="35"/>
      <c r="E23" s="30" t="e">
        <v>#NUM!</v>
      </c>
      <c r="F23" s="27">
        <v>17</v>
      </c>
      <c r="G23" s="80">
        <f>_xll.qlInterestRateIndexFixingDate(IborIndex,I23)</f>
        <v>42082</v>
      </c>
      <c r="H23" s="27" t="str">
        <f>_xll.qlMakeDatedOIS(,I23,J23,OvernightIndex,0,"Act/360",0)</f>
        <v>obj_00068#0005</v>
      </c>
      <c r="I23" s="80">
        <f>_xll.qlCalendarAdvance(Calendar,$D$2,F23&amp;"M","mf")</f>
        <v>42086</v>
      </c>
      <c r="J23" s="80">
        <f>_xll.qlInterestRateIndexMaturity(IborIndex,I23)</f>
        <v>42452</v>
      </c>
      <c r="L23" s="30">
        <f>_xll.qlOvernightIndexedSwapFairRate(H23,InterestRatesTrigger)</f>
        <v>5.1309006128658543E-3</v>
      </c>
      <c r="M23" s="51" t="e">
        <f>_xll.qlInterpolationInterpolate(BasisInterpolator,I23)</f>
        <v>#VALUE!</v>
      </c>
      <c r="N23" s="30" t="e">
        <f t="shared" si="0"/>
        <v>#VALUE!</v>
      </c>
    </row>
    <row r="24" spans="1:14" x14ac:dyDescent="0.2">
      <c r="A24" s="28"/>
      <c r="B24" s="29"/>
      <c r="C24" s="34"/>
      <c r="D24" s="35"/>
      <c r="E24" s="30" t="e">
        <v>#NUM!</v>
      </c>
      <c r="F24" s="27">
        <v>18</v>
      </c>
      <c r="G24" s="80">
        <f>_xll.qlInterestRateIndexFixingDate(IborIndex,I24)</f>
        <v>42115</v>
      </c>
      <c r="H24" s="27" t="str">
        <f>_xll.qlMakeDatedOIS(,I24,J24,OvernightIndex,0,"Act/360",0)</f>
        <v>obj_0006e#0005</v>
      </c>
      <c r="I24" s="80">
        <f>_xll.qlCalendarAdvance(Calendar,$D$2,F24&amp;"M","mf")</f>
        <v>42117</v>
      </c>
      <c r="J24" s="80">
        <f>_xll.qlInterestRateIndexMaturity(IborIndex,I24)</f>
        <v>42485</v>
      </c>
      <c r="L24" s="30">
        <f>_xll.qlOvernightIndexedSwapFairRate(H24,InterestRatesTrigger)</f>
        <v>5.6409893061698767E-3</v>
      </c>
      <c r="M24" s="51" t="e">
        <f>_xll.qlInterpolationInterpolate(BasisInterpolator,I24)</f>
        <v>#VALUE!</v>
      </c>
      <c r="N24" s="30" t="e">
        <f t="shared" si="0"/>
        <v>#VALUE!</v>
      </c>
    </row>
    <row r="25" spans="1:14" x14ac:dyDescent="0.2">
      <c r="A25" s="28"/>
      <c r="B25" s="29"/>
      <c r="C25" s="34"/>
      <c r="D25" s="35"/>
      <c r="E25" s="30" t="e">
        <v>#NUM!</v>
      </c>
      <c r="F25" s="27">
        <v>19</v>
      </c>
      <c r="G25" s="80">
        <f>_xll.qlInterestRateIndexFixingDate(IborIndex,I25)</f>
        <v>42145</v>
      </c>
      <c r="H25" s="27" t="str">
        <f>_xll.qlMakeDatedOIS(,I25,J25,OvernightIndex,0,"Act/360",0)</f>
        <v>obj_0004b#0005</v>
      </c>
      <c r="I25" s="80">
        <f>_xll.qlCalendarAdvance(Calendar,$D$2,F25&amp;"M","mf")</f>
        <v>42150</v>
      </c>
      <c r="J25" s="80">
        <f>_xll.qlInterestRateIndexMaturity(IborIndex,I25)</f>
        <v>42516</v>
      </c>
      <c r="L25" s="30">
        <f>_xll.qlOvernightIndexedSwapFairRate(H25,InterestRatesTrigger)</f>
        <v>6.1543002831883336E-3</v>
      </c>
      <c r="M25" s="51" t="e">
        <f>_xll.qlInterpolationInterpolate(BasisInterpolator,I25)</f>
        <v>#VALUE!</v>
      </c>
      <c r="N25" s="30" t="e">
        <f t="shared" si="0"/>
        <v>#VALUE!</v>
      </c>
    </row>
    <row r="26" spans="1:14" x14ac:dyDescent="0.2">
      <c r="A26" s="28"/>
      <c r="B26" s="29"/>
      <c r="C26" s="34"/>
      <c r="D26" s="35"/>
      <c r="E26" s="30" t="e">
        <v>#NUM!</v>
      </c>
      <c r="F26" s="27">
        <v>20</v>
      </c>
      <c r="G26" s="80">
        <f>_xll.qlInterestRateIndexFixingDate(IborIndex,I26)</f>
        <v>42174</v>
      </c>
      <c r="H26" s="27" t="str">
        <f>_xll.qlMakeDatedOIS(,I26,J26,OvernightIndex,0,"Act/360",0)</f>
        <v>obj_00064#0005</v>
      </c>
      <c r="I26" s="80">
        <f>_xll.qlCalendarAdvance(Calendar,$D$2,F26&amp;"M","mf")</f>
        <v>42178</v>
      </c>
      <c r="J26" s="80">
        <f>_xll.qlInterestRateIndexMaturity(IborIndex,I26)</f>
        <v>42544</v>
      </c>
      <c r="L26" s="30">
        <f>_xll.qlOvernightIndexedSwapFairRate(H26,InterestRatesTrigger)</f>
        <v>6.6394734879659349E-3</v>
      </c>
      <c r="M26" s="51" t="e">
        <f>_xll.qlInterpolationInterpolate(BasisInterpolator,I26)</f>
        <v>#VALUE!</v>
      </c>
      <c r="N26" s="30" t="e">
        <f t="shared" si="0"/>
        <v>#VALUE!</v>
      </c>
    </row>
    <row r="27" spans="1:14" x14ac:dyDescent="0.2">
      <c r="A27" s="28"/>
      <c r="B27" s="29"/>
      <c r="C27" s="34"/>
      <c r="D27" s="35"/>
      <c r="E27" s="30" t="e">
        <v>#NUM!</v>
      </c>
      <c r="F27" s="27">
        <v>21</v>
      </c>
      <c r="G27" s="80">
        <f>_xll.qlInterestRateIndexFixingDate(IborIndex,I27)</f>
        <v>42206</v>
      </c>
      <c r="H27" s="27" t="str">
        <f>_xll.qlMakeDatedOIS(,I27,J27,OvernightIndex,0,"Act/360",0)</f>
        <v>obj_00074#0005</v>
      </c>
      <c r="I27" s="80">
        <f>_xll.qlCalendarAdvance(Calendar,$D$2,F27&amp;"M","mf")</f>
        <v>42208</v>
      </c>
      <c r="J27" s="80">
        <f>_xll.qlInterestRateIndexMaturity(IborIndex,I27)</f>
        <v>42576</v>
      </c>
      <c r="L27" s="30">
        <f>_xll.qlOvernightIndexedSwapFairRate(H27,InterestRatesTrigger)</f>
        <v>7.2277003942027929E-3</v>
      </c>
      <c r="M27" s="51" t="e">
        <f>_xll.qlInterpolationInterpolate(BasisInterpolator,I27)</f>
        <v>#VALUE!</v>
      </c>
      <c r="N27" s="30" t="e">
        <f t="shared" si="0"/>
        <v>#VALUE!</v>
      </c>
    </row>
    <row r="28" spans="1:14" x14ac:dyDescent="0.2">
      <c r="A28" s="28"/>
      <c r="B28" s="29"/>
      <c r="C28" s="34"/>
      <c r="D28" s="35"/>
      <c r="E28" s="30" t="e">
        <v>#NUM!</v>
      </c>
      <c r="F28" s="27">
        <v>22</v>
      </c>
      <c r="G28" s="80">
        <f>_xll.qlInterestRateIndexFixingDate(IborIndex,I28)</f>
        <v>42236</v>
      </c>
      <c r="H28" s="27" t="str">
        <f>_xll.qlMakeDatedOIS(,I28,J28,OvernightIndex,0,"Act/360",0)</f>
        <v>obj_0004d#0005</v>
      </c>
      <c r="I28" s="80">
        <f>_xll.qlCalendarAdvance(Calendar,$D$2,F28&amp;"M","mf")</f>
        <v>42240</v>
      </c>
      <c r="J28" s="80">
        <f>_xll.qlInterestRateIndexMaturity(IborIndex,I28)</f>
        <v>42606</v>
      </c>
      <c r="L28" s="30">
        <f>_xll.qlOvernightIndexedSwapFairRate(H28,InterestRatesTrigger)</f>
        <v>7.8214339750695659E-3</v>
      </c>
      <c r="M28" s="51" t="e">
        <f>_xll.qlInterpolationInterpolate(BasisInterpolator,I28)</f>
        <v>#VALUE!</v>
      </c>
      <c r="N28" s="30" t="e">
        <f t="shared" si="0"/>
        <v>#VALUE!</v>
      </c>
    </row>
    <row r="29" spans="1:14" x14ac:dyDescent="0.2">
      <c r="A29" s="28"/>
      <c r="B29" s="29"/>
      <c r="C29" s="34"/>
      <c r="D29" s="35"/>
      <c r="E29" s="30" t="e">
        <v>#NUM!</v>
      </c>
      <c r="F29" s="27">
        <v>23</v>
      </c>
      <c r="G29" s="80">
        <f>_xll.qlInterestRateIndexFixingDate(IborIndex,I29)</f>
        <v>42268</v>
      </c>
      <c r="H29" s="27" t="str">
        <f>_xll.qlMakeDatedOIS(,I29,J29,OvernightIndex,0,"Act/360",0)</f>
        <v>obj_00051#0005</v>
      </c>
      <c r="I29" s="80">
        <f>_xll.qlCalendarAdvance(Calendar,$D$2,F29&amp;"M","mf")</f>
        <v>42270</v>
      </c>
      <c r="J29" s="80">
        <f>_xll.qlInterestRateIndexMaturity(IborIndex,I29)</f>
        <v>42636</v>
      </c>
      <c r="L29" s="30">
        <f>_xll.qlOvernightIndexedSwapFairRate(H29,InterestRatesTrigger)</f>
        <v>8.434250006757486E-3</v>
      </c>
      <c r="M29" s="51" t="e">
        <f>_xll.qlInterpolationInterpolate(BasisInterpolator,I29)</f>
        <v>#VALUE!</v>
      </c>
      <c r="N29" s="30" t="e">
        <f t="shared" si="0"/>
        <v>#VALUE!</v>
      </c>
    </row>
    <row r="30" spans="1:14" x14ac:dyDescent="0.2">
      <c r="A30" s="28"/>
      <c r="B30" s="29"/>
      <c r="C30" s="34"/>
      <c r="D30" s="35"/>
      <c r="E30" s="30" t="e">
        <v>#NUM!</v>
      </c>
      <c r="F30" s="27">
        <v>25</v>
      </c>
      <c r="G30" s="80">
        <f>_xll.qlInterestRateIndexFixingDate(IborIndex,I30)</f>
        <v>42327</v>
      </c>
      <c r="H30" s="27" t="str">
        <f>_xll.qlMakeDatedOIS(,I30,J30,OvernightIndex,0,"Act/360",0)</f>
        <v>obj_0005d#0005</v>
      </c>
      <c r="I30" s="80">
        <f>_xll.qlCalendarAdvance(Calendar,$D$2,F30&amp;"M","mf")</f>
        <v>42331</v>
      </c>
      <c r="J30" s="80">
        <f>_xll.qlInterestRateIndexMaturity(IborIndex,I30)</f>
        <v>42697</v>
      </c>
      <c r="L30" s="30">
        <f>_xll.qlOvernightIndexedSwapFairRate(H30,InterestRatesTrigger)</f>
        <v>9.7548224381109067E-3</v>
      </c>
      <c r="M30" s="51" t="e">
        <f>_xll.qlInterpolationInterpolate(BasisInterpolator,I30)</f>
        <v>#VALUE!</v>
      </c>
      <c r="N30" s="30" t="e">
        <f t="shared" si="0"/>
        <v>#VALUE!</v>
      </c>
    </row>
    <row r="31" spans="1:14" x14ac:dyDescent="0.2">
      <c r="A31" s="28"/>
      <c r="B31" s="29"/>
      <c r="C31" s="34"/>
      <c r="D31" s="35"/>
      <c r="E31" s="30" t="e">
        <v>#NUM!</v>
      </c>
      <c r="F31" s="27">
        <v>26</v>
      </c>
      <c r="G31" s="80">
        <f>_xll.qlInterestRateIndexFixingDate(IborIndex,I31)</f>
        <v>42359</v>
      </c>
      <c r="H31" s="27" t="str">
        <f>_xll.qlMakeDatedOIS(,I31,J31,OvernightIndex,0,"Act/360",0)</f>
        <v>obj_00063#0005</v>
      </c>
      <c r="I31" s="80">
        <f>_xll.qlCalendarAdvance(Calendar,$D$2,F31&amp;"M","mf")</f>
        <v>42361</v>
      </c>
      <c r="J31" s="80">
        <f>_xll.qlInterestRateIndexMaturity(IborIndex,I31)</f>
        <v>42727</v>
      </c>
      <c r="L31" s="30">
        <f>_xll.qlOvernightIndexedSwapFairRate(H31,InterestRatesTrigger)</f>
        <v>1.0434883560519944E-2</v>
      </c>
      <c r="M31" s="51" t="e">
        <f>_xll.qlInterpolationInterpolate(BasisInterpolator,I31)</f>
        <v>#VALUE!</v>
      </c>
      <c r="N31" s="30" t="e">
        <f t="shared" si="0"/>
        <v>#VALUE!</v>
      </c>
    </row>
    <row r="32" spans="1:14" x14ac:dyDescent="0.2">
      <c r="A32" s="28"/>
      <c r="B32" s="29"/>
      <c r="C32" s="34"/>
      <c r="D32" s="35"/>
      <c r="E32" s="30" t="e">
        <v>#NUM!</v>
      </c>
      <c r="F32" s="27">
        <v>27</v>
      </c>
      <c r="G32" s="80">
        <f>_xll.qlInterestRateIndexFixingDate(IborIndex,I32)</f>
        <v>42390</v>
      </c>
      <c r="H32" s="27" t="str">
        <f>_xll.qlMakeDatedOIS(,I32,J32,OvernightIndex,0,"Act/360",0)</f>
        <v>obj_00061#0005</v>
      </c>
      <c r="I32" s="80">
        <f>_xll.qlCalendarAdvance(Calendar,$D$2,F32&amp;"M","mf")</f>
        <v>42394</v>
      </c>
      <c r="J32" s="80">
        <f>_xll.qlInterestRateIndexMaturity(IborIndex,I32)</f>
        <v>42760</v>
      </c>
      <c r="L32" s="30">
        <f>_xll.qlOvernightIndexedSwapFairRate(H32,InterestRatesTrigger)</f>
        <v>1.1202606156953185E-2</v>
      </c>
      <c r="M32" s="51" t="e">
        <f>_xll.qlInterpolationInterpolate(BasisInterpolator,I32)</f>
        <v>#VALUE!</v>
      </c>
      <c r="N32" s="30" t="e">
        <f t="shared" si="0"/>
        <v>#VALUE!</v>
      </c>
    </row>
    <row r="33" spans="1:14" x14ac:dyDescent="0.2">
      <c r="A33" s="28"/>
      <c r="B33" s="29"/>
      <c r="C33" s="34"/>
      <c r="D33" s="35"/>
      <c r="E33" s="30" t="e">
        <v>#NUM!</v>
      </c>
      <c r="F33" s="27">
        <v>28</v>
      </c>
      <c r="G33" s="80">
        <f>_xll.qlInterestRateIndexFixingDate(IborIndex,I33)</f>
        <v>42419</v>
      </c>
      <c r="H33" s="27" t="str">
        <f>_xll.qlMakeDatedOIS(,I33,J33,OvernightIndex,0,"Act/360",0)</f>
        <v>obj_0004a#0005</v>
      </c>
      <c r="I33" s="80">
        <f>_xll.qlCalendarAdvance(Calendar,$D$2,F33&amp;"M","mf")</f>
        <v>42423</v>
      </c>
      <c r="J33" s="80">
        <f>_xll.qlInterestRateIndexMaturity(IborIndex,I33)</f>
        <v>42789</v>
      </c>
      <c r="L33" s="30">
        <f>_xll.qlOvernightIndexedSwapFairRate(H33,InterestRatesTrigger)</f>
        <v>1.1891546569662839E-2</v>
      </c>
      <c r="M33" s="51" t="e">
        <f>_xll.qlInterpolationInterpolate(BasisInterpolator,I33)</f>
        <v>#VALUE!</v>
      </c>
      <c r="N33" s="30" t="e">
        <f t="shared" si="0"/>
        <v>#VALUE!</v>
      </c>
    </row>
    <row r="34" spans="1:14" x14ac:dyDescent="0.2">
      <c r="A34" s="28"/>
      <c r="B34" s="29"/>
      <c r="C34" s="34"/>
      <c r="D34" s="35"/>
      <c r="E34" s="30" t="e">
        <v>#NUM!</v>
      </c>
      <c r="F34" s="27">
        <v>29</v>
      </c>
      <c r="G34" s="80">
        <f>_xll.qlInterestRateIndexFixingDate(IborIndex,I34)</f>
        <v>42450</v>
      </c>
      <c r="H34" s="27" t="str">
        <f>_xll.qlMakeDatedOIS(,I34,J34,OvernightIndex,0,"Act/360",0)</f>
        <v>obj_00076#0005</v>
      </c>
      <c r="I34" s="80">
        <f>_xll.qlCalendarAdvance(Calendar,$D$2,F34&amp;"M","mf")</f>
        <v>42452</v>
      </c>
      <c r="J34" s="80">
        <f>_xll.qlInterestRateIndexMaturity(IborIndex,I34)</f>
        <v>42817</v>
      </c>
      <c r="L34" s="30">
        <f>_xll.qlOvernightIndexedSwapFairRate(H34,InterestRatesTrigger)</f>
        <v>1.2578614756701261E-2</v>
      </c>
      <c r="M34" s="51" t="e">
        <f>_xll.qlInterpolationInterpolate(BasisInterpolator,I34)</f>
        <v>#VALUE!</v>
      </c>
      <c r="N34" s="30" t="e">
        <f t="shared" si="0"/>
        <v>#VALUE!</v>
      </c>
    </row>
    <row r="35" spans="1:14" x14ac:dyDescent="0.2">
      <c r="A35" s="28"/>
      <c r="B35" s="29"/>
      <c r="C35" s="34"/>
      <c r="D35" s="35"/>
      <c r="E35" s="30" t="e">
        <v>#NUM!</v>
      </c>
      <c r="F35" s="27">
        <v>30</v>
      </c>
      <c r="G35" s="80">
        <f>_xll.qlInterestRateIndexFixingDate(IborIndex,I35)</f>
        <v>42481</v>
      </c>
      <c r="H35" s="27" t="str">
        <f>_xll.qlMakeDatedOIS(,I35,J35,OvernightIndex,0,"Act/360",0)</f>
        <v>obj_00060#0005</v>
      </c>
      <c r="I35" s="80">
        <f>_xll.qlCalendarAdvance(Calendar,$D$2,F35&amp;"M","mf")</f>
        <v>42485</v>
      </c>
      <c r="J35" s="80">
        <f>_xll.qlInterestRateIndexMaturity(IborIndex,I35)</f>
        <v>42850</v>
      </c>
      <c r="L35" s="30">
        <f>_xll.qlOvernightIndexedSwapFairRate(H35,InterestRatesTrigger)</f>
        <v>1.3384972123337217E-2</v>
      </c>
      <c r="M35" s="51" t="e">
        <f>_xll.qlInterpolationInterpolate(BasisInterpolator,I35)</f>
        <v>#VALUE!</v>
      </c>
      <c r="N35" s="30" t="e">
        <f t="shared" si="0"/>
        <v>#VALUE!</v>
      </c>
    </row>
    <row r="36" spans="1:14" x14ac:dyDescent="0.2">
      <c r="A36" s="28"/>
      <c r="B36" s="29"/>
      <c r="C36" s="34"/>
      <c r="D36" s="35"/>
      <c r="E36" s="30" t="e">
        <v>#NUM!</v>
      </c>
      <c r="F36" s="27">
        <v>31</v>
      </c>
      <c r="G36" s="80">
        <f>_xll.qlInterestRateIndexFixingDate(IborIndex,I36)</f>
        <v>42509</v>
      </c>
      <c r="H36" s="27" t="str">
        <f>_xll.qlMakeDatedOIS(,I36,J36,OvernightIndex,0,"Act/360",0)</f>
        <v>obj_0006f#0005</v>
      </c>
      <c r="I36" s="80">
        <f>_xll.qlCalendarAdvance(Calendar,$D$2,F36&amp;"M","mf")</f>
        <v>42513</v>
      </c>
      <c r="J36" s="80">
        <f>_xll.qlInterestRateIndexMaturity(IborIndex,I36)</f>
        <v>42878</v>
      </c>
      <c r="L36" s="30">
        <f>_xll.qlOvernightIndexedSwapFairRate(H36,InterestRatesTrigger)</f>
        <v>1.4075064870975259E-2</v>
      </c>
      <c r="M36" s="51" t="e">
        <f>_xll.qlInterpolationInterpolate(BasisInterpolator,I36)</f>
        <v>#VALUE!</v>
      </c>
      <c r="N36" s="30" t="e">
        <f t="shared" si="0"/>
        <v>#VALUE!</v>
      </c>
    </row>
    <row r="37" spans="1:14" x14ac:dyDescent="0.2">
      <c r="A37" s="28"/>
      <c r="B37" s="29"/>
      <c r="C37" s="34"/>
      <c r="D37" s="35"/>
      <c r="E37" s="30" t="e">
        <v>#NUM!</v>
      </c>
      <c r="F37" s="27">
        <v>32</v>
      </c>
      <c r="G37" s="80">
        <f>_xll.qlInterestRateIndexFixingDate(IborIndex,I37)</f>
        <v>42542</v>
      </c>
      <c r="H37" s="27" t="str">
        <f>_xll.qlMakeDatedOIS(,I37,J37,OvernightIndex,0,"Act/360",0)</f>
        <v>obj_0004f#0005</v>
      </c>
      <c r="I37" s="80">
        <f>_xll.qlCalendarAdvance(Calendar,$D$2,F37&amp;"M","mf")</f>
        <v>42544</v>
      </c>
      <c r="J37" s="80">
        <f>_xll.qlInterestRateIndexMaturity(IborIndex,I37)</f>
        <v>42909</v>
      </c>
      <c r="L37" s="30">
        <f>_xll.qlOvernightIndexedSwapFairRate(H37,InterestRatesTrigger)</f>
        <v>1.484261609240811E-2</v>
      </c>
      <c r="M37" s="51" t="e">
        <f>_xll.qlInterpolationInterpolate(BasisInterpolator,I37)</f>
        <v>#VALUE!</v>
      </c>
      <c r="N37" s="30" t="e">
        <f t="shared" si="0"/>
        <v>#VALUE!</v>
      </c>
    </row>
    <row r="38" spans="1:14" x14ac:dyDescent="0.2">
      <c r="A38" s="28"/>
      <c r="B38" s="29"/>
      <c r="C38" s="34"/>
      <c r="D38" s="35"/>
      <c r="E38" s="30" t="e">
        <v>#NUM!</v>
      </c>
      <c r="F38" s="27">
        <v>33</v>
      </c>
      <c r="G38" s="80">
        <f>_xll.qlInterestRateIndexFixingDate(IborIndex,I38)</f>
        <v>42572</v>
      </c>
      <c r="H38" s="27" t="str">
        <f>_xll.qlMakeDatedOIS(,I38,J38,OvernightIndex,0,"Act/360",0)</f>
        <v>obj_0005a#0005</v>
      </c>
      <c r="I38" s="80">
        <f>_xll.qlCalendarAdvance(Calendar,$D$2,F38&amp;"M","mf")</f>
        <v>42576</v>
      </c>
      <c r="J38" s="80">
        <f>_xll.qlInterestRateIndexMaturity(IborIndex,I38)</f>
        <v>42941</v>
      </c>
      <c r="L38" s="30">
        <f>_xll.qlOvernightIndexedSwapFairRate(H38,InterestRatesTrigger)</f>
        <v>1.5635734418163946E-2</v>
      </c>
      <c r="M38" s="51" t="e">
        <f>_xll.qlInterpolationInterpolate(BasisInterpolator,I38)</f>
        <v>#VALUE!</v>
      </c>
      <c r="N38" s="30" t="e">
        <f t="shared" si="0"/>
        <v>#VALUE!</v>
      </c>
    </row>
    <row r="39" spans="1:14" x14ac:dyDescent="0.2">
      <c r="A39" s="28"/>
      <c r="B39" s="29"/>
      <c r="C39" s="34"/>
      <c r="D39" s="35"/>
      <c r="E39" s="30" t="e">
        <v>#NUM!</v>
      </c>
      <c r="F39" s="27">
        <v>34</v>
      </c>
      <c r="G39" s="80">
        <f>_xll.qlInterestRateIndexFixingDate(IborIndex,I39)</f>
        <v>42601</v>
      </c>
      <c r="H39" s="27" t="str">
        <f>_xll.qlMakeDatedOIS(,I39,J39,OvernightIndex,0,"Act/360",0)</f>
        <v>obj_00054#0005</v>
      </c>
      <c r="I39" s="80">
        <f>_xll.qlCalendarAdvance(Calendar,$D$2,F39&amp;"M","mf")</f>
        <v>42605</v>
      </c>
      <c r="J39" s="80">
        <f>_xll.qlInterestRateIndexMaturity(IborIndex,I39)</f>
        <v>42970</v>
      </c>
      <c r="L39" s="30">
        <f>_xll.qlOvernightIndexedSwapFairRate(H39,InterestRatesTrigger)</f>
        <v>1.6352472614433497E-2</v>
      </c>
      <c r="M39" s="51" t="e">
        <f>_xll.qlInterpolationInterpolate(BasisInterpolator,I39)</f>
        <v>#VALUE!</v>
      </c>
      <c r="N39" s="30" t="e">
        <f t="shared" si="0"/>
        <v>#VALUE!</v>
      </c>
    </row>
    <row r="40" spans="1:14" x14ac:dyDescent="0.2">
      <c r="A40" s="28"/>
      <c r="B40" s="29"/>
      <c r="C40" s="34"/>
      <c r="D40" s="35"/>
      <c r="E40" s="30" t="e">
        <v>#NUM!</v>
      </c>
      <c r="F40" s="27">
        <v>35</v>
      </c>
      <c r="G40" s="80">
        <f>_xll.qlInterestRateIndexFixingDate(IborIndex,I40)</f>
        <v>42634</v>
      </c>
      <c r="H40" s="27" t="str">
        <f>_xll.qlMakeDatedOIS(,I40,J40,OvernightIndex,0,"Act/360",0)</f>
        <v>obj_00069#0005</v>
      </c>
      <c r="I40" s="80">
        <f>_xll.qlCalendarAdvance(Calendar,$D$2,F40&amp;"M","mf")</f>
        <v>42636</v>
      </c>
      <c r="J40" s="80">
        <f>_xll.qlInterestRateIndexMaturity(IborIndex,I40)</f>
        <v>43003</v>
      </c>
      <c r="L40" s="30">
        <f>_xll.qlOvernightIndexedSwapFairRate(H40,InterestRatesTrigger)</f>
        <v>1.7138171280789243E-2</v>
      </c>
      <c r="M40" s="51" t="e">
        <f>_xll.qlInterpolationInterpolate(BasisInterpolator,I40)</f>
        <v>#VALUE!</v>
      </c>
      <c r="N40" s="30" t="e">
        <f t="shared" si="0"/>
        <v>#VALUE!</v>
      </c>
    </row>
    <row r="41" spans="1:14" x14ac:dyDescent="0.2">
      <c r="A41" s="28"/>
      <c r="B41" s="29"/>
      <c r="C41" s="34"/>
      <c r="D41" s="35"/>
      <c r="E41" s="30" t="e">
        <v>#NUM!</v>
      </c>
      <c r="F41" s="27">
        <v>37</v>
      </c>
      <c r="G41" s="80">
        <f>_xll.qlInterestRateIndexFixingDate(IborIndex,I41)</f>
        <v>42695</v>
      </c>
      <c r="H41" s="27" t="str">
        <f>_xll.qlMakeDatedOIS(,I41,J41,OvernightIndex,0,"Act/360",0)</f>
        <v>obj_00062#0005</v>
      </c>
      <c r="I41" s="80">
        <f>_xll.qlCalendarAdvance(Calendar,$D$2,F41&amp;"M","mf")</f>
        <v>42697</v>
      </c>
      <c r="J41" s="80">
        <f>_xll.qlInterestRateIndexMaturity(IborIndex,I41)</f>
        <v>43063</v>
      </c>
      <c r="L41" s="30">
        <f>_xll.qlOvernightIndexedSwapFairRate(H41,InterestRatesTrigger)</f>
        <v>1.8595923003806643E-2</v>
      </c>
      <c r="M41" s="51" t="e">
        <f>_xll.qlInterpolationInterpolate(BasisInterpolator,I41)</f>
        <v>#VALUE!</v>
      </c>
      <c r="N41" s="30" t="e">
        <f t="shared" si="0"/>
        <v>#VALUE!</v>
      </c>
    </row>
    <row r="42" spans="1:14" x14ac:dyDescent="0.2">
      <c r="A42" s="28"/>
      <c r="B42" s="29"/>
      <c r="C42" s="34"/>
      <c r="D42" s="35"/>
      <c r="E42" s="30" t="e">
        <v>#NUM!</v>
      </c>
      <c r="F42" s="27">
        <v>38</v>
      </c>
      <c r="G42" s="80">
        <f>_xll.qlInterestRateIndexFixingDate(IborIndex,I42)</f>
        <v>42725</v>
      </c>
      <c r="H42" s="27" t="str">
        <f>_xll.qlMakeDatedOIS(,I42,J42,OvernightIndex,0,"Act/360",0)</f>
        <v>obj_00065#0005</v>
      </c>
      <c r="I42" s="80">
        <f>_xll.qlCalendarAdvance(Calendar,$D$2,F42&amp;"M","mf")</f>
        <v>42727</v>
      </c>
      <c r="J42" s="80">
        <f>_xll.qlInterestRateIndexMaturity(IborIndex,I42)</f>
        <v>43096</v>
      </c>
      <c r="L42" s="30">
        <f>_xll.qlOvernightIndexedSwapFairRate(H42,InterestRatesTrigger)</f>
        <v>1.9339671178699183E-2</v>
      </c>
      <c r="M42" s="51" t="e">
        <f>_xll.qlInterpolationInterpolate(BasisInterpolator,I42)</f>
        <v>#VALUE!</v>
      </c>
      <c r="N42" s="30" t="e">
        <f t="shared" si="0"/>
        <v>#VALUE!</v>
      </c>
    </row>
    <row r="43" spans="1:14" x14ac:dyDescent="0.2">
      <c r="A43" s="28"/>
      <c r="B43" s="29"/>
      <c r="C43" s="34"/>
      <c r="D43" s="35"/>
      <c r="E43" s="30" t="e">
        <v>#NUM!</v>
      </c>
      <c r="F43" s="27">
        <v>39</v>
      </c>
      <c r="G43" s="80">
        <f>_xll.qlInterestRateIndexFixingDate(IborIndex,I43)</f>
        <v>42754</v>
      </c>
      <c r="H43" s="27" t="str">
        <f>_xll.qlMakeDatedOIS(,I43,J43,OvernightIndex,0,"Act/360",0)</f>
        <v>obj_0004e#0005</v>
      </c>
      <c r="I43" s="80">
        <f>_xll.qlCalendarAdvance(Calendar,$D$2,F43&amp;"M","mf")</f>
        <v>42758</v>
      </c>
      <c r="J43" s="80">
        <f>_xll.qlInterestRateIndexMaturity(IborIndex,I43)</f>
        <v>43123</v>
      </c>
      <c r="L43" s="30">
        <f>_xll.qlOvernightIndexedSwapFairRate(H43,InterestRatesTrigger)</f>
        <v>2.0011037881006853E-2</v>
      </c>
      <c r="M43" s="51" t="e">
        <f>_xll.qlInterpolationInterpolate(BasisInterpolator,I43)</f>
        <v>#VALUE!</v>
      </c>
      <c r="N43" s="30" t="e">
        <f t="shared" si="0"/>
        <v>#VALUE!</v>
      </c>
    </row>
    <row r="44" spans="1:14" x14ac:dyDescent="0.2">
      <c r="A44" s="28"/>
      <c r="B44" s="29"/>
      <c r="C44" s="34"/>
      <c r="D44" s="35"/>
      <c r="E44" s="30" t="e">
        <v>#NUM!</v>
      </c>
      <c r="F44" s="27">
        <v>40</v>
      </c>
      <c r="G44" s="80">
        <f>_xll.qlInterestRateIndexFixingDate(IborIndex,I44)</f>
        <v>42787</v>
      </c>
      <c r="H44" s="27" t="str">
        <f>_xll.qlMakeDatedOIS(,I44,J44,OvernightIndex,0,"Act/360",0)</f>
        <v>obj_00052#0005</v>
      </c>
      <c r="I44" s="80">
        <f>_xll.qlCalendarAdvance(Calendar,$D$2,F44&amp;"M","mf")</f>
        <v>42789</v>
      </c>
      <c r="J44" s="80">
        <f>_xll.qlInterestRateIndexMaturity(IborIndex,I44)</f>
        <v>43154</v>
      </c>
      <c r="L44" s="30">
        <f>_xll.qlOvernightIndexedSwapFairRate(H44,InterestRatesTrigger)</f>
        <v>2.0716469524159297E-2</v>
      </c>
      <c r="M44" s="51" t="e">
        <f>_xll.qlInterpolationInterpolate(BasisInterpolator,I44)</f>
        <v>#VALUE!</v>
      </c>
      <c r="N44" s="30" t="e">
        <f t="shared" si="0"/>
        <v>#VALUE!</v>
      </c>
    </row>
    <row r="45" spans="1:14" x14ac:dyDescent="0.2">
      <c r="A45" s="28"/>
      <c r="B45" s="29"/>
      <c r="C45" s="34"/>
      <c r="D45" s="35"/>
      <c r="E45" s="51" t="e">
        <v>#NUM!</v>
      </c>
      <c r="F45" s="27">
        <v>41</v>
      </c>
      <c r="G45" s="80">
        <f>_xll.qlInterestRateIndexFixingDate(IborIndex,I45)</f>
        <v>42815</v>
      </c>
      <c r="H45" s="27" t="str">
        <f>_xll.qlMakeDatedOIS(,I45,J45,OvernightIndex,0,"Act/360",0)</f>
        <v>obj_00077#0005</v>
      </c>
      <c r="I45" s="80">
        <f>_xll.qlCalendarAdvance(Calendar,$D$2,F45&amp;"M","mf")</f>
        <v>42817</v>
      </c>
      <c r="J45" s="80">
        <f>_xll.qlInterestRateIndexMaturity(IborIndex,I45)</f>
        <v>43182</v>
      </c>
      <c r="L45" s="30">
        <f>_xll.qlOvernightIndexedSwapFairRate(H45,InterestRatesTrigger)</f>
        <v>2.134176865909225E-2</v>
      </c>
      <c r="M45" s="51" t="e">
        <f>_xll.qlInterpolationInterpolate(BasisInterpolator,I45)</f>
        <v>#VALUE!</v>
      </c>
      <c r="N45" s="30" t="e">
        <f t="shared" si="0"/>
        <v>#VALUE!</v>
      </c>
    </row>
    <row r="46" spans="1:14" x14ac:dyDescent="0.2">
      <c r="A46" s="28"/>
      <c r="B46" s="29"/>
      <c r="C46" s="34"/>
      <c r="D46" s="35"/>
      <c r="E46" s="51" t="e">
        <v>#NUM!</v>
      </c>
      <c r="F46" s="27">
        <v>42</v>
      </c>
      <c r="G46" s="80">
        <f>_xll.qlInterestRateIndexFixingDate(IborIndex,I46)</f>
        <v>42845</v>
      </c>
      <c r="H46" s="27" t="str">
        <f>_xll.qlMakeDatedOIS(,I46,J46,OvernightIndex,0,"Act/360",0)</f>
        <v>obj_0005f#0005</v>
      </c>
      <c r="I46" s="80">
        <f>_xll.qlCalendarAdvance(Calendar,$D$2,F46&amp;"M","mf")</f>
        <v>42849</v>
      </c>
      <c r="J46" s="80">
        <f>_xll.qlInterestRateIndexMaturity(IborIndex,I46)</f>
        <v>43214</v>
      </c>
      <c r="L46" s="30">
        <f>_xll.qlOvernightIndexedSwapFairRate(H46,InterestRatesTrigger)</f>
        <v>2.2041961525285498E-2</v>
      </c>
      <c r="M46" s="51" t="e">
        <f>_xll.qlInterpolationInterpolate(BasisInterpolator,I46)</f>
        <v>#VALUE!</v>
      </c>
      <c r="N46" s="30" t="e">
        <f t="shared" si="0"/>
        <v>#VALUE!</v>
      </c>
    </row>
    <row r="47" spans="1:14" x14ac:dyDescent="0.2">
      <c r="A47" s="28"/>
      <c r="B47" s="29"/>
      <c r="C47" s="34"/>
      <c r="D47" s="35"/>
      <c r="E47" s="51" t="e">
        <v>#NUM!</v>
      </c>
      <c r="F47" s="27">
        <v>43</v>
      </c>
      <c r="G47" s="80">
        <f>_xll.qlInterestRateIndexFixingDate(IborIndex,I47)</f>
        <v>42874</v>
      </c>
      <c r="H47" s="27" t="str">
        <f>_xll.qlMakeDatedOIS(,I47,J47,OvernightIndex,0,"Act/360",0)</f>
        <v>obj_00073#0005</v>
      </c>
      <c r="I47" s="80">
        <f>_xll.qlCalendarAdvance(Calendar,$D$2,F47&amp;"M","mf")</f>
        <v>42878</v>
      </c>
      <c r="J47" s="80">
        <f>_xll.qlInterestRateIndexMaturity(IborIndex,I47)</f>
        <v>43243</v>
      </c>
      <c r="L47" s="30">
        <f>_xll.qlOvernightIndexedSwapFairRate(H47,InterestRatesTrigger)</f>
        <v>2.2662629709061216E-2</v>
      </c>
      <c r="M47" s="51" t="e">
        <f>_xll.qlInterpolationInterpolate(BasisInterpolator,I47)</f>
        <v>#VALUE!</v>
      </c>
      <c r="N47" s="30" t="e">
        <f t="shared" si="0"/>
        <v>#VALUE!</v>
      </c>
    </row>
    <row r="48" spans="1:14" x14ac:dyDescent="0.2">
      <c r="A48" s="28"/>
      <c r="B48" s="29"/>
      <c r="C48" s="34"/>
      <c r="D48" s="35"/>
      <c r="E48" s="51" t="e">
        <v>#NUM!</v>
      </c>
      <c r="F48" s="27">
        <v>44</v>
      </c>
      <c r="G48" s="80">
        <f>_xll.qlInterestRateIndexFixingDate(IborIndex,I48)</f>
        <v>42907</v>
      </c>
      <c r="H48" s="27" t="str">
        <f>_xll.qlMakeDatedOIS(,I48,J48,OvernightIndex,0,"Act/360",0)</f>
        <v>obj_00075#0005</v>
      </c>
      <c r="I48" s="80">
        <f>_xll.qlCalendarAdvance(Calendar,$D$2,F48&amp;"M","mf")</f>
        <v>42909</v>
      </c>
      <c r="J48" s="80">
        <f>_xll.qlInterestRateIndexMaturity(IborIndex,I48)</f>
        <v>43276</v>
      </c>
      <c r="L48" s="30">
        <f>_xll.qlOvernightIndexedSwapFairRate(H48,InterestRatesTrigger)</f>
        <v>2.3331914124442944E-2</v>
      </c>
      <c r="M48" s="51" t="e">
        <f>_xll.qlInterpolationInterpolate(BasisInterpolator,I48)</f>
        <v>#VALUE!</v>
      </c>
      <c r="N48" s="30" t="e">
        <f t="shared" si="0"/>
        <v>#VALUE!</v>
      </c>
    </row>
    <row r="49" spans="1:14" x14ac:dyDescent="0.2">
      <c r="A49" s="28"/>
      <c r="B49" s="29"/>
      <c r="C49" s="34"/>
      <c r="D49" s="35"/>
      <c r="E49" s="51" t="e">
        <v>#NUM!</v>
      </c>
      <c r="F49" s="27">
        <v>45</v>
      </c>
      <c r="G49" s="80">
        <f>_xll.qlInterestRateIndexFixingDate(IborIndex,I49)</f>
        <v>42936</v>
      </c>
      <c r="H49" s="27" t="str">
        <f>_xll.qlMakeDatedOIS(,I49,J49,OvernightIndex,0,"Act/360",0)</f>
        <v>obj_00050#0005</v>
      </c>
      <c r="I49" s="80">
        <f>_xll.qlCalendarAdvance(Calendar,$D$2,F49&amp;"M","mf")</f>
        <v>42940</v>
      </c>
      <c r="J49" s="80">
        <f>_xll.qlInterestRateIndexMaturity(IborIndex,I49)</f>
        <v>43305</v>
      </c>
      <c r="L49" s="30">
        <f>_xll.qlOvernightIndexedSwapFairRate(H49,InterestRatesTrigger)</f>
        <v>2.3942731408598397E-2</v>
      </c>
      <c r="M49" s="51" t="e">
        <f>_xll.qlInterpolationInterpolate(BasisInterpolator,I49)</f>
        <v>#VALUE!</v>
      </c>
      <c r="N49" s="30" t="e">
        <f t="shared" si="0"/>
        <v>#VALUE!</v>
      </c>
    </row>
    <row r="50" spans="1:14" x14ac:dyDescent="0.2">
      <c r="A50" s="28"/>
      <c r="B50" s="29"/>
      <c r="C50" s="34"/>
      <c r="D50" s="35"/>
      <c r="E50" s="51" t="e">
        <v>#NUM!</v>
      </c>
      <c r="F50" s="27">
        <v>46</v>
      </c>
      <c r="G50" s="80">
        <f>_xll.qlInterestRateIndexFixingDate(IborIndex,I50)</f>
        <v>42968</v>
      </c>
      <c r="H50" s="27" t="str">
        <f>_xll.qlMakeDatedOIS(,I50,J50,OvernightIndex,0,"Act/360",0)</f>
        <v>obj_0006a#0005</v>
      </c>
      <c r="I50" s="80">
        <f>_xll.qlCalendarAdvance(Calendar,$D$2,F50&amp;"M","mf")</f>
        <v>42970</v>
      </c>
      <c r="J50" s="80">
        <f>_xll.qlInterestRateIndexMaturity(IborIndex,I50)</f>
        <v>43335</v>
      </c>
      <c r="L50" s="30">
        <f>_xll.qlOvernightIndexedSwapFairRate(H50,InterestRatesTrigger)</f>
        <v>2.4537980896173091E-2</v>
      </c>
      <c r="M50" s="51" t="e">
        <f>_xll.qlInterpolationInterpolate(BasisInterpolator,I50)</f>
        <v>#VALUE!</v>
      </c>
      <c r="N50" s="30" t="e">
        <f t="shared" si="0"/>
        <v>#VALUE!</v>
      </c>
    </row>
    <row r="51" spans="1:14" x14ac:dyDescent="0.2">
      <c r="A51" s="28"/>
      <c r="B51" s="29"/>
      <c r="C51" s="34"/>
      <c r="D51" s="35"/>
      <c r="E51" s="51" t="e">
        <v>#NUM!</v>
      </c>
      <c r="F51" s="27">
        <v>47</v>
      </c>
      <c r="G51" s="80">
        <f>_xll.qlInterestRateIndexFixingDate(IborIndex,I51)</f>
        <v>42999</v>
      </c>
      <c r="H51" s="27" t="str">
        <f>_xll.qlMakeDatedOIS(,I51,J51,OvernightIndex,0,"Act/360",0)</f>
        <v>obj_0005b#0005</v>
      </c>
      <c r="I51" s="80">
        <f>_xll.qlCalendarAdvance(Calendar,$D$2,F51&amp;"M","mf")</f>
        <v>43003</v>
      </c>
      <c r="J51" s="80">
        <f>_xll.qlInterestRateIndexMaturity(IborIndex,I51)</f>
        <v>43368</v>
      </c>
      <c r="L51" s="30">
        <f>_xll.qlOvernightIndexedSwapFairRate(H51,InterestRatesTrigger)</f>
        <v>2.5173595178919435E-2</v>
      </c>
      <c r="M51" s="51" t="e">
        <f>_xll.qlInterpolationInterpolate(BasisInterpolator,I51)</f>
        <v>#VALUE!</v>
      </c>
      <c r="N51" s="30" t="e">
        <f t="shared" si="0"/>
        <v>#VALUE!</v>
      </c>
    </row>
    <row r="52" spans="1:14" x14ac:dyDescent="0.2">
      <c r="A52" s="28"/>
      <c r="B52" s="29"/>
      <c r="C52" s="34"/>
      <c r="D52" s="35"/>
      <c r="E52" s="51" t="e">
        <v>#NUM!</v>
      </c>
    </row>
    <row r="53" spans="1:14" x14ac:dyDescent="0.2">
      <c r="A53" s="28"/>
      <c r="B53" s="29"/>
      <c r="C53" s="34"/>
      <c r="D53" s="35"/>
      <c r="E53" s="51" t="e">
        <v>#NUM!</v>
      </c>
    </row>
    <row r="54" spans="1:14" x14ac:dyDescent="0.2">
      <c r="A54" s="28"/>
      <c r="B54" s="29"/>
      <c r="C54" s="34"/>
      <c r="D54" s="35"/>
      <c r="E54" s="51" t="e">
        <v>#NUM!</v>
      </c>
    </row>
    <row r="55" spans="1:14" x14ac:dyDescent="0.2">
      <c r="A55" s="28"/>
      <c r="B55" s="29"/>
      <c r="C55" s="34"/>
      <c r="D55" s="35"/>
      <c r="E55" s="51" t="e">
        <v>#NUM!</v>
      </c>
    </row>
    <row r="56" spans="1:14" x14ac:dyDescent="0.2">
      <c r="A56" s="28"/>
      <c r="B56" s="29"/>
      <c r="C56" s="34"/>
      <c r="D56" s="35"/>
      <c r="E56" s="51" t="e">
        <v>#NUM!</v>
      </c>
    </row>
    <row r="57" spans="1:14" x14ac:dyDescent="0.2">
      <c r="A57" s="28"/>
      <c r="B57" s="29"/>
      <c r="C57" s="34"/>
      <c r="D57" s="35"/>
      <c r="E57" s="51" t="e">
        <v>#NUM!</v>
      </c>
    </row>
    <row r="58" spans="1:14" x14ac:dyDescent="0.2">
      <c r="A58" s="28"/>
      <c r="B58" s="29"/>
      <c r="C58" s="34"/>
      <c r="D58" s="35"/>
      <c r="E58" s="51" t="e">
        <v>#NUM!</v>
      </c>
    </row>
    <row r="59" spans="1:14" x14ac:dyDescent="0.2">
      <c r="A59" s="28"/>
      <c r="B59" s="29"/>
      <c r="C59" s="34"/>
      <c r="D59" s="35"/>
      <c r="E59" s="51" t="e">
        <v>#NUM!</v>
      </c>
    </row>
    <row r="60" spans="1:14" x14ac:dyDescent="0.2">
      <c r="A60" s="28"/>
      <c r="B60" s="29"/>
      <c r="C60" s="34"/>
      <c r="D60" s="35"/>
      <c r="E60" s="51" t="e">
        <v>#NUM!</v>
      </c>
    </row>
    <row r="61" spans="1:14" x14ac:dyDescent="0.2">
      <c r="A61" s="28"/>
      <c r="B61" s="29"/>
      <c r="C61" s="34"/>
      <c r="D61" s="35"/>
      <c r="E61" s="51" t="e">
        <v>#NUM!</v>
      </c>
    </row>
    <row r="62" spans="1:14" x14ac:dyDescent="0.2">
      <c r="A62" s="28"/>
      <c r="B62" s="29"/>
      <c r="C62" s="34"/>
      <c r="D62" s="35"/>
      <c r="E62" s="51" t="e">
        <v>#NUM!</v>
      </c>
    </row>
    <row r="63" spans="1:14" x14ac:dyDescent="0.2">
      <c r="A63" s="28"/>
      <c r="B63" s="29"/>
      <c r="C63" s="34"/>
      <c r="D63" s="35"/>
      <c r="E63" s="51" t="e">
        <v>#NUM!</v>
      </c>
    </row>
    <row r="64" spans="1:14" x14ac:dyDescent="0.2">
      <c r="A64" s="28"/>
      <c r="B64" s="29"/>
      <c r="C64" s="34"/>
      <c r="D64" s="35"/>
      <c r="E64" s="51" t="e">
        <v>#NUM!</v>
      </c>
    </row>
    <row r="65" spans="1:5" x14ac:dyDescent="0.2">
      <c r="A65" s="28"/>
      <c r="B65" s="29"/>
      <c r="C65" s="34"/>
      <c r="D65" s="35"/>
      <c r="E65" s="51" t="e">
        <v>#NUM!</v>
      </c>
    </row>
    <row r="66" spans="1:5" x14ac:dyDescent="0.2">
      <c r="A66" s="28"/>
      <c r="B66" s="29"/>
      <c r="C66" s="34"/>
      <c r="D66" s="35"/>
      <c r="E66" s="51" t="e">
        <v>#NUM!</v>
      </c>
    </row>
    <row r="67" spans="1:5" x14ac:dyDescent="0.2">
      <c r="A67" s="28"/>
      <c r="B67" s="29"/>
      <c r="C67" s="34"/>
      <c r="D67" s="35"/>
      <c r="E67" s="51" t="e">
        <v>#NUM!</v>
      </c>
    </row>
    <row r="68" spans="1:5" x14ac:dyDescent="0.2">
      <c r="A68" s="28"/>
      <c r="B68" s="29"/>
      <c r="C68" s="34"/>
      <c r="D68" s="35"/>
      <c r="E68" s="51" t="e">
        <v>#NUM!</v>
      </c>
    </row>
    <row r="69" spans="1:5" x14ac:dyDescent="0.2">
      <c r="A69" s="28"/>
      <c r="B69" s="29"/>
      <c r="C69" s="34"/>
      <c r="D69" s="35"/>
      <c r="E69" s="51" t="e">
        <v>#NUM!</v>
      </c>
    </row>
    <row r="70" spans="1:5" x14ac:dyDescent="0.2">
      <c r="A70" s="28"/>
      <c r="B70" s="29"/>
      <c r="C70" s="34"/>
      <c r="D70" s="35"/>
      <c r="E70" s="51" t="e">
        <v>#NUM!</v>
      </c>
    </row>
    <row r="71" spans="1:5" x14ac:dyDescent="0.2">
      <c r="A71" s="28"/>
      <c r="B71" s="29"/>
      <c r="C71" s="34"/>
      <c r="D71" s="35"/>
      <c r="E71" s="51" t="e">
        <v>#NUM!</v>
      </c>
    </row>
    <row r="72" spans="1:5" x14ac:dyDescent="0.2">
      <c r="A72" s="28"/>
      <c r="B72" s="29"/>
      <c r="C72" s="34"/>
      <c r="D72" s="35"/>
      <c r="E72" s="51" t="e">
        <v>#NUM!</v>
      </c>
    </row>
    <row r="73" spans="1:5" x14ac:dyDescent="0.2">
      <c r="A73" s="28"/>
      <c r="B73" s="29"/>
      <c r="C73" s="34"/>
      <c r="D73" s="35"/>
      <c r="E73" s="51" t="e">
        <v>#NUM!</v>
      </c>
    </row>
    <row r="74" spans="1:5" x14ac:dyDescent="0.2">
      <c r="A74" s="28"/>
      <c r="B74" s="29"/>
      <c r="C74" s="34"/>
      <c r="D74" s="35"/>
      <c r="E74" s="51" t="e">
        <v>#NUM!</v>
      </c>
    </row>
    <row r="75" spans="1:5" x14ac:dyDescent="0.2">
      <c r="A75" s="28"/>
      <c r="B75" s="29"/>
      <c r="C75" s="34"/>
      <c r="D75" s="35"/>
      <c r="E75" s="51" t="e">
        <v>#NUM!</v>
      </c>
    </row>
    <row r="76" spans="1:5" x14ac:dyDescent="0.2">
      <c r="A76" s="28"/>
      <c r="B76" s="29"/>
      <c r="C76" s="34"/>
      <c r="D76" s="35"/>
      <c r="E76" s="51" t="e">
        <v>#NUM!</v>
      </c>
    </row>
    <row r="77" spans="1:5" x14ac:dyDescent="0.2">
      <c r="A77" s="28"/>
      <c r="B77" s="29"/>
      <c r="C77" s="34"/>
      <c r="D77" s="35"/>
      <c r="E77" s="51" t="e">
        <v>#NUM!</v>
      </c>
    </row>
    <row r="78" spans="1:5" x14ac:dyDescent="0.2">
      <c r="A78" s="28"/>
      <c r="B78" s="29"/>
      <c r="C78" s="34"/>
      <c r="D78" s="35"/>
      <c r="E78" s="51" t="e">
        <v>#NUM!</v>
      </c>
    </row>
    <row r="79" spans="1:5" x14ac:dyDescent="0.2">
      <c r="A79" s="28"/>
      <c r="B79" s="29"/>
      <c r="C79" s="34"/>
      <c r="D79" s="35"/>
      <c r="E79" s="51" t="e">
        <v>#NUM!</v>
      </c>
    </row>
    <row r="80" spans="1:5" x14ac:dyDescent="0.2">
      <c r="A80" s="28"/>
      <c r="B80" s="29"/>
      <c r="C80" s="34"/>
      <c r="D80" s="35"/>
      <c r="E80" s="51" t="e">
        <v>#NUM!</v>
      </c>
    </row>
    <row r="81" spans="1:5" x14ac:dyDescent="0.2">
      <c r="A81" s="28"/>
      <c r="B81" s="29"/>
      <c r="C81" s="34"/>
      <c r="D81" s="35"/>
      <c r="E81" s="51" t="e">
        <v>#NUM!</v>
      </c>
    </row>
    <row r="82" spans="1:5" x14ac:dyDescent="0.2">
      <c r="A82" s="28"/>
      <c r="B82" s="29"/>
      <c r="C82" s="34"/>
      <c r="D82" s="35"/>
      <c r="E82" s="51" t="e">
        <v>#NUM!</v>
      </c>
    </row>
    <row r="83" spans="1:5" x14ac:dyDescent="0.2">
      <c r="A83" s="28"/>
      <c r="B83" s="29"/>
      <c r="C83" s="34"/>
      <c r="D83" s="35"/>
      <c r="E83" s="51" t="e">
        <v>#NUM!</v>
      </c>
    </row>
    <row r="84" spans="1:5" x14ac:dyDescent="0.2">
      <c r="A84" s="28"/>
      <c r="B84" s="29"/>
      <c r="C84" s="34"/>
      <c r="D84" s="35"/>
      <c r="E84" s="51" t="e">
        <v>#NUM!</v>
      </c>
    </row>
    <row r="85" spans="1:5" x14ac:dyDescent="0.2">
      <c r="A85" s="28"/>
      <c r="B85" s="29"/>
      <c r="C85" s="34"/>
      <c r="D85" s="35"/>
      <c r="E85" s="51" t="e">
        <v>#NUM!</v>
      </c>
    </row>
    <row r="86" spans="1:5" x14ac:dyDescent="0.2">
      <c r="A86" s="28"/>
      <c r="B86" s="29"/>
      <c r="C86" s="34"/>
      <c r="D86" s="35"/>
      <c r="E86" s="51" t="e">
        <v>#NUM!</v>
      </c>
    </row>
    <row r="87" spans="1:5" x14ac:dyDescent="0.2">
      <c r="A87" s="28"/>
      <c r="B87" s="29"/>
      <c r="C87" s="34"/>
      <c r="D87" s="35"/>
      <c r="E87" s="51" t="e">
        <v>#NUM!</v>
      </c>
    </row>
    <row r="88" spans="1:5" x14ac:dyDescent="0.2">
      <c r="A88" s="28"/>
      <c r="B88" s="29"/>
      <c r="C88" s="34"/>
      <c r="D88" s="35"/>
      <c r="E88" s="51" t="e">
        <v>#NUM!</v>
      </c>
    </row>
    <row r="89" spans="1:5" x14ac:dyDescent="0.2">
      <c r="A89" s="28"/>
      <c r="B89" s="29"/>
      <c r="C89" s="34"/>
      <c r="D89" s="35"/>
      <c r="E89" s="51" t="e">
        <v>#NUM!</v>
      </c>
    </row>
    <row r="90" spans="1:5" x14ac:dyDescent="0.2">
      <c r="A90" s="28"/>
      <c r="B90" s="29"/>
      <c r="C90" s="34"/>
      <c r="D90" s="35"/>
      <c r="E90" s="51" t="e">
        <v>#NUM!</v>
      </c>
    </row>
    <row r="91" spans="1:5" x14ac:dyDescent="0.2">
      <c r="A91" s="28"/>
      <c r="B91" s="29"/>
      <c r="C91" s="34"/>
      <c r="D91" s="35"/>
      <c r="E91" s="51" t="e">
        <v>#NUM!</v>
      </c>
    </row>
    <row r="92" spans="1:5" x14ac:dyDescent="0.2">
      <c r="A92" s="28"/>
      <c r="B92" s="29"/>
      <c r="C92" s="34"/>
      <c r="D92" s="35"/>
      <c r="E92" s="51" t="e">
        <v>#NUM!</v>
      </c>
    </row>
    <row r="93" spans="1:5" x14ac:dyDescent="0.2">
      <c r="A93" s="28"/>
      <c r="B93" s="29"/>
      <c r="C93" s="34"/>
      <c r="D93" s="35"/>
      <c r="E93" s="51" t="e">
        <v>#NUM!</v>
      </c>
    </row>
    <row r="94" spans="1:5" x14ac:dyDescent="0.2">
      <c r="A94" s="28"/>
      <c r="B94" s="29"/>
      <c r="C94" s="34"/>
      <c r="D94" s="35"/>
      <c r="E94" s="51" t="e">
        <v>#NUM!</v>
      </c>
    </row>
    <row r="95" spans="1:5" x14ac:dyDescent="0.2">
      <c r="A95" s="28"/>
      <c r="B95" s="29"/>
      <c r="C95" s="34"/>
      <c r="D95" s="35"/>
      <c r="E95" s="51" t="e">
        <v>#NUM!</v>
      </c>
    </row>
    <row r="96" spans="1:5" x14ac:dyDescent="0.2">
      <c r="A96" s="28"/>
      <c r="B96" s="29"/>
      <c r="C96" s="34"/>
      <c r="D96" s="35"/>
      <c r="E96" s="51" t="e">
        <v>#NUM!</v>
      </c>
    </row>
    <row r="97" spans="1:5" x14ac:dyDescent="0.2">
      <c r="A97" s="28"/>
      <c r="B97" s="29"/>
      <c r="C97" s="34"/>
      <c r="D97" s="35"/>
      <c r="E97" s="51" t="e">
        <v>#NUM!</v>
      </c>
    </row>
    <row r="98" spans="1:5" x14ac:dyDescent="0.2">
      <c r="A98" s="28"/>
      <c r="B98" s="29"/>
      <c r="C98" s="34"/>
      <c r="D98" s="35"/>
      <c r="E98" s="51" t="e">
        <v>#NUM!</v>
      </c>
    </row>
    <row r="99" spans="1:5" x14ac:dyDescent="0.2">
      <c r="A99" s="28"/>
      <c r="B99" s="29"/>
      <c r="C99" s="34"/>
      <c r="D99" s="35"/>
      <c r="E99" s="51" t="e">
        <v>#NUM!</v>
      </c>
    </row>
    <row r="100" spans="1:5" x14ac:dyDescent="0.2">
      <c r="A100" s="28"/>
      <c r="B100" s="29"/>
      <c r="C100" s="34"/>
      <c r="D100" s="35"/>
      <c r="E100" s="51" t="e">
        <v>#NUM!</v>
      </c>
    </row>
    <row r="101" spans="1:5" x14ac:dyDescent="0.2">
      <c r="A101" s="28"/>
      <c r="B101" s="29"/>
      <c r="C101" s="34"/>
      <c r="D101" s="35"/>
      <c r="E101" s="51" t="e">
        <v>#NUM!</v>
      </c>
    </row>
    <row r="102" spans="1:5" x14ac:dyDescent="0.2">
      <c r="A102" s="28"/>
      <c r="B102" s="29"/>
      <c r="C102" s="34"/>
      <c r="D102" s="35"/>
      <c r="E102" s="51" t="e">
        <v>#NUM!</v>
      </c>
    </row>
    <row r="103" spans="1:5" x14ac:dyDescent="0.2">
      <c r="A103" s="28"/>
      <c r="B103" s="29"/>
      <c r="C103" s="34"/>
      <c r="D103" s="35"/>
      <c r="E103" s="51" t="e">
        <v>#NUM!</v>
      </c>
    </row>
    <row r="104" spans="1:5" x14ac:dyDescent="0.2">
      <c r="A104" s="28"/>
      <c r="B104" s="29"/>
      <c r="C104" s="34"/>
      <c r="D104" s="35"/>
      <c r="E104" s="51" t="e">
        <v>#NUM!</v>
      </c>
    </row>
    <row r="105" spans="1:5" x14ac:dyDescent="0.2">
      <c r="A105" s="28"/>
      <c r="B105" s="29"/>
      <c r="C105" s="34"/>
      <c r="D105" s="35"/>
      <c r="E105" s="51" t="e">
        <v>#NUM!</v>
      </c>
    </row>
    <row r="106" spans="1:5" x14ac:dyDescent="0.2">
      <c r="A106" s="28"/>
      <c r="B106" s="29"/>
      <c r="C106" s="34"/>
      <c r="D106" s="35"/>
      <c r="E106" s="51" t="e">
        <v>#NUM!</v>
      </c>
    </row>
    <row r="107" spans="1:5" x14ac:dyDescent="0.2">
      <c r="A107" s="28"/>
      <c r="B107" s="29"/>
      <c r="C107" s="34"/>
      <c r="D107" s="35"/>
      <c r="E107" s="51" t="e">
        <v>#NUM!</v>
      </c>
    </row>
    <row r="108" spans="1:5" x14ac:dyDescent="0.2">
      <c r="A108" s="28"/>
      <c r="B108" s="29"/>
      <c r="C108" s="34"/>
      <c r="D108" s="35"/>
      <c r="E108" s="51" t="e">
        <v>#NUM!</v>
      </c>
    </row>
    <row r="109" spans="1:5" x14ac:dyDescent="0.2">
      <c r="A109" s="28"/>
      <c r="B109" s="29"/>
      <c r="C109" s="34"/>
      <c r="D109" s="35"/>
      <c r="E109" s="51" t="e">
        <v>#NUM!</v>
      </c>
    </row>
    <row r="110" spans="1:5" x14ac:dyDescent="0.2">
      <c r="A110" s="28"/>
      <c r="B110" s="29"/>
      <c r="C110" s="34"/>
      <c r="D110" s="35"/>
      <c r="E110" s="51" t="e">
        <v>#NUM!</v>
      </c>
    </row>
    <row r="111" spans="1:5" x14ac:dyDescent="0.2">
      <c r="A111" s="28"/>
      <c r="B111" s="29"/>
      <c r="C111" s="34"/>
      <c r="D111" s="35"/>
      <c r="E111" s="51" t="e">
        <v>#NUM!</v>
      </c>
    </row>
    <row r="112" spans="1:5" x14ac:dyDescent="0.2">
      <c r="A112" s="28"/>
      <c r="B112" s="29"/>
      <c r="C112" s="34"/>
      <c r="D112" s="35"/>
      <c r="E112" s="51" t="e">
        <v>#NUM!</v>
      </c>
    </row>
    <row r="113" spans="1:5" x14ac:dyDescent="0.2">
      <c r="A113" s="28"/>
      <c r="B113" s="29"/>
      <c r="C113" s="34"/>
      <c r="D113" s="35"/>
      <c r="E113" s="51" t="e">
        <v>#NUM!</v>
      </c>
    </row>
    <row r="114" spans="1:5" x14ac:dyDescent="0.2">
      <c r="A114" s="28"/>
      <c r="B114" s="29"/>
      <c r="C114" s="34"/>
      <c r="D114" s="35"/>
      <c r="E114" s="51" t="e">
        <v>#NUM!</v>
      </c>
    </row>
    <row r="115" spans="1:5" x14ac:dyDescent="0.2">
      <c r="A115" s="28"/>
      <c r="B115" s="29"/>
      <c r="C115" s="34"/>
      <c r="D115" s="35"/>
      <c r="E115" s="51" t="e">
        <v>#NUM!</v>
      </c>
    </row>
    <row r="116" spans="1:5" x14ac:dyDescent="0.2">
      <c r="A116" s="28"/>
      <c r="B116" s="29"/>
      <c r="C116" s="34"/>
      <c r="D116" s="35"/>
      <c r="E116" s="51" t="e">
        <v>#NUM!</v>
      </c>
    </row>
    <row r="117" spans="1:5" x14ac:dyDescent="0.2">
      <c r="A117" s="28"/>
      <c r="B117" s="29"/>
      <c r="C117" s="34"/>
      <c r="D117" s="35"/>
      <c r="E117" s="51" t="e">
        <v>#NUM!</v>
      </c>
    </row>
    <row r="118" spans="1:5" x14ac:dyDescent="0.2">
      <c r="A118" s="28"/>
      <c r="B118" s="29"/>
      <c r="C118" s="34"/>
      <c r="D118" s="35"/>
      <c r="E118" s="51" t="e">
        <v>#NUM!</v>
      </c>
    </row>
    <row r="119" spans="1:5" x14ac:dyDescent="0.2">
      <c r="A119" s="28"/>
      <c r="B119" s="29"/>
      <c r="C119" s="34"/>
      <c r="D119" s="35"/>
      <c r="E119" s="51" t="e">
        <v>#NUM!</v>
      </c>
    </row>
    <row r="120" spans="1:5" x14ac:dyDescent="0.2">
      <c r="A120" s="28"/>
      <c r="B120" s="29"/>
      <c r="C120" s="34"/>
      <c r="D120" s="35"/>
      <c r="E120" s="51" t="e">
        <v>#NUM!</v>
      </c>
    </row>
    <row r="121" spans="1:5" x14ac:dyDescent="0.2">
      <c r="A121" s="28"/>
      <c r="B121" s="29"/>
      <c r="C121" s="34"/>
      <c r="D121" s="35"/>
      <c r="E121" s="51" t="e">
        <v>#NUM!</v>
      </c>
    </row>
    <row r="122" spans="1:5" x14ac:dyDescent="0.2">
      <c r="A122" s="28"/>
      <c r="B122" s="29"/>
      <c r="C122" s="34"/>
      <c r="D122" s="35"/>
      <c r="E122" s="51" t="e">
        <v>#NUM!</v>
      </c>
    </row>
    <row r="123" spans="1:5" x14ac:dyDescent="0.2">
      <c r="A123" s="28"/>
      <c r="B123" s="29"/>
      <c r="C123" s="34"/>
      <c r="D123" s="35"/>
      <c r="E123" s="51" t="e">
        <v>#NUM!</v>
      </c>
    </row>
    <row r="124" spans="1:5" x14ac:dyDescent="0.2">
      <c r="A124" s="28"/>
      <c r="B124" s="29"/>
      <c r="C124" s="34"/>
      <c r="D124" s="35"/>
      <c r="E124" s="51" t="e">
        <v>#NUM!</v>
      </c>
    </row>
    <row r="125" spans="1:5" x14ac:dyDescent="0.2">
      <c r="A125" s="28"/>
      <c r="B125" s="29"/>
      <c r="C125" s="34"/>
      <c r="D125" s="35"/>
      <c r="E125" s="51" t="e">
        <v>#NUM!</v>
      </c>
    </row>
    <row r="126" spans="1:5" x14ac:dyDescent="0.2">
      <c r="A126" s="28"/>
      <c r="B126" s="29"/>
      <c r="C126" s="34"/>
      <c r="D126" s="35"/>
      <c r="E126" s="51" t="e">
        <v>#NUM!</v>
      </c>
    </row>
    <row r="127" spans="1:5" x14ac:dyDescent="0.2">
      <c r="A127" s="31"/>
      <c r="B127" s="32"/>
      <c r="C127" s="36"/>
      <c r="D127" s="37"/>
      <c r="E127" s="51" t="e">
        <v>#NUM!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49"/>
  <sheetViews>
    <sheetView workbookViewId="0">
      <selection activeCell="I3" sqref="I3"/>
    </sheetView>
  </sheetViews>
  <sheetFormatPr defaultColWidth="8" defaultRowHeight="11.25" x14ac:dyDescent="0.2"/>
  <cols>
    <col min="1" max="1" width="4.28515625" style="114" customWidth="1"/>
    <col min="2" max="2" width="7" style="114" bestFit="1" customWidth="1"/>
    <col min="3" max="3" width="8" style="114" bestFit="1" customWidth="1"/>
    <col min="4" max="4" width="4.28515625" style="114" customWidth="1"/>
    <col min="5" max="5" width="8" style="114" bestFit="1" customWidth="1"/>
    <col min="6" max="6" width="4.28515625" style="114" customWidth="1"/>
    <col min="7" max="7" width="24.42578125" style="114" bestFit="1" customWidth="1"/>
    <col min="8" max="8" width="15.140625" style="114" bestFit="1" customWidth="1"/>
    <col min="9" max="9" width="9" style="114" bestFit="1" customWidth="1"/>
    <col min="10" max="10" width="4.28515625" style="114" customWidth="1"/>
    <col min="11" max="11" width="5.7109375" style="114" bestFit="1" customWidth="1"/>
    <col min="12" max="12" width="10.7109375" style="114" bestFit="1" customWidth="1"/>
    <col min="13" max="13" width="7.7109375" style="114" bestFit="1" customWidth="1"/>
    <col min="14" max="14" width="8" style="114" customWidth="1"/>
    <col min="15" max="15" width="13.28515625" style="114" bestFit="1" customWidth="1"/>
    <col min="16" max="16" width="8" style="114" customWidth="1"/>
    <col min="17" max="17" width="22.5703125" style="114" bestFit="1" customWidth="1"/>
    <col min="18" max="16384" width="8" style="114"/>
  </cols>
  <sheetData>
    <row r="1" spans="1:10" x14ac:dyDescent="0.2">
      <c r="A1" s="111"/>
      <c r="B1" s="112"/>
      <c r="C1" s="112"/>
      <c r="D1" s="112"/>
      <c r="E1" s="112"/>
      <c r="F1" s="112"/>
      <c r="G1" s="112"/>
      <c r="H1" s="112"/>
      <c r="I1" s="112"/>
      <c r="J1" s="113"/>
    </row>
    <row r="2" spans="1:10" x14ac:dyDescent="0.2">
      <c r="A2" s="115"/>
      <c r="B2" s="116"/>
      <c r="C2" s="117"/>
      <c r="D2" s="117"/>
      <c r="E2" s="117"/>
      <c r="F2" s="117"/>
      <c r="G2" s="118" t="s">
        <v>21</v>
      </c>
      <c r="H2" s="119" t="s">
        <v>52</v>
      </c>
      <c r="I2" s="120"/>
      <c r="J2" s="121"/>
    </row>
    <row r="3" spans="1:10" x14ac:dyDescent="0.2">
      <c r="A3" s="122"/>
      <c r="B3" s="117">
        <v>12</v>
      </c>
      <c r="C3" s="117"/>
      <c r="D3" s="117"/>
      <c r="E3" s="117"/>
      <c r="F3" s="117"/>
      <c r="G3" s="120"/>
      <c r="H3" s="120"/>
      <c r="I3" s="123">
        <f>_xll.ohTrigger(I5:I48)</f>
        <v>22</v>
      </c>
      <c r="J3" s="124"/>
    </row>
    <row r="4" spans="1:10" x14ac:dyDescent="0.2">
      <c r="A4" s="122"/>
      <c r="B4" s="125"/>
      <c r="C4" s="126" t="s">
        <v>22</v>
      </c>
      <c r="D4" s="117"/>
      <c r="E4" s="127" t="s">
        <v>23</v>
      </c>
      <c r="F4" s="117"/>
      <c r="G4" s="128" t="s">
        <v>24</v>
      </c>
      <c r="H4" s="129" t="s">
        <v>25</v>
      </c>
      <c r="I4" s="130" t="s">
        <v>26</v>
      </c>
      <c r="J4" s="124"/>
    </row>
    <row r="5" spans="1:10" x14ac:dyDescent="0.2">
      <c r="A5" s="122">
        <f>Calculation!F8</f>
        <v>1</v>
      </c>
      <c r="B5" s="131" t="str">
        <f t="shared" ref="B5:B48" si="0">A5&amp;"x"&amp;(A5+$B$3)&amp;"F"</f>
        <v>1x13F</v>
      </c>
      <c r="C5" s="132" t="e">
        <f>Calculation!N8</f>
        <v>#VALUE!</v>
      </c>
      <c r="D5" s="117"/>
      <c r="E5" s="133" t="e">
        <v>#NUM!</v>
      </c>
      <c r="F5" s="117"/>
      <c r="G5" s="131" t="str">
        <f t="shared" ref="G5:G48" si="1">Currency&amp;$B5&amp;$H$2</f>
        <v>USD1x13F_SYNTH1Y_Quote</v>
      </c>
      <c r="H5" s="134" t="e">
        <f t="array" ref="H5:H48">QuoteLive</f>
        <v>#VALUE!</v>
      </c>
      <c r="I5" s="135" t="e">
        <f>_xll.qlSimpleQuoteSetValue(G5,H5,EvaluationDate)</f>
        <v>#NUM!</v>
      </c>
      <c r="J5" s="124"/>
    </row>
    <row r="6" spans="1:10" x14ac:dyDescent="0.2">
      <c r="A6" s="122">
        <f>Calculation!F9</f>
        <v>2</v>
      </c>
      <c r="B6" s="136" t="str">
        <f t="shared" si="0"/>
        <v>2x14F</v>
      </c>
      <c r="C6" s="137" t="e">
        <f>Calculation!N9</f>
        <v>#VALUE!</v>
      </c>
      <c r="D6" s="117"/>
      <c r="E6" s="138" t="e">
        <v>#NUM!</v>
      </c>
      <c r="F6" s="117"/>
      <c r="G6" s="136" t="str">
        <f t="shared" si="1"/>
        <v>USD2x14F_SYNTH1Y_Quote</v>
      </c>
      <c r="H6" s="139" t="e">
        <v>#VALUE!</v>
      </c>
      <c r="I6" s="140" t="e">
        <f>_xll.qlSimpleQuoteSetValue(G6,H6,EvaluationDate)</f>
        <v>#NUM!</v>
      </c>
      <c r="J6" s="124"/>
    </row>
    <row r="7" spans="1:10" x14ac:dyDescent="0.2">
      <c r="A7" s="122">
        <f>Calculation!F10</f>
        <v>3</v>
      </c>
      <c r="B7" s="136" t="str">
        <f t="shared" si="0"/>
        <v>3x15F</v>
      </c>
      <c r="C7" s="137" t="e">
        <f>Calculation!N10</f>
        <v>#VALUE!</v>
      </c>
      <c r="D7" s="117"/>
      <c r="E7" s="138" t="e">
        <v>#NUM!</v>
      </c>
      <c r="F7" s="117"/>
      <c r="G7" s="141" t="str">
        <f t="shared" si="1"/>
        <v>USD3x15F_SYNTH1Y_Quote</v>
      </c>
      <c r="H7" s="142" t="e">
        <v>#VALUE!</v>
      </c>
      <c r="I7" s="140" t="e">
        <f>_xll.qlSimpleQuoteSetValue(G7,H7,EvaluationDate)</f>
        <v>#NUM!</v>
      </c>
      <c r="J7" s="124"/>
    </row>
    <row r="8" spans="1:10" x14ac:dyDescent="0.2">
      <c r="A8" s="122">
        <f>Calculation!F11</f>
        <v>4</v>
      </c>
      <c r="B8" s="136" t="str">
        <f t="shared" si="0"/>
        <v>4x16F</v>
      </c>
      <c r="C8" s="137" t="e">
        <f>Calculation!N11</f>
        <v>#VALUE!</v>
      </c>
      <c r="D8" s="117"/>
      <c r="E8" s="138" t="e">
        <v>#NUM!</v>
      </c>
      <c r="F8" s="117"/>
      <c r="G8" s="136" t="str">
        <f t="shared" si="1"/>
        <v>USD4x16F_SYNTH1Y_Quote</v>
      </c>
      <c r="H8" s="139" t="e">
        <v>#VALUE!</v>
      </c>
      <c r="I8" s="140" t="e">
        <f>_xll.qlSimpleQuoteSetValue(G8,H8,EvaluationDate)</f>
        <v>#NUM!</v>
      </c>
      <c r="J8" s="124"/>
    </row>
    <row r="9" spans="1:10" x14ac:dyDescent="0.2">
      <c r="A9" s="122">
        <f>Calculation!F12</f>
        <v>5</v>
      </c>
      <c r="B9" s="136" t="str">
        <f t="shared" si="0"/>
        <v>5x17F</v>
      </c>
      <c r="C9" s="137" t="e">
        <f>Calculation!N12</f>
        <v>#VALUE!</v>
      </c>
      <c r="D9" s="117"/>
      <c r="E9" s="138" t="e">
        <v>#NUM!</v>
      </c>
      <c r="F9" s="117"/>
      <c r="G9" s="136" t="str">
        <f t="shared" si="1"/>
        <v>USD5x17F_SYNTH1Y_Quote</v>
      </c>
      <c r="H9" s="139" t="e">
        <v>#VALUE!</v>
      </c>
      <c r="I9" s="140" t="e">
        <f>_xll.qlSimpleQuoteSetValue(G9,H9,EvaluationDate)</f>
        <v>#NUM!</v>
      </c>
      <c r="J9" s="124"/>
    </row>
    <row r="10" spans="1:10" x14ac:dyDescent="0.2">
      <c r="A10" s="122">
        <f>Calculation!F13</f>
        <v>6</v>
      </c>
      <c r="B10" s="136" t="str">
        <f t="shared" si="0"/>
        <v>6x18F</v>
      </c>
      <c r="C10" s="137" t="e">
        <f>Calculation!N13</f>
        <v>#VALUE!</v>
      </c>
      <c r="D10" s="117"/>
      <c r="E10" s="138" t="e">
        <v>#NUM!</v>
      </c>
      <c r="F10" s="117"/>
      <c r="G10" s="141" t="str">
        <f t="shared" si="1"/>
        <v>USD6x18F_SYNTH1Y_Quote</v>
      </c>
      <c r="H10" s="142" t="e">
        <v>#VALUE!</v>
      </c>
      <c r="I10" s="140" t="e">
        <f>_xll.qlSimpleQuoteSetValue(G10,H10,EvaluationDate)</f>
        <v>#NUM!</v>
      </c>
      <c r="J10" s="124"/>
    </row>
    <row r="11" spans="1:10" x14ac:dyDescent="0.2">
      <c r="A11" s="122">
        <f>Calculation!F14</f>
        <v>7</v>
      </c>
      <c r="B11" s="136" t="str">
        <f t="shared" si="0"/>
        <v>7x19F</v>
      </c>
      <c r="C11" s="137" t="e">
        <f>Calculation!N14</f>
        <v>#VALUE!</v>
      </c>
      <c r="D11" s="117"/>
      <c r="E11" s="138" t="e">
        <v>#NUM!</v>
      </c>
      <c r="F11" s="117"/>
      <c r="G11" s="136" t="str">
        <f t="shared" si="1"/>
        <v>USD7x19F_SYNTH1Y_Quote</v>
      </c>
      <c r="H11" s="139" t="e">
        <v>#VALUE!</v>
      </c>
      <c r="I11" s="140" t="e">
        <f>_xll.qlSimpleQuoteSetValue(G11,H11,EvaluationDate)</f>
        <v>#NUM!</v>
      </c>
      <c r="J11" s="124"/>
    </row>
    <row r="12" spans="1:10" x14ac:dyDescent="0.2">
      <c r="A12" s="122">
        <f>Calculation!F15</f>
        <v>8</v>
      </c>
      <c r="B12" s="136" t="str">
        <f t="shared" si="0"/>
        <v>8x20F</v>
      </c>
      <c r="C12" s="137" t="e">
        <f>Calculation!N15</f>
        <v>#VALUE!</v>
      </c>
      <c r="D12" s="117"/>
      <c r="E12" s="138" t="e">
        <v>#NUM!</v>
      </c>
      <c r="F12" s="117"/>
      <c r="G12" s="136" t="str">
        <f t="shared" si="1"/>
        <v>USD8x20F_SYNTH1Y_Quote</v>
      </c>
      <c r="H12" s="139" t="e">
        <v>#VALUE!</v>
      </c>
      <c r="I12" s="140" t="e">
        <f>_xll.qlSimpleQuoteSetValue(G12,H12,EvaluationDate)</f>
        <v>#NUM!</v>
      </c>
      <c r="J12" s="124"/>
    </row>
    <row r="13" spans="1:10" x14ac:dyDescent="0.2">
      <c r="A13" s="122">
        <f>Calculation!F16</f>
        <v>9</v>
      </c>
      <c r="B13" s="136" t="str">
        <f t="shared" si="0"/>
        <v>9x21F</v>
      </c>
      <c r="C13" s="137" t="e">
        <f>Calculation!N16</f>
        <v>#VALUE!</v>
      </c>
      <c r="D13" s="117"/>
      <c r="E13" s="138" t="e">
        <v>#NUM!</v>
      </c>
      <c r="F13" s="117"/>
      <c r="G13" s="141" t="str">
        <f t="shared" si="1"/>
        <v>USD9x21F_SYNTH1Y_Quote</v>
      </c>
      <c r="H13" s="142" t="e">
        <v>#VALUE!</v>
      </c>
      <c r="I13" s="140" t="e">
        <f>_xll.qlSimpleQuoteSetValue(G13,H13,EvaluationDate)</f>
        <v>#NUM!</v>
      </c>
      <c r="J13" s="124"/>
    </row>
    <row r="14" spans="1:10" x14ac:dyDescent="0.2">
      <c r="A14" s="122">
        <f>Calculation!F17</f>
        <v>10</v>
      </c>
      <c r="B14" s="136" t="str">
        <f t="shared" si="0"/>
        <v>10x22F</v>
      </c>
      <c r="C14" s="137" t="e">
        <f>Calculation!N17</f>
        <v>#VALUE!</v>
      </c>
      <c r="D14" s="117"/>
      <c r="E14" s="138" t="e">
        <v>#NUM!</v>
      </c>
      <c r="F14" s="117"/>
      <c r="G14" s="136" t="str">
        <f t="shared" si="1"/>
        <v>USD10x22F_SYNTH1Y_Quote</v>
      </c>
      <c r="H14" s="139" t="e">
        <v>#VALUE!</v>
      </c>
      <c r="I14" s="140" t="e">
        <f>_xll.qlSimpleQuoteSetValue(G14,H14,EvaluationDate)</f>
        <v>#NUM!</v>
      </c>
      <c r="J14" s="124"/>
    </row>
    <row r="15" spans="1:10" x14ac:dyDescent="0.2">
      <c r="A15" s="122">
        <f>Calculation!F18</f>
        <v>11</v>
      </c>
      <c r="B15" s="143" t="str">
        <f t="shared" si="0"/>
        <v>11x23F</v>
      </c>
      <c r="C15" s="144" t="e">
        <f>Calculation!N18</f>
        <v>#VALUE!</v>
      </c>
      <c r="D15" s="117"/>
      <c r="E15" s="145" t="e">
        <v>#NUM!</v>
      </c>
      <c r="F15" s="117"/>
      <c r="G15" s="143" t="str">
        <f t="shared" si="1"/>
        <v>USD11x23F_SYNTH1Y_Quote</v>
      </c>
      <c r="H15" s="146" t="e">
        <v>#VALUE!</v>
      </c>
      <c r="I15" s="147" t="e">
        <f>_xll.qlSimpleQuoteSetValue(G15,H15,EvaluationDate)</f>
        <v>#NUM!</v>
      </c>
      <c r="J15" s="124"/>
    </row>
    <row r="16" spans="1:10" x14ac:dyDescent="0.2">
      <c r="A16" s="122">
        <f>Calculation!F19</f>
        <v>13</v>
      </c>
      <c r="B16" s="131" t="str">
        <f t="shared" si="0"/>
        <v>13x25F</v>
      </c>
      <c r="C16" s="132" t="e">
        <f>Calculation!N19</f>
        <v>#VALUE!</v>
      </c>
      <c r="D16" s="117"/>
      <c r="E16" s="133" t="e">
        <v>#NUM!</v>
      </c>
      <c r="F16" s="117"/>
      <c r="G16" s="131" t="str">
        <f t="shared" si="1"/>
        <v>USD13x25F_SYNTH1Y_Quote</v>
      </c>
      <c r="H16" s="134" t="e">
        <v>#VALUE!</v>
      </c>
      <c r="I16" s="135" t="e">
        <f>_xll.qlSimpleQuoteSetValue(G16,H16,EvaluationDate)</f>
        <v>#NUM!</v>
      </c>
      <c r="J16" s="124"/>
    </row>
    <row r="17" spans="1:10" x14ac:dyDescent="0.2">
      <c r="A17" s="122">
        <f>Calculation!F20</f>
        <v>14</v>
      </c>
      <c r="B17" s="136" t="str">
        <f t="shared" si="0"/>
        <v>14x26F</v>
      </c>
      <c r="C17" s="137" t="e">
        <f>Calculation!N20</f>
        <v>#VALUE!</v>
      </c>
      <c r="D17" s="117"/>
      <c r="E17" s="138" t="e">
        <v>#NUM!</v>
      </c>
      <c r="F17" s="117"/>
      <c r="G17" s="136" t="str">
        <f t="shared" si="1"/>
        <v>USD14x26F_SYNTH1Y_Quote</v>
      </c>
      <c r="H17" s="139" t="e">
        <v>#VALUE!</v>
      </c>
      <c r="I17" s="140" t="e">
        <f>_xll.qlSimpleQuoteSetValue(G17,H17,EvaluationDate)</f>
        <v>#NUM!</v>
      </c>
      <c r="J17" s="124"/>
    </row>
    <row r="18" spans="1:10" x14ac:dyDescent="0.2">
      <c r="A18" s="122">
        <f>Calculation!F21</f>
        <v>15</v>
      </c>
      <c r="B18" s="136" t="str">
        <f t="shared" si="0"/>
        <v>15x27F</v>
      </c>
      <c r="C18" s="137" t="e">
        <f>Calculation!N21</f>
        <v>#VALUE!</v>
      </c>
      <c r="D18" s="117"/>
      <c r="E18" s="138" t="e">
        <v>#NUM!</v>
      </c>
      <c r="F18" s="117"/>
      <c r="G18" s="136" t="str">
        <f t="shared" si="1"/>
        <v>USD15x27F_SYNTH1Y_Quote</v>
      </c>
      <c r="H18" s="139" t="e">
        <v>#VALUE!</v>
      </c>
      <c r="I18" s="140" t="e">
        <f>_xll.qlSimpleQuoteSetValue(G18,H18,EvaluationDate)</f>
        <v>#NUM!</v>
      </c>
      <c r="J18" s="124"/>
    </row>
    <row r="19" spans="1:10" x14ac:dyDescent="0.2">
      <c r="A19" s="122">
        <f>Calculation!F22</f>
        <v>16</v>
      </c>
      <c r="B19" s="136" t="str">
        <f t="shared" si="0"/>
        <v>16x28F</v>
      </c>
      <c r="C19" s="137" t="e">
        <f>Calculation!N22</f>
        <v>#VALUE!</v>
      </c>
      <c r="D19" s="117"/>
      <c r="E19" s="138" t="e">
        <v>#NUM!</v>
      </c>
      <c r="F19" s="117"/>
      <c r="G19" s="136" t="str">
        <f t="shared" si="1"/>
        <v>USD16x28F_SYNTH1Y_Quote</v>
      </c>
      <c r="H19" s="139" t="e">
        <v>#VALUE!</v>
      </c>
      <c r="I19" s="140" t="e">
        <f>_xll.qlSimpleQuoteSetValue(G19,H19,EvaluationDate)</f>
        <v>#NUM!</v>
      </c>
      <c r="J19" s="124"/>
    </row>
    <row r="20" spans="1:10" x14ac:dyDescent="0.2">
      <c r="A20" s="122">
        <f>Calculation!F23</f>
        <v>17</v>
      </c>
      <c r="B20" s="136" t="str">
        <f t="shared" si="0"/>
        <v>17x29F</v>
      </c>
      <c r="C20" s="137" t="e">
        <f>Calculation!N23</f>
        <v>#VALUE!</v>
      </c>
      <c r="D20" s="117"/>
      <c r="E20" s="138" t="e">
        <v>#NUM!</v>
      </c>
      <c r="F20" s="117"/>
      <c r="G20" s="136" t="str">
        <f t="shared" si="1"/>
        <v>USD17x29F_SYNTH1Y_Quote</v>
      </c>
      <c r="H20" s="139" t="e">
        <v>#VALUE!</v>
      </c>
      <c r="I20" s="140" t="e">
        <f>_xll.qlSimpleQuoteSetValue(G20,H20,EvaluationDate)</f>
        <v>#NUM!</v>
      </c>
      <c r="J20" s="124"/>
    </row>
    <row r="21" spans="1:10" x14ac:dyDescent="0.2">
      <c r="A21" s="122">
        <f>Calculation!F24</f>
        <v>18</v>
      </c>
      <c r="B21" s="136" t="str">
        <f t="shared" si="0"/>
        <v>18x30F</v>
      </c>
      <c r="C21" s="137" t="e">
        <f>Calculation!N24</f>
        <v>#VALUE!</v>
      </c>
      <c r="D21" s="117"/>
      <c r="E21" s="138" t="e">
        <v>#NUM!</v>
      </c>
      <c r="F21" s="117"/>
      <c r="G21" s="136" t="str">
        <f t="shared" si="1"/>
        <v>USD18x30F_SYNTH1Y_Quote</v>
      </c>
      <c r="H21" s="139" t="e">
        <v>#VALUE!</v>
      </c>
      <c r="I21" s="140" t="e">
        <f>_xll.qlSimpleQuoteSetValue(G21,H21,EvaluationDate)</f>
        <v>#NUM!</v>
      </c>
      <c r="J21" s="124"/>
    </row>
    <row r="22" spans="1:10" x14ac:dyDescent="0.2">
      <c r="A22" s="122">
        <f>Calculation!F25</f>
        <v>19</v>
      </c>
      <c r="B22" s="136" t="str">
        <f t="shared" si="0"/>
        <v>19x31F</v>
      </c>
      <c r="C22" s="137" t="e">
        <f>Calculation!N25</f>
        <v>#VALUE!</v>
      </c>
      <c r="D22" s="117"/>
      <c r="E22" s="138" t="e">
        <v>#NUM!</v>
      </c>
      <c r="F22" s="117"/>
      <c r="G22" s="136" t="str">
        <f t="shared" si="1"/>
        <v>USD19x31F_SYNTH1Y_Quote</v>
      </c>
      <c r="H22" s="139" t="e">
        <v>#VALUE!</v>
      </c>
      <c r="I22" s="140" t="e">
        <f>_xll.qlSimpleQuoteSetValue(G22,H22,EvaluationDate)</f>
        <v>#NUM!</v>
      </c>
      <c r="J22" s="124"/>
    </row>
    <row r="23" spans="1:10" x14ac:dyDescent="0.2">
      <c r="A23" s="122">
        <f>Calculation!F26</f>
        <v>20</v>
      </c>
      <c r="B23" s="136" t="str">
        <f t="shared" si="0"/>
        <v>20x32F</v>
      </c>
      <c r="C23" s="137" t="e">
        <f>Calculation!N26</f>
        <v>#VALUE!</v>
      </c>
      <c r="D23" s="117"/>
      <c r="E23" s="138" t="e">
        <v>#NUM!</v>
      </c>
      <c r="F23" s="117"/>
      <c r="G23" s="136" t="str">
        <f t="shared" si="1"/>
        <v>USD20x32F_SYNTH1Y_Quote</v>
      </c>
      <c r="H23" s="139" t="e">
        <v>#VALUE!</v>
      </c>
      <c r="I23" s="140" t="e">
        <f>_xll.qlSimpleQuoteSetValue(G23,H23,EvaluationDate)</f>
        <v>#NUM!</v>
      </c>
      <c r="J23" s="124"/>
    </row>
    <row r="24" spans="1:10" x14ac:dyDescent="0.2">
      <c r="A24" s="122">
        <f>Calculation!F27</f>
        <v>21</v>
      </c>
      <c r="B24" s="136" t="str">
        <f t="shared" si="0"/>
        <v>21x33F</v>
      </c>
      <c r="C24" s="137" t="e">
        <f>Calculation!N27</f>
        <v>#VALUE!</v>
      </c>
      <c r="D24" s="117"/>
      <c r="E24" s="138" t="e">
        <v>#NUM!</v>
      </c>
      <c r="F24" s="117"/>
      <c r="G24" s="136" t="str">
        <f t="shared" si="1"/>
        <v>USD21x33F_SYNTH1Y_Quote</v>
      </c>
      <c r="H24" s="139" t="e">
        <v>#VALUE!</v>
      </c>
      <c r="I24" s="140" t="e">
        <f>_xll.qlSimpleQuoteSetValue(G24,H24,EvaluationDate)</f>
        <v>#NUM!</v>
      </c>
      <c r="J24" s="124"/>
    </row>
    <row r="25" spans="1:10" x14ac:dyDescent="0.2">
      <c r="A25" s="122">
        <f>Calculation!F28</f>
        <v>22</v>
      </c>
      <c r="B25" s="136" t="str">
        <f t="shared" si="0"/>
        <v>22x34F</v>
      </c>
      <c r="C25" s="137" t="e">
        <f>Calculation!N28</f>
        <v>#VALUE!</v>
      </c>
      <c r="D25" s="117"/>
      <c r="E25" s="138" t="e">
        <v>#NUM!</v>
      </c>
      <c r="F25" s="117"/>
      <c r="G25" s="136" t="str">
        <f t="shared" si="1"/>
        <v>USD22x34F_SYNTH1Y_Quote</v>
      </c>
      <c r="H25" s="139" t="e">
        <v>#VALUE!</v>
      </c>
      <c r="I25" s="140" t="e">
        <f>_xll.qlSimpleQuoteSetValue(G25,H25,EvaluationDate)</f>
        <v>#NUM!</v>
      </c>
      <c r="J25" s="124"/>
    </row>
    <row r="26" spans="1:10" x14ac:dyDescent="0.2">
      <c r="A26" s="122">
        <f>Calculation!F29</f>
        <v>23</v>
      </c>
      <c r="B26" s="143" t="str">
        <f t="shared" si="0"/>
        <v>23x35F</v>
      </c>
      <c r="C26" s="144" t="e">
        <f>Calculation!N29</f>
        <v>#VALUE!</v>
      </c>
      <c r="D26" s="117"/>
      <c r="E26" s="145" t="e">
        <v>#NUM!</v>
      </c>
      <c r="F26" s="117"/>
      <c r="G26" s="143" t="str">
        <f t="shared" si="1"/>
        <v>USD23x35F_SYNTH1Y_Quote</v>
      </c>
      <c r="H26" s="146" t="e">
        <v>#VALUE!</v>
      </c>
      <c r="I26" s="147" t="e">
        <f>_xll.qlSimpleQuoteSetValue(G26,H26,EvaluationDate)</f>
        <v>#NUM!</v>
      </c>
      <c r="J26" s="124"/>
    </row>
    <row r="27" spans="1:10" x14ac:dyDescent="0.2">
      <c r="A27" s="122">
        <f>Calculation!F30</f>
        <v>25</v>
      </c>
      <c r="B27" s="131" t="str">
        <f t="shared" si="0"/>
        <v>25x37F</v>
      </c>
      <c r="C27" s="132" t="e">
        <f>Calculation!N30</f>
        <v>#VALUE!</v>
      </c>
      <c r="D27" s="117"/>
      <c r="E27" s="133" t="e">
        <v>#NUM!</v>
      </c>
      <c r="F27" s="117"/>
      <c r="G27" s="131" t="str">
        <f t="shared" si="1"/>
        <v>USD25x37F_SYNTH1Y_Quote</v>
      </c>
      <c r="H27" s="134" t="e">
        <v>#VALUE!</v>
      </c>
      <c r="I27" s="135" t="e">
        <f>_xll.qlSimpleQuoteSetValue(G27,H27,EvaluationDate)</f>
        <v>#NUM!</v>
      </c>
      <c r="J27" s="124"/>
    </row>
    <row r="28" spans="1:10" x14ac:dyDescent="0.2">
      <c r="A28" s="122">
        <f>Calculation!F31</f>
        <v>26</v>
      </c>
      <c r="B28" s="136" t="str">
        <f t="shared" si="0"/>
        <v>26x38F</v>
      </c>
      <c r="C28" s="137" t="e">
        <f>Calculation!N31</f>
        <v>#VALUE!</v>
      </c>
      <c r="D28" s="117"/>
      <c r="E28" s="138" t="e">
        <v>#NUM!</v>
      </c>
      <c r="F28" s="117"/>
      <c r="G28" s="136" t="str">
        <f t="shared" si="1"/>
        <v>USD26x38F_SYNTH1Y_Quote</v>
      </c>
      <c r="H28" s="139" t="e">
        <v>#VALUE!</v>
      </c>
      <c r="I28" s="140" t="e">
        <f>_xll.qlSimpleQuoteSetValue(G28,H28,EvaluationDate)</f>
        <v>#NUM!</v>
      </c>
      <c r="J28" s="124"/>
    </row>
    <row r="29" spans="1:10" x14ac:dyDescent="0.2">
      <c r="A29" s="122">
        <f>Calculation!F32</f>
        <v>27</v>
      </c>
      <c r="B29" s="136" t="str">
        <f t="shared" si="0"/>
        <v>27x39F</v>
      </c>
      <c r="C29" s="137" t="e">
        <f>Calculation!N32</f>
        <v>#VALUE!</v>
      </c>
      <c r="D29" s="117"/>
      <c r="E29" s="138" t="e">
        <v>#NUM!</v>
      </c>
      <c r="F29" s="117"/>
      <c r="G29" s="136" t="str">
        <f t="shared" si="1"/>
        <v>USD27x39F_SYNTH1Y_Quote</v>
      </c>
      <c r="H29" s="139" t="e">
        <v>#VALUE!</v>
      </c>
      <c r="I29" s="140" t="e">
        <f>_xll.qlSimpleQuoteSetValue(G29,H29,EvaluationDate)</f>
        <v>#NUM!</v>
      </c>
      <c r="J29" s="124"/>
    </row>
    <row r="30" spans="1:10" x14ac:dyDescent="0.2">
      <c r="A30" s="122">
        <f>Calculation!F33</f>
        <v>28</v>
      </c>
      <c r="B30" s="136" t="str">
        <f t="shared" si="0"/>
        <v>28x40F</v>
      </c>
      <c r="C30" s="137" t="e">
        <f>Calculation!N33</f>
        <v>#VALUE!</v>
      </c>
      <c r="D30" s="117"/>
      <c r="E30" s="138" t="e">
        <v>#NUM!</v>
      </c>
      <c r="F30" s="117"/>
      <c r="G30" s="136" t="str">
        <f t="shared" si="1"/>
        <v>USD28x40F_SYNTH1Y_Quote</v>
      </c>
      <c r="H30" s="139" t="e">
        <v>#VALUE!</v>
      </c>
      <c r="I30" s="140" t="e">
        <f>_xll.qlSimpleQuoteSetValue(G30,H30,EvaluationDate)</f>
        <v>#NUM!</v>
      </c>
      <c r="J30" s="124"/>
    </row>
    <row r="31" spans="1:10" x14ac:dyDescent="0.2">
      <c r="A31" s="122">
        <f>Calculation!F34</f>
        <v>29</v>
      </c>
      <c r="B31" s="136" t="str">
        <f t="shared" si="0"/>
        <v>29x41F</v>
      </c>
      <c r="C31" s="137" t="e">
        <f>Calculation!N34</f>
        <v>#VALUE!</v>
      </c>
      <c r="D31" s="117"/>
      <c r="E31" s="138" t="e">
        <v>#NUM!</v>
      </c>
      <c r="F31" s="117"/>
      <c r="G31" s="136" t="str">
        <f t="shared" si="1"/>
        <v>USD29x41F_SYNTH1Y_Quote</v>
      </c>
      <c r="H31" s="139" t="e">
        <v>#VALUE!</v>
      </c>
      <c r="I31" s="140" t="e">
        <f>_xll.qlSimpleQuoteSetValue(G31,H31,EvaluationDate)</f>
        <v>#NUM!</v>
      </c>
      <c r="J31" s="124"/>
    </row>
    <row r="32" spans="1:10" x14ac:dyDescent="0.2">
      <c r="A32" s="122">
        <f>Calculation!F35</f>
        <v>30</v>
      </c>
      <c r="B32" s="136" t="str">
        <f t="shared" si="0"/>
        <v>30x42F</v>
      </c>
      <c r="C32" s="137" t="e">
        <f>Calculation!N35</f>
        <v>#VALUE!</v>
      </c>
      <c r="D32" s="117"/>
      <c r="E32" s="138" t="e">
        <v>#NUM!</v>
      </c>
      <c r="F32" s="117"/>
      <c r="G32" s="136" t="str">
        <f t="shared" si="1"/>
        <v>USD30x42F_SYNTH1Y_Quote</v>
      </c>
      <c r="H32" s="139" t="e">
        <v>#VALUE!</v>
      </c>
      <c r="I32" s="140" t="e">
        <f>_xll.qlSimpleQuoteSetValue(G32,H32,EvaluationDate)</f>
        <v>#NUM!</v>
      </c>
      <c r="J32" s="124"/>
    </row>
    <row r="33" spans="1:10" x14ac:dyDescent="0.2">
      <c r="A33" s="122">
        <f>Calculation!F36</f>
        <v>31</v>
      </c>
      <c r="B33" s="136" t="str">
        <f t="shared" si="0"/>
        <v>31x43F</v>
      </c>
      <c r="C33" s="137" t="e">
        <f>Calculation!N36</f>
        <v>#VALUE!</v>
      </c>
      <c r="D33" s="117"/>
      <c r="E33" s="138" t="e">
        <v>#NUM!</v>
      </c>
      <c r="F33" s="117"/>
      <c r="G33" s="136" t="str">
        <f t="shared" si="1"/>
        <v>USD31x43F_SYNTH1Y_Quote</v>
      </c>
      <c r="H33" s="139" t="e">
        <v>#VALUE!</v>
      </c>
      <c r="I33" s="140" t="e">
        <f>_xll.qlSimpleQuoteSetValue(G33,H33,EvaluationDate)</f>
        <v>#NUM!</v>
      </c>
      <c r="J33" s="124"/>
    </row>
    <row r="34" spans="1:10" x14ac:dyDescent="0.2">
      <c r="A34" s="122">
        <f>Calculation!F37</f>
        <v>32</v>
      </c>
      <c r="B34" s="136" t="str">
        <f t="shared" si="0"/>
        <v>32x44F</v>
      </c>
      <c r="C34" s="137" t="e">
        <f>Calculation!N37</f>
        <v>#VALUE!</v>
      </c>
      <c r="D34" s="117"/>
      <c r="E34" s="138" t="e">
        <v>#NUM!</v>
      </c>
      <c r="F34" s="117"/>
      <c r="G34" s="136" t="str">
        <f t="shared" si="1"/>
        <v>USD32x44F_SYNTH1Y_Quote</v>
      </c>
      <c r="H34" s="139" t="e">
        <v>#VALUE!</v>
      </c>
      <c r="I34" s="140" t="e">
        <f>_xll.qlSimpleQuoteSetValue(G34,H34,EvaluationDate)</f>
        <v>#NUM!</v>
      </c>
      <c r="J34" s="124"/>
    </row>
    <row r="35" spans="1:10" x14ac:dyDescent="0.2">
      <c r="A35" s="122">
        <f>Calculation!F38</f>
        <v>33</v>
      </c>
      <c r="B35" s="136" t="str">
        <f t="shared" si="0"/>
        <v>33x45F</v>
      </c>
      <c r="C35" s="137" t="e">
        <f>Calculation!N38</f>
        <v>#VALUE!</v>
      </c>
      <c r="D35" s="117"/>
      <c r="E35" s="138" t="e">
        <v>#NUM!</v>
      </c>
      <c r="F35" s="117"/>
      <c r="G35" s="136" t="str">
        <f t="shared" si="1"/>
        <v>USD33x45F_SYNTH1Y_Quote</v>
      </c>
      <c r="H35" s="139" t="e">
        <v>#VALUE!</v>
      </c>
      <c r="I35" s="140" t="e">
        <f>_xll.qlSimpleQuoteSetValue(G35,H35,EvaluationDate)</f>
        <v>#NUM!</v>
      </c>
      <c r="J35" s="124"/>
    </row>
    <row r="36" spans="1:10" x14ac:dyDescent="0.2">
      <c r="A36" s="122">
        <f>Calculation!F39</f>
        <v>34</v>
      </c>
      <c r="B36" s="136" t="str">
        <f t="shared" si="0"/>
        <v>34x46F</v>
      </c>
      <c r="C36" s="137" t="e">
        <f>Calculation!N39</f>
        <v>#VALUE!</v>
      </c>
      <c r="D36" s="117"/>
      <c r="E36" s="138" t="e">
        <v>#NUM!</v>
      </c>
      <c r="F36" s="117"/>
      <c r="G36" s="136" t="str">
        <f t="shared" si="1"/>
        <v>USD34x46F_SYNTH1Y_Quote</v>
      </c>
      <c r="H36" s="139" t="e">
        <v>#VALUE!</v>
      </c>
      <c r="I36" s="140" t="e">
        <f>_xll.qlSimpleQuoteSetValue(G36,H36,EvaluationDate)</f>
        <v>#NUM!</v>
      </c>
      <c r="J36" s="124"/>
    </row>
    <row r="37" spans="1:10" x14ac:dyDescent="0.2">
      <c r="A37" s="122">
        <f>Calculation!F40</f>
        <v>35</v>
      </c>
      <c r="B37" s="143" t="str">
        <f t="shared" si="0"/>
        <v>35x47F</v>
      </c>
      <c r="C37" s="144" t="e">
        <f>Calculation!N40</f>
        <v>#VALUE!</v>
      </c>
      <c r="D37" s="117"/>
      <c r="E37" s="145" t="e">
        <v>#NUM!</v>
      </c>
      <c r="F37" s="117"/>
      <c r="G37" s="143" t="str">
        <f t="shared" si="1"/>
        <v>USD35x47F_SYNTH1Y_Quote</v>
      </c>
      <c r="H37" s="146" t="e">
        <v>#VALUE!</v>
      </c>
      <c r="I37" s="147" t="e">
        <f>_xll.qlSimpleQuoteSetValue(G37,H37,EvaluationDate)</f>
        <v>#NUM!</v>
      </c>
      <c r="J37" s="124"/>
    </row>
    <row r="38" spans="1:10" x14ac:dyDescent="0.2">
      <c r="A38" s="122">
        <f>Calculation!F41</f>
        <v>37</v>
      </c>
      <c r="B38" s="136" t="str">
        <f t="shared" si="0"/>
        <v>37x49F</v>
      </c>
      <c r="C38" s="137" t="e">
        <f>Calculation!N41</f>
        <v>#VALUE!</v>
      </c>
      <c r="D38" s="117"/>
      <c r="E38" s="138" t="e">
        <v>#NUM!</v>
      </c>
      <c r="F38" s="117"/>
      <c r="G38" s="136" t="str">
        <f t="shared" si="1"/>
        <v>USD37x49F_SYNTH1Y_Quote</v>
      </c>
      <c r="H38" s="139" t="e">
        <v>#VALUE!</v>
      </c>
      <c r="I38" s="140" t="e">
        <f>_xll.qlSimpleQuoteSetValue(G38,H38,EvaluationDate)</f>
        <v>#NUM!</v>
      </c>
      <c r="J38" s="124"/>
    </row>
    <row r="39" spans="1:10" x14ac:dyDescent="0.2">
      <c r="A39" s="122">
        <f>Calculation!F42</f>
        <v>38</v>
      </c>
      <c r="B39" s="136" t="str">
        <f t="shared" si="0"/>
        <v>38x50F</v>
      </c>
      <c r="C39" s="137" t="e">
        <f>Calculation!N42</f>
        <v>#VALUE!</v>
      </c>
      <c r="D39" s="117"/>
      <c r="E39" s="138" t="e">
        <v>#NUM!</v>
      </c>
      <c r="F39" s="117"/>
      <c r="G39" s="136" t="str">
        <f t="shared" si="1"/>
        <v>USD38x50F_SYNTH1Y_Quote</v>
      </c>
      <c r="H39" s="139" t="e">
        <v>#VALUE!</v>
      </c>
      <c r="I39" s="140" t="e">
        <f>_xll.qlSimpleQuoteSetValue(G39,H39,EvaluationDate)</f>
        <v>#NUM!</v>
      </c>
      <c r="J39" s="124"/>
    </row>
    <row r="40" spans="1:10" x14ac:dyDescent="0.2">
      <c r="A40" s="122">
        <f>Calculation!F43</f>
        <v>39</v>
      </c>
      <c r="B40" s="136" t="str">
        <f t="shared" si="0"/>
        <v>39x51F</v>
      </c>
      <c r="C40" s="137" t="e">
        <f>Calculation!N43</f>
        <v>#VALUE!</v>
      </c>
      <c r="D40" s="117"/>
      <c r="E40" s="138" t="e">
        <v>#NUM!</v>
      </c>
      <c r="F40" s="117"/>
      <c r="G40" s="136" t="str">
        <f t="shared" si="1"/>
        <v>USD39x51F_SYNTH1Y_Quote</v>
      </c>
      <c r="H40" s="139" t="e">
        <v>#VALUE!</v>
      </c>
      <c r="I40" s="140" t="e">
        <f>_xll.qlSimpleQuoteSetValue(G40,H40,EvaluationDate)</f>
        <v>#NUM!</v>
      </c>
      <c r="J40" s="124"/>
    </row>
    <row r="41" spans="1:10" x14ac:dyDescent="0.2">
      <c r="A41" s="122">
        <f>Calculation!F44</f>
        <v>40</v>
      </c>
      <c r="B41" s="136" t="str">
        <f t="shared" si="0"/>
        <v>40x52F</v>
      </c>
      <c r="C41" s="137" t="e">
        <f>Calculation!N44</f>
        <v>#VALUE!</v>
      </c>
      <c r="D41" s="117"/>
      <c r="E41" s="138" t="e">
        <v>#NUM!</v>
      </c>
      <c r="F41" s="117"/>
      <c r="G41" s="136" t="str">
        <f t="shared" si="1"/>
        <v>USD40x52F_SYNTH1Y_Quote</v>
      </c>
      <c r="H41" s="139" t="e">
        <v>#VALUE!</v>
      </c>
      <c r="I41" s="140" t="e">
        <f>_xll.qlSimpleQuoteSetValue(G41,H41,EvaluationDate)</f>
        <v>#NUM!</v>
      </c>
      <c r="J41" s="124"/>
    </row>
    <row r="42" spans="1:10" x14ac:dyDescent="0.2">
      <c r="A42" s="122">
        <f>Calculation!F45</f>
        <v>41</v>
      </c>
      <c r="B42" s="136" t="str">
        <f t="shared" si="0"/>
        <v>41x53F</v>
      </c>
      <c r="C42" s="137" t="e">
        <f>Calculation!N45</f>
        <v>#VALUE!</v>
      </c>
      <c r="D42" s="117"/>
      <c r="E42" s="138" t="e">
        <v>#NUM!</v>
      </c>
      <c r="F42" s="117"/>
      <c r="G42" s="136" t="str">
        <f t="shared" si="1"/>
        <v>USD41x53F_SYNTH1Y_Quote</v>
      </c>
      <c r="H42" s="139" t="e">
        <v>#VALUE!</v>
      </c>
      <c r="I42" s="140" t="e">
        <f>_xll.qlSimpleQuoteSetValue(G42,H42,EvaluationDate)</f>
        <v>#NUM!</v>
      </c>
      <c r="J42" s="124"/>
    </row>
    <row r="43" spans="1:10" x14ac:dyDescent="0.2">
      <c r="A43" s="122">
        <f>Calculation!F46</f>
        <v>42</v>
      </c>
      <c r="B43" s="136" t="str">
        <f t="shared" si="0"/>
        <v>42x54F</v>
      </c>
      <c r="C43" s="137" t="e">
        <f>Calculation!N46</f>
        <v>#VALUE!</v>
      </c>
      <c r="D43" s="117"/>
      <c r="E43" s="138" t="e">
        <v>#NUM!</v>
      </c>
      <c r="F43" s="117"/>
      <c r="G43" s="136" t="str">
        <f t="shared" si="1"/>
        <v>USD42x54F_SYNTH1Y_Quote</v>
      </c>
      <c r="H43" s="139" t="e">
        <v>#VALUE!</v>
      </c>
      <c r="I43" s="140" t="e">
        <f>_xll.qlSimpleQuoteSetValue(G43,H43,EvaluationDate)</f>
        <v>#NUM!</v>
      </c>
      <c r="J43" s="124"/>
    </row>
    <row r="44" spans="1:10" x14ac:dyDescent="0.2">
      <c r="A44" s="122">
        <f>Calculation!F47</f>
        <v>43</v>
      </c>
      <c r="B44" s="136" t="str">
        <f t="shared" si="0"/>
        <v>43x55F</v>
      </c>
      <c r="C44" s="137" t="e">
        <f>Calculation!N47</f>
        <v>#VALUE!</v>
      </c>
      <c r="D44" s="117"/>
      <c r="E44" s="138" t="e">
        <v>#NUM!</v>
      </c>
      <c r="F44" s="117"/>
      <c r="G44" s="136" t="str">
        <f t="shared" si="1"/>
        <v>USD43x55F_SYNTH1Y_Quote</v>
      </c>
      <c r="H44" s="139" t="e">
        <v>#VALUE!</v>
      </c>
      <c r="I44" s="140" t="e">
        <f>_xll.qlSimpleQuoteSetValue(G44,H44,EvaluationDate)</f>
        <v>#NUM!</v>
      </c>
      <c r="J44" s="124"/>
    </row>
    <row r="45" spans="1:10" x14ac:dyDescent="0.2">
      <c r="A45" s="122">
        <f>Calculation!F48</f>
        <v>44</v>
      </c>
      <c r="B45" s="136" t="str">
        <f t="shared" si="0"/>
        <v>44x56F</v>
      </c>
      <c r="C45" s="137" t="e">
        <f>Calculation!N48</f>
        <v>#VALUE!</v>
      </c>
      <c r="D45" s="117"/>
      <c r="E45" s="138" t="e">
        <v>#NUM!</v>
      </c>
      <c r="F45" s="117"/>
      <c r="G45" s="136" t="str">
        <f t="shared" si="1"/>
        <v>USD44x56F_SYNTH1Y_Quote</v>
      </c>
      <c r="H45" s="139" t="e">
        <v>#VALUE!</v>
      </c>
      <c r="I45" s="140" t="e">
        <f>_xll.qlSimpleQuoteSetValue(G45,H45,EvaluationDate)</f>
        <v>#NUM!</v>
      </c>
      <c r="J45" s="124"/>
    </row>
    <row r="46" spans="1:10" x14ac:dyDescent="0.2">
      <c r="A46" s="122">
        <f>Calculation!F49</f>
        <v>45</v>
      </c>
      <c r="B46" s="136" t="str">
        <f t="shared" si="0"/>
        <v>45x57F</v>
      </c>
      <c r="C46" s="137" t="e">
        <f>Calculation!N49</f>
        <v>#VALUE!</v>
      </c>
      <c r="D46" s="117"/>
      <c r="E46" s="138" t="e">
        <v>#NUM!</v>
      </c>
      <c r="F46" s="117"/>
      <c r="G46" s="136" t="str">
        <f t="shared" si="1"/>
        <v>USD45x57F_SYNTH1Y_Quote</v>
      </c>
      <c r="H46" s="139" t="e">
        <v>#VALUE!</v>
      </c>
      <c r="I46" s="140" t="e">
        <f>_xll.qlSimpleQuoteSetValue(G46,H46,EvaluationDate)</f>
        <v>#NUM!</v>
      </c>
      <c r="J46" s="124"/>
    </row>
    <row r="47" spans="1:10" x14ac:dyDescent="0.2">
      <c r="A47" s="122">
        <f>Calculation!F50</f>
        <v>46</v>
      </c>
      <c r="B47" s="136" t="str">
        <f t="shared" si="0"/>
        <v>46x58F</v>
      </c>
      <c r="C47" s="137" t="e">
        <f>Calculation!N50</f>
        <v>#VALUE!</v>
      </c>
      <c r="D47" s="117"/>
      <c r="E47" s="138" t="e">
        <v>#NUM!</v>
      </c>
      <c r="F47" s="117"/>
      <c r="G47" s="136" t="str">
        <f t="shared" si="1"/>
        <v>USD46x58F_SYNTH1Y_Quote</v>
      </c>
      <c r="H47" s="139" t="e">
        <v>#VALUE!</v>
      </c>
      <c r="I47" s="140" t="e">
        <f>_xll.qlSimpleQuoteSetValue(G47,H47,EvaluationDate)</f>
        <v>#NUM!</v>
      </c>
      <c r="J47" s="124"/>
    </row>
    <row r="48" spans="1:10" x14ac:dyDescent="0.2">
      <c r="A48" s="122">
        <f>Calculation!F51</f>
        <v>47</v>
      </c>
      <c r="B48" s="143" t="str">
        <f t="shared" si="0"/>
        <v>47x59F</v>
      </c>
      <c r="C48" s="144" t="e">
        <f>Calculation!N51</f>
        <v>#VALUE!</v>
      </c>
      <c r="D48" s="117"/>
      <c r="E48" s="145" t="e">
        <v>#NUM!</v>
      </c>
      <c r="F48" s="117"/>
      <c r="G48" s="143" t="str">
        <f t="shared" si="1"/>
        <v>USD47x59F_SYNTH1Y_Quote</v>
      </c>
      <c r="H48" s="146" t="e">
        <v>#VALUE!</v>
      </c>
      <c r="I48" s="147" t="e">
        <f>_xll.qlSimpleQuoteSetValue(G48,H48,EvaluationDate)</f>
        <v>#NUM!</v>
      </c>
      <c r="J48" s="124"/>
    </row>
    <row r="49" spans="1:13" ht="12" thickBot="1" x14ac:dyDescent="0.25">
      <c r="A49" s="148"/>
      <c r="B49" s="149"/>
      <c r="C49" s="149"/>
      <c r="D49" s="149"/>
      <c r="E49" s="149"/>
      <c r="F49" s="149"/>
      <c r="G49" s="149"/>
      <c r="H49" s="149"/>
      <c r="I49" s="149"/>
      <c r="J49" s="150"/>
      <c r="K49" s="151"/>
      <c r="L49" s="151"/>
      <c r="M49" s="151"/>
    </row>
  </sheetData>
  <phoneticPr fontId="2" type="noConversion"/>
  <conditionalFormatting sqref="I5:I48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General Settings</vt:lpstr>
      <vt:lpstr>Triggers</vt:lpstr>
      <vt:lpstr>RateHelpers</vt:lpstr>
      <vt:lpstr>Calculation</vt:lpstr>
      <vt:lpstr>Interpolated1Y</vt:lpstr>
      <vt:lpstr>Accuracy</vt:lpstr>
      <vt:lpstr>BasisInterpolation</vt:lpstr>
      <vt:lpstr>BasisInterpolator</vt:lpstr>
      <vt:lpstr>Calendar</vt:lpstr>
      <vt:lpstr>Currency</vt:lpstr>
      <vt:lpstr>DayCounter</vt:lpstr>
      <vt:lpstr>DiscountingCurve</vt:lpstr>
      <vt:lpstr>EvaluationDate</vt:lpstr>
      <vt:lpstr>IborIndex</vt:lpstr>
      <vt:lpstr>InterestRatesTrigger</vt:lpstr>
      <vt:lpstr>InterpolatorID</vt:lpstr>
      <vt:lpstr>LastUpdate</vt:lpstr>
      <vt:lpstr>LiveDataFeed</vt:lpstr>
      <vt:lpstr>MinDistance</vt:lpstr>
      <vt:lpstr>NDays</vt:lpstr>
      <vt:lpstr>OvernightIndex</vt:lpstr>
      <vt:lpstr>Calculation!Print_Area</vt:lpstr>
      <vt:lpstr>Interpolated1Y!Quote</vt:lpstr>
      <vt:lpstr>Interpolated1Y!QuoteLive</vt:lpstr>
      <vt:lpstr>Interpolated1Y!QuoteStatic</vt:lpstr>
      <vt:lpstr>RateHelpers</vt:lpstr>
      <vt:lpstr>RateHelpersIncluded</vt:lpstr>
      <vt:lpstr>RateHelpersPriority</vt:lpstr>
      <vt:lpstr>TraitsID</vt:lpstr>
      <vt:lpstr>TriggerCounter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2009-10-19T16:16:39Z</cp:lastPrinted>
  <dcterms:created xsi:type="dcterms:W3CDTF">2006-04-26T09:45:07Z</dcterms:created>
  <dcterms:modified xsi:type="dcterms:W3CDTF">2013-10-23T18:17:17Z</dcterms:modified>
</cp:coreProperties>
</file>
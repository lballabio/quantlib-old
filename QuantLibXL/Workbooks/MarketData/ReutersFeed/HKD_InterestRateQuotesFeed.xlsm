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050" yWindow="-15" windowWidth="19110" windowHeight="12135" tabRatio="917"/>
  </bookViews>
  <sheets>
    <sheet name="General Settings" sheetId="2" r:id="rId1"/>
    <sheet name="SpecialTriggers" sheetId="21" r:id="rId2"/>
    <sheet name="Deposits" sheetId="1" r:id="rId3"/>
    <sheet name="FRA" sheetId="14" r:id="rId4"/>
    <sheet name="Futures1M" sheetId="22" r:id="rId5"/>
    <sheet name="Futures3M" sheetId="5" r:id="rId6"/>
    <sheet name="ImmFra6M" sheetId="23" r:id="rId7"/>
    <sheet name="FuturesConvexityAdjustment" sheetId="6" r:id="rId8"/>
    <sheet name="Swap1M" sheetId="11" r:id="rId9"/>
    <sheet name="SwapIMMDated" sheetId="10" r:id="rId10"/>
    <sheet name="Swap3M" sheetId="9" r:id="rId11"/>
    <sheet name="Swap6M" sheetId="4" r:id="rId12"/>
    <sheet name="BasisSwap1MXM" sheetId="18" r:id="rId13"/>
    <sheet name="BasisSwap3M6M" sheetId="17" r:id="rId14"/>
    <sheet name="BasisSwapXM12M" sheetId="19" r:id="rId15"/>
    <sheet name="OIS" sheetId="13" r:id="rId16"/>
    <sheet name="ECBOIS" sheetId="20" r:id="rId17"/>
  </sheets>
  <definedNames>
    <definedName name="Contributor" localSheetId="12">BasisSwap1MXM!$F$2</definedName>
    <definedName name="Contributor" localSheetId="13">BasisSwap3M6M!$F$2</definedName>
    <definedName name="Contributor" localSheetId="14">BasisSwapXM12M!$F$2</definedName>
    <definedName name="Contributor" localSheetId="2">Deposits!$C$2</definedName>
    <definedName name="Contributor" localSheetId="16">ECBOIS!$F$2</definedName>
    <definedName name="Contributor" localSheetId="3">FRA!$E$2</definedName>
    <definedName name="Contributor" localSheetId="7">FuturesConvexityAdjustment!$B$2</definedName>
    <definedName name="Contributor" localSheetId="6">ImmFra6M!$F$2</definedName>
    <definedName name="Contributor" localSheetId="15">OIS!$F$2</definedName>
    <definedName name="Contributor" localSheetId="8">Swap1M!$F$2</definedName>
    <definedName name="Contributor" localSheetId="10">Swap3M!$F$2</definedName>
    <definedName name="Contributor" localSheetId="11">Swap6M!$F$2</definedName>
    <definedName name="Contributor" localSheetId="9">SwapIMMDated!$F$2</definedName>
    <definedName name="Contributors" localSheetId="2">Deposits!$D$28:$D$37</definedName>
    <definedName name="Contributors">'General Settings'!$C$11:$C$18</definedName>
    <definedName name="ContributorTable" localSheetId="2">Deposits!$D$28:$H$37</definedName>
    <definedName name="ContributorTable">'General Settings'!$C$11:$D$18</definedName>
    <definedName name="Conventions" localSheetId="12">BasisSwap1MXM!$T$5:$V$9</definedName>
    <definedName name="Conventions" localSheetId="13">BasisSwap3M6M!$T$5:$V$9</definedName>
    <definedName name="Conventions" localSheetId="14">BasisSwapXM12M!$T$5:$V$9</definedName>
    <definedName name="Conventions" localSheetId="10">Swap3M!$T$5:$V$10</definedName>
    <definedName name="Conventions" localSheetId="11">Swap6M!$T$5:$V$10</definedName>
    <definedName name="Counter" localSheetId="12">BasisSwap1MXM!$Q$3</definedName>
    <definedName name="Counter" localSheetId="13">BasisSwap3M6M!$Q$3</definedName>
    <definedName name="Counter" localSheetId="14">BasisSwapXM12M!$Q$3</definedName>
    <definedName name="Counter" localSheetId="2">Deposits!$J$3</definedName>
    <definedName name="Counter" localSheetId="16">ECBOIS!$Q$3</definedName>
    <definedName name="Counter" localSheetId="3">FRA!$P$3</definedName>
    <definedName name="Counter" localSheetId="4">Futures1M!$R$4</definedName>
    <definedName name="Counter" localSheetId="5">Futures3M!$R$4</definedName>
    <definedName name="Counter" localSheetId="7">FuturesConvexityAdjustment!$L$3</definedName>
    <definedName name="Counter" localSheetId="6">ImmFra6M!$R$4</definedName>
    <definedName name="Counter" localSheetId="15">OIS!$Q$3</definedName>
    <definedName name="Counter" localSheetId="8">Swap1M!$Q$3</definedName>
    <definedName name="Counter" localSheetId="10">Swap3M!$Q$3</definedName>
    <definedName name="Counter" localSheetId="11">Swap6M!$Q$3</definedName>
    <definedName name="Counter" localSheetId="9">SwapIMMDated!$Q$3</definedName>
    <definedName name="Currency">'General Settings'!$D$4</definedName>
    <definedName name="FuturesCodes" localSheetId="4">Futures1M!$D$6:$D$17</definedName>
    <definedName name="FuturesCodes" localSheetId="5">Futures3M!$D$6:$D$47</definedName>
    <definedName name="FuturesCodes" localSheetId="6">ImmFra6M!$D$6:$D$9</definedName>
    <definedName name="FuturesDates" localSheetId="4">Futures1M!$E$6:$E$17</definedName>
    <definedName name="FuturesDates" localSheetId="5">Futures3M!$E$6:$E$47</definedName>
    <definedName name="FuturesDates" localSheetId="6">ImmFra6M!$E$6:$E$9</definedName>
    <definedName name="GENERAL_SETTINGS">'General Settings'!$B$2</definedName>
    <definedName name="Instruments" localSheetId="12">BasisSwap1MXM!$E$5:$E$42</definedName>
    <definedName name="Instruments" localSheetId="13">BasisSwap3M6M!$E$5:$E$42</definedName>
    <definedName name="Instruments" localSheetId="14">BasisSwapXM12M!$E$5:$E$42</definedName>
    <definedName name="Instruments" localSheetId="2">Deposits!$B$5:$B$22</definedName>
    <definedName name="Instruments" localSheetId="16">ECBOIS!$E$5:$E$10</definedName>
    <definedName name="Instruments" localSheetId="3">FRA!$D$5:$D$36</definedName>
    <definedName name="Instruments" localSheetId="4">Futures1M!$F$6:$F$17</definedName>
    <definedName name="Instruments" localSheetId="15">OIS!$E$5:$E$40</definedName>
    <definedName name="Instruments" localSheetId="8">Swap1M!$E$5:$E$15</definedName>
    <definedName name="Instruments" localSheetId="10">Swap3M!$E$5:$E$42</definedName>
    <definedName name="Instruments" localSheetId="11">Swap6M!$E$5:$E$42</definedName>
    <definedName name="Instruments" localSheetId="9">SwapIMMDated!$E$5:$E$11</definedName>
    <definedName name="InterpolationType">'General Settings'!$D$8</definedName>
    <definedName name="LastUpdate">'General Settings'!$E$21</definedName>
    <definedName name="LiffeCodes" localSheetId="4">Futures1M!$U$6:$V$10</definedName>
    <definedName name="LiffeCodes" localSheetId="5">Futures3M!$U$6:$V$11</definedName>
    <definedName name="LiffeCodes" localSheetId="6">ImmFra6M!$U$6:$V$9</definedName>
    <definedName name="LiveDataFeed">'General Settings'!$E$24</definedName>
    <definedName name="MarketTickCounter">'General Settings'!#REF!</definedName>
    <definedName name="Quote" localSheetId="12">BasisSwap1MXM!$P$5:$P$42</definedName>
    <definedName name="Quote" localSheetId="13">BasisSwap3M6M!$P$5:$P$42</definedName>
    <definedName name="Quote" localSheetId="14">BasisSwapXM12M!$P$5:$P$42</definedName>
    <definedName name="Quote" localSheetId="2">Deposits!$I$5:$I$22</definedName>
    <definedName name="Quote" localSheetId="16">ECBOIS!$P$5:$P$10</definedName>
    <definedName name="Quote" localSheetId="3">FRA!$O$5:$O$36</definedName>
    <definedName name="Quote" localSheetId="4">Futures1M!$Q$6:$Q$17</definedName>
    <definedName name="Quote" localSheetId="5">Futures3M!$Q$6:$Q$47</definedName>
    <definedName name="Quote" localSheetId="7">FuturesConvexityAdjustment!$K$5:$K$6</definedName>
    <definedName name="Quote" localSheetId="6">ImmFra6M!$Q$6:$Q$9</definedName>
    <definedName name="Quote" localSheetId="15">OIS!$P$5:$P$40</definedName>
    <definedName name="Quote" localSheetId="8">Swap1M!$P$5:$P$15</definedName>
    <definedName name="Quote" localSheetId="10">Swap3M!$P$5:$P$42</definedName>
    <definedName name="Quote" localSheetId="11">Swap6M!$P$5:$P$42</definedName>
    <definedName name="Quote" localSheetId="9">SwapIMMDated!$P$5:$P$11</definedName>
    <definedName name="QuoteLive" localSheetId="12">BasisSwap1MXM!$K$5:$K$42</definedName>
    <definedName name="QuoteLive" localSheetId="13">BasisSwap3M6M!$K$5:$K$42</definedName>
    <definedName name="QuoteLive" localSheetId="14">BasisSwapXM12M!$K$5:$K$42</definedName>
    <definedName name="QuoteLive" localSheetId="2">Deposits!$D$5:$D$22</definedName>
    <definedName name="QuoteLive" localSheetId="16">ECBOIS!$K$5:$K$10</definedName>
    <definedName name="QuoteLive" localSheetId="3">FRA!$J$5:$J$36</definedName>
    <definedName name="QuoteLive" localSheetId="4">Futures1M!$L$6:$L$17</definedName>
    <definedName name="QuoteLive" localSheetId="5">Futures3M!$L$6:$L$47</definedName>
    <definedName name="QuoteLive" localSheetId="7">FuturesConvexityAdjustment!$F$5:$F$6</definedName>
    <definedName name="QuoteLive" localSheetId="6">ImmFra6M!$L$6:$L$9</definedName>
    <definedName name="QuoteLive" localSheetId="15">OIS!$K$5:$K$40</definedName>
    <definedName name="QuoteLive" localSheetId="8">Swap1M!$K$5:$K$15</definedName>
    <definedName name="QuoteLive" localSheetId="10">Swap3M!$K$5:$K$42</definedName>
    <definedName name="QuoteLive" localSheetId="11">Swap6M!$K$5:$K$42</definedName>
    <definedName name="QuoteLive" localSheetId="9">SwapIMMDated!$K$5:$K$11</definedName>
    <definedName name="QuoteStatic" localSheetId="12">BasisSwap1MXM!$M$5:$M$42</definedName>
    <definedName name="QuoteStatic" localSheetId="13">BasisSwap3M6M!$M$5:$M$42</definedName>
    <definedName name="QuoteStatic" localSheetId="14">BasisSwapXM12M!$M$5:$M$42</definedName>
    <definedName name="QuoteStatic" localSheetId="2">Deposits!$F$5:$F$22</definedName>
    <definedName name="QuoteStatic" localSheetId="16">ECBOIS!$M$5:$M$10</definedName>
    <definedName name="QuoteStatic" localSheetId="3">FRA!$L$5:$L$36</definedName>
    <definedName name="QuoteStatic" localSheetId="4">Futures1M!$N$6:$N$17</definedName>
    <definedName name="QuoteStatic" localSheetId="5">Futures3M!$N$6:$N$47</definedName>
    <definedName name="QuoteStatic" localSheetId="7">FuturesConvexityAdjustment!$H$5:$H$6</definedName>
    <definedName name="QuoteStatic" localSheetId="6">ImmFra6M!$N$6:$N$9</definedName>
    <definedName name="QuoteStatic" localSheetId="15">OIS!$M$5:$M$40</definedName>
    <definedName name="QuoteStatic" localSheetId="8">Swap1M!$M$5:$M$15</definedName>
    <definedName name="QuoteStatic" localSheetId="10">Swap3M!$M$5:$M$42</definedName>
    <definedName name="QuoteStatic" localSheetId="11">Swap6M!$M$5:$M$42</definedName>
    <definedName name="QuoteStatic" localSheetId="9">SwapIMMDated!$M$5:$M$11</definedName>
    <definedName name="ReutersRtMode">'General Settings'!$D$6</definedName>
    <definedName name="SA_TWEAK" localSheetId="2">Deposits!$A$25</definedName>
    <definedName name="Swap3M4Y">Swap3M!$P$12</definedName>
    <definedName name="Swap6M4Y">Swap6M!$P$12</definedName>
    <definedName name="Trigger">'General Settings'!$D$5</definedName>
    <definedName name="TriggerCounter">'General Settings'!$D$7</definedName>
    <definedName name="TriggerTOY1M">SpecialTriggers!$C$3</definedName>
    <definedName name="TriggerTOY1MFUT">SpecialTriggers!#REF!</definedName>
    <definedName name="TriggerTOY3M">SpecialTriggers!$C$4</definedName>
    <definedName name="TriggerTOY6M">SpecialTriggers!$C$5</definedName>
  </definedNames>
  <calcPr calcId="145621"/>
</workbook>
</file>

<file path=xl/calcChain.xml><?xml version="1.0" encoding="utf-8"?>
<calcChain xmlns="http://schemas.openxmlformats.org/spreadsheetml/2006/main">
  <c r="P5" i="20" l="1" a="1"/>
  <c r="P5" i="20" s="1"/>
  <c r="P6" i="20"/>
  <c r="P7" i="20"/>
  <c r="P8" i="20"/>
  <c r="P9" i="20"/>
  <c r="P10" i="20"/>
  <c r="P5" i="13" a="1"/>
  <c r="P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5" i="19" a="1"/>
  <c r="P8" i="19" s="1"/>
  <c r="P5" i="19"/>
  <c r="P6" i="19"/>
  <c r="P7" i="19"/>
  <c r="P13" i="19"/>
  <c r="P14" i="19"/>
  <c r="P20" i="19"/>
  <c r="P21" i="19"/>
  <c r="P22" i="19"/>
  <c r="P23" i="19"/>
  <c r="P29" i="19"/>
  <c r="P30" i="19"/>
  <c r="P36" i="19"/>
  <c r="P37" i="19"/>
  <c r="P38" i="19"/>
  <c r="P39" i="19"/>
  <c r="P5" i="17" a="1"/>
  <c r="P17" i="17" s="1"/>
  <c r="P5" i="17"/>
  <c r="P6" i="17"/>
  <c r="P7" i="17"/>
  <c r="P13" i="17"/>
  <c r="P14" i="17"/>
  <c r="P15" i="17"/>
  <c r="P16" i="17"/>
  <c r="P21" i="17"/>
  <c r="P22" i="17"/>
  <c r="P23" i="17"/>
  <c r="P29" i="17"/>
  <c r="P30" i="17"/>
  <c r="P31" i="17"/>
  <c r="P32" i="17"/>
  <c r="P37" i="17"/>
  <c r="P38" i="17"/>
  <c r="P39" i="17"/>
  <c r="P5" i="18" a="1"/>
  <c r="P10" i="18" s="1"/>
  <c r="P5" i="18"/>
  <c r="P6" i="18"/>
  <c r="P7" i="18"/>
  <c r="P8" i="18"/>
  <c r="P9" i="18"/>
  <c r="P12" i="18"/>
  <c r="P13" i="18"/>
  <c r="P14" i="18"/>
  <c r="P15" i="18"/>
  <c r="P16" i="18"/>
  <c r="P20" i="18"/>
  <c r="P21" i="18"/>
  <c r="P22" i="18"/>
  <c r="P23" i="18"/>
  <c r="P24" i="18"/>
  <c r="P25" i="18"/>
  <c r="P28" i="18"/>
  <c r="P29" i="18"/>
  <c r="P30" i="18"/>
  <c r="P31" i="18"/>
  <c r="P32" i="18"/>
  <c r="P36" i="18"/>
  <c r="P37" i="18"/>
  <c r="P38" i="18"/>
  <c r="P39" i="18"/>
  <c r="P40" i="18"/>
  <c r="P41" i="18"/>
  <c r="P5" i="4" a="1"/>
  <c r="P19" i="4" s="1"/>
  <c r="P5" i="4"/>
  <c r="P6" i="4"/>
  <c r="P7" i="4"/>
  <c r="P8" i="4"/>
  <c r="P9" i="4"/>
  <c r="P13" i="4"/>
  <c r="P14" i="4"/>
  <c r="P15" i="4"/>
  <c r="P16" i="4"/>
  <c r="P17" i="4"/>
  <c r="P18" i="4"/>
  <c r="P20" i="4"/>
  <c r="P21" i="4"/>
  <c r="P22" i="4"/>
  <c r="P23" i="4"/>
  <c r="P24" i="4"/>
  <c r="P25" i="4"/>
  <c r="P29" i="4"/>
  <c r="P30" i="4"/>
  <c r="P31" i="4"/>
  <c r="P32" i="4"/>
  <c r="P33" i="4"/>
  <c r="P34" i="4"/>
  <c r="P36" i="4"/>
  <c r="P37" i="4"/>
  <c r="P38" i="4"/>
  <c r="P39" i="4"/>
  <c r="P40" i="4"/>
  <c r="P41" i="4"/>
  <c r="P5" i="9" a="1"/>
  <c r="P19" i="9" s="1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6" i="9"/>
  <c r="P37" i="9"/>
  <c r="P38" i="9"/>
  <c r="P39" i="9"/>
  <c r="P40" i="9"/>
  <c r="P41" i="9"/>
  <c r="P42" i="9"/>
  <c r="P5" i="10" a="1"/>
  <c r="P5" i="10" s="1"/>
  <c r="P5" i="11" a="1"/>
  <c r="P5" i="11"/>
  <c r="P6" i="11"/>
  <c r="P7" i="11"/>
  <c r="P8" i="11"/>
  <c r="P9" i="11"/>
  <c r="P10" i="11"/>
  <c r="P11" i="11"/>
  <c r="P12" i="11"/>
  <c r="P13" i="11"/>
  <c r="P14" i="11"/>
  <c r="P15" i="11"/>
  <c r="Q6" i="23" a="1"/>
  <c r="Q6" i="23" s="1"/>
  <c r="Q6" i="5" a="1"/>
  <c r="Q10" i="5" s="1"/>
  <c r="Q6" i="5"/>
  <c r="Q7" i="5"/>
  <c r="Q8" i="5"/>
  <c r="Q9" i="5"/>
  <c r="Q13" i="5"/>
  <c r="Q14" i="5"/>
  <c r="Q15" i="5"/>
  <c r="Q16" i="5"/>
  <c r="Q21" i="5"/>
  <c r="Q22" i="5"/>
  <c r="Q23" i="5"/>
  <c r="Q24" i="5"/>
  <c r="Q25" i="5"/>
  <c r="Q30" i="5"/>
  <c r="Q31" i="5"/>
  <c r="Q32" i="5"/>
  <c r="Q37" i="5"/>
  <c r="Q38" i="5"/>
  <c r="Q39" i="5"/>
  <c r="Q40" i="5"/>
  <c r="Q41" i="5"/>
  <c r="Q46" i="5"/>
  <c r="Q47" i="5"/>
  <c r="Q6" i="22" a="1"/>
  <c r="Q15" i="22" s="1"/>
  <c r="Q14" i="22"/>
  <c r="O5" i="14" a="1"/>
  <c r="O17" i="14" s="1"/>
  <c r="O5" i="14"/>
  <c r="O6" i="14"/>
  <c r="O7" i="14"/>
  <c r="O13" i="14"/>
  <c r="O14" i="14"/>
  <c r="O15" i="14"/>
  <c r="O16" i="14"/>
  <c r="O21" i="14"/>
  <c r="O22" i="14"/>
  <c r="O23" i="14"/>
  <c r="O29" i="14"/>
  <c r="O30" i="14"/>
  <c r="O31" i="14"/>
  <c r="O32" i="14"/>
  <c r="I5" i="1" a="1"/>
  <c r="I16" i="1" s="1"/>
  <c r="I5" i="1"/>
  <c r="I6" i="1"/>
  <c r="I13" i="1"/>
  <c r="I14" i="1"/>
  <c r="I15" i="1"/>
  <c r="I21" i="1"/>
  <c r="I22" i="1"/>
  <c r="Q13" i="22" l="1"/>
  <c r="Q12" i="22"/>
  <c r="I12" i="1"/>
  <c r="Q11" i="22"/>
  <c r="I11" i="1"/>
  <c r="O28" i="14"/>
  <c r="O12" i="14"/>
  <c r="Q10" i="22"/>
  <c r="P28" i="17"/>
  <c r="P12" i="17"/>
  <c r="P35" i="19"/>
  <c r="P19" i="19"/>
  <c r="I10" i="1"/>
  <c r="O27" i="14"/>
  <c r="O11" i="14"/>
  <c r="Q9" i="22"/>
  <c r="Q36" i="5"/>
  <c r="Q20" i="5"/>
  <c r="Q9" i="23"/>
  <c r="P27" i="17"/>
  <c r="P11" i="17"/>
  <c r="P34" i="19"/>
  <c r="P18" i="19"/>
  <c r="I9" i="1"/>
  <c r="O26" i="14"/>
  <c r="O10" i="14"/>
  <c r="Q8" i="22"/>
  <c r="Q35" i="5"/>
  <c r="Q19" i="5"/>
  <c r="Q8" i="23"/>
  <c r="P28" i="4"/>
  <c r="P12" i="4"/>
  <c r="P35" i="18"/>
  <c r="P19" i="18"/>
  <c r="P42" i="17"/>
  <c r="P26" i="17"/>
  <c r="P10" i="17"/>
  <c r="P33" i="19"/>
  <c r="P17" i="19"/>
  <c r="I8" i="1"/>
  <c r="O25" i="14"/>
  <c r="O9" i="14"/>
  <c r="Q7" i="22"/>
  <c r="Q34" i="5"/>
  <c r="Q18" i="5"/>
  <c r="Q7" i="23"/>
  <c r="P27" i="4"/>
  <c r="P11" i="4"/>
  <c r="P34" i="18"/>
  <c r="P18" i="18"/>
  <c r="P41" i="17"/>
  <c r="P25" i="17"/>
  <c r="P9" i="17"/>
  <c r="P32" i="19"/>
  <c r="P16" i="19"/>
  <c r="I7" i="1"/>
  <c r="O24" i="14"/>
  <c r="O8" i="14"/>
  <c r="Q6" i="22"/>
  <c r="Q33" i="5"/>
  <c r="Q17" i="5"/>
  <c r="P35" i="9"/>
  <c r="P42" i="4"/>
  <c r="P26" i="4"/>
  <c r="P10" i="4"/>
  <c r="P33" i="18"/>
  <c r="P17" i="18"/>
  <c r="P40" i="17"/>
  <c r="P24" i="17"/>
  <c r="P8" i="17"/>
  <c r="P31" i="19"/>
  <c r="P15" i="19"/>
  <c r="P9" i="10"/>
  <c r="P28" i="19"/>
  <c r="P12" i="19"/>
  <c r="I19" i="1"/>
  <c r="O36" i="14"/>
  <c r="O20" i="14"/>
  <c r="P11" i="19"/>
  <c r="I18" i="1"/>
  <c r="O19" i="14"/>
  <c r="Q44" i="5"/>
  <c r="Q12" i="5"/>
  <c r="P19" i="17"/>
  <c r="P42" i="19"/>
  <c r="P10" i="19"/>
  <c r="Q16" i="22"/>
  <c r="Q27" i="5"/>
  <c r="Q11" i="5"/>
  <c r="P6" i="10"/>
  <c r="P27" i="18"/>
  <c r="P11" i="18"/>
  <c r="P34" i="17"/>
  <c r="P18" i="17"/>
  <c r="P41" i="19"/>
  <c r="P25" i="19"/>
  <c r="P9" i="19"/>
  <c r="P11" i="10"/>
  <c r="P10" i="10"/>
  <c r="I20" i="1"/>
  <c r="Q45" i="5"/>
  <c r="Q29" i="5"/>
  <c r="P8" i="10"/>
  <c r="P36" i="17"/>
  <c r="P20" i="17"/>
  <c r="P27" i="19"/>
  <c r="O35" i="14"/>
  <c r="Q17" i="22"/>
  <c r="Q28" i="5"/>
  <c r="P7" i="10"/>
  <c r="P35" i="17"/>
  <c r="P26" i="19"/>
  <c r="I17" i="1"/>
  <c r="O34" i="14"/>
  <c r="O18" i="14"/>
  <c r="Q43" i="5"/>
  <c r="O33" i="14"/>
  <c r="Q42" i="5"/>
  <c r="Q26" i="5"/>
  <c r="P35" i="4"/>
  <c r="P42" i="18"/>
  <c r="P26" i="18"/>
  <c r="P33" i="17"/>
  <c r="P40" i="19"/>
  <c r="P24" i="19"/>
  <c r="O40" i="13"/>
  <c r="O39" i="13"/>
  <c r="O38" i="13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O9" i="13"/>
  <c r="O8" i="13"/>
  <c r="O7" i="13"/>
  <c r="O6" i="13"/>
  <c r="O5" i="13"/>
  <c r="N10" i="14" l="1"/>
  <c r="D12" i="14"/>
  <c r="N12" i="14" s="1"/>
  <c r="D13" i="14"/>
  <c r="N13" i="14" s="1"/>
  <c r="D14" i="14"/>
  <c r="N14" i="14" s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5" i="1"/>
  <c r="K5" i="20"/>
  <c r="K6" i="20"/>
  <c r="K7" i="20"/>
  <c r="K8" i="20"/>
  <c r="K9" i="20"/>
  <c r="K10" i="20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E40" i="13"/>
  <c r="E39" i="13"/>
  <c r="F39" i="13" s="1"/>
  <c r="E38" i="13"/>
  <c r="F38" i="13" s="1"/>
  <c r="E37" i="13"/>
  <c r="J6" i="6"/>
  <c r="B5" i="6"/>
  <c r="C33" i="14"/>
  <c r="D33" i="14"/>
  <c r="N33" i="14" s="1"/>
  <c r="C34" i="14"/>
  <c r="D34" i="14"/>
  <c r="N34" i="14" s="1"/>
  <c r="C35" i="14"/>
  <c r="D35" i="14"/>
  <c r="N35" i="14" s="1"/>
  <c r="C36" i="14"/>
  <c r="D36" i="14"/>
  <c r="N36" i="14"/>
  <c r="C22" i="14"/>
  <c r="D22" i="14"/>
  <c r="N22" i="14"/>
  <c r="C23" i="14"/>
  <c r="D23" i="14"/>
  <c r="N23" i="14" s="1"/>
  <c r="C24" i="14"/>
  <c r="D24" i="14"/>
  <c r="N24" i="14" s="1"/>
  <c r="C25" i="14"/>
  <c r="D25" i="14"/>
  <c r="N25" i="14"/>
  <c r="C26" i="14"/>
  <c r="D26" i="14"/>
  <c r="N26" i="14" s="1"/>
  <c r="C27" i="14"/>
  <c r="D27" i="14"/>
  <c r="N27" i="14" s="1"/>
  <c r="C28" i="14"/>
  <c r="D28" i="14"/>
  <c r="N28" i="14" s="1"/>
  <c r="C29" i="14"/>
  <c r="D29" i="14"/>
  <c r="N29" i="14" s="1"/>
  <c r="C30" i="14"/>
  <c r="D30" i="14"/>
  <c r="N30" i="14" s="1"/>
  <c r="C31" i="14"/>
  <c r="D31" i="14"/>
  <c r="N31" i="14" s="1"/>
  <c r="C32" i="14"/>
  <c r="D32" i="14"/>
  <c r="N32" i="14" s="1"/>
  <c r="C21" i="14"/>
  <c r="D21" i="14"/>
  <c r="N21" i="14" s="1"/>
  <c r="C19" i="14"/>
  <c r="D19" i="14"/>
  <c r="N19" i="14" s="1"/>
  <c r="C20" i="14"/>
  <c r="D20" i="14"/>
  <c r="N20" i="14" s="1"/>
  <c r="C18" i="14"/>
  <c r="D18" i="14"/>
  <c r="N18" i="14"/>
  <c r="D5" i="14"/>
  <c r="N5" i="14" s="1"/>
  <c r="D6" i="14"/>
  <c r="N6" i="14" s="1"/>
  <c r="D7" i="14"/>
  <c r="N7" i="14" s="1"/>
  <c r="D8" i="14"/>
  <c r="N8" i="14" s="1"/>
  <c r="D9" i="14"/>
  <c r="N9" i="14" s="1"/>
  <c r="D10" i="14"/>
  <c r="D11" i="14"/>
  <c r="N11" i="14" s="1"/>
  <c r="D15" i="14"/>
  <c r="N15" i="14" s="1"/>
  <c r="D16" i="14"/>
  <c r="N16" i="14" s="1"/>
  <c r="D17" i="14"/>
  <c r="N17" i="14" s="1"/>
  <c r="J5" i="6"/>
  <c r="E5" i="13"/>
  <c r="O10" i="20"/>
  <c r="O9" i="20"/>
  <c r="O8" i="20"/>
  <c r="O7" i="20"/>
  <c r="O6" i="20"/>
  <c r="O5" i="20"/>
  <c r="E24" i="13"/>
  <c r="E25" i="13"/>
  <c r="E26" i="13"/>
  <c r="F26" i="13" s="1"/>
  <c r="E27" i="13"/>
  <c r="E28" i="13"/>
  <c r="F28" i="13" s="1"/>
  <c r="E29" i="13"/>
  <c r="F29" i="13" s="1"/>
  <c r="E30" i="13"/>
  <c r="F30" i="13" s="1"/>
  <c r="E31" i="13"/>
  <c r="E32" i="13"/>
  <c r="E33" i="13"/>
  <c r="F33" i="13" s="1"/>
  <c r="E34" i="13"/>
  <c r="E35" i="13"/>
  <c r="F35" i="13" s="1"/>
  <c r="E36" i="13"/>
  <c r="E23" i="13"/>
  <c r="F23" i="13" s="1"/>
  <c r="E22" i="13"/>
  <c r="E21" i="13"/>
  <c r="F21" i="13" s="1"/>
  <c r="E20" i="13"/>
  <c r="F20" i="13" s="1"/>
  <c r="E19" i="13"/>
  <c r="F19" i="13" s="1"/>
  <c r="E18" i="13"/>
  <c r="E17" i="13"/>
  <c r="E16" i="13"/>
  <c r="F16" i="13" s="1"/>
  <c r="E15" i="13"/>
  <c r="E14" i="13"/>
  <c r="F14" i="13" s="1"/>
  <c r="E13" i="13"/>
  <c r="F13" i="13" s="1"/>
  <c r="E12" i="13"/>
  <c r="E11" i="13"/>
  <c r="F11" i="13" s="1"/>
  <c r="E10" i="13"/>
  <c r="E9" i="13"/>
  <c r="F9" i="13" s="1"/>
  <c r="E8" i="13"/>
  <c r="E7" i="13"/>
  <c r="F7" i="13" s="1"/>
  <c r="E6" i="13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X7" i="23"/>
  <c r="X8" i="23"/>
  <c r="X9" i="23"/>
  <c r="X6" i="23"/>
  <c r="F6" i="23" a="1"/>
  <c r="F6" i="23" s="1"/>
  <c r="D11" i="2"/>
  <c r="G28" i="1"/>
  <c r="E5" i="11"/>
  <c r="O5" i="11" s="1"/>
  <c r="E6" i="11"/>
  <c r="O6" i="11" s="1"/>
  <c r="E7" i="11"/>
  <c r="O7" i="11" s="1"/>
  <c r="E8" i="11"/>
  <c r="O8" i="11" s="1"/>
  <c r="E9" i="11"/>
  <c r="O9" i="11" s="1"/>
  <c r="E10" i="11"/>
  <c r="O10" i="11" s="1"/>
  <c r="E11" i="11"/>
  <c r="O11" i="11" s="1"/>
  <c r="E12" i="11"/>
  <c r="O12" i="11" s="1"/>
  <c r="E13" i="11"/>
  <c r="O13" i="11" s="1"/>
  <c r="E14" i="11"/>
  <c r="O14" i="11" s="1"/>
  <c r="E15" i="11"/>
  <c r="O15" i="11" s="1"/>
  <c r="E5" i="10"/>
  <c r="O5" i="10" s="1"/>
  <c r="E6" i="10"/>
  <c r="O6" i="10" s="1"/>
  <c r="E7" i="10"/>
  <c r="O7" i="10" s="1"/>
  <c r="E8" i="10"/>
  <c r="E9" i="10"/>
  <c r="O9" i="10" s="1"/>
  <c r="E10" i="10"/>
  <c r="O10" i="10" s="1"/>
  <c r="E11" i="10"/>
  <c r="O11" i="10" s="1"/>
  <c r="C5" i="9" a="1"/>
  <c r="C33" i="9" s="1"/>
  <c r="D5" i="9" a="1"/>
  <c r="D31" i="9" s="1"/>
  <c r="C5" i="4" a="1"/>
  <c r="C8" i="4" s="1"/>
  <c r="D5" i="4" a="1"/>
  <c r="D27" i="4" s="1"/>
  <c r="C5" i="18" a="1"/>
  <c r="C18" i="18" s="1"/>
  <c r="D5" i="18" a="1"/>
  <c r="D29" i="18" s="1"/>
  <c r="C5" i="17" a="1"/>
  <c r="C21" i="17" s="1"/>
  <c r="D5" i="17" a="1"/>
  <c r="D36" i="17" s="1"/>
  <c r="W5" i="17"/>
  <c r="W6" i="17"/>
  <c r="W7" i="17"/>
  <c r="W8" i="17"/>
  <c r="W9" i="17"/>
  <c r="W10" i="17"/>
  <c r="W11" i="17"/>
  <c r="W12" i="17"/>
  <c r="W13" i="17"/>
  <c r="W14" i="17"/>
  <c r="W15" i="17"/>
  <c r="W16" i="17"/>
  <c r="W17" i="17"/>
  <c r="W18" i="17"/>
  <c r="W19" i="17"/>
  <c r="W20" i="17"/>
  <c r="W21" i="17"/>
  <c r="W22" i="17"/>
  <c r="W23" i="17"/>
  <c r="W24" i="17"/>
  <c r="W25" i="17"/>
  <c r="W26" i="17"/>
  <c r="W27" i="17"/>
  <c r="W28" i="17"/>
  <c r="W29" i="17"/>
  <c r="W30" i="17"/>
  <c r="W31" i="17"/>
  <c r="W32" i="17"/>
  <c r="W33" i="17"/>
  <c r="W34" i="17"/>
  <c r="W35" i="17"/>
  <c r="W36" i="17"/>
  <c r="W37" i="17"/>
  <c r="W38" i="17"/>
  <c r="W39" i="17"/>
  <c r="W40" i="17"/>
  <c r="W41" i="17"/>
  <c r="W42" i="17"/>
  <c r="C5" i="19" a="1"/>
  <c r="C25" i="19" s="1"/>
  <c r="D5" i="19" a="1"/>
  <c r="D38" i="19" s="1"/>
  <c r="E5" i="20"/>
  <c r="E6" i="20"/>
  <c r="E7" i="20"/>
  <c r="E8" i="20"/>
  <c r="E9" i="20"/>
  <c r="E10" i="20"/>
  <c r="C6" i="19"/>
  <c r="D5" i="18"/>
  <c r="D7" i="19"/>
  <c r="C8" i="17"/>
  <c r="L15" i="22"/>
  <c r="K5" i="10"/>
  <c r="K11" i="11"/>
  <c r="K11" i="10"/>
  <c r="I38" i="17"/>
  <c r="I37" i="18"/>
  <c r="K28" i="4"/>
  <c r="K16" i="9"/>
  <c r="I26" i="17"/>
  <c r="I19" i="18"/>
  <c r="K8" i="9"/>
  <c r="I7" i="18"/>
  <c r="I35" i="18"/>
  <c r="J12" i="14"/>
  <c r="I35" i="19"/>
  <c r="I16" i="19"/>
  <c r="K7" i="10"/>
  <c r="L22" i="5"/>
  <c r="K26" i="4"/>
  <c r="J33" i="14"/>
  <c r="K40" i="4"/>
  <c r="L30" i="5"/>
  <c r="J16" i="14"/>
  <c r="I15" i="17"/>
  <c r="L9" i="23"/>
  <c r="K17" i="9"/>
  <c r="I37" i="17"/>
  <c r="K38" i="4"/>
  <c r="L18" i="5"/>
  <c r="I12" i="19"/>
  <c r="I40" i="19"/>
  <c r="J7" i="14"/>
  <c r="I32" i="17"/>
  <c r="I20" i="17"/>
  <c r="K7" i="11"/>
  <c r="I39" i="17"/>
  <c r="K27" i="9"/>
  <c r="J9" i="14"/>
  <c r="K32" i="4"/>
  <c r="I9" i="18"/>
  <c r="I41" i="19"/>
  <c r="K14" i="4"/>
  <c r="K19" i="4"/>
  <c r="I40" i="17"/>
  <c r="I5" i="17"/>
  <c r="L42" i="5"/>
  <c r="I11" i="17"/>
  <c r="K5" i="11"/>
  <c r="K10" i="11"/>
  <c r="L29" i="5"/>
  <c r="I28" i="19"/>
  <c r="I29" i="19"/>
  <c r="L36" i="5"/>
  <c r="I21" i="17"/>
  <c r="L35" i="5"/>
  <c r="K38" i="9"/>
  <c r="I23" i="18"/>
  <c r="L16" i="22"/>
  <c r="I10" i="19"/>
  <c r="I20" i="18"/>
  <c r="I11" i="19"/>
  <c r="I25" i="18"/>
  <c r="L7" i="5"/>
  <c r="L14" i="5"/>
  <c r="L7" i="22"/>
  <c r="L44" i="5"/>
  <c r="I27" i="17"/>
  <c r="I14" i="18"/>
  <c r="K29" i="9"/>
  <c r="I28" i="18"/>
  <c r="I38" i="18"/>
  <c r="J13" i="14"/>
  <c r="K17" i="4"/>
  <c r="I42" i="19"/>
  <c r="I35" i="17"/>
  <c r="I21" i="19"/>
  <c r="K22" i="9"/>
  <c r="K23" i="9"/>
  <c r="K7" i="4"/>
  <c r="L13" i="5"/>
  <c r="I5" i="18"/>
  <c r="I22" i="19"/>
  <c r="J6" i="14"/>
  <c r="L21" i="5"/>
  <c r="K24" i="4"/>
  <c r="K23" i="4"/>
  <c r="I29" i="17"/>
  <c r="K10" i="4"/>
  <c r="I9" i="19"/>
  <c r="K30" i="4"/>
  <c r="L13" i="22"/>
  <c r="L32" i="5"/>
  <c r="L19" i="5"/>
  <c r="J23" i="14"/>
  <c r="K41" i="9"/>
  <c r="I36" i="17"/>
  <c r="I19" i="17"/>
  <c r="I39" i="18"/>
  <c r="L6" i="5"/>
  <c r="L9" i="5"/>
  <c r="I24" i="19"/>
  <c r="K8" i="11"/>
  <c r="I6" i="18"/>
  <c r="I17" i="17"/>
  <c r="K13" i="4"/>
  <c r="I13" i="19"/>
  <c r="L8" i="22"/>
  <c r="I38" i="19"/>
  <c r="L8" i="5"/>
  <c r="K42" i="4"/>
  <c r="L15" i="5"/>
  <c r="I37" i="19"/>
  <c r="I8" i="19"/>
  <c r="K35" i="4"/>
  <c r="L45" i="5"/>
  <c r="I23" i="19"/>
  <c r="I31" i="19"/>
  <c r="L10" i="5"/>
  <c r="L7" i="23"/>
  <c r="I18" i="17"/>
  <c r="I13" i="18"/>
  <c r="I40" i="18"/>
  <c r="K25" i="4"/>
  <c r="L23" i="5"/>
  <c r="I10" i="18"/>
  <c r="I7" i="19"/>
  <c r="K6" i="4"/>
  <c r="I26" i="18"/>
  <c r="L20" i="5"/>
  <c r="K6" i="10"/>
  <c r="K13" i="11"/>
  <c r="K30" i="9"/>
  <c r="K18" i="9"/>
  <c r="J36" i="14"/>
  <c r="K8" i="10"/>
  <c r="I18" i="19"/>
  <c r="I22" i="18"/>
  <c r="K7" i="9"/>
  <c r="L47" i="5"/>
  <c r="K9" i="10"/>
  <c r="K15" i="4"/>
  <c r="I28" i="17"/>
  <c r="I17" i="18"/>
  <c r="I20" i="19"/>
  <c r="L16" i="5"/>
  <c r="L17" i="5"/>
  <c r="I15" i="19"/>
  <c r="L41" i="5"/>
  <c r="K11" i="4"/>
  <c r="K15" i="11"/>
  <c r="J29" i="14"/>
  <c r="I34" i="17"/>
  <c r="K20" i="4"/>
  <c r="K39" i="9"/>
  <c r="L46" i="5"/>
  <c r="K12" i="11"/>
  <c r="J30" i="14"/>
  <c r="I32" i="19"/>
  <c r="I9" i="17"/>
  <c r="K31" i="9"/>
  <c r="I34" i="19"/>
  <c r="L31" i="5"/>
  <c r="I6" i="19"/>
  <c r="I33" i="18"/>
  <c r="J5" i="14"/>
  <c r="J28" i="14"/>
  <c r="I41" i="18"/>
  <c r="L25" i="5"/>
  <c r="K9" i="11"/>
  <c r="L37" i="5"/>
  <c r="I21" i="18"/>
  <c r="J19" i="14"/>
  <c r="I8" i="17"/>
  <c r="J17" i="14"/>
  <c r="I6" i="17"/>
  <c r="J22" i="14"/>
  <c r="K22" i="4"/>
  <c r="J27" i="14"/>
  <c r="K34" i="9"/>
  <c r="K9" i="9"/>
  <c r="I27" i="19"/>
  <c r="K6" i="9"/>
  <c r="I42" i="18"/>
  <c r="I16" i="17"/>
  <c r="L8" i="23"/>
  <c r="L6" i="22"/>
  <c r="K16" i="4"/>
  <c r="K8" i="4"/>
  <c r="L33" i="5"/>
  <c r="K5" i="9"/>
  <c r="L11" i="22"/>
  <c r="K41" i="4"/>
  <c r="I24" i="18"/>
  <c r="J34" i="14"/>
  <c r="I31" i="17"/>
  <c r="K5" i="4"/>
  <c r="L12" i="22"/>
  <c r="L28" i="5"/>
  <c r="K36" i="4"/>
  <c r="J26" i="14"/>
  <c r="I11" i="18"/>
  <c r="I36" i="19"/>
  <c r="K26" i="9"/>
  <c r="I18" i="18"/>
  <c r="I32" i="18"/>
  <c r="K9" i="4"/>
  <c r="I8" i="18"/>
  <c r="K27" i="4"/>
  <c r="I42" i="17"/>
  <c r="J24" i="14"/>
  <c r="K42" i="9"/>
  <c r="L12" i="5"/>
  <c r="K19" i="9"/>
  <c r="K12" i="4"/>
  <c r="L10" i="22"/>
  <c r="K33" i="4"/>
  <c r="I5" i="19"/>
  <c r="J11" i="14"/>
  <c r="I30" i="19"/>
  <c r="K33" i="9"/>
  <c r="I15" i="18"/>
  <c r="I36" i="18"/>
  <c r="J31" i="14"/>
  <c r="K21" i="9"/>
  <c r="K29" i="4"/>
  <c r="K15" i="9"/>
  <c r="J14" i="14"/>
  <c r="I27" i="18"/>
  <c r="J32" i="14"/>
  <c r="K40" i="9"/>
  <c r="I30" i="17"/>
  <c r="I13" i="17"/>
  <c r="I39" i="19"/>
  <c r="L9" i="22"/>
  <c r="J8" i="14"/>
  <c r="L27" i="5"/>
  <c r="I12" i="17"/>
  <c r="K31" i="4"/>
  <c r="J25" i="14"/>
  <c r="I26" i="19"/>
  <c r="I17" i="19"/>
  <c r="I16" i="18"/>
  <c r="J21" i="14"/>
  <c r="K14" i="11"/>
  <c r="I33" i="19"/>
  <c r="I23" i="17"/>
  <c r="K35" i="9"/>
  <c r="I29" i="18"/>
  <c r="I10" i="17"/>
  <c r="K37" i="9"/>
  <c r="K39" i="4"/>
  <c r="L6" i="23"/>
  <c r="L14" i="22"/>
  <c r="K21" i="4"/>
  <c r="K25" i="9"/>
  <c r="I31" i="18"/>
  <c r="J18" i="14"/>
  <c r="J35" i="14"/>
  <c r="K28" i="9"/>
  <c r="K14" i="9"/>
  <c r="L38" i="5"/>
  <c r="J10" i="14"/>
  <c r="K36" i="9"/>
  <c r="L34" i="5"/>
  <c r="K34" i="4"/>
  <c r="I25" i="19"/>
  <c r="L11" i="5"/>
  <c r="I25" i="17"/>
  <c r="K10" i="9"/>
  <c r="I41" i="17"/>
  <c r="J15" i="14"/>
  <c r="L17" i="22"/>
  <c r="I24" i="17"/>
  <c r="I22" i="17"/>
  <c r="L40" i="5"/>
  <c r="K6" i="11"/>
  <c r="K20" i="9"/>
  <c r="K13" i="9"/>
  <c r="K11" i="9"/>
  <c r="K18" i="4"/>
  <c r="K24" i="9"/>
  <c r="I14" i="17"/>
  <c r="I19" i="19"/>
  <c r="K32" i="9"/>
  <c r="I33" i="17"/>
  <c r="L24" i="5"/>
  <c r="L39" i="5"/>
  <c r="I30" i="18"/>
  <c r="K37" i="4"/>
  <c r="L26" i="5"/>
  <c r="I7" i="17"/>
  <c r="I12" i="18"/>
  <c r="J20" i="14"/>
  <c r="L43" i="5"/>
  <c r="I14" i="19"/>
  <c r="I34" i="18"/>
  <c r="K12" i="9"/>
  <c r="K10" i="10"/>
  <c r="E4" i="23"/>
  <c r="E6" i="22" a="1"/>
  <c r="B1" i="2"/>
  <c r="E6" i="23" a="1"/>
  <c r="E6" i="5" a="1"/>
  <c r="Q5" i="20"/>
  <c r="Q6" i="20"/>
  <c r="Q10" i="20"/>
  <c r="Q8" i="20"/>
  <c r="Q9" i="20"/>
  <c r="Q7" i="20"/>
  <c r="Q13" i="13"/>
  <c r="Q30" i="13"/>
  <c r="Q20" i="13"/>
  <c r="Q36" i="13"/>
  <c r="Q26" i="13"/>
  <c r="Q6" i="13"/>
  <c r="Q19" i="13"/>
  <c r="Q31" i="13"/>
  <c r="Q18" i="13"/>
  <c r="Q28" i="13"/>
  <c r="Q34" i="13"/>
  <c r="Q25" i="13"/>
  <c r="Q38" i="13"/>
  <c r="Q40" i="13"/>
  <c r="Q21" i="13"/>
  <c r="Q37" i="13"/>
  <c r="Q35" i="13"/>
  <c r="Q23" i="13"/>
  <c r="Q12" i="13"/>
  <c r="Q16" i="13"/>
  <c r="Q17" i="13"/>
  <c r="Q33" i="13"/>
  <c r="Q14" i="13"/>
  <c r="Q11" i="13"/>
  <c r="Q24" i="13"/>
  <c r="Q5" i="13"/>
  <c r="Q15" i="13"/>
  <c r="Q27" i="13"/>
  <c r="Q22" i="13"/>
  <c r="Q39" i="13"/>
  <c r="Q32" i="13"/>
  <c r="Q29" i="13"/>
  <c r="Q9" i="13"/>
  <c r="Q10" i="13"/>
  <c r="Q8" i="13"/>
  <c r="J7" i="1"/>
  <c r="J12" i="1"/>
  <c r="J15" i="1"/>
  <c r="J11" i="1"/>
  <c r="J20" i="1"/>
  <c r="J8" i="1"/>
  <c r="J6" i="1"/>
  <c r="J21" i="1"/>
  <c r="J10" i="1"/>
  <c r="J22" i="1"/>
  <c r="J18" i="1"/>
  <c r="J16" i="1"/>
  <c r="J13" i="1"/>
  <c r="J5" i="1"/>
  <c r="J9" i="1"/>
  <c r="J19" i="1"/>
  <c r="J14" i="1"/>
  <c r="J17" i="1"/>
  <c r="W39" i="5"/>
  <c r="P40" i="14"/>
  <c r="B4" i="6"/>
  <c r="C4" i="1"/>
  <c r="P41" i="14"/>
  <c r="T45" i="17"/>
  <c r="C27" i="17" l="1"/>
  <c r="C35" i="17"/>
  <c r="C22" i="17"/>
  <c r="C9" i="17"/>
  <c r="C10" i="17"/>
  <c r="C19" i="17"/>
  <c r="C29" i="18"/>
  <c r="E29" i="18" s="1"/>
  <c r="O29" i="18" s="1"/>
  <c r="C15" i="19"/>
  <c r="D6" i="9"/>
  <c r="C42" i="17"/>
  <c r="E42" i="17" s="1"/>
  <c r="O42" i="17" s="1"/>
  <c r="C28" i="17"/>
  <c r="C38" i="17"/>
  <c r="C24" i="17"/>
  <c r="D13" i="17"/>
  <c r="C32" i="17"/>
  <c r="C5" i="17"/>
  <c r="C7" i="17"/>
  <c r="F9" i="23"/>
  <c r="D41" i="9"/>
  <c r="D11" i="9"/>
  <c r="C33" i="17"/>
  <c r="D18" i="9"/>
  <c r="D33" i="9"/>
  <c r="C16" i="4"/>
  <c r="D21" i="19"/>
  <c r="D37" i="9"/>
  <c r="C18" i="4"/>
  <c r="D9" i="18"/>
  <c r="D12" i="19"/>
  <c r="C5" i="19"/>
  <c r="D8" i="19"/>
  <c r="D22" i="19"/>
  <c r="D15" i="9"/>
  <c r="C9" i="4"/>
  <c r="D20" i="9"/>
  <c r="C23" i="17"/>
  <c r="D26" i="18"/>
  <c r="C22" i="4"/>
  <c r="D6" i="19"/>
  <c r="D32" i="9"/>
  <c r="C25" i="4"/>
  <c r="D6" i="4"/>
  <c r="D14" i="9"/>
  <c r="D40" i="9"/>
  <c r="D23" i="9"/>
  <c r="C27" i="4"/>
  <c r="E27" i="4" s="1"/>
  <c r="O27" i="4" s="1"/>
  <c r="C37" i="19"/>
  <c r="D39" i="9"/>
  <c r="C14" i="4"/>
  <c r="D36" i="9"/>
  <c r="C24" i="4"/>
  <c r="D24" i="9"/>
  <c r="C21" i="4"/>
  <c r="D13" i="9"/>
  <c r="C11" i="4"/>
  <c r="D27" i="19"/>
  <c r="D27" i="9"/>
  <c r="C12" i="4"/>
  <c r="D29" i="9"/>
  <c r="D10" i="9"/>
  <c r="C30" i="4"/>
  <c r="D5" i="9"/>
  <c r="E6" i="19"/>
  <c r="O6" i="19" s="1"/>
  <c r="D22" i="9"/>
  <c r="C23" i="4"/>
  <c r="D37" i="19"/>
  <c r="E37" i="19" s="1"/>
  <c r="O37" i="19" s="1"/>
  <c r="D29" i="19"/>
  <c r="D9" i="9"/>
  <c r="C7" i="4"/>
  <c r="D23" i="19"/>
  <c r="C26" i="17"/>
  <c r="C40" i="17"/>
  <c r="C41" i="17"/>
  <c r="D6" i="17"/>
  <c r="D7" i="9"/>
  <c r="D42" i="9"/>
  <c r="C10" i="4"/>
  <c r="C36" i="17"/>
  <c r="E36" i="17" s="1"/>
  <c r="O36" i="17" s="1"/>
  <c r="C31" i="17"/>
  <c r="D7" i="18"/>
  <c r="F5" i="20" a="1"/>
  <c r="F8" i="20" s="1"/>
  <c r="C16" i="17"/>
  <c r="D8" i="17"/>
  <c r="E8" i="17" s="1"/>
  <c r="O8" i="17" s="1"/>
  <c r="C17" i="17"/>
  <c r="D12" i="9"/>
  <c r="C31" i="4"/>
  <c r="D25" i="9"/>
  <c r="C39" i="17"/>
  <c r="C13" i="17"/>
  <c r="D17" i="17"/>
  <c r="D9" i="17"/>
  <c r="E9" i="17" s="1"/>
  <c r="O9" i="17" s="1"/>
  <c r="C37" i="17"/>
  <c r="D38" i="9"/>
  <c r="D8" i="9"/>
  <c r="C39" i="4"/>
  <c r="C29" i="4"/>
  <c r="D7" i="4"/>
  <c r="C11" i="17"/>
  <c r="D26" i="9"/>
  <c r="C15" i="4"/>
  <c r="C34" i="17"/>
  <c r="C33" i="4"/>
  <c r="C20" i="17"/>
  <c r="E33" i="9"/>
  <c r="O33" i="9" s="1"/>
  <c r="C29" i="17"/>
  <c r="D19" i="9"/>
  <c r="D17" i="9"/>
  <c r="C17" i="4"/>
  <c r="C35" i="4"/>
  <c r="D10" i="17"/>
  <c r="E10" i="17" s="1"/>
  <c r="O10" i="17" s="1"/>
  <c r="C12" i="17"/>
  <c r="C25" i="17"/>
  <c r="D12" i="18"/>
  <c r="D28" i="9"/>
  <c r="D16" i="9"/>
  <c r="C40" i="4"/>
  <c r="C26" i="4"/>
  <c r="D21" i="9"/>
  <c r="C14" i="17"/>
  <c r="C15" i="17"/>
  <c r="D30" i="9"/>
  <c r="D34" i="9"/>
  <c r="C34" i="4"/>
  <c r="C37" i="4"/>
  <c r="C28" i="4"/>
  <c r="C6" i="17"/>
  <c r="C30" i="17"/>
  <c r="D30" i="18"/>
  <c r="D14" i="4"/>
  <c r="D29" i="17"/>
  <c r="D39" i="17"/>
  <c r="C31" i="19"/>
  <c r="D31" i="4"/>
  <c r="D18" i="18"/>
  <c r="E18" i="18" s="1"/>
  <c r="O18" i="18" s="1"/>
  <c r="D30" i="17"/>
  <c r="C18" i="9"/>
  <c r="E18" i="9" s="1"/>
  <c r="O18" i="9" s="1"/>
  <c r="D6" i="18"/>
  <c r="C38" i="9"/>
  <c r="D24" i="18"/>
  <c r="D21" i="4"/>
  <c r="E21" i="4" s="1"/>
  <c r="O21" i="4" s="1"/>
  <c r="D22" i="17"/>
  <c r="E22" i="17" s="1"/>
  <c r="O22" i="17" s="1"/>
  <c r="D41" i="17"/>
  <c r="D8" i="4"/>
  <c r="E8" i="4" s="1"/>
  <c r="O8" i="4" s="1"/>
  <c r="D37" i="17"/>
  <c r="C14" i="9"/>
  <c r="D28" i="4"/>
  <c r="D38" i="17"/>
  <c r="C36" i="9"/>
  <c r="C37" i="9"/>
  <c r="E37" i="9" s="1"/>
  <c r="O37" i="9" s="1"/>
  <c r="D35" i="4"/>
  <c r="F5" i="11" a="1"/>
  <c r="F14" i="11" s="1"/>
  <c r="D35" i="18"/>
  <c r="C23" i="9"/>
  <c r="D30" i="4"/>
  <c r="E30" i="4" s="1"/>
  <c r="O30" i="4" s="1"/>
  <c r="D23" i="17"/>
  <c r="E23" i="17" s="1"/>
  <c r="O23" i="17" s="1"/>
  <c r="D18" i="4"/>
  <c r="D32" i="17"/>
  <c r="E32" i="17" s="1"/>
  <c r="O32" i="17" s="1"/>
  <c r="D41" i="19"/>
  <c r="D15" i="17"/>
  <c r="D22" i="4"/>
  <c r="D28" i="17"/>
  <c r="D23" i="4"/>
  <c r="D31" i="19"/>
  <c r="D26" i="17"/>
  <c r="E26" i="17" s="1"/>
  <c r="O26" i="17" s="1"/>
  <c r="D5" i="4"/>
  <c r="D41" i="4"/>
  <c r="D24" i="17"/>
  <c r="D36" i="18"/>
  <c r="D37" i="18"/>
  <c r="C35" i="9"/>
  <c r="C42" i="4"/>
  <c r="D26" i="4"/>
  <c r="E26" i="4" s="1"/>
  <c r="O26" i="4" s="1"/>
  <c r="D7" i="17"/>
  <c r="E7" i="17" s="1"/>
  <c r="O7" i="17" s="1"/>
  <c r="D38" i="4"/>
  <c r="D20" i="18"/>
  <c r="D12" i="17"/>
  <c r="D20" i="4"/>
  <c r="C20" i="9"/>
  <c r="D39" i="4"/>
  <c r="D37" i="4"/>
  <c r="C11" i="9"/>
  <c r="E11" i="9" s="1"/>
  <c r="O11" i="9" s="1"/>
  <c r="D19" i="17"/>
  <c r="E19" i="17" s="1"/>
  <c r="O19" i="17" s="1"/>
  <c r="D21" i="18"/>
  <c r="C32" i="4"/>
  <c r="E32" i="4" s="1"/>
  <c r="O32" i="4" s="1"/>
  <c r="C10" i="9"/>
  <c r="E10" i="9" s="1"/>
  <c r="O10" i="9" s="1"/>
  <c r="C22" i="9"/>
  <c r="D29" i="4"/>
  <c r="E29" i="4" s="1"/>
  <c r="O29" i="4" s="1"/>
  <c r="C24" i="9"/>
  <c r="E24" i="9" s="1"/>
  <c r="O24" i="9" s="1"/>
  <c r="C15" i="9"/>
  <c r="D25" i="4"/>
  <c r="D25" i="17"/>
  <c r="D33" i="4"/>
  <c r="D19" i="18"/>
  <c r="D11" i="4"/>
  <c r="D15" i="4"/>
  <c r="C16" i="9"/>
  <c r="D12" i="4"/>
  <c r="D28" i="18"/>
  <c r="D31" i="17"/>
  <c r="C5" i="9"/>
  <c r="D8" i="18"/>
  <c r="D13" i="4"/>
  <c r="D10" i="4"/>
  <c r="D9" i="4"/>
  <c r="C29" i="19"/>
  <c r="E29" i="19" s="1"/>
  <c r="O29" i="19" s="1"/>
  <c r="C9" i="9"/>
  <c r="E9" i="9" s="1"/>
  <c r="O9" i="9" s="1"/>
  <c r="D34" i="4"/>
  <c r="D36" i="4"/>
  <c r="D32" i="4"/>
  <c r="D16" i="4"/>
  <c r="D27" i="18"/>
  <c r="C41" i="9"/>
  <c r="E41" i="9" s="1"/>
  <c r="O41" i="9" s="1"/>
  <c r="D17" i="4"/>
  <c r="D42" i="4"/>
  <c r="D40" i="4"/>
  <c r="D32" i="18"/>
  <c r="D42" i="17"/>
  <c r="C17" i="9"/>
  <c r="C27" i="9"/>
  <c r="D19" i="4"/>
  <c r="D21" i="17"/>
  <c r="E21" i="17" s="1"/>
  <c r="O21" i="17" s="1"/>
  <c r="C20" i="19"/>
  <c r="E5" i="14" a="1"/>
  <c r="E5" i="14" s="1"/>
  <c r="F8" i="23"/>
  <c r="F7" i="23"/>
  <c r="O8" i="10"/>
  <c r="F5" i="10" a="1"/>
  <c r="C30" i="19"/>
  <c r="C5" i="18"/>
  <c r="E5" i="18" s="1"/>
  <c r="F10" i="20"/>
  <c r="D40" i="19"/>
  <c r="C36" i="18"/>
  <c r="C23" i="18"/>
  <c r="C13" i="18"/>
  <c r="C37" i="18"/>
  <c r="C27" i="18"/>
  <c r="C8" i="18"/>
  <c r="E8" i="18" s="1"/>
  <c r="O8" i="18" s="1"/>
  <c r="C6" i="18"/>
  <c r="C28" i="18"/>
  <c r="C14" i="18"/>
  <c r="C22" i="18"/>
  <c r="C16" i="18"/>
  <c r="C38" i="18"/>
  <c r="C25" i="18"/>
  <c r="C21" i="18"/>
  <c r="C11" i="18"/>
  <c r="C41" i="18"/>
  <c r="C34" i="18"/>
  <c r="C30" i="18"/>
  <c r="E30" i="18" s="1"/>
  <c r="O30" i="18" s="1"/>
  <c r="C39" i="18"/>
  <c r="C12" i="18"/>
  <c r="C17" i="18"/>
  <c r="C32" i="18"/>
  <c r="E32" i="18" s="1"/>
  <c r="O32" i="18" s="1"/>
  <c r="C33" i="18"/>
  <c r="C20" i="18"/>
  <c r="C10" i="18"/>
  <c r="C7" i="18"/>
  <c r="C26" i="18"/>
  <c r="E26" i="18" s="1"/>
  <c r="O26" i="18" s="1"/>
  <c r="C40" i="18"/>
  <c r="C24" i="18"/>
  <c r="D16" i="19"/>
  <c r="D5" i="19"/>
  <c r="D30" i="19"/>
  <c r="D35" i="19"/>
  <c r="D33" i="19"/>
  <c r="D34" i="19"/>
  <c r="D24" i="19"/>
  <c r="D17" i="19"/>
  <c r="D26" i="19"/>
  <c r="D32" i="19"/>
  <c r="D19" i="19"/>
  <c r="D9" i="19"/>
  <c r="D15" i="19"/>
  <c r="E15" i="19" s="1"/>
  <c r="O15" i="19" s="1"/>
  <c r="D36" i="19"/>
  <c r="D18" i="19"/>
  <c r="D25" i="19"/>
  <c r="E25" i="19" s="1"/>
  <c r="O25" i="19" s="1"/>
  <c r="D10" i="19"/>
  <c r="D20" i="19"/>
  <c r="E20" i="19" s="1"/>
  <c r="O20" i="19" s="1"/>
  <c r="D14" i="19"/>
  <c r="D11" i="19"/>
  <c r="C35" i="18"/>
  <c r="C19" i="18"/>
  <c r="C19" i="19"/>
  <c r="C42" i="18"/>
  <c r="C9" i="18"/>
  <c r="C33" i="19"/>
  <c r="D42" i="19"/>
  <c r="D28" i="19"/>
  <c r="D13" i="19"/>
  <c r="D39" i="19"/>
  <c r="C15" i="18"/>
  <c r="C7" i="19"/>
  <c r="E7" i="19" s="1"/>
  <c r="O7" i="19" s="1"/>
  <c r="C14" i="19"/>
  <c r="C22" i="19"/>
  <c r="C10" i="19"/>
  <c r="C35" i="19"/>
  <c r="C39" i="19"/>
  <c r="C9" i="19"/>
  <c r="C26" i="19"/>
  <c r="C12" i="19"/>
  <c r="C18" i="19"/>
  <c r="C40" i="19"/>
  <c r="C13" i="19"/>
  <c r="C27" i="19"/>
  <c r="E27" i="19" s="1"/>
  <c r="O27" i="19" s="1"/>
  <c r="C28" i="19"/>
  <c r="C17" i="19"/>
  <c r="C36" i="19"/>
  <c r="C32" i="19"/>
  <c r="C24" i="19"/>
  <c r="C16" i="19"/>
  <c r="C42" i="19"/>
  <c r="C21" i="19"/>
  <c r="C23" i="19"/>
  <c r="E23" i="19" s="1"/>
  <c r="O23" i="19" s="1"/>
  <c r="C34" i="19"/>
  <c r="C38" i="19"/>
  <c r="E38" i="19" s="1"/>
  <c r="O38" i="19" s="1"/>
  <c r="C8" i="19"/>
  <c r="C41" i="19"/>
  <c r="C11" i="19"/>
  <c r="C31" i="18"/>
  <c r="C42" i="9"/>
  <c r="C29" i="9"/>
  <c r="E29" i="9" s="1"/>
  <c r="O29" i="9" s="1"/>
  <c r="C19" i="9"/>
  <c r="D17" i="18"/>
  <c r="C32" i="9"/>
  <c r="E32" i="9" s="1"/>
  <c r="O32" i="9" s="1"/>
  <c r="C31" i="9"/>
  <c r="E31" i="9" s="1"/>
  <c r="O31" i="9" s="1"/>
  <c r="C30" i="9"/>
  <c r="C7" i="9"/>
  <c r="C21" i="9"/>
  <c r="E21" i="9" s="1"/>
  <c r="O21" i="9" s="1"/>
  <c r="C6" i="9"/>
  <c r="E6" i="9" s="1"/>
  <c r="O6" i="9" s="1"/>
  <c r="C25" i="9"/>
  <c r="E25" i="9" s="1"/>
  <c r="O25" i="9" s="1"/>
  <c r="C28" i="9"/>
  <c r="C26" i="9"/>
  <c r="C34" i="9"/>
  <c r="D23" i="18"/>
  <c r="C12" i="9"/>
  <c r="C8" i="9"/>
  <c r="C13" i="9"/>
  <c r="E13" i="9" s="1"/>
  <c r="O13" i="9" s="1"/>
  <c r="D14" i="18"/>
  <c r="C40" i="9"/>
  <c r="C39" i="9"/>
  <c r="D39" i="18"/>
  <c r="D31" i="18"/>
  <c r="D13" i="18"/>
  <c r="D11" i="18"/>
  <c r="D40" i="18"/>
  <c r="D22" i="18"/>
  <c r="D16" i="18"/>
  <c r="D42" i="18"/>
  <c r="D34" i="18"/>
  <c r="D33" i="18"/>
  <c r="D41" i="18"/>
  <c r="D25" i="18"/>
  <c r="D38" i="18"/>
  <c r="D10" i="18"/>
  <c r="D15" i="18"/>
  <c r="C38" i="4"/>
  <c r="D5" i="17"/>
  <c r="C19" i="4"/>
  <c r="C36" i="4"/>
  <c r="C5" i="4"/>
  <c r="D18" i="17"/>
  <c r="D33" i="17"/>
  <c r="E33" i="17" s="1"/>
  <c r="O33" i="17" s="1"/>
  <c r="D40" i="17"/>
  <c r="D20" i="17"/>
  <c r="D14" i="17"/>
  <c r="E14" i="17" s="1"/>
  <c r="O14" i="17" s="1"/>
  <c r="C20" i="4"/>
  <c r="E20" i="4" s="1"/>
  <c r="O20" i="4" s="1"/>
  <c r="C6" i="4"/>
  <c r="C13" i="4"/>
  <c r="D27" i="17"/>
  <c r="E27" i="17" s="1"/>
  <c r="O27" i="17" s="1"/>
  <c r="D24" i="4"/>
  <c r="E24" i="4" s="1"/>
  <c r="O24" i="4" s="1"/>
  <c r="D35" i="9"/>
  <c r="C18" i="17"/>
  <c r="D34" i="17"/>
  <c r="C41" i="4"/>
  <c r="D16" i="17"/>
  <c r="D11" i="17"/>
  <c r="D35" i="17"/>
  <c r="E35" i="17" s="1"/>
  <c r="O35" i="17" s="1"/>
  <c r="F22" i="13"/>
  <c r="F12" i="13"/>
  <c r="F37" i="13"/>
  <c r="F32" i="13"/>
  <c r="F34" i="13"/>
  <c r="F31" i="13"/>
  <c r="F17" i="13"/>
  <c r="F18" i="13"/>
  <c r="F27" i="13"/>
  <c r="F10" i="13"/>
  <c r="F6" i="13"/>
  <c r="F5" i="13"/>
  <c r="F40" i="13"/>
  <c r="F36" i="13"/>
  <c r="F24" i="13"/>
  <c r="F8" i="13"/>
  <c r="F25" i="13"/>
  <c r="F15" i="13"/>
  <c r="J42" i="17"/>
  <c r="J12" i="17"/>
  <c r="J30" i="17"/>
  <c r="W19" i="14"/>
  <c r="J33" i="18"/>
  <c r="J27" i="17"/>
  <c r="W34" i="14"/>
  <c r="J36" i="18"/>
  <c r="W28" i="14"/>
  <c r="J17" i="18"/>
  <c r="J18" i="17"/>
  <c r="W7" i="14"/>
  <c r="W36" i="14"/>
  <c r="J32" i="17"/>
  <c r="J20" i="18"/>
  <c r="J13" i="17"/>
  <c r="J34" i="18"/>
  <c r="W6" i="14"/>
  <c r="J39" i="17"/>
  <c r="W18" i="14"/>
  <c r="J22" i="18"/>
  <c r="J42" i="18"/>
  <c r="W30" i="14"/>
  <c r="J25" i="18"/>
  <c r="J35" i="18"/>
  <c r="J23" i="18"/>
  <c r="J6" i="18"/>
  <c r="W9" i="14"/>
  <c r="J32" i="18"/>
  <c r="J25" i="17"/>
  <c r="J39" i="18"/>
  <c r="W15" i="14"/>
  <c r="J23" i="17"/>
  <c r="J6" i="17"/>
  <c r="J20" i="17"/>
  <c r="J17" i="17"/>
  <c r="J22" i="17"/>
  <c r="J28" i="18"/>
  <c r="J11" i="18"/>
  <c r="J12" i="18"/>
  <c r="J15" i="17"/>
  <c r="J7" i="17"/>
  <c r="J10" i="18"/>
  <c r="W22" i="14"/>
  <c r="J24" i="18"/>
  <c r="W32" i="14"/>
  <c r="J41" i="17"/>
  <c r="J27" i="18"/>
  <c r="W29" i="14"/>
  <c r="J18" i="18"/>
  <c r="J14" i="18"/>
  <c r="J15" i="18"/>
  <c r="W16" i="14"/>
  <c r="W33" i="14"/>
  <c r="W11" i="14"/>
  <c r="W23" i="14"/>
  <c r="W21" i="14"/>
  <c r="J16" i="18"/>
  <c r="J29" i="17"/>
  <c r="J40" i="17"/>
  <c r="W24" i="14"/>
  <c r="W20" i="14"/>
  <c r="J19" i="18"/>
  <c r="J9" i="17"/>
  <c r="W26" i="14"/>
  <c r="J29" i="18"/>
  <c r="J16" i="17"/>
  <c r="J9" i="18"/>
  <c r="J31" i="17"/>
  <c r="J33" i="17"/>
  <c r="W31" i="14"/>
  <c r="W10" i="14"/>
  <c r="J31" i="18"/>
  <c r="W5" i="14"/>
  <c r="J21" i="17"/>
  <c r="J8" i="17"/>
  <c r="J10" i="17"/>
  <c r="J19" i="17"/>
  <c r="J5" i="18"/>
  <c r="J38" i="18"/>
  <c r="J26" i="18"/>
  <c r="J24" i="17"/>
  <c r="W25" i="14"/>
  <c r="J26" i="17"/>
  <c r="J14" i="17"/>
  <c r="J37" i="18"/>
  <c r="J7" i="18"/>
  <c r="J30" i="18"/>
  <c r="J36" i="17"/>
  <c r="J21" i="18"/>
  <c r="J28" i="17"/>
  <c r="J37" i="17"/>
  <c r="W8" i="14"/>
  <c r="J41" i="18"/>
  <c r="J8" i="18"/>
  <c r="J13" i="18"/>
  <c r="J40" i="18"/>
  <c r="J35" i="17"/>
  <c r="J5" i="17"/>
  <c r="J38" i="17"/>
  <c r="W17" i="14"/>
  <c r="J34" i="17"/>
  <c r="J11" i="17"/>
  <c r="W27" i="14"/>
  <c r="W35" i="14"/>
  <c r="X39" i="9"/>
  <c r="X31" i="9"/>
  <c r="X38" i="9"/>
  <c r="X41" i="9"/>
  <c r="X45" i="5"/>
  <c r="X25" i="9"/>
  <c r="X29" i="9"/>
  <c r="X40" i="5"/>
  <c r="X14" i="11"/>
  <c r="X35" i="9"/>
  <c r="X12" i="9"/>
  <c r="X14" i="5"/>
  <c r="X18" i="9"/>
  <c r="X32" i="9"/>
  <c r="X24" i="5"/>
  <c r="X5" i="9"/>
  <c r="X11" i="9"/>
  <c r="X30" i="5"/>
  <c r="X22" i="9"/>
  <c r="X15" i="9"/>
  <c r="X6" i="5"/>
  <c r="X47" i="5"/>
  <c r="X14" i="9"/>
  <c r="X21" i="9"/>
  <c r="X5" i="11"/>
  <c r="X30" i="9"/>
  <c r="X40" i="9"/>
  <c r="X13" i="11"/>
  <c r="X11" i="5"/>
  <c r="X7" i="9"/>
  <c r="X8" i="9"/>
  <c r="X9" i="5"/>
  <c r="X36" i="9"/>
  <c r="X11" i="11"/>
  <c r="X35" i="5"/>
  <c r="X15" i="5"/>
  <c r="X15" i="11"/>
  <c r="X7" i="5"/>
  <c r="X19" i="9"/>
  <c r="X36" i="5"/>
  <c r="X38" i="5"/>
  <c r="X46" i="5"/>
  <c r="X6" i="11"/>
  <c r="X27" i="9"/>
  <c r="X37" i="5"/>
  <c r="X10" i="5"/>
  <c r="X33" i="9"/>
  <c r="X19" i="5"/>
  <c r="X28" i="5"/>
  <c r="X34" i="9"/>
  <c r="X7" i="11"/>
  <c r="X39" i="5"/>
  <c r="X43" i="5"/>
  <c r="X28" i="9"/>
  <c r="X6" i="9"/>
  <c r="X13" i="9"/>
  <c r="X9" i="11"/>
  <c r="X23" i="9"/>
  <c r="X21" i="5"/>
  <c r="X42" i="9"/>
  <c r="X8" i="11"/>
  <c r="X20" i="5"/>
  <c r="X27" i="5"/>
  <c r="X9" i="9"/>
  <c r="X29" i="5"/>
  <c r="X26" i="5"/>
  <c r="X16" i="5"/>
  <c r="X42" i="5"/>
  <c r="X18" i="5"/>
  <c r="X31" i="5"/>
  <c r="X34" i="5"/>
  <c r="X10" i="11"/>
  <c r="X12" i="11"/>
  <c r="X26" i="9"/>
  <c r="X20" i="9"/>
  <c r="X17" i="9"/>
  <c r="X16" i="9"/>
  <c r="X33" i="5"/>
  <c r="X24" i="9"/>
  <c r="X17" i="5"/>
  <c r="X22" i="5"/>
  <c r="X25" i="5"/>
  <c r="X32" i="5"/>
  <c r="X10" i="9"/>
  <c r="X13" i="5"/>
  <c r="X44" i="5"/>
  <c r="X23" i="5"/>
  <c r="X12" i="5"/>
  <c r="X41" i="5"/>
  <c r="X37" i="9"/>
  <c r="X8" i="5"/>
  <c r="X36" i="4"/>
  <c r="X6" i="4"/>
  <c r="J14" i="19"/>
  <c r="X8" i="22"/>
  <c r="X29" i="4"/>
  <c r="J22" i="19"/>
  <c r="X13" i="22"/>
  <c r="X19" i="4"/>
  <c r="X41" i="4"/>
  <c r="J13" i="19"/>
  <c r="X33" i="4"/>
  <c r="X10" i="4"/>
  <c r="X11" i="10"/>
  <c r="X42" i="4"/>
  <c r="J18" i="19"/>
  <c r="J37" i="19"/>
  <c r="J27" i="19"/>
  <c r="J36" i="19"/>
  <c r="X6" i="22"/>
  <c r="X38" i="4"/>
  <c r="X31" i="4"/>
  <c r="X10" i="10"/>
  <c r="X12" i="4"/>
  <c r="X17" i="4"/>
  <c r="X6" i="10"/>
  <c r="X26" i="4"/>
  <c r="X9" i="4"/>
  <c r="J28" i="19"/>
  <c r="J5" i="19"/>
  <c r="X15" i="22"/>
  <c r="X25" i="4"/>
  <c r="X9" i="10"/>
  <c r="X18" i="4"/>
  <c r="X16" i="4"/>
  <c r="J12" i="19"/>
  <c r="J30" i="19"/>
  <c r="X37" i="4"/>
  <c r="J24" i="19"/>
  <c r="J10" i="19"/>
  <c r="X8" i="10"/>
  <c r="J34" i="19"/>
  <c r="X13" i="4"/>
  <c r="X7" i="10"/>
  <c r="J21" i="19"/>
  <c r="J39" i="19"/>
  <c r="X15" i="4"/>
  <c r="X12" i="22"/>
  <c r="X7" i="4"/>
  <c r="X22" i="4"/>
  <c r="J9" i="19"/>
  <c r="X17" i="22"/>
  <c r="J38" i="19"/>
  <c r="J8" i="19"/>
  <c r="J16" i="19"/>
  <c r="X5" i="4"/>
  <c r="X16" i="22"/>
  <c r="X20" i="4"/>
  <c r="X11" i="22"/>
  <c r="X23" i="4"/>
  <c r="J23" i="19"/>
  <c r="X35" i="4"/>
  <c r="J40" i="19"/>
  <c r="J20" i="19"/>
  <c r="X10" i="22"/>
  <c r="X32" i="4"/>
  <c r="X28" i="4"/>
  <c r="X8" i="4"/>
  <c r="J19" i="19"/>
  <c r="J35" i="19"/>
  <c r="X27" i="4"/>
  <c r="J33" i="19"/>
  <c r="J41" i="19"/>
  <c r="J11" i="19"/>
  <c r="X40" i="4"/>
  <c r="X21" i="4"/>
  <c r="X5" i="10"/>
  <c r="J25" i="19"/>
  <c r="X30" i="4"/>
  <c r="X11" i="4"/>
  <c r="J15" i="19"/>
  <c r="J31" i="19"/>
  <c r="J6" i="19"/>
  <c r="X24" i="4"/>
  <c r="J42" i="19"/>
  <c r="X14" i="22"/>
  <c r="X34" i="4"/>
  <c r="J29" i="19"/>
  <c r="J17" i="19"/>
  <c r="X39" i="4"/>
  <c r="J26" i="19"/>
  <c r="X14" i="4"/>
  <c r="J7" i="19"/>
  <c r="J32" i="19"/>
  <c r="X7" i="22"/>
  <c r="X9" i="22"/>
  <c r="E6" i="23"/>
  <c r="E7" i="23"/>
  <c r="E8" i="23"/>
  <c r="E9" i="23"/>
  <c r="E10" i="22"/>
  <c r="E6" i="22"/>
  <c r="E7" i="22"/>
  <c r="E11" i="22"/>
  <c r="E8" i="22"/>
  <c r="E12" i="22"/>
  <c r="E9" i="22"/>
  <c r="E14" i="22"/>
  <c r="E17" i="22"/>
  <c r="E16" i="22"/>
  <c r="E13" i="22"/>
  <c r="E15" i="22"/>
  <c r="E47" i="5"/>
  <c r="E34" i="5"/>
  <c r="E7" i="5"/>
  <c r="E21" i="5"/>
  <c r="E38" i="5"/>
  <c r="E43" i="5"/>
  <c r="E15" i="5"/>
  <c r="E40" i="5"/>
  <c r="E18" i="5"/>
  <c r="E41" i="5"/>
  <c r="E31" i="5"/>
  <c r="E29" i="5"/>
  <c r="E17" i="5"/>
  <c r="E10" i="5"/>
  <c r="E9" i="5"/>
  <c r="E28" i="5"/>
  <c r="E26" i="5"/>
  <c r="E13" i="5"/>
  <c r="E20" i="5"/>
  <c r="E42" i="5"/>
  <c r="E14" i="5"/>
  <c r="E16" i="5"/>
  <c r="E36" i="5"/>
  <c r="E25" i="5"/>
  <c r="E35" i="5"/>
  <c r="E11" i="5"/>
  <c r="E30" i="5"/>
  <c r="E44" i="5"/>
  <c r="E19" i="5"/>
  <c r="E22" i="5"/>
  <c r="E27" i="5"/>
  <c r="E24" i="5"/>
  <c r="E12" i="5"/>
  <c r="E46" i="5"/>
  <c r="E39" i="5"/>
  <c r="E33" i="5"/>
  <c r="E8" i="5"/>
  <c r="E32" i="5"/>
  <c r="E23" i="5"/>
  <c r="E37" i="5"/>
  <c r="E45" i="5"/>
  <c r="E6" i="5"/>
  <c r="Q3" i="20"/>
  <c r="Q7" i="13"/>
  <c r="Q29" i="4"/>
  <c r="Q26" i="4"/>
  <c r="Q21" i="4"/>
  <c r="Q20" i="4"/>
  <c r="Q8" i="4"/>
  <c r="Q24" i="4"/>
  <c r="Q32" i="4"/>
  <c r="Q30" i="4"/>
  <c r="Q27" i="4"/>
  <c r="Q25" i="9"/>
  <c r="Q31" i="9"/>
  <c r="Q18" i="9"/>
  <c r="Q24" i="9"/>
  <c r="Q32" i="9"/>
  <c r="Q41" i="9"/>
  <c r="Q33" i="9"/>
  <c r="Q13" i="9"/>
  <c r="Q29" i="9"/>
  <c r="Q21" i="9"/>
  <c r="Q6" i="9"/>
  <c r="Q11" i="9"/>
  <c r="Q37" i="9"/>
  <c r="Q9" i="9"/>
  <c r="Q10" i="9"/>
  <c r="Q10" i="10"/>
  <c r="Q5" i="10"/>
  <c r="Q9" i="10"/>
  <c r="Q11" i="10"/>
  <c r="Q7" i="10"/>
  <c r="Q6" i="10"/>
  <c r="Q8" i="10"/>
  <c r="Q13" i="11"/>
  <c r="Q14" i="11"/>
  <c r="Q5" i="11"/>
  <c r="Q10" i="11"/>
  <c r="Q11" i="11"/>
  <c r="Q6" i="11"/>
  <c r="Q15" i="11"/>
  <c r="Q7" i="11"/>
  <c r="Q8" i="11"/>
  <c r="Q12" i="11"/>
  <c r="Q9" i="11"/>
  <c r="P15" i="14"/>
  <c r="P18" i="14"/>
  <c r="P21" i="14"/>
  <c r="P31" i="14"/>
  <c r="P9" i="14"/>
  <c r="P33" i="14"/>
  <c r="P26" i="14"/>
  <c r="P22" i="14"/>
  <c r="P11" i="14"/>
  <c r="P36" i="14"/>
  <c r="P32" i="14"/>
  <c r="P34" i="14"/>
  <c r="P14" i="14"/>
  <c r="P17" i="14"/>
  <c r="P16" i="14"/>
  <c r="P30" i="14"/>
  <c r="P8" i="14"/>
  <c r="P25" i="14"/>
  <c r="P29" i="14"/>
  <c r="P7" i="14"/>
  <c r="P6" i="14"/>
  <c r="P12" i="14"/>
  <c r="P20" i="14"/>
  <c r="P10" i="14"/>
  <c r="P24" i="14"/>
  <c r="P23" i="14"/>
  <c r="P19" i="14"/>
  <c r="P5" i="14"/>
  <c r="P28" i="14"/>
  <c r="P27" i="14"/>
  <c r="P13" i="14"/>
  <c r="P35" i="14"/>
  <c r="J3" i="1"/>
  <c r="F5" i="23"/>
  <c r="F4" i="13"/>
  <c r="E7" i="4" l="1"/>
  <c r="O7" i="4" s="1"/>
  <c r="E6" i="4"/>
  <c r="O6" i="4" s="1"/>
  <c r="E39" i="4"/>
  <c r="O39" i="4" s="1"/>
  <c r="E18" i="4"/>
  <c r="O18" i="4" s="1"/>
  <c r="E34" i="4"/>
  <c r="O34" i="4" s="1"/>
  <c r="E12" i="4"/>
  <c r="O12" i="4" s="1"/>
  <c r="E15" i="4"/>
  <c r="O15" i="4" s="1"/>
  <c r="E16" i="4"/>
  <c r="O16" i="4" s="1"/>
  <c r="E11" i="4"/>
  <c r="O11" i="4" s="1"/>
  <c r="E22" i="4"/>
  <c r="O22" i="4" s="1"/>
  <c r="E23" i="9"/>
  <c r="O23" i="9" s="1"/>
  <c r="E13" i="17"/>
  <c r="O13" i="17" s="1"/>
  <c r="E5" i="17"/>
  <c r="E5" i="19"/>
  <c r="E24" i="17"/>
  <c r="O24" i="17" s="1"/>
  <c r="E21" i="18"/>
  <c r="O21" i="18" s="1"/>
  <c r="E17" i="4"/>
  <c r="O17" i="4" s="1"/>
  <c r="E40" i="4"/>
  <c r="O40" i="4" s="1"/>
  <c r="E40" i="9"/>
  <c r="O40" i="9" s="1"/>
  <c r="E38" i="17"/>
  <c r="O38" i="17" s="1"/>
  <c r="E39" i="17"/>
  <c r="O39" i="17" s="1"/>
  <c r="E28" i="17"/>
  <c r="O28" i="17" s="1"/>
  <c r="E22" i="9"/>
  <c r="O22" i="9" s="1"/>
  <c r="E24" i="18"/>
  <c r="O24" i="18" s="1"/>
  <c r="E19" i="9"/>
  <c r="O19" i="9" s="1"/>
  <c r="E13" i="4"/>
  <c r="O13" i="4" s="1"/>
  <c r="E31" i="17"/>
  <c r="O31" i="17" s="1"/>
  <c r="E42" i="9"/>
  <c r="O42" i="9" s="1"/>
  <c r="E8" i="9"/>
  <c r="O8" i="9" s="1"/>
  <c r="E34" i="9"/>
  <c r="O34" i="9" s="1"/>
  <c r="E37" i="4"/>
  <c r="O37" i="4" s="1"/>
  <c r="E20" i="17"/>
  <c r="O20" i="17" s="1"/>
  <c r="E40" i="17"/>
  <c r="O40" i="17" s="1"/>
  <c r="E9" i="18"/>
  <c r="O9" i="18" s="1"/>
  <c r="E6" i="18"/>
  <c r="O6" i="18" s="1"/>
  <c r="E33" i="4"/>
  <c r="O33" i="4" s="1"/>
  <c r="E20" i="9"/>
  <c r="O20" i="9" s="1"/>
  <c r="E36" i="9"/>
  <c r="O36" i="9" s="1"/>
  <c r="E19" i="18"/>
  <c r="O19" i="18" s="1"/>
  <c r="E27" i="9"/>
  <c r="O27" i="9" s="1"/>
  <c r="E9" i="4"/>
  <c r="O9" i="4" s="1"/>
  <c r="E14" i="9"/>
  <c r="O14" i="9" s="1"/>
  <c r="E29" i="17"/>
  <c r="O29" i="17" s="1"/>
  <c r="E8" i="19"/>
  <c r="O8" i="19" s="1"/>
  <c r="E7" i="9"/>
  <c r="O7" i="9" s="1"/>
  <c r="E35" i="18"/>
  <c r="O35" i="18" s="1"/>
  <c r="E25" i="4"/>
  <c r="O25" i="4" s="1"/>
  <c r="E15" i="17"/>
  <c r="O15" i="17" s="1"/>
  <c r="E37" i="17"/>
  <c r="O37" i="17" s="1"/>
  <c r="E14" i="4"/>
  <c r="O14" i="4" s="1"/>
  <c r="E12" i="19"/>
  <c r="O12" i="19" s="1"/>
  <c r="E41" i="4"/>
  <c r="O41" i="4" s="1"/>
  <c r="E30" i="9"/>
  <c r="O30" i="9" s="1"/>
  <c r="E21" i="19"/>
  <c r="O21" i="19" s="1"/>
  <c r="E15" i="9"/>
  <c r="O15" i="9" s="1"/>
  <c r="E23" i="4"/>
  <c r="O23" i="4" s="1"/>
  <c r="E36" i="18"/>
  <c r="O36" i="18" s="1"/>
  <c r="E12" i="17"/>
  <c r="O12" i="17" s="1"/>
  <c r="E39" i="9"/>
  <c r="O39" i="9" s="1"/>
  <c r="E22" i="19"/>
  <c r="O22" i="19" s="1"/>
  <c r="E5" i="9"/>
  <c r="O5" i="9" s="1"/>
  <c r="E41" i="17"/>
  <c r="O41" i="17" s="1"/>
  <c r="E6" i="17"/>
  <c r="O6" i="17" s="1"/>
  <c r="F15" i="11"/>
  <c r="F7" i="11"/>
  <c r="F9" i="11"/>
  <c r="E28" i="9"/>
  <c r="O28" i="9" s="1"/>
  <c r="F9" i="20"/>
  <c r="F5" i="20"/>
  <c r="E38" i="9"/>
  <c r="O38" i="9" s="1"/>
  <c r="E11" i="17"/>
  <c r="O11" i="17" s="1"/>
  <c r="E5" i="4"/>
  <c r="O5" i="4" s="1"/>
  <c r="E40" i="19"/>
  <c r="O40" i="19" s="1"/>
  <c r="F7" i="20"/>
  <c r="E7" i="18"/>
  <c r="O7" i="18" s="1"/>
  <c r="E19" i="4"/>
  <c r="O19" i="4" s="1"/>
  <c r="F10" i="11"/>
  <c r="E25" i="17"/>
  <c r="O25" i="17" s="1"/>
  <c r="E35" i="4"/>
  <c r="O35" i="4" s="1"/>
  <c r="E30" i="17"/>
  <c r="O30" i="17" s="1"/>
  <c r="E34" i="17"/>
  <c r="O34" i="17" s="1"/>
  <c r="F5" i="11"/>
  <c r="E31" i="19"/>
  <c r="O31" i="19" s="1"/>
  <c r="F13" i="11"/>
  <c r="E17" i="9"/>
  <c r="O17" i="9" s="1"/>
  <c r="E17" i="17"/>
  <c r="O17" i="17" s="1"/>
  <c r="F12" i="11"/>
  <c r="E10" i="4"/>
  <c r="O10" i="4" s="1"/>
  <c r="E26" i="9"/>
  <c r="O26" i="9" s="1"/>
  <c r="E35" i="9"/>
  <c r="O35" i="9" s="1"/>
  <c r="E35" i="19"/>
  <c r="O35" i="19" s="1"/>
  <c r="E12" i="18"/>
  <c r="O12" i="18" s="1"/>
  <c r="F11" i="11"/>
  <c r="E28" i="4"/>
  <c r="O28" i="4" s="1"/>
  <c r="E12" i="9"/>
  <c r="O12" i="9" s="1"/>
  <c r="E11" i="19"/>
  <c r="O11" i="19" s="1"/>
  <c r="E16" i="9"/>
  <c r="O16" i="9" s="1"/>
  <c r="E30" i="19"/>
  <c r="O30" i="19" s="1"/>
  <c r="E16" i="17"/>
  <c r="O16" i="17" s="1"/>
  <c r="E41" i="19"/>
  <c r="O41" i="19" s="1"/>
  <c r="F6" i="20"/>
  <c r="F8" i="11"/>
  <c r="F6" i="11"/>
  <c r="E31" i="4"/>
  <c r="O31" i="4" s="1"/>
  <c r="E38" i="4"/>
  <c r="O38" i="4" s="1"/>
  <c r="E20" i="18"/>
  <c r="O20" i="18" s="1"/>
  <c r="E28" i="18"/>
  <c r="O28" i="18" s="1"/>
  <c r="E9" i="19"/>
  <c r="O9" i="19" s="1"/>
  <c r="E33" i="18"/>
  <c r="O33" i="18" s="1"/>
  <c r="E39" i="19"/>
  <c r="O39" i="19" s="1"/>
  <c r="E42" i="18"/>
  <c r="O42" i="18" s="1"/>
  <c r="E27" i="18"/>
  <c r="O27" i="18" s="1"/>
  <c r="E42" i="19"/>
  <c r="O42" i="19" s="1"/>
  <c r="E10" i="19"/>
  <c r="O10" i="19" s="1"/>
  <c r="E37" i="18"/>
  <c r="O37" i="18" s="1"/>
  <c r="E39" i="18"/>
  <c r="O39" i="18" s="1"/>
  <c r="E13" i="19"/>
  <c r="O13" i="19" s="1"/>
  <c r="E16" i="19"/>
  <c r="O16" i="19" s="1"/>
  <c r="E24" i="19"/>
  <c r="O24" i="19" s="1"/>
  <c r="E14" i="19"/>
  <c r="O14" i="19" s="1"/>
  <c r="E34" i="18"/>
  <c r="O34" i="18" s="1"/>
  <c r="E18" i="19"/>
  <c r="O18" i="19" s="1"/>
  <c r="E42" i="4"/>
  <c r="O42" i="4" s="1"/>
  <c r="E36" i="4"/>
  <c r="O36" i="4" s="1"/>
  <c r="E36" i="19"/>
  <c r="O36" i="19" s="1"/>
  <c r="E15" i="18"/>
  <c r="O15" i="18" s="1"/>
  <c r="E6" i="14"/>
  <c r="E22" i="14"/>
  <c r="E7" i="14"/>
  <c r="E23" i="14"/>
  <c r="E8" i="14"/>
  <c r="E24" i="14"/>
  <c r="E9" i="14"/>
  <c r="E15" i="14"/>
  <c r="E36" i="14"/>
  <c r="E14" i="14"/>
  <c r="E30" i="14"/>
  <c r="E20" i="14"/>
  <c r="E35" i="14"/>
  <c r="E13" i="14"/>
  <c r="E34" i="14"/>
  <c r="E21" i="14"/>
  <c r="E12" i="14"/>
  <c r="E25" i="14"/>
  <c r="E11" i="14"/>
  <c r="E29" i="14"/>
  <c r="E27" i="14"/>
  <c r="E33" i="14"/>
  <c r="E28" i="14"/>
  <c r="E10" i="14"/>
  <c r="E18" i="14"/>
  <c r="E31" i="14"/>
  <c r="E17" i="14"/>
  <c r="E19" i="14"/>
  <c r="E26" i="14"/>
  <c r="E32" i="14"/>
  <c r="E16" i="14"/>
  <c r="E19" i="19"/>
  <c r="O19" i="19" s="1"/>
  <c r="E32" i="19"/>
  <c r="O32" i="19" s="1"/>
  <c r="E13" i="18"/>
  <c r="O13" i="18" s="1"/>
  <c r="E31" i="18"/>
  <c r="O31" i="18" s="1"/>
  <c r="E23" i="18"/>
  <c r="O23" i="18" s="1"/>
  <c r="E18" i="17"/>
  <c r="O18" i="17" s="1"/>
  <c r="E17" i="19"/>
  <c r="O17" i="19" s="1"/>
  <c r="E28" i="19"/>
  <c r="O28" i="19" s="1"/>
  <c r="E41" i="18"/>
  <c r="O41" i="18" s="1"/>
  <c r="E17" i="18"/>
  <c r="O17" i="18" s="1"/>
  <c r="O5" i="18"/>
  <c r="O5" i="17"/>
  <c r="E25" i="18"/>
  <c r="O25" i="18" s="1"/>
  <c r="E40" i="18"/>
  <c r="O40" i="18" s="1"/>
  <c r="E38" i="18"/>
  <c r="O38" i="18" s="1"/>
  <c r="F5" i="10"/>
  <c r="F6" i="10"/>
  <c r="F9" i="10"/>
  <c r="F11" i="10"/>
  <c r="F7" i="10"/>
  <c r="F8" i="10"/>
  <c r="F10" i="10"/>
  <c r="E16" i="18"/>
  <c r="O16" i="18" s="1"/>
  <c r="O5" i="19"/>
  <c r="E26" i="19"/>
  <c r="O26" i="19" s="1"/>
  <c r="E22" i="18"/>
  <c r="O22" i="18" s="1"/>
  <c r="E11" i="18"/>
  <c r="O11" i="18" s="1"/>
  <c r="E34" i="19"/>
  <c r="O34" i="19" s="1"/>
  <c r="E33" i="19"/>
  <c r="O33" i="19" s="1"/>
  <c r="E10" i="18"/>
  <c r="O10" i="18" s="1"/>
  <c r="E14" i="18"/>
  <c r="O14" i="18" s="1"/>
  <c r="F5" i="6"/>
  <c r="K5" i="6" s="1" a="1"/>
  <c r="D6" i="23" a="1"/>
  <c r="Q3" i="13"/>
  <c r="Q22" i="4"/>
  <c r="Q14" i="4"/>
  <c r="Q31" i="4"/>
  <c r="Q41" i="4"/>
  <c r="Q40" i="4"/>
  <c r="Q38" i="4"/>
  <c r="Q12" i="4"/>
  <c r="Q19" i="4"/>
  <c r="Q37" i="4"/>
  <c r="Q5" i="4"/>
  <c r="Q7" i="4"/>
  <c r="Q17" i="4"/>
  <c r="Q33" i="4"/>
  <c r="Q39" i="4"/>
  <c r="Q11" i="4"/>
  <c r="Q28" i="4"/>
  <c r="Q15" i="4"/>
  <c r="Q42" i="4"/>
  <c r="Q10" i="4"/>
  <c r="Q36" i="4"/>
  <c r="Q9" i="4"/>
  <c r="Q35" i="4"/>
  <c r="Q13" i="4"/>
  <c r="Q23" i="4"/>
  <c r="Q25" i="4"/>
  <c r="Q34" i="4"/>
  <c r="Q6" i="4"/>
  <c r="Q16" i="4"/>
  <c r="Q18" i="4"/>
  <c r="Q30" i="9"/>
  <c r="Q35" i="9"/>
  <c r="Q36" i="9"/>
  <c r="Q26" i="9"/>
  <c r="Q19" i="9"/>
  <c r="Q22" i="9"/>
  <c r="Q39" i="9"/>
  <c r="Q42" i="9"/>
  <c r="Q5" i="9"/>
  <c r="Q23" i="9"/>
  <c r="Q14" i="9"/>
  <c r="Q7" i="9"/>
  <c r="Q15" i="9"/>
  <c r="Q34" i="9"/>
  <c r="Q17" i="9"/>
  <c r="Q16" i="9"/>
  <c r="Q27" i="9"/>
  <c r="Q40" i="9"/>
  <c r="Q38" i="9"/>
  <c r="Q12" i="9"/>
  <c r="Q8" i="9"/>
  <c r="Q20" i="9"/>
  <c r="Q28" i="9"/>
  <c r="Q3" i="10"/>
  <c r="Q3" i="11"/>
  <c r="P3" i="14"/>
  <c r="F4" i="20"/>
  <c r="K6" i="6" l="1"/>
  <c r="K5" i="6"/>
  <c r="F5" i="17" a="1"/>
  <c r="F36" i="17" s="1"/>
  <c r="F5" i="9" a="1"/>
  <c r="F33" i="9" s="1"/>
  <c r="F5" i="4" a="1"/>
  <c r="F30" i="4" s="1"/>
  <c r="F5" i="19" a="1"/>
  <c r="F5" i="18" a="1"/>
  <c r="D7" i="23"/>
  <c r="Q3" i="4"/>
  <c r="Q3" i="9"/>
  <c r="L6" i="6"/>
  <c r="L5" i="6"/>
  <c r="L3" i="6"/>
  <c r="F26" i="4" l="1"/>
  <c r="F11" i="17"/>
  <c r="F19" i="17"/>
  <c r="F16" i="9"/>
  <c r="F24" i="4"/>
  <c r="F23" i="17"/>
  <c r="F34" i="17"/>
  <c r="F31" i="9"/>
  <c r="F38" i="4"/>
  <c r="F29" i="17"/>
  <c r="F14" i="17"/>
  <c r="F7" i="9"/>
  <c r="F16" i="4"/>
  <c r="F32" i="17"/>
  <c r="F31" i="17"/>
  <c r="F10" i="9"/>
  <c r="F12" i="4"/>
  <c r="F12" i="17"/>
  <c r="F8" i="17"/>
  <c r="F21" i="9"/>
  <c r="F21" i="4"/>
  <c r="F13" i="17"/>
  <c r="F21" i="17"/>
  <c r="F15" i="9"/>
  <c r="F7" i="4"/>
  <c r="F28" i="17"/>
  <c r="F6" i="17"/>
  <c r="F9" i="9"/>
  <c r="F5" i="4"/>
  <c r="F39" i="17"/>
  <c r="F20" i="17"/>
  <c r="F39" i="9"/>
  <c r="F8" i="4"/>
  <c r="F38" i="17"/>
  <c r="F28" i="9"/>
  <c r="F23" i="4"/>
  <c r="F7" i="17"/>
  <c r="F6" i="9"/>
  <c r="F29" i="9"/>
  <c r="F6" i="4"/>
  <c r="F26" i="17"/>
  <c r="F19" i="9"/>
  <c r="F30" i="9"/>
  <c r="F5" i="9"/>
  <c r="F10" i="4"/>
  <c r="F16" i="17"/>
  <c r="F14" i="4"/>
  <c r="F24" i="17"/>
  <c r="F20" i="9"/>
  <c r="F8" i="9"/>
  <c r="F34" i="4"/>
  <c r="F17" i="17"/>
  <c r="F23" i="9"/>
  <c r="F11" i="9"/>
  <c r="F27" i="17"/>
  <c r="F15" i="17"/>
  <c r="F37" i="9"/>
  <c r="F12" i="9"/>
  <c r="F27" i="4"/>
  <c r="F35" i="17"/>
  <c r="F22" i="17"/>
  <c r="F41" i="9"/>
  <c r="F14" i="9"/>
  <c r="F40" i="9"/>
  <c r="F13" i="9"/>
  <c r="F20" i="4"/>
  <c r="F29" i="4"/>
  <c r="F9" i="17"/>
  <c r="F30" i="17"/>
  <c r="F34" i="9"/>
  <c r="F35" i="9"/>
  <c r="F25" i="4"/>
  <c r="F13" i="4"/>
  <c r="F18" i="17"/>
  <c r="F25" i="17"/>
  <c r="F27" i="9"/>
  <c r="F26" i="9"/>
  <c r="F18" i="9"/>
  <c r="F33" i="4"/>
  <c r="F15" i="4"/>
  <c r="F5" i="17"/>
  <c r="F10" i="17"/>
  <c r="F17" i="9"/>
  <c r="F36" i="9"/>
  <c r="F32" i="9"/>
  <c r="F42" i="9"/>
  <c r="F39" i="4"/>
  <c r="F33" i="17"/>
  <c r="F37" i="17"/>
  <c r="F25" i="9"/>
  <c r="F31" i="4"/>
  <c r="F24" i="9"/>
  <c r="F42" i="17"/>
  <c r="F40" i="17"/>
  <c r="F42" i="4"/>
  <c r="F22" i="9"/>
  <c r="F36" i="4"/>
  <c r="F41" i="17"/>
  <c r="F35" i="4"/>
  <c r="F38" i="9"/>
  <c r="F22" i="4"/>
  <c r="F28" i="4"/>
  <c r="F40" i="4"/>
  <c r="F32" i="4"/>
  <c r="F41" i="4"/>
  <c r="F19" i="4"/>
  <c r="F11" i="4"/>
  <c r="F17" i="4"/>
  <c r="F18" i="4"/>
  <c r="F9" i="4"/>
  <c r="F37" i="4"/>
  <c r="F14" i="18"/>
  <c r="F25" i="18"/>
  <c r="F5" i="18"/>
  <c r="F40" i="18"/>
  <c r="F37" i="18"/>
  <c r="F9" i="18"/>
  <c r="F11" i="18"/>
  <c r="F41" i="18"/>
  <c r="F15" i="18"/>
  <c r="F16" i="18"/>
  <c r="F28" i="18"/>
  <c r="F22" i="18"/>
  <c r="F13" i="18"/>
  <c r="F35" i="18"/>
  <c r="F21" i="18"/>
  <c r="F39" i="18"/>
  <c r="F18" i="18"/>
  <c r="F7" i="18"/>
  <c r="F42" i="18"/>
  <c r="F12" i="18"/>
  <c r="F38" i="18"/>
  <c r="F27" i="18"/>
  <c r="F34" i="18"/>
  <c r="F10" i="18"/>
  <c r="F8" i="18"/>
  <c r="F32" i="18"/>
  <c r="F24" i="18"/>
  <c r="F17" i="18"/>
  <c r="F30" i="18"/>
  <c r="F20" i="18"/>
  <c r="F19" i="18"/>
  <c r="F23" i="18"/>
  <c r="F26" i="18"/>
  <c r="F33" i="18"/>
  <c r="F36" i="18"/>
  <c r="F31" i="18"/>
  <c r="F29" i="18"/>
  <c r="F6" i="18"/>
  <c r="F7" i="19"/>
  <c r="F15" i="19"/>
  <c r="F39" i="19"/>
  <c r="F6" i="19"/>
  <c r="F29" i="19"/>
  <c r="F11" i="19"/>
  <c r="F36" i="19"/>
  <c r="F10" i="19"/>
  <c r="F20" i="19"/>
  <c r="F28" i="19"/>
  <c r="F37" i="19"/>
  <c r="F41" i="19"/>
  <c r="F21" i="19"/>
  <c r="F25" i="19"/>
  <c r="F26" i="19"/>
  <c r="F34" i="19"/>
  <c r="F9" i="19"/>
  <c r="F19" i="19"/>
  <c r="F38" i="19"/>
  <c r="F35" i="19"/>
  <c r="F8" i="19"/>
  <c r="F33" i="19"/>
  <c r="F22" i="19"/>
  <c r="F32" i="19"/>
  <c r="F27" i="19"/>
  <c r="F42" i="19"/>
  <c r="F40" i="19"/>
  <c r="F13" i="19"/>
  <c r="F31" i="19"/>
  <c r="F12" i="19"/>
  <c r="F14" i="19"/>
  <c r="F24" i="19"/>
  <c r="F30" i="19"/>
  <c r="F16" i="19"/>
  <c r="F5" i="19"/>
  <c r="F23" i="19"/>
  <c r="F18" i="19"/>
  <c r="F17" i="19"/>
  <c r="D6" i="23"/>
  <c r="D8" i="23"/>
  <c r="D9" i="23"/>
  <c r="D6" i="5" a="1"/>
  <c r="P6" i="23" l="1" a="1"/>
  <c r="D46" i="5"/>
  <c r="P7" i="23" l="1"/>
  <c r="P9" i="23"/>
  <c r="P6" i="23"/>
  <c r="P8" i="23"/>
  <c r="D45" i="5"/>
  <c r="D26" i="5"/>
  <c r="D47" i="5"/>
  <c r="D19" i="5"/>
  <c r="D24" i="5"/>
  <c r="D34" i="5"/>
  <c r="D29" i="5"/>
  <c r="D9" i="5"/>
  <c r="D22" i="5"/>
  <c r="D21" i="5"/>
  <c r="D6" i="5"/>
  <c r="D35" i="5"/>
  <c r="D27" i="5"/>
  <c r="D44" i="5"/>
  <c r="D11" i="5"/>
  <c r="D20" i="5"/>
  <c r="D43" i="5"/>
  <c r="D38" i="5"/>
  <c r="D30" i="5"/>
  <c r="D33" i="5"/>
  <c r="D32" i="5"/>
  <c r="D14" i="5"/>
  <c r="D17" i="5"/>
  <c r="D13" i="5"/>
  <c r="D18" i="5"/>
  <c r="D25" i="5"/>
  <c r="D41" i="5"/>
  <c r="D31" i="5"/>
  <c r="D28" i="5"/>
  <c r="D15" i="5"/>
  <c r="D42" i="5"/>
  <c r="D8" i="5"/>
  <c r="D40" i="5"/>
  <c r="D23" i="5"/>
  <c r="D7" i="5"/>
  <c r="D37" i="5"/>
  <c r="D10" i="5"/>
  <c r="D16" i="5"/>
  <c r="D39" i="5"/>
  <c r="D12" i="5"/>
  <c r="D36" i="5"/>
  <c r="R7" i="23"/>
  <c r="R9" i="23"/>
  <c r="F6" i="5" l="1" a="1"/>
  <c r="F39" i="5" s="1"/>
  <c r="P6" i="5" a="1"/>
  <c r="P27" i="5" s="1"/>
  <c r="R27" i="5"/>
  <c r="F17" i="5" l="1"/>
  <c r="F20" i="5"/>
  <c r="F37" i="5"/>
  <c r="F45" i="5"/>
  <c r="F10" i="5"/>
  <c r="F32" i="5"/>
  <c r="F18" i="5"/>
  <c r="F23" i="5"/>
  <c r="F34" i="5"/>
  <c r="F41" i="5"/>
  <c r="F12" i="5"/>
  <c r="F26" i="5"/>
  <c r="F33" i="5"/>
  <c r="F14" i="5"/>
  <c r="F42" i="5"/>
  <c r="F11" i="5"/>
  <c r="F30" i="5"/>
  <c r="F38" i="5"/>
  <c r="F47" i="5"/>
  <c r="F25" i="5"/>
  <c r="F21" i="5"/>
  <c r="F13" i="5"/>
  <c r="F43" i="5"/>
  <c r="F24" i="5"/>
  <c r="F35" i="5"/>
  <c r="F8" i="5"/>
  <c r="F15" i="5"/>
  <c r="F36" i="5"/>
  <c r="F46" i="5"/>
  <c r="F44" i="5"/>
  <c r="F6" i="5"/>
  <c r="F40" i="5"/>
  <c r="F28" i="5"/>
  <c r="F27" i="5"/>
  <c r="F19" i="5"/>
  <c r="F9" i="5"/>
  <c r="F16" i="5"/>
  <c r="F7" i="5"/>
  <c r="F22" i="5"/>
  <c r="F29" i="5"/>
  <c r="F31" i="5"/>
  <c r="P46" i="5"/>
  <c r="P45" i="5"/>
  <c r="P26" i="5"/>
  <c r="P19" i="5"/>
  <c r="P47" i="5"/>
  <c r="P24" i="5"/>
  <c r="P34" i="5"/>
  <c r="P29" i="5"/>
  <c r="P9" i="5"/>
  <c r="P22" i="5"/>
  <c r="P21" i="5"/>
  <c r="P6" i="5"/>
  <c r="P44" i="5"/>
  <c r="P14" i="5"/>
  <c r="P38" i="5"/>
  <c r="P43" i="5"/>
  <c r="P33" i="5"/>
  <c r="P11" i="5"/>
  <c r="P30" i="5"/>
  <c r="P32" i="5"/>
  <c r="P35" i="5"/>
  <c r="P18" i="5"/>
  <c r="P25" i="5"/>
  <c r="P23" i="5"/>
  <c r="P41" i="5"/>
  <c r="P31" i="5"/>
  <c r="P28" i="5"/>
  <c r="P40" i="5"/>
  <c r="P17" i="5"/>
  <c r="P36" i="5"/>
  <c r="P15" i="5"/>
  <c r="P8" i="5"/>
  <c r="P12" i="5"/>
  <c r="P13" i="5"/>
  <c r="P20" i="5"/>
  <c r="P39" i="5"/>
  <c r="P42" i="5"/>
  <c r="P37" i="5"/>
  <c r="P10" i="5"/>
  <c r="P16" i="5"/>
  <c r="P7" i="5"/>
  <c r="D6" i="22" a="1"/>
  <c r="R23" i="5"/>
  <c r="R12" i="5"/>
  <c r="R45" i="5"/>
  <c r="R18" i="5"/>
  <c r="R41" i="5"/>
  <c r="R6" i="5"/>
  <c r="R11" i="5"/>
  <c r="R44" i="5"/>
  <c r="R19" i="5"/>
  <c r="R14" i="5"/>
  <c r="R36" i="5"/>
  <c r="R26" i="5"/>
  <c r="R32" i="5"/>
  <c r="R22" i="5"/>
  <c r="R30" i="5"/>
  <c r="R13" i="5"/>
  <c r="R34" i="5"/>
  <c r="R39" i="5"/>
  <c r="R38" i="5"/>
  <c r="R42" i="5"/>
  <c r="R33" i="5"/>
  <c r="R43" i="5"/>
  <c r="R46" i="5"/>
  <c r="R20" i="5"/>
  <c r="R21" i="5"/>
  <c r="R28" i="5"/>
  <c r="R9" i="5"/>
  <c r="R10" i="5"/>
  <c r="R40" i="5"/>
  <c r="R7" i="5"/>
  <c r="R17" i="5"/>
  <c r="R8" i="5"/>
  <c r="R16" i="5"/>
  <c r="R35" i="5"/>
  <c r="R15" i="5"/>
  <c r="D10" i="22" l="1"/>
  <c r="D7" i="22"/>
  <c r="D9" i="22"/>
  <c r="D15" i="22"/>
  <c r="D17" i="22"/>
  <c r="D16" i="22"/>
  <c r="D14" i="22"/>
  <c r="D8" i="22"/>
  <c r="D13" i="22"/>
  <c r="D11" i="22"/>
  <c r="D12" i="22"/>
  <c r="D6" i="22"/>
  <c r="P6" i="22" a="1"/>
  <c r="P12" i="22" l="1"/>
  <c r="F6" i="22" a="1"/>
  <c r="P6" i="22"/>
  <c r="P8" i="22"/>
  <c r="P10" i="22"/>
  <c r="P17" i="22"/>
  <c r="P16" i="22"/>
  <c r="P9" i="22"/>
  <c r="P7" i="22"/>
  <c r="P11" i="22"/>
  <c r="P13" i="22"/>
  <c r="P15" i="22"/>
  <c r="P14" i="22"/>
  <c r="F3" i="17"/>
  <c r="F3" i="18"/>
  <c r="F3" i="19"/>
  <c r="R6" i="23"/>
  <c r="R8" i="23"/>
  <c r="R37" i="5"/>
  <c r="R25" i="5"/>
  <c r="R31" i="5"/>
  <c r="R29" i="5"/>
  <c r="R24" i="5"/>
  <c r="R47" i="5"/>
  <c r="R11" i="22"/>
  <c r="R14" i="22"/>
  <c r="R10" i="22"/>
  <c r="R9" i="22"/>
  <c r="R17" i="22"/>
  <c r="R6" i="22"/>
  <c r="R8" i="22"/>
  <c r="R16" i="22"/>
  <c r="R13" i="22"/>
  <c r="R15" i="22"/>
  <c r="R12" i="22"/>
  <c r="R7" i="22"/>
  <c r="F5" i="5"/>
  <c r="F8" i="22" l="1"/>
  <c r="F14" i="22"/>
  <c r="F9" i="22"/>
  <c r="F7" i="22"/>
  <c r="F10" i="22"/>
  <c r="F6" i="22"/>
  <c r="F16" i="22"/>
  <c r="F12" i="22"/>
  <c r="F17" i="22"/>
  <c r="F11" i="22"/>
  <c r="F15" i="22"/>
  <c r="F13" i="22"/>
  <c r="K5" i="19" a="1"/>
  <c r="K5" i="17" a="1"/>
  <c r="K5" i="18" a="1"/>
  <c r="Q7" i="19"/>
  <c r="Q32" i="19"/>
  <c r="Q27" i="19"/>
  <c r="Q16" i="19"/>
  <c r="Q11" i="19"/>
  <c r="Q15" i="19"/>
  <c r="Q19" i="19"/>
  <c r="Q23" i="19"/>
  <c r="Q35" i="19"/>
  <c r="Q33" i="19"/>
  <c r="Q17" i="19"/>
  <c r="Q18" i="19"/>
  <c r="Q5" i="19"/>
  <c r="Q9" i="19"/>
  <c r="Q34" i="19"/>
  <c r="Q29" i="19"/>
  <c r="Q22" i="19"/>
  <c r="Q24" i="19"/>
  <c r="Q31" i="19"/>
  <c r="Q6" i="19"/>
  <c r="Q10" i="19"/>
  <c r="Q25" i="19"/>
  <c r="Q21" i="19"/>
  <c r="Q14" i="19"/>
  <c r="Q30" i="19"/>
  <c r="Q36" i="19"/>
  <c r="Q37" i="19"/>
  <c r="Q8" i="19"/>
  <c r="Q12" i="19"/>
  <c r="Q13" i="19"/>
  <c r="Q20" i="19"/>
  <c r="Q26" i="19"/>
  <c r="R4" i="23"/>
  <c r="R4" i="5"/>
  <c r="R4" i="22"/>
  <c r="C5" i="21"/>
  <c r="K34" i="19" l="1"/>
  <c r="K36" i="19"/>
  <c r="K5" i="19"/>
  <c r="K27" i="19"/>
  <c r="K6" i="19"/>
  <c r="K38" i="19"/>
  <c r="K31" i="19"/>
  <c r="K18" i="19"/>
  <c r="K29" i="19"/>
  <c r="K24" i="19"/>
  <c r="K22" i="19"/>
  <c r="K28" i="19"/>
  <c r="L38" i="19" s="1"/>
  <c r="K19" i="19"/>
  <c r="K26" i="19"/>
  <c r="K7" i="19"/>
  <c r="K33" i="19"/>
  <c r="K14" i="19"/>
  <c r="K30" i="19"/>
  <c r="K11" i="19"/>
  <c r="K12" i="19"/>
  <c r="K21" i="19"/>
  <c r="K23" i="19"/>
  <c r="K13" i="19"/>
  <c r="K16" i="19"/>
  <c r="K37" i="19"/>
  <c r="K17" i="19"/>
  <c r="K25" i="19"/>
  <c r="K9" i="19"/>
  <c r="K10" i="19"/>
  <c r="K20" i="19"/>
  <c r="K8" i="19"/>
  <c r="K15" i="19"/>
  <c r="K32" i="19"/>
  <c r="K35" i="19"/>
  <c r="K31" i="17"/>
  <c r="K41" i="17"/>
  <c r="K24" i="17"/>
  <c r="K13" i="17"/>
  <c r="K35" i="17"/>
  <c r="K25" i="17"/>
  <c r="K14" i="17"/>
  <c r="K23" i="17"/>
  <c r="K10" i="17"/>
  <c r="K9" i="17"/>
  <c r="K30" i="17"/>
  <c r="K15" i="17"/>
  <c r="K26" i="17"/>
  <c r="K39" i="17"/>
  <c r="K29" i="17"/>
  <c r="K27" i="17"/>
  <c r="K12" i="17"/>
  <c r="K32" i="17"/>
  <c r="K22" i="17"/>
  <c r="K16" i="17"/>
  <c r="K20" i="17"/>
  <c r="K34" i="17"/>
  <c r="K17" i="17"/>
  <c r="K19" i="17"/>
  <c r="K6" i="17"/>
  <c r="K11" i="17"/>
  <c r="K7" i="17"/>
  <c r="K21" i="17"/>
  <c r="K28" i="17"/>
  <c r="K37" i="17"/>
  <c r="K8" i="17"/>
  <c r="K36" i="17"/>
  <c r="K38" i="17"/>
  <c r="K18" i="17"/>
  <c r="K40" i="17"/>
  <c r="K33" i="17"/>
  <c r="K5" i="17"/>
  <c r="L40" i="17"/>
  <c r="K39" i="19"/>
  <c r="L41" i="17"/>
  <c r="L42" i="17" s="1"/>
  <c r="K42" i="17" s="1"/>
  <c r="K32" i="18"/>
  <c r="K26" i="18"/>
  <c r="K30" i="18"/>
  <c r="K29" i="18"/>
  <c r="K7" i="18"/>
  <c r="K37" i="18"/>
  <c r="K12" i="18"/>
  <c r="K20" i="18"/>
  <c r="K38" i="18"/>
  <c r="K6" i="18"/>
  <c r="K33" i="18"/>
  <c r="K21" i="18"/>
  <c r="K39" i="18"/>
  <c r="K17" i="18"/>
  <c r="K23" i="18"/>
  <c r="K5" i="18"/>
  <c r="K25" i="18"/>
  <c r="K14" i="18"/>
  <c r="K28" i="18"/>
  <c r="K11" i="18"/>
  <c r="K31" i="18"/>
  <c r="K27" i="18"/>
  <c r="K24" i="18"/>
  <c r="K16" i="18"/>
  <c r="K9" i="18"/>
  <c r="K19" i="18"/>
  <c r="K36" i="18"/>
  <c r="K8" i="18"/>
  <c r="K10" i="18"/>
  <c r="K34" i="18"/>
  <c r="K18" i="18"/>
  <c r="K13" i="18"/>
  <c r="K40" i="18"/>
  <c r="K42" i="18"/>
  <c r="K22" i="18"/>
  <c r="K15" i="18"/>
  <c r="K41" i="18"/>
  <c r="K35" i="18"/>
  <c r="Q28" i="19"/>
  <c r="Q38" i="19"/>
  <c r="Q38" i="17"/>
  <c r="Q13" i="17"/>
  <c r="Q29" i="17"/>
  <c r="Q22" i="17"/>
  <c r="Q7" i="17"/>
  <c r="Q12" i="17"/>
  <c r="Q23" i="17"/>
  <c r="Q10" i="17"/>
  <c r="Q37" i="17"/>
  <c r="Q25" i="17"/>
  <c r="Q34" i="17"/>
  <c r="Q39" i="17"/>
  <c r="Q33" i="17"/>
  <c r="Q15" i="17"/>
  <c r="Q21" i="17"/>
  <c r="Q20" i="17"/>
  <c r="Q18" i="17"/>
  <c r="Q14" i="17"/>
  <c r="Q28" i="17"/>
  <c r="Q24" i="17"/>
  <c r="Q30" i="17"/>
  <c r="Q32" i="17"/>
  <c r="Q8" i="17"/>
  <c r="Q6" i="17"/>
  <c r="Q36" i="17"/>
  <c r="Q11" i="17"/>
  <c r="Q19" i="17"/>
  <c r="Q41" i="17"/>
  <c r="Q40" i="17"/>
  <c r="Q16" i="17"/>
  <c r="Q27" i="17"/>
  <c r="Q35" i="17"/>
  <c r="Q31" i="17"/>
  <c r="Q42" i="17"/>
  <c r="Q26" i="17"/>
  <c r="Q5" i="17"/>
  <c r="Q9" i="17"/>
  <c r="Q17" i="17"/>
  <c r="Q20" i="18"/>
  <c r="Q9" i="18"/>
  <c r="Q28" i="18"/>
  <c r="Q39" i="18"/>
  <c r="Q11" i="18"/>
  <c r="Q25" i="18"/>
  <c r="Q13" i="18"/>
  <c r="Q10" i="18"/>
  <c r="Q35" i="18"/>
  <c r="Q5" i="18"/>
  <c r="Q42" i="18"/>
  <c r="Q41" i="18"/>
  <c r="Q29" i="18"/>
  <c r="Q30" i="18"/>
  <c r="Q15" i="18"/>
  <c r="Q12" i="18"/>
  <c r="Q36" i="18"/>
  <c r="Q22" i="18"/>
  <c r="Q26" i="18"/>
  <c r="Q24" i="18"/>
  <c r="Q37" i="18"/>
  <c r="Q6" i="18"/>
  <c r="Q21" i="18"/>
  <c r="Q7" i="18"/>
  <c r="Q8" i="18"/>
  <c r="Q14" i="18"/>
  <c r="Q19" i="18"/>
  <c r="Q17" i="18"/>
  <c r="Q38" i="18"/>
  <c r="Q18" i="18"/>
  <c r="Q16" i="18"/>
  <c r="Q33" i="18"/>
  <c r="Q34" i="18"/>
  <c r="Q27" i="18"/>
  <c r="Q23" i="18"/>
  <c r="Q32" i="18"/>
  <c r="Q40" i="18"/>
  <c r="Q31" i="18"/>
  <c r="C4" i="21"/>
  <c r="C3" i="21"/>
  <c r="K40" i="19" l="1"/>
  <c r="X32" i="17"/>
  <c r="X36" i="17"/>
  <c r="X8" i="17"/>
  <c r="X34" i="17"/>
  <c r="X29" i="17"/>
  <c r="X25" i="17"/>
  <c r="X23" i="17"/>
  <c r="X26" i="17"/>
  <c r="X24" i="17"/>
  <c r="X39" i="17"/>
  <c r="X42" i="17"/>
  <c r="X22" i="17"/>
  <c r="X13" i="17"/>
  <c r="X31" i="17"/>
  <c r="X20" i="17"/>
  <c r="X12" i="17"/>
  <c r="X9" i="17"/>
  <c r="X10" i="17"/>
  <c r="X15" i="17"/>
  <c r="X5" i="17"/>
  <c r="X21" i="17"/>
  <c r="X6" i="17"/>
  <c r="X14" i="17"/>
  <c r="X41" i="17"/>
  <c r="X27" i="17"/>
  <c r="X30" i="17"/>
  <c r="X11" i="17"/>
  <c r="X38" i="17"/>
  <c r="X37" i="17"/>
  <c r="X33" i="17"/>
  <c r="X28" i="17"/>
  <c r="X7" i="17"/>
  <c r="X19" i="17"/>
  <c r="X18" i="17"/>
  <c r="X16" i="17"/>
  <c r="X35" i="17"/>
  <c r="X40" i="17"/>
  <c r="X17" i="17"/>
  <c r="Q39" i="19"/>
  <c r="Q3" i="17"/>
  <c r="Q3" i="18"/>
  <c r="F4" i="17"/>
  <c r="E4" i="14"/>
  <c r="F4" i="10"/>
  <c r="F4" i="9"/>
  <c r="F4" i="11"/>
  <c r="F4" i="18"/>
  <c r="F4" i="19"/>
  <c r="F4" i="4"/>
  <c r="K41" i="19" l="1"/>
  <c r="Q40" i="19"/>
  <c r="K42" i="19" l="1"/>
  <c r="Q42" i="19"/>
  <c r="Q41" i="19"/>
  <c r="Q3" i="19"/>
  <c r="D7" i="2"/>
  <c r="F5" i="22"/>
</calcChain>
</file>

<file path=xl/comments1.xml><?xml version="1.0" encoding="utf-8"?>
<comments xmlns="http://schemas.openxmlformats.org/spreadsheetml/2006/main">
  <authors>
    <author>erik</author>
  </authors>
  <commentList>
    <comment ref="A25" authorId="0">
      <text>
        <r>
          <rPr>
            <b/>
            <sz val="8"/>
            <color indexed="81"/>
            <rFont val="Tahoma"/>
            <family val="2"/>
          </rPr>
          <t>erik:</t>
        </r>
        <r>
          <rPr>
            <sz val="8"/>
            <color indexed="81"/>
            <rFont val="Tahoma"/>
            <family val="2"/>
          </rPr>
          <t xml:space="preserve">
this named range is a marker for Sensitivity Analysis</t>
        </r>
      </text>
    </comment>
  </commentList>
</comments>
</file>

<file path=xl/sharedStrings.xml><?xml version="1.0" encoding="utf-8"?>
<sst xmlns="http://schemas.openxmlformats.org/spreadsheetml/2006/main" count="1736" uniqueCount="193">
  <si>
    <t>BID</t>
  </si>
  <si>
    <t>ASK</t>
  </si>
  <si>
    <t>Reuters</t>
  </si>
  <si>
    <t>KLIEM</t>
  </si>
  <si>
    <t>CKCC</t>
  </si>
  <si>
    <t>ICAP</t>
  </si>
  <si>
    <t>Tullets</t>
  </si>
  <si>
    <t>TTKL</t>
  </si>
  <si>
    <t>Tradition</t>
  </si>
  <si>
    <t>TRIT</t>
  </si>
  <si>
    <t>Prebon</t>
  </si>
  <si>
    <t>PREL</t>
  </si>
  <si>
    <t>COSMOREX</t>
  </si>
  <si>
    <t>COSZ</t>
  </si>
  <si>
    <t>Currency</t>
  </si>
  <si>
    <t>EUR</t>
  </si>
  <si>
    <t>Contributors</t>
  </si>
  <si>
    <t>Effective</t>
  </si>
  <si>
    <t>AB</t>
  </si>
  <si>
    <t>6E</t>
  </si>
  <si>
    <t>EXPIRE DATE</t>
  </si>
  <si>
    <t>#</t>
  </si>
  <si>
    <t>Contributor Code</t>
  </si>
  <si>
    <t>Future Code</t>
  </si>
  <si>
    <t>Change</t>
  </si>
  <si>
    <t>LAST</t>
  </si>
  <si>
    <t>HST_CLOSE</t>
  </si>
  <si>
    <t>Mid Equivalent</t>
  </si>
  <si>
    <t>TriggerCounter</t>
  </si>
  <si>
    <t>3E</t>
  </si>
  <si>
    <t>sigma</t>
  </si>
  <si>
    <t>Object ID</t>
  </si>
  <si>
    <t>Main Cycle</t>
  </si>
  <si>
    <t>Live Data Feed</t>
  </si>
  <si>
    <t>_Quote</t>
  </si>
  <si>
    <t>Effective Date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</si>
  <si>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</si>
  <si>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</si>
  <si>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</si>
  <si>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</si>
  <si>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</si>
  <si>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</si>
  <si>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</si>
  <si>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</si>
  <si>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</si>
  <si>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</si>
  <si>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</si>
  <si>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</si>
  <si>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</si>
  <si>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</si>
  <si>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</si>
  <si>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13Y</t>
  </si>
  <si>
    <t>14Y</t>
  </si>
  <si>
    <t>15Y</t>
  </si>
  <si>
    <t>16Y</t>
  </si>
  <si>
    <t>17Y</t>
  </si>
  <si>
    <t>18Y</t>
  </si>
  <si>
    <t>19Y</t>
  </si>
  <si>
    <t>20Y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</si>
  <si>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</si>
  <si>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</si>
  <si>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</si>
  <si>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</si>
  <si>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</si>
  <si>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</si>
  <si>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</si>
  <si>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</si>
  <si>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</si>
  <si>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30Y</t>
  </si>
  <si>
    <t>35Y</t>
  </si>
  <si>
    <t>40Y</t>
  </si>
  <si>
    <t>50Y</t>
  </si>
  <si>
    <t>60Y</t>
  </si>
  <si>
    <t>HW parameters</t>
  </si>
  <si>
    <t>mean reversion</t>
  </si>
  <si>
    <t>Trigger</t>
  </si>
  <si>
    <t>SaYieldCurveTweak</t>
  </si>
  <si>
    <t>Last update</t>
  </si>
  <si>
    <t>GENERAL_SETTINGS</t>
  </si>
  <si>
    <t>Quote suffix</t>
  </si>
  <si>
    <t>1S</t>
  </si>
  <si>
    <t>2S</t>
  </si>
  <si>
    <t>3S</t>
  </si>
  <si>
    <t>4S</t>
  </si>
  <si>
    <t>SW</t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</si>
  <si>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</si>
  <si>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</si>
  <si>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</si>
  <si>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</si>
  <si>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</si>
  <si>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</si>
  <si>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</si>
  <si>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</si>
  <si>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</si>
  <si>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</si>
  <si>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</si>
  <si>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</si>
  <si>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</si>
  <si>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1E</t>
  </si>
  <si>
    <t>Mid</t>
  </si>
  <si>
    <t>12E</t>
  </si>
  <si>
    <t>ReutersRtMode</t>
  </si>
  <si>
    <t>MonotonicCubicNaturalSpline</t>
  </si>
  <si>
    <t>InterpolationType</t>
  </si>
  <si>
    <t>TOY</t>
  </si>
  <si>
    <t>Static</t>
  </si>
  <si>
    <t>USD</t>
  </si>
  <si>
    <t>LIFFE</t>
  </si>
  <si>
    <t>CODES</t>
  </si>
  <si>
    <t>FEI</t>
  </si>
  <si>
    <t>ED</t>
  </si>
  <si>
    <t>GBP</t>
  </si>
  <si>
    <t>FSS</t>
  </si>
  <si>
    <t>JPY</t>
  </si>
  <si>
    <t>CHF</t>
  </si>
  <si>
    <t>FES</t>
  </si>
  <si>
    <t>AM</t>
  </si>
  <si>
    <t>3L</t>
  </si>
  <si>
    <t>SB</t>
  </si>
  <si>
    <t>6L</t>
  </si>
  <si>
    <t>1L</t>
  </si>
  <si>
    <t>12L</t>
  </si>
  <si>
    <t>EM</t>
  </si>
  <si>
    <t>EU</t>
  </si>
  <si>
    <t>JP</t>
  </si>
  <si>
    <t>US</t>
  </si>
  <si>
    <t>CH</t>
  </si>
  <si>
    <t>GB</t>
  </si>
  <si>
    <t>Mid Safe</t>
  </si>
  <si>
    <t>ibor</t>
  </si>
  <si>
    <t>Libor</t>
  </si>
  <si>
    <t>FSR</t>
  </si>
  <si>
    <t>Code</t>
  </si>
  <si>
    <t>D</t>
  </si>
  <si>
    <t>ON</t>
  </si>
  <si>
    <t>TN</t>
  </si>
  <si>
    <t>SN</t>
  </si>
  <si>
    <t>Field</t>
  </si>
  <si>
    <t>RIC element1</t>
  </si>
  <si>
    <t>RIC element2</t>
  </si>
  <si>
    <t>IBOR</t>
  </si>
  <si>
    <t>D_Quote</t>
  </si>
  <si>
    <t>ASK-BID</t>
  </si>
  <si>
    <t>Error</t>
  </si>
  <si>
    <t>HKD</t>
  </si>
  <si>
    <t>QM</t>
  </si>
  <si>
    <t>3H</t>
  </si>
  <si>
    <t>T3</t>
  </si>
  <si>
    <t>F1</t>
  </si>
  <si>
    <t>T6</t>
  </si>
  <si>
    <t>TOM6</t>
  </si>
  <si>
    <t>TOM3</t>
  </si>
  <si>
    <t>FUT1M</t>
  </si>
  <si>
    <t>FUT3M</t>
  </si>
  <si>
    <t>IMMFRA6M</t>
  </si>
  <si>
    <t>x4F</t>
  </si>
  <si>
    <t>x5F</t>
  </si>
  <si>
    <t>x6F</t>
  </si>
  <si>
    <t>x7F</t>
  </si>
  <si>
    <t>x8F</t>
  </si>
  <si>
    <t>x9F</t>
  </si>
  <si>
    <t>ECB</t>
  </si>
  <si>
    <t>M1</t>
  </si>
  <si>
    <t>M2</t>
  </si>
  <si>
    <t>M3</t>
  </si>
  <si>
    <t>M4</t>
  </si>
  <si>
    <t>M5</t>
  </si>
  <si>
    <t>M6</t>
  </si>
  <si>
    <t>OIS</t>
  </si>
  <si>
    <t>GV4_TEXT</t>
  </si>
  <si>
    <t>FRQ:1S</t>
  </si>
  <si>
    <t>The record could not be found</t>
  </si>
  <si>
    <t>Hibor</t>
  </si>
  <si>
    <t>HI</t>
  </si>
  <si>
    <t>PRIM ACT 1</t>
  </si>
  <si>
    <t>ICHK</t>
  </si>
  <si>
    <t>x10F</t>
  </si>
  <si>
    <t>x11F</t>
  </si>
  <si>
    <t>x12F</t>
  </si>
  <si>
    <t>1W</t>
  </si>
  <si>
    <t>AM1H</t>
  </si>
  <si>
    <t>PREA</t>
  </si>
  <si>
    <t>HIR</t>
  </si>
  <si>
    <t>HKD7X10F=</t>
  </si>
  <si>
    <t>HKD8X11F=</t>
  </si>
  <si>
    <t>HKD9X12F=</t>
  </si>
  <si>
    <t>HKD1X7F=</t>
  </si>
  <si>
    <t>HKD2X8F=</t>
  </si>
  <si>
    <t>HKD3X9F=</t>
  </si>
  <si>
    <t>HKD4X10F=</t>
  </si>
  <si>
    <t>HKD5X11F=</t>
  </si>
  <si>
    <t>HKD6X12F=</t>
  </si>
  <si>
    <t>6H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</si>
</sst>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"/>
    <numFmt numFmtId="165" formatCode="[$-409]d\-mmm\-yy;@"/>
    <numFmt numFmtId="166" formatCode="0.0000%"/>
    <numFmt numFmtId="167" formatCode="0.0000"/>
    <numFmt numFmtId="168" formatCode="ddd\,\ dd\-mmm\-yyyy"/>
    <numFmt numFmtId="169" formatCode="ddd\,\ dd\-mmm\-yyyy\,\ h:mm:ss"/>
    <numFmt numFmtId="170" formatCode="ddd\,\ dd\-mmm\-yyyy\ h:mm:ss"/>
    <numFmt numFmtId="171" formatCode="ddd\,\ d\-mmm\-yyyy"/>
    <numFmt numFmtId="172" formatCode="0.000000"/>
  </numFmts>
  <fonts count="19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0"/>
      <name val="MS Sans Serif"/>
      <family val="2"/>
    </font>
    <font>
      <sz val="8"/>
      <name val="MS Sans Serif"/>
      <family val="2"/>
    </font>
    <font>
      <b/>
      <sz val="12"/>
      <name val="MS Sans Serif"/>
      <family val="2"/>
    </font>
    <font>
      <sz val="8"/>
      <color indexed="12"/>
      <name val="Arial"/>
      <family val="2"/>
    </font>
    <font>
      <sz val="8"/>
      <color indexed="10"/>
      <name val="MS Sans Serif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u/>
      <sz val="8"/>
      <name val="Arial"/>
      <family val="2"/>
    </font>
    <font>
      <sz val="8"/>
      <color indexed="9"/>
      <name val="Arial"/>
      <family val="2"/>
    </font>
    <font>
      <b/>
      <u/>
      <sz val="8"/>
      <name val="Arial"/>
      <family val="2"/>
    </font>
    <font>
      <sz val="8"/>
      <color indexed="9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7">
    <xf numFmtId="0" fontId="0" fillId="0" borderId="0" xfId="0"/>
    <xf numFmtId="0" fontId="2" fillId="2" borderId="0" xfId="0" applyFont="1" applyFill="1"/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4" xfId="0" applyFont="1" applyFill="1" applyBorder="1"/>
    <xf numFmtId="0" fontId="2" fillId="2" borderId="0" xfId="0" applyFont="1" applyFill="1" applyBorder="1" applyAlignment="1">
      <alignment horizontal="center"/>
    </xf>
    <xf numFmtId="0" fontId="2" fillId="2" borderId="0" xfId="0" applyFont="1" applyFill="1" applyBorder="1"/>
    <xf numFmtId="0" fontId="2" fillId="2" borderId="5" xfId="0" applyFont="1" applyFill="1" applyBorder="1"/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/>
    <xf numFmtId="0" fontId="2" fillId="2" borderId="7" xfId="0" applyFont="1" applyFill="1" applyBorder="1"/>
    <xf numFmtId="0" fontId="2" fillId="2" borderId="8" xfId="0" applyFont="1" applyFill="1" applyBorder="1"/>
    <xf numFmtId="0" fontId="2" fillId="2" borderId="8" xfId="0" applyFont="1" applyFill="1" applyBorder="1" applyAlignment="1">
      <alignment horizontal="center"/>
    </xf>
    <xf numFmtId="167" fontId="2" fillId="0" borderId="0" xfId="1" applyNumberFormat="1" applyFont="1" applyFill="1" applyBorder="1" applyAlignment="1">
      <alignment horizontal="center"/>
    </xf>
    <xf numFmtId="0" fontId="0" fillId="3" borderId="0" xfId="0" applyFill="1"/>
    <xf numFmtId="0" fontId="0" fillId="2" borderId="0" xfId="0" applyFill="1"/>
    <xf numFmtId="0" fontId="4" fillId="3" borderId="0" xfId="0" applyFont="1" applyFill="1" applyBorder="1"/>
    <xf numFmtId="0" fontId="5" fillId="2" borderId="0" xfId="0" applyFont="1" applyFill="1" applyBorder="1"/>
    <xf numFmtId="0" fontId="6" fillId="2" borderId="0" xfId="0" applyFont="1" applyFill="1" applyBorder="1"/>
    <xf numFmtId="0" fontId="6" fillId="2" borderId="9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166" fontId="2" fillId="0" borderId="0" xfId="1" applyNumberFormat="1" applyFont="1" applyFill="1" applyBorder="1" applyAlignment="1"/>
    <xf numFmtId="0" fontId="2" fillId="0" borderId="1" xfId="0" applyFont="1" applyFill="1" applyBorder="1"/>
    <xf numFmtId="0" fontId="4" fillId="0" borderId="0" xfId="0" applyFont="1" applyFill="1" applyBorder="1"/>
    <xf numFmtId="0" fontId="4" fillId="0" borderId="0" xfId="0" applyFont="1"/>
    <xf numFmtId="0" fontId="4" fillId="2" borderId="1" xfId="0" applyFont="1" applyFill="1" applyBorder="1"/>
    <xf numFmtId="0" fontId="4" fillId="2" borderId="2" xfId="0" applyFont="1" applyFill="1" applyBorder="1"/>
    <xf numFmtId="0" fontId="4" fillId="2" borderId="3" xfId="0" applyFont="1" applyFill="1" applyBorder="1"/>
    <xf numFmtId="0" fontId="4" fillId="2" borderId="4" xfId="0" applyFont="1" applyFill="1" applyBorder="1"/>
    <xf numFmtId="0" fontId="4" fillId="2" borderId="0" xfId="0" applyFont="1" applyFill="1" applyBorder="1"/>
    <xf numFmtId="0" fontId="4" fillId="2" borderId="5" xfId="0" applyFont="1" applyFill="1" applyBorder="1"/>
    <xf numFmtId="0" fontId="4" fillId="2" borderId="6" xfId="0" applyFont="1" applyFill="1" applyBorder="1"/>
    <xf numFmtId="0" fontId="4" fillId="2" borderId="7" xfId="0" applyFont="1" applyFill="1" applyBorder="1"/>
    <xf numFmtId="0" fontId="4" fillId="2" borderId="8" xfId="0" applyFont="1" applyFill="1" applyBorder="1"/>
    <xf numFmtId="165" fontId="2" fillId="2" borderId="0" xfId="1" applyNumberFormat="1" applyFont="1" applyFill="1" applyBorder="1" applyAlignment="1">
      <alignment horizontal="center"/>
    </xf>
    <xf numFmtId="167" fontId="2" fillId="2" borderId="0" xfId="1" applyNumberFormat="1" applyFont="1" applyFill="1" applyBorder="1" applyAlignment="1">
      <alignment horizontal="center"/>
    </xf>
    <xf numFmtId="169" fontId="9" fillId="2" borderId="0" xfId="0" applyNumberFormat="1" applyFont="1" applyFill="1" applyBorder="1" applyAlignment="1">
      <alignment horizontal="left"/>
    </xf>
    <xf numFmtId="0" fontId="2" fillId="0" borderId="0" xfId="1" applyNumberFormat="1" applyFont="1" applyFill="1" applyBorder="1" applyAlignment="1">
      <alignment horizontal="center"/>
    </xf>
    <xf numFmtId="0" fontId="2" fillId="0" borderId="0" xfId="1" applyNumberFormat="1" applyFont="1" applyFill="1" applyBorder="1" applyAlignment="1"/>
    <xf numFmtId="0" fontId="2" fillId="0" borderId="0" xfId="0" applyFont="1"/>
    <xf numFmtId="0" fontId="15" fillId="2" borderId="0" xfId="0" applyFont="1" applyFill="1" applyBorder="1"/>
    <xf numFmtId="0" fontId="3" fillId="4" borderId="10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0" borderId="0" xfId="0" applyFont="1" applyFill="1" applyBorder="1"/>
    <xf numFmtId="166" fontId="2" fillId="0" borderId="0" xfId="0" applyNumberFormat="1" applyFont="1"/>
    <xf numFmtId="166" fontId="2" fillId="0" borderId="0" xfId="1" applyNumberFormat="1" applyFont="1"/>
    <xf numFmtId="2" fontId="2" fillId="0" borderId="0" xfId="1" applyNumberFormat="1" applyFont="1" applyFill="1" applyBorder="1" applyAlignment="1">
      <alignment horizontal="center"/>
    </xf>
    <xf numFmtId="2" fontId="2" fillId="0" borderId="0" xfId="1" applyNumberFormat="1" applyFont="1" applyFill="1" applyBorder="1" applyAlignment="1"/>
    <xf numFmtId="167" fontId="2" fillId="0" borderId="0" xfId="1" applyNumberFormat="1" applyFont="1" applyFill="1" applyBorder="1" applyAlignment="1"/>
    <xf numFmtId="0" fontId="4" fillId="2" borderId="2" xfId="0" applyFont="1" applyFill="1" applyBorder="1" applyAlignment="1">
      <alignment horizontal="center"/>
    </xf>
    <xf numFmtId="0" fontId="16" fillId="2" borderId="3" xfId="0" applyFont="1" applyFill="1" applyBorder="1"/>
    <xf numFmtId="0" fontId="17" fillId="2" borderId="0" xfId="0" applyFont="1" applyFill="1" applyBorder="1"/>
    <xf numFmtId="0" fontId="4" fillId="2" borderId="0" xfId="0" applyFont="1" applyFill="1" applyBorder="1" applyAlignment="1">
      <alignment horizontal="center"/>
    </xf>
    <xf numFmtId="0" fontId="16" fillId="2" borderId="5" xfId="0" applyFont="1" applyFill="1" applyBorder="1"/>
    <xf numFmtId="0" fontId="16" fillId="2" borderId="4" xfId="0" applyFont="1" applyFill="1" applyBorder="1"/>
    <xf numFmtId="1" fontId="4" fillId="0" borderId="0" xfId="1" applyNumberFormat="1" applyFont="1" applyFill="1" applyBorder="1" applyAlignment="1">
      <alignment horizontal="center"/>
    </xf>
    <xf numFmtId="167" fontId="4" fillId="0" borderId="0" xfId="1" applyNumberFormat="1" applyFont="1" applyFill="1" applyBorder="1" applyAlignment="1">
      <alignment horizontal="center"/>
    </xf>
    <xf numFmtId="168" fontId="4" fillId="0" borderId="0" xfId="1" applyNumberFormat="1" applyFont="1" applyFill="1" applyBorder="1" applyAlignment="1">
      <alignment horizontal="center"/>
    </xf>
    <xf numFmtId="165" fontId="4" fillId="0" borderId="0" xfId="1" applyNumberFormat="1" applyFont="1" applyFill="1" applyBorder="1" applyAlignment="1">
      <alignment horizontal="center"/>
    </xf>
    <xf numFmtId="0" fontId="16" fillId="2" borderId="6" xfId="0" applyFont="1" applyFill="1" applyBorder="1"/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18" fillId="0" borderId="0" xfId="0" applyFont="1" applyFill="1"/>
    <xf numFmtId="0" fontId="2" fillId="0" borderId="4" xfId="0" applyFont="1" applyBorder="1"/>
    <xf numFmtId="0" fontId="2" fillId="0" borderId="6" xfId="0" applyFont="1" applyBorder="1"/>
    <xf numFmtId="0" fontId="2" fillId="0" borderId="14" xfId="1" applyNumberFormat="1" applyFont="1" applyFill="1" applyBorder="1" applyAlignment="1">
      <alignment horizontal="center"/>
    </xf>
    <xf numFmtId="167" fontId="2" fillId="0" borderId="15" xfId="1" applyNumberFormat="1" applyFont="1" applyFill="1" applyBorder="1" applyAlignment="1">
      <alignment horizontal="center"/>
    </xf>
    <xf numFmtId="0" fontId="2" fillId="0" borderId="16" xfId="1" applyNumberFormat="1" applyFont="1" applyFill="1" applyBorder="1" applyAlignment="1">
      <alignment horizontal="center"/>
    </xf>
    <xf numFmtId="0" fontId="2" fillId="0" borderId="17" xfId="1" applyNumberFormat="1" applyFont="1" applyFill="1" applyBorder="1" applyAlignment="1"/>
    <xf numFmtId="167" fontId="2" fillId="0" borderId="17" xfId="1" applyNumberFormat="1" applyFont="1" applyFill="1" applyBorder="1" applyAlignment="1">
      <alignment horizontal="center"/>
    </xf>
    <xf numFmtId="167" fontId="2" fillId="0" borderId="18" xfId="1" applyNumberFormat="1" applyFont="1" applyFill="1" applyBorder="1" applyAlignment="1">
      <alignment horizontal="center"/>
    </xf>
    <xf numFmtId="0" fontId="2" fillId="2" borderId="19" xfId="0" applyFont="1" applyFill="1" applyBorder="1" applyAlignment="1">
      <alignment horizontal="center"/>
    </xf>
    <xf numFmtId="0" fontId="3" fillId="2" borderId="20" xfId="0" applyFont="1" applyFill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167" fontId="3" fillId="0" borderId="20" xfId="1" applyNumberFormat="1" applyFont="1" applyFill="1" applyBorder="1" applyAlignment="1">
      <alignment horizontal="center" vertical="center" wrapText="1"/>
    </xf>
    <xf numFmtId="166" fontId="3" fillId="0" borderId="21" xfId="1" applyNumberFormat="1" applyFont="1" applyFill="1" applyBorder="1" applyAlignment="1">
      <alignment horizontal="center" vertical="center" wrapText="1"/>
    </xf>
    <xf numFmtId="167" fontId="2" fillId="0" borderId="9" xfId="1" applyNumberFormat="1" applyFont="1" applyBorder="1"/>
    <xf numFmtId="167" fontId="2" fillId="0" borderId="22" xfId="1" applyNumberFormat="1" applyFont="1" applyBorder="1"/>
    <xf numFmtId="167" fontId="3" fillId="0" borderId="23" xfId="1" applyNumberFormat="1" applyFont="1" applyFill="1" applyBorder="1" applyAlignment="1">
      <alignment horizontal="center" vertical="center" wrapText="1"/>
    </xf>
    <xf numFmtId="166" fontId="3" fillId="0" borderId="19" xfId="1" applyNumberFormat="1" applyFont="1" applyFill="1" applyBorder="1" applyAlignment="1">
      <alignment horizontal="center" vertical="center" wrapText="1"/>
    </xf>
    <xf numFmtId="0" fontId="3" fillId="0" borderId="20" xfId="0" applyFont="1" applyFill="1" applyBorder="1" applyAlignment="1">
      <alignment horizontal="center" vertical="center" wrapText="1"/>
    </xf>
    <xf numFmtId="0" fontId="3" fillId="2" borderId="21" xfId="0" applyFont="1" applyFill="1" applyBorder="1" applyAlignment="1">
      <alignment horizontal="center" vertical="center" wrapText="1"/>
    </xf>
    <xf numFmtId="166" fontId="2" fillId="0" borderId="24" xfId="1" applyNumberFormat="1" applyFont="1" applyFill="1" applyBorder="1" applyAlignment="1"/>
    <xf numFmtId="167" fontId="2" fillId="0" borderId="25" xfId="1" applyNumberFormat="1" applyFont="1" applyFill="1" applyBorder="1" applyAlignment="1">
      <alignment horizontal="center"/>
    </xf>
    <xf numFmtId="166" fontId="2" fillId="0" borderId="26" xfId="1" applyNumberFormat="1" applyFont="1" applyFill="1" applyBorder="1" applyAlignment="1">
      <alignment horizontal="center"/>
    </xf>
    <xf numFmtId="166" fontId="2" fillId="0" borderId="14" xfId="1" applyNumberFormat="1" applyFont="1" applyFill="1" applyBorder="1" applyAlignment="1"/>
    <xf numFmtId="166" fontId="2" fillId="0" borderId="15" xfId="1" applyNumberFormat="1" applyFont="1" applyFill="1" applyBorder="1" applyAlignment="1">
      <alignment horizontal="center"/>
    </xf>
    <xf numFmtId="166" fontId="2" fillId="0" borderId="16" xfId="1" applyNumberFormat="1" applyFont="1" applyFill="1" applyBorder="1" applyAlignment="1"/>
    <xf numFmtId="166" fontId="2" fillId="0" borderId="18" xfId="1" applyNumberFormat="1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2" fontId="2" fillId="0" borderId="15" xfId="1" applyNumberFormat="1" applyFont="1" applyFill="1" applyBorder="1" applyAlignment="1">
      <alignment horizontal="center"/>
    </xf>
    <xf numFmtId="2" fontId="2" fillId="5" borderId="15" xfId="1" applyNumberFormat="1" applyFont="1" applyFill="1" applyBorder="1" applyAlignment="1">
      <alignment horizontal="center"/>
    </xf>
    <xf numFmtId="0" fontId="2" fillId="0" borderId="17" xfId="1" applyNumberFormat="1" applyFont="1" applyFill="1" applyBorder="1" applyAlignment="1">
      <alignment horizontal="center"/>
    </xf>
    <xf numFmtId="166" fontId="2" fillId="0" borderId="17" xfId="1" applyNumberFormat="1" applyFont="1" applyFill="1" applyBorder="1" applyAlignment="1"/>
    <xf numFmtId="2" fontId="2" fillId="0" borderId="9" xfId="1" applyNumberFormat="1" applyFont="1" applyBorder="1"/>
    <xf numFmtId="0" fontId="3" fillId="4" borderId="19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  <xf numFmtId="0" fontId="4" fillId="2" borderId="21" xfId="0" applyFont="1" applyFill="1" applyBorder="1" applyAlignment="1">
      <alignment horizontal="center" vertical="center" wrapText="1"/>
    </xf>
    <xf numFmtId="0" fontId="12" fillId="2" borderId="23" xfId="0" applyFont="1" applyFill="1" applyBorder="1" applyAlignment="1">
      <alignment horizontal="center" vertical="center" wrapText="1"/>
    </xf>
    <xf numFmtId="0" fontId="11" fillId="2" borderId="0" xfId="0" quotePrefix="1" applyFont="1" applyFill="1" applyBorder="1" applyAlignment="1">
      <alignment horizontal="left"/>
    </xf>
    <xf numFmtId="0" fontId="2" fillId="0" borderId="4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/>
    <xf numFmtId="0" fontId="4" fillId="0" borderId="3" xfId="0" applyFont="1" applyBorder="1"/>
    <xf numFmtId="0" fontId="4" fillId="0" borderId="0" xfId="0" applyFont="1" applyBorder="1"/>
    <xf numFmtId="0" fontId="4" fillId="0" borderId="5" xfId="0" applyFont="1" applyBorder="1"/>
    <xf numFmtId="0" fontId="4" fillId="0" borderId="7" xfId="0" applyFont="1" applyBorder="1"/>
    <xf numFmtId="0" fontId="4" fillId="0" borderId="8" xfId="0" applyFont="1" applyBorder="1"/>
    <xf numFmtId="0" fontId="2" fillId="2" borderId="19" xfId="0" applyFont="1" applyFill="1" applyBorder="1" applyAlignment="1">
      <alignment horizontal="center" wrapText="1"/>
    </xf>
    <xf numFmtId="167" fontId="4" fillId="0" borderId="9" xfId="1" applyNumberFormat="1" applyFont="1" applyBorder="1"/>
    <xf numFmtId="167" fontId="4" fillId="0" borderId="22" xfId="1" applyNumberFormat="1" applyFont="1" applyBorder="1"/>
    <xf numFmtId="167" fontId="12" fillId="0" borderId="19" xfId="1" applyNumberFormat="1" applyFont="1" applyFill="1" applyBorder="1" applyAlignment="1">
      <alignment horizontal="center" vertical="center" wrapText="1"/>
    </xf>
    <xf numFmtId="167" fontId="12" fillId="0" borderId="20" xfId="1" applyNumberFormat="1" applyFont="1" applyFill="1" applyBorder="1" applyAlignment="1">
      <alignment horizontal="center" vertical="center" wrapText="1"/>
    </xf>
    <xf numFmtId="0" fontId="12" fillId="0" borderId="20" xfId="0" applyFont="1" applyBorder="1" applyAlignment="1">
      <alignment horizontal="center" vertical="center" wrapText="1"/>
    </xf>
    <xf numFmtId="166" fontId="12" fillId="0" borderId="21" xfId="1" applyNumberFormat="1" applyFont="1" applyFill="1" applyBorder="1" applyAlignment="1">
      <alignment horizontal="center" vertical="center" wrapText="1"/>
    </xf>
    <xf numFmtId="167" fontId="12" fillId="0" borderId="23" xfId="1" applyNumberFormat="1" applyFont="1" applyFill="1" applyBorder="1" applyAlignment="1">
      <alignment horizontal="center" vertical="center" wrapText="1"/>
    </xf>
    <xf numFmtId="166" fontId="12" fillId="0" borderId="19" xfId="1" applyNumberFormat="1" applyFont="1" applyFill="1" applyBorder="1" applyAlignment="1">
      <alignment horizontal="center" vertical="center" wrapText="1"/>
    </xf>
    <xf numFmtId="167" fontId="12" fillId="0" borderId="21" xfId="1" applyNumberFormat="1" applyFont="1" applyFill="1" applyBorder="1" applyAlignment="1">
      <alignment horizontal="center" vertical="center" wrapText="1"/>
    </xf>
    <xf numFmtId="167" fontId="12" fillId="0" borderId="24" xfId="1" applyNumberFormat="1" applyFont="1" applyFill="1" applyBorder="1" applyAlignment="1">
      <alignment horizontal="center" vertical="center" wrapText="1"/>
    </xf>
    <xf numFmtId="167" fontId="12" fillId="0" borderId="25" xfId="1" applyNumberFormat="1" applyFont="1" applyFill="1" applyBorder="1" applyAlignment="1">
      <alignment horizontal="center" vertical="center" wrapText="1"/>
    </xf>
    <xf numFmtId="0" fontId="12" fillId="0" borderId="25" xfId="0" applyFont="1" applyBorder="1" applyAlignment="1">
      <alignment horizontal="center" vertical="center" wrapText="1"/>
    </xf>
    <xf numFmtId="166" fontId="12" fillId="0" borderId="26" xfId="1" applyNumberFormat="1" applyFont="1" applyFill="1" applyBorder="1" applyAlignment="1">
      <alignment horizontal="center" vertical="center" wrapText="1"/>
    </xf>
    <xf numFmtId="167" fontId="12" fillId="0" borderId="27" xfId="1" applyNumberFormat="1" applyFont="1" applyFill="1" applyBorder="1" applyAlignment="1">
      <alignment horizontal="center" vertical="center" wrapText="1"/>
    </xf>
    <xf numFmtId="166" fontId="12" fillId="0" borderId="24" xfId="1" applyNumberFormat="1" applyFont="1" applyFill="1" applyBorder="1" applyAlignment="1">
      <alignment horizontal="center" vertical="center" wrapText="1"/>
    </xf>
    <xf numFmtId="167" fontId="12" fillId="0" borderId="26" xfId="1" applyNumberFormat="1" applyFont="1" applyFill="1" applyBorder="1" applyAlignment="1">
      <alignment horizontal="center" vertical="center" wrapText="1"/>
    </xf>
    <xf numFmtId="1" fontId="4" fillId="0" borderId="24" xfId="1" applyNumberFormat="1" applyFont="1" applyFill="1" applyBorder="1" applyAlignment="1">
      <alignment horizontal="center"/>
    </xf>
    <xf numFmtId="1" fontId="4" fillId="0" borderId="25" xfId="1" applyNumberFormat="1" applyFont="1" applyFill="1" applyBorder="1" applyAlignment="1">
      <alignment horizontal="center"/>
    </xf>
    <xf numFmtId="167" fontId="4" fillId="0" borderId="25" xfId="1" applyNumberFormat="1" applyFont="1" applyFill="1" applyBorder="1" applyAlignment="1">
      <alignment horizontal="center"/>
    </xf>
    <xf numFmtId="168" fontId="4" fillId="0" borderId="25" xfId="1" applyNumberFormat="1" applyFont="1" applyFill="1" applyBorder="1" applyAlignment="1">
      <alignment horizontal="center"/>
    </xf>
    <xf numFmtId="165" fontId="4" fillId="0" borderId="25" xfId="1" applyNumberFormat="1" applyFont="1" applyFill="1" applyBorder="1" applyAlignment="1">
      <alignment horizontal="center"/>
    </xf>
    <xf numFmtId="167" fontId="4" fillId="0" borderId="26" xfId="1" applyNumberFormat="1" applyFont="1" applyFill="1" applyBorder="1" applyAlignment="1">
      <alignment horizontal="center"/>
    </xf>
    <xf numFmtId="1" fontId="4" fillId="0" borderId="14" xfId="1" applyNumberFormat="1" applyFont="1" applyFill="1" applyBorder="1" applyAlignment="1">
      <alignment horizontal="center"/>
    </xf>
    <xf numFmtId="167" fontId="4" fillId="0" borderId="15" xfId="1" applyNumberFormat="1" applyFont="1" applyFill="1" applyBorder="1" applyAlignment="1">
      <alignment horizontal="center"/>
    </xf>
    <xf numFmtId="1" fontId="4" fillId="0" borderId="16" xfId="1" applyNumberFormat="1" applyFont="1" applyFill="1" applyBorder="1" applyAlignment="1">
      <alignment horizontal="center"/>
    </xf>
    <xf numFmtId="1" fontId="4" fillId="0" borderId="17" xfId="1" applyNumberFormat="1" applyFont="1" applyFill="1" applyBorder="1" applyAlignment="1">
      <alignment horizontal="center"/>
    </xf>
    <xf numFmtId="167" fontId="4" fillId="0" borderId="17" xfId="1" applyNumberFormat="1" applyFont="1" applyFill="1" applyBorder="1" applyAlignment="1">
      <alignment horizontal="center"/>
    </xf>
    <xf numFmtId="168" fontId="4" fillId="0" borderId="17" xfId="1" applyNumberFormat="1" applyFont="1" applyFill="1" applyBorder="1" applyAlignment="1">
      <alignment horizontal="center"/>
    </xf>
    <xf numFmtId="165" fontId="4" fillId="0" borderId="17" xfId="1" applyNumberFormat="1" applyFont="1" applyFill="1" applyBorder="1" applyAlignment="1">
      <alignment horizontal="center"/>
    </xf>
    <xf numFmtId="167" fontId="4" fillId="0" borderId="18" xfId="1" applyNumberFormat="1" applyFont="1" applyFill="1" applyBorder="1" applyAlignment="1">
      <alignment horizontal="center"/>
    </xf>
    <xf numFmtId="167" fontId="4" fillId="0" borderId="27" xfId="0" applyNumberFormat="1" applyFont="1" applyFill="1" applyBorder="1"/>
    <xf numFmtId="167" fontId="4" fillId="0" borderId="9" xfId="0" applyNumberFormat="1" applyFont="1" applyFill="1" applyBorder="1"/>
    <xf numFmtId="167" fontId="4" fillId="0" borderId="9" xfId="0" applyNumberFormat="1" applyFont="1" applyBorder="1"/>
    <xf numFmtId="167" fontId="4" fillId="0" borderId="22" xfId="0" applyNumberFormat="1" applyFont="1" applyBorder="1"/>
    <xf numFmtId="167" fontId="4" fillId="0" borderId="24" xfId="1" applyNumberFormat="1" applyFont="1" applyFill="1" applyBorder="1" applyAlignment="1">
      <alignment horizontal="center"/>
    </xf>
    <xf numFmtId="167" fontId="4" fillId="0" borderId="14" xfId="1" applyNumberFormat="1" applyFont="1" applyFill="1" applyBorder="1" applyAlignment="1">
      <alignment horizontal="center"/>
    </xf>
    <xf numFmtId="167" fontId="4" fillId="0" borderId="16" xfId="1" applyNumberFormat="1" applyFont="1" applyFill="1" applyBorder="1" applyAlignment="1">
      <alignment horizontal="center"/>
    </xf>
    <xf numFmtId="0" fontId="2" fillId="0" borderId="24" xfId="1" applyNumberFormat="1" applyFont="1" applyFill="1" applyBorder="1" applyAlignment="1">
      <alignment horizontal="center"/>
    </xf>
    <xf numFmtId="0" fontId="2" fillId="0" borderId="25" xfId="1" applyNumberFormat="1" applyFont="1" applyFill="1" applyBorder="1" applyAlignment="1">
      <alignment horizontal="center"/>
    </xf>
    <xf numFmtId="0" fontId="2" fillId="0" borderId="25" xfId="1" applyNumberFormat="1" applyFont="1" applyFill="1" applyBorder="1" applyAlignment="1"/>
    <xf numFmtId="167" fontId="2" fillId="0" borderId="25" xfId="1" applyNumberFormat="1" applyFont="1" applyFill="1" applyBorder="1" applyAlignment="1"/>
    <xf numFmtId="167" fontId="2" fillId="0" borderId="26" xfId="1" applyNumberFormat="1" applyFont="1" applyFill="1" applyBorder="1" applyAlignment="1">
      <alignment horizontal="center"/>
    </xf>
    <xf numFmtId="167" fontId="2" fillId="0" borderId="17" xfId="1" applyNumberFormat="1" applyFont="1" applyFill="1" applyBorder="1" applyAlignment="1"/>
    <xf numFmtId="167" fontId="2" fillId="0" borderId="27" xfId="1" applyNumberFormat="1" applyFont="1" applyFill="1" applyBorder="1" applyAlignment="1">
      <alignment horizontal="center"/>
    </xf>
    <xf numFmtId="167" fontId="2" fillId="0" borderId="9" xfId="1" applyNumberFormat="1" applyFont="1" applyFill="1" applyBorder="1" applyAlignment="1">
      <alignment horizontal="center"/>
    </xf>
    <xf numFmtId="167" fontId="2" fillId="0" borderId="22" xfId="1" applyNumberFormat="1" applyFont="1" applyFill="1" applyBorder="1" applyAlignment="1">
      <alignment horizontal="center"/>
    </xf>
    <xf numFmtId="0" fontId="12" fillId="4" borderId="23" xfId="0" applyFont="1" applyFill="1" applyBorder="1" applyAlignment="1">
      <alignment horizontal="center"/>
    </xf>
    <xf numFmtId="0" fontId="4" fillId="2" borderId="23" xfId="0" applyFont="1" applyFill="1" applyBorder="1" applyAlignment="1">
      <alignment horizontal="center"/>
    </xf>
    <xf numFmtId="167" fontId="3" fillId="0" borderId="21" xfId="1" applyNumberFormat="1" applyFont="1" applyFill="1" applyBorder="1" applyAlignment="1">
      <alignment horizontal="center" vertical="center" wrapText="1"/>
    </xf>
    <xf numFmtId="166" fontId="3" fillId="0" borderId="20" xfId="1" applyNumberFormat="1" applyFont="1" applyFill="1" applyBorder="1" applyAlignment="1">
      <alignment horizontal="center" vertical="center" wrapText="1"/>
    </xf>
    <xf numFmtId="167" fontId="4" fillId="0" borderId="27" xfId="1" applyNumberFormat="1" applyFont="1" applyBorder="1"/>
    <xf numFmtId="0" fontId="6" fillId="2" borderId="26" xfId="0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6" fillId="2" borderId="18" xfId="0" applyFont="1" applyFill="1" applyBorder="1" applyAlignment="1">
      <alignment horizontal="center"/>
    </xf>
    <xf numFmtId="0" fontId="6" fillId="2" borderId="21" xfId="0" applyFont="1" applyFill="1" applyBorder="1" applyAlignment="1">
      <alignment horizontal="center"/>
    </xf>
    <xf numFmtId="0" fontId="6" fillId="2" borderId="23" xfId="0" applyFont="1" applyFill="1" applyBorder="1" applyAlignment="1">
      <alignment horizontal="center"/>
    </xf>
    <xf numFmtId="0" fontId="6" fillId="2" borderId="22" xfId="0" applyFont="1" applyFill="1" applyBorder="1" applyAlignment="1">
      <alignment horizontal="center"/>
    </xf>
    <xf numFmtId="0" fontId="6" fillId="6" borderId="27" xfId="0" applyFont="1" applyFill="1" applyBorder="1"/>
    <xf numFmtId="0" fontId="6" fillId="6" borderId="9" xfId="0" applyFont="1" applyFill="1" applyBorder="1"/>
    <xf numFmtId="170" fontId="6" fillId="2" borderId="15" xfId="0" applyNumberFormat="1" applyFont="1" applyFill="1" applyBorder="1" applyAlignment="1">
      <alignment horizontal="center"/>
    </xf>
    <xf numFmtId="0" fontId="6" fillId="2" borderId="15" xfId="0" quotePrefix="1" applyNumberFormat="1" applyFont="1" applyFill="1" applyBorder="1" applyAlignment="1">
      <alignment horizontal="center"/>
    </xf>
    <xf numFmtId="1" fontId="6" fillId="2" borderId="15" xfId="0" applyNumberFormat="1" applyFont="1" applyFill="1" applyBorder="1" applyAlignment="1">
      <alignment horizontal="center"/>
    </xf>
    <xf numFmtId="0" fontId="6" fillId="6" borderId="22" xfId="0" applyFont="1" applyFill="1" applyBorder="1"/>
    <xf numFmtId="1" fontId="6" fillId="2" borderId="18" xfId="0" applyNumberFormat="1" applyFont="1" applyFill="1" applyBorder="1" applyAlignment="1">
      <alignment horizontal="center"/>
    </xf>
    <xf numFmtId="0" fontId="0" fillId="2" borderId="0" xfId="0" applyFill="1" applyBorder="1"/>
    <xf numFmtId="0" fontId="5" fillId="2" borderId="0" xfId="0" applyFont="1" applyFill="1" applyBorder="1" applyAlignment="1">
      <alignment horizontal="right"/>
    </xf>
    <xf numFmtId="0" fontId="10" fillId="2" borderId="0" xfId="0" applyFont="1" applyFill="1" applyBorder="1" applyAlignment="1">
      <alignment horizontal="right"/>
    </xf>
    <xf numFmtId="0" fontId="5" fillId="2" borderId="4" xfId="0" applyFont="1" applyFill="1" applyBorder="1"/>
    <xf numFmtId="0" fontId="5" fillId="2" borderId="5" xfId="0" applyFont="1" applyFill="1" applyBorder="1"/>
    <xf numFmtId="0" fontId="6" fillId="2" borderId="5" xfId="0" applyFont="1" applyFill="1" applyBorder="1"/>
    <xf numFmtId="0" fontId="0" fillId="2" borderId="6" xfId="0" applyFill="1" applyBorder="1"/>
    <xf numFmtId="0" fontId="2" fillId="0" borderId="1" xfId="0" applyFont="1" applyBorder="1"/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167" fontId="2" fillId="0" borderId="14" xfId="1" applyNumberFormat="1" applyFont="1" applyFill="1" applyBorder="1" applyAlignment="1"/>
    <xf numFmtId="2" fontId="2" fillId="0" borderId="15" xfId="1" applyNumberFormat="1" applyFont="1" applyFill="1" applyBorder="1" applyAlignment="1"/>
    <xf numFmtId="167" fontId="2" fillId="0" borderId="16" xfId="1" applyNumberFormat="1" applyFont="1" applyFill="1" applyBorder="1" applyAlignment="1"/>
    <xf numFmtId="168" fontId="2" fillId="0" borderId="18" xfId="1" applyNumberFormat="1" applyFont="1" applyFill="1" applyBorder="1" applyAlignment="1"/>
    <xf numFmtId="167" fontId="3" fillId="0" borderId="19" xfId="1" applyNumberFormat="1" applyFont="1" applyFill="1" applyBorder="1" applyAlignment="1">
      <alignment horizontal="center" vertical="center" wrapText="1"/>
    </xf>
    <xf numFmtId="168" fontId="3" fillId="0" borderId="21" xfId="1" applyNumberFormat="1" applyFont="1" applyFill="1" applyBorder="1" applyAlignment="1">
      <alignment horizontal="center" vertical="center" wrapText="1"/>
    </xf>
    <xf numFmtId="0" fontId="2" fillId="0" borderId="24" xfId="1" applyNumberFormat="1" applyFont="1" applyFill="1" applyBorder="1" applyAlignment="1"/>
    <xf numFmtId="168" fontId="2" fillId="0" borderId="16" xfId="1" applyNumberFormat="1" applyFont="1" applyFill="1" applyBorder="1" applyAlignment="1"/>
    <xf numFmtId="167" fontId="2" fillId="0" borderId="24" xfId="1" applyNumberFormat="1" applyFont="1" applyFill="1" applyBorder="1" applyAlignment="1"/>
    <xf numFmtId="0" fontId="3" fillId="4" borderId="23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167" fontId="2" fillId="0" borderId="27" xfId="1" applyNumberFormat="1" applyFont="1" applyBorder="1"/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  <xf numFmtId="0" fontId="2" fillId="0" borderId="21" xfId="0" applyFont="1" applyFill="1" applyBorder="1" applyAlignment="1">
      <alignment horizontal="center" vertical="center" wrapText="1"/>
    </xf>
    <xf numFmtId="0" fontId="3" fillId="4" borderId="23" xfId="0" applyFont="1" applyFill="1" applyBorder="1" applyAlignment="1">
      <alignment horizontal="center"/>
    </xf>
    <xf numFmtId="2" fontId="2" fillId="0" borderId="0" xfId="0" applyNumberFormat="1" applyFont="1"/>
    <xf numFmtId="2" fontId="0" fillId="0" borderId="0" xfId="0" applyNumberFormat="1"/>
    <xf numFmtId="0" fontId="2" fillId="0" borderId="1" xfId="0" applyFont="1" applyBorder="1" applyAlignment="1">
      <alignment horizontal="center"/>
    </xf>
    <xf numFmtId="0" fontId="2" fillId="0" borderId="0" xfId="0" applyFont="1" applyAlignment="1">
      <alignment horizontal="center" vertical="center"/>
    </xf>
    <xf numFmtId="10" fontId="2" fillId="0" borderId="0" xfId="1" applyNumberFormat="1" applyFont="1"/>
    <xf numFmtId="2" fontId="2" fillId="2" borderId="4" xfId="0" applyNumberFormat="1" applyFont="1" applyFill="1" applyBorder="1" applyAlignment="1">
      <alignment horizontal="center"/>
    </xf>
    <xf numFmtId="10" fontId="4" fillId="0" borderId="0" xfId="1" applyNumberFormat="1" applyFont="1"/>
    <xf numFmtId="0" fontId="2" fillId="0" borderId="14" xfId="1" applyNumberFormat="1" applyFont="1" applyFill="1" applyBorder="1" applyAlignment="1"/>
    <xf numFmtId="0" fontId="2" fillId="0" borderId="0" xfId="0" applyFont="1" applyBorder="1" applyAlignment="1"/>
    <xf numFmtId="0" fontId="2" fillId="2" borderId="0" xfId="0" applyFont="1" applyFill="1" applyBorder="1" applyAlignment="1"/>
    <xf numFmtId="0" fontId="2" fillId="0" borderId="16" xfId="1" applyNumberFormat="1" applyFont="1" applyFill="1" applyBorder="1" applyAlignment="1"/>
    <xf numFmtId="0" fontId="2" fillId="0" borderId="17" xfId="0" applyFont="1" applyBorder="1" applyAlignment="1"/>
    <xf numFmtId="167" fontId="2" fillId="0" borderId="15" xfId="1" applyNumberFormat="1" applyFont="1" applyFill="1" applyBorder="1" applyAlignment="1"/>
    <xf numFmtId="167" fontId="2" fillId="0" borderId="18" xfId="1" applyNumberFormat="1" applyFont="1" applyFill="1" applyBorder="1" applyAlignment="1"/>
    <xf numFmtId="0" fontId="2" fillId="2" borderId="20" xfId="0" applyFont="1" applyFill="1" applyBorder="1" applyAlignment="1">
      <alignment horizontal="center"/>
    </xf>
    <xf numFmtId="0" fontId="3" fillId="2" borderId="19" xfId="0" applyFont="1" applyFill="1" applyBorder="1" applyAlignment="1">
      <alignment horizontal="center" vertical="center" wrapText="1"/>
    </xf>
    <xf numFmtId="166" fontId="3" fillId="0" borderId="24" xfId="1" applyNumberFormat="1" applyFont="1" applyFill="1" applyBorder="1" applyAlignment="1">
      <alignment horizontal="center" vertical="center" wrapText="1"/>
    </xf>
    <xf numFmtId="0" fontId="3" fillId="0" borderId="25" xfId="0" applyFont="1" applyFill="1" applyBorder="1" applyAlignment="1">
      <alignment horizontal="center" vertical="center" wrapText="1"/>
    </xf>
    <xf numFmtId="0" fontId="3" fillId="2" borderId="26" xfId="0" applyFont="1" applyFill="1" applyBorder="1" applyAlignment="1">
      <alignment horizontal="center" vertical="center" wrapText="1"/>
    </xf>
    <xf numFmtId="167" fontId="4" fillId="0" borderId="22" xfId="0" applyNumberFormat="1" applyFont="1" applyFill="1" applyBorder="1"/>
    <xf numFmtId="171" fontId="4" fillId="0" borderId="0" xfId="0" applyNumberFormat="1" applyFont="1"/>
    <xf numFmtId="0" fontId="2" fillId="0" borderId="14" xfId="1" applyNumberFormat="1" applyFont="1" applyFill="1" applyBorder="1" applyAlignment="1">
      <alignment horizontal="right"/>
    </xf>
    <xf numFmtId="167" fontId="2" fillId="0" borderId="0" xfId="1" applyNumberFormat="1" applyFont="1" applyFill="1" applyBorder="1" applyAlignment="1">
      <alignment horizontal="right"/>
    </xf>
    <xf numFmtId="167" fontId="2" fillId="0" borderId="17" xfId="1" applyNumberFormat="1" applyFont="1" applyFill="1" applyBorder="1" applyAlignment="1">
      <alignment horizontal="right"/>
    </xf>
    <xf numFmtId="0" fontId="2" fillId="2" borderId="28" xfId="0" applyFont="1" applyFill="1" applyBorder="1"/>
    <xf numFmtId="166" fontId="2" fillId="0" borderId="25" xfId="1" applyNumberFormat="1" applyFont="1" applyFill="1" applyBorder="1" applyAlignment="1"/>
    <xf numFmtId="166" fontId="2" fillId="0" borderId="26" xfId="1" applyNumberFormat="1" applyFont="1" applyFill="1" applyBorder="1" applyAlignment="1"/>
    <xf numFmtId="166" fontId="2" fillId="0" borderId="27" xfId="1" applyNumberFormat="1" applyFont="1" applyFill="1" applyBorder="1" applyAlignment="1"/>
    <xf numFmtId="172" fontId="2" fillId="0" borderId="18" xfId="1" applyNumberFormat="1" applyFont="1" applyFill="1" applyBorder="1" applyAlignment="1"/>
    <xf numFmtId="172" fontId="2" fillId="0" borderId="22" xfId="1" applyNumberFormat="1" applyFont="1" applyFill="1" applyBorder="1" applyAlignment="1"/>
    <xf numFmtId="172" fontId="2" fillId="0" borderId="17" xfId="1" applyNumberFormat="1" applyFont="1" applyFill="1" applyBorder="1" applyAlignment="1"/>
    <xf numFmtId="164" fontId="2" fillId="0" borderId="15" xfId="1" applyNumberFormat="1" applyFont="1" applyFill="1" applyBorder="1" applyAlignment="1">
      <alignment horizontal="center"/>
    </xf>
    <xf numFmtId="2" fontId="2" fillId="2" borderId="0" xfId="0" applyNumberFormat="1" applyFont="1" applyFill="1" applyBorder="1" applyAlignment="1">
      <alignment horizontal="center"/>
    </xf>
    <xf numFmtId="0" fontId="2" fillId="0" borderId="0" xfId="0" applyFont="1" applyBorder="1"/>
    <xf numFmtId="0" fontId="2" fillId="0" borderId="19" xfId="1" applyNumberFormat="1" applyFont="1" applyFill="1" applyBorder="1" applyAlignment="1">
      <alignment horizontal="center"/>
    </xf>
    <xf numFmtId="0" fontId="2" fillId="0" borderId="20" xfId="1" applyNumberFormat="1" applyFont="1" applyFill="1" applyBorder="1" applyAlignment="1">
      <alignment horizontal="center"/>
    </xf>
    <xf numFmtId="0" fontId="2" fillId="0" borderId="20" xfId="1" applyNumberFormat="1" applyFont="1" applyFill="1" applyBorder="1" applyAlignment="1"/>
    <xf numFmtId="167" fontId="2" fillId="0" borderId="20" xfId="1" applyNumberFormat="1" applyFont="1" applyFill="1" applyBorder="1" applyAlignment="1"/>
    <xf numFmtId="167" fontId="2" fillId="0" borderId="21" xfId="1" applyNumberFormat="1" applyFont="1" applyFill="1" applyBorder="1" applyAlignment="1">
      <alignment horizontal="center"/>
    </xf>
    <xf numFmtId="167" fontId="2" fillId="0" borderId="23" xfId="1" applyNumberFormat="1" applyFont="1" applyFill="1" applyBorder="1" applyAlignment="1">
      <alignment horizontal="center"/>
    </xf>
    <xf numFmtId="166" fontId="2" fillId="0" borderId="19" xfId="1" applyNumberFormat="1" applyFont="1" applyFill="1" applyBorder="1" applyAlignment="1"/>
    <xf numFmtId="167" fontId="2" fillId="0" borderId="20" xfId="1" applyNumberFormat="1" applyFont="1" applyFill="1" applyBorder="1" applyAlignment="1">
      <alignment horizontal="center"/>
    </xf>
    <xf numFmtId="166" fontId="2" fillId="0" borderId="21" xfId="1" applyNumberFormat="1" applyFont="1" applyFill="1" applyBorder="1" applyAlignment="1">
      <alignment horizontal="center"/>
    </xf>
    <xf numFmtId="0" fontId="7" fillId="7" borderId="12" xfId="0" applyFont="1" applyFill="1" applyBorder="1" applyAlignment="1">
      <alignment horizontal="center"/>
    </xf>
    <xf numFmtId="0" fontId="7" fillId="7" borderId="29" xfId="0" applyFont="1" applyFill="1" applyBorder="1" applyAlignment="1">
      <alignment horizontal="center"/>
    </xf>
    <xf numFmtId="0" fontId="7" fillId="7" borderId="13" xfId="0" applyFont="1" applyFill="1" applyBorder="1" applyAlignment="1">
      <alignment horizontal="center"/>
    </xf>
    <xf numFmtId="167" fontId="3" fillId="0" borderId="19" xfId="1" applyNumberFormat="1" applyFont="1" applyFill="1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1">
    <dxf>
      <font>
        <condense val="0"/>
        <extend val="0"/>
        <color indexed="57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ECFF"/>
      <rgbColor rgb="00660066"/>
      <rgbColor rgb="00FF8080"/>
      <rgbColor rgb="000066CC"/>
      <rgbColor rgb="00CCCCFF"/>
      <rgbColor rgb="00000080"/>
      <rgbColor rgb="00EAEAEA"/>
      <rgbColor rgb="00DDDDDD"/>
      <rgbColor rgb="006666FF"/>
      <rgbColor rgb="007A8C8A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19</xdr:row>
          <xdr:rowOff>57150</xdr:rowOff>
        </xdr:from>
        <xdr:to>
          <xdr:col>3</xdr:col>
          <xdr:colOff>381000</xdr:colOff>
          <xdr:row>21</xdr:row>
          <xdr:rowOff>47625</xdr:rowOff>
        </xdr:to>
        <xdr:sp macro="" textlink="">
          <xdr:nvSpPr>
            <xdr:cNvPr id="2061" name="CommandButton1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123825</xdr:rowOff>
        </xdr:from>
        <xdr:to>
          <xdr:col>3</xdr:col>
          <xdr:colOff>390525</xdr:colOff>
          <xdr:row>23</xdr:row>
          <xdr:rowOff>114300</xdr:rowOff>
        </xdr:to>
        <xdr:sp macro="" textlink="">
          <xdr:nvSpPr>
            <xdr:cNvPr id="2064" name="CommandButton2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J57"/>
  <sheetViews>
    <sheetView tabSelected="1" workbookViewId="0"/>
  </sheetViews>
  <sheetFormatPr defaultRowHeight="12.75" x14ac:dyDescent="0.2"/>
  <cols>
    <col min="1" max="1" width="3" style="17" customWidth="1"/>
    <col min="2" max="2" width="5.140625" style="17" customWidth="1"/>
    <col min="3" max="3" width="14.85546875" style="17" bestFit="1" customWidth="1"/>
    <col min="4" max="4" width="21.42578125" style="17" bestFit="1" customWidth="1"/>
    <col min="5" max="5" width="20.7109375" style="17" bestFit="1" customWidth="1"/>
    <col min="6" max="6" width="5.42578125" style="17" customWidth="1"/>
    <col min="7" max="16384" width="9.140625" style="17"/>
  </cols>
  <sheetData>
    <row r="1" spans="1:36" s="16" customFormat="1" ht="13.5" thickBot="1" x14ac:dyDescent="0.25">
      <c r="B1" s="16" t="str">
        <f>_xll.qlxlVersion(TRUE,Trigger)</f>
        <v>QuantLibXL 1.2.0 - MS VC++ 9.0 - Multithreaded Dynamic Runtime library - Release Configuration - Jan 18 2013 12:11:06</v>
      </c>
    </row>
    <row r="2" spans="1:36" s="16" customFormat="1" ht="15.75" x14ac:dyDescent="0.25">
      <c r="B2" s="262" t="s">
        <v>78</v>
      </c>
      <c r="C2" s="263"/>
      <c r="D2" s="263"/>
      <c r="E2" s="263"/>
      <c r="F2" s="264"/>
    </row>
    <row r="3" spans="1:36" customFormat="1" x14ac:dyDescent="0.2">
      <c r="A3" s="16"/>
      <c r="B3" s="191"/>
      <c r="C3" s="19"/>
      <c r="D3" s="19"/>
      <c r="E3" s="19"/>
      <c r="F3" s="192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</row>
    <row r="4" spans="1:36" customFormat="1" x14ac:dyDescent="0.2">
      <c r="A4" s="16"/>
      <c r="B4" s="191"/>
      <c r="C4" s="181" t="s">
        <v>14</v>
      </c>
      <c r="D4" s="175" t="s">
        <v>144</v>
      </c>
      <c r="E4" s="20"/>
      <c r="F4" s="193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</row>
    <row r="5" spans="1:36" customFormat="1" x14ac:dyDescent="0.2">
      <c r="A5" s="16"/>
      <c r="B5" s="191"/>
      <c r="C5" s="182" t="s">
        <v>75</v>
      </c>
      <c r="D5" s="183"/>
      <c r="E5" s="20"/>
      <c r="F5" s="193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</row>
    <row r="6" spans="1:36" customFormat="1" x14ac:dyDescent="0.2">
      <c r="A6" s="16"/>
      <c r="B6" s="191"/>
      <c r="C6" s="182" t="s">
        <v>101</v>
      </c>
      <c r="D6" s="184" t="s">
        <v>170</v>
      </c>
      <c r="E6" s="20"/>
      <c r="F6" s="193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</row>
    <row r="7" spans="1:36" customFormat="1" x14ac:dyDescent="0.2">
      <c r="A7" s="16"/>
      <c r="B7" s="191"/>
      <c r="C7" s="182" t="s">
        <v>28</v>
      </c>
      <c r="D7" s="185">
        <f>_xll.ohTrigger(Deposits!J3,FRA!P3,Futures3M!R4,FuturesConvexityAdjustment!L3,Swap1M!Q3,Swap3M!Q3,SwapIMMDated!Q3,Swap6M!Q3,BasisSwap1MXM!Q3,BasisSwap3M6M!Q3,BasisSwapXM12M!Q3,OIS!Q3)</f>
        <v>47</v>
      </c>
      <c r="E7" s="20"/>
      <c r="F7" s="193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</row>
    <row r="8" spans="1:36" customFormat="1" x14ac:dyDescent="0.2">
      <c r="A8" s="16"/>
      <c r="B8" s="191"/>
      <c r="C8" s="186" t="s">
        <v>103</v>
      </c>
      <c r="D8" s="187" t="s">
        <v>102</v>
      </c>
      <c r="E8" s="20"/>
      <c r="F8" s="193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</row>
    <row r="9" spans="1:36" customFormat="1" x14ac:dyDescent="0.2">
      <c r="A9" s="16"/>
      <c r="B9" s="191"/>
      <c r="C9" s="20"/>
      <c r="D9" s="119"/>
      <c r="E9" s="20"/>
      <c r="F9" s="193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</row>
    <row r="10" spans="1:36" customFormat="1" x14ac:dyDescent="0.2">
      <c r="A10" s="16"/>
      <c r="B10" s="191"/>
      <c r="C10" s="179" t="s">
        <v>16</v>
      </c>
      <c r="D10" s="178" t="s">
        <v>22</v>
      </c>
      <c r="E10" s="20"/>
      <c r="F10" s="193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</row>
    <row r="11" spans="1:36" customFormat="1" x14ac:dyDescent="0.2">
      <c r="A11" s="16"/>
      <c r="B11" s="191"/>
      <c r="C11" s="21" t="s">
        <v>2</v>
      </c>
      <c r="D11" s="176" t="str">
        <f>""</f>
        <v/>
      </c>
      <c r="E11" s="20"/>
      <c r="F11" s="193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</row>
    <row r="12" spans="1:36" customFormat="1" x14ac:dyDescent="0.2">
      <c r="A12" s="16"/>
      <c r="B12" s="191"/>
      <c r="C12" s="21" t="s">
        <v>3</v>
      </c>
      <c r="D12" s="176" t="s">
        <v>4</v>
      </c>
      <c r="E12" s="188"/>
      <c r="F12" s="193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</row>
    <row r="13" spans="1:36" customFormat="1" x14ac:dyDescent="0.2">
      <c r="A13" s="16"/>
      <c r="B13" s="191"/>
      <c r="C13" s="21" t="s">
        <v>5</v>
      </c>
      <c r="D13" s="176" t="s">
        <v>5</v>
      </c>
      <c r="E13" s="188"/>
      <c r="F13" s="193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</row>
    <row r="14" spans="1:36" customFormat="1" x14ac:dyDescent="0.2">
      <c r="A14" s="16"/>
      <c r="B14" s="191"/>
      <c r="C14" s="21" t="s">
        <v>175</v>
      </c>
      <c r="D14" s="176" t="s">
        <v>175</v>
      </c>
      <c r="E14" s="188"/>
      <c r="F14" s="193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</row>
    <row r="15" spans="1:36" customFormat="1" x14ac:dyDescent="0.2">
      <c r="A15" s="16"/>
      <c r="B15" s="191"/>
      <c r="C15" s="21" t="s">
        <v>6</v>
      </c>
      <c r="D15" s="176" t="s">
        <v>7</v>
      </c>
      <c r="E15" s="188"/>
      <c r="F15" s="193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</row>
    <row r="16" spans="1:36" customFormat="1" x14ac:dyDescent="0.2">
      <c r="A16" s="16"/>
      <c r="B16" s="191"/>
      <c r="C16" s="21" t="s">
        <v>8</v>
      </c>
      <c r="D16" s="176" t="s">
        <v>9</v>
      </c>
      <c r="E16" s="188"/>
      <c r="F16" s="193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</row>
    <row r="17" spans="1:36" customFormat="1" x14ac:dyDescent="0.2">
      <c r="A17" s="16"/>
      <c r="B17" s="191"/>
      <c r="C17" s="21" t="s">
        <v>10</v>
      </c>
      <c r="D17" s="176" t="s">
        <v>181</v>
      </c>
      <c r="E17" s="188"/>
      <c r="F17" s="193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</row>
    <row r="18" spans="1:36" customFormat="1" x14ac:dyDescent="0.2">
      <c r="A18" s="16"/>
      <c r="B18" s="191"/>
      <c r="C18" s="180" t="s">
        <v>12</v>
      </c>
      <c r="D18" s="177" t="s">
        <v>13</v>
      </c>
      <c r="E18" s="188"/>
      <c r="F18" s="193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</row>
    <row r="19" spans="1:36" customFormat="1" x14ac:dyDescent="0.2">
      <c r="A19" s="16"/>
      <c r="B19" s="191"/>
      <c r="C19" s="22"/>
      <c r="D19" s="22"/>
      <c r="E19" s="22"/>
      <c r="F19" s="193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</row>
    <row r="20" spans="1:36" customFormat="1" x14ac:dyDescent="0.2">
      <c r="A20" s="16"/>
      <c r="B20" s="191"/>
      <c r="C20" s="22"/>
      <c r="D20" s="22"/>
      <c r="E20" s="22"/>
      <c r="F20" s="193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</row>
    <row r="21" spans="1:36" customFormat="1" x14ac:dyDescent="0.2">
      <c r="A21" s="16"/>
      <c r="B21" s="191"/>
      <c r="C21" s="22"/>
      <c r="D21" s="23" t="s">
        <v>77</v>
      </c>
      <c r="E21" s="41">
        <v>41570.814664351848</v>
      </c>
      <c r="F21" s="35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</row>
    <row r="22" spans="1:36" customFormat="1" x14ac:dyDescent="0.2">
      <c r="A22" s="16"/>
      <c r="B22" s="191"/>
      <c r="C22" s="22"/>
      <c r="D22" s="189"/>
      <c r="E22" s="190"/>
      <c r="F22" s="193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</row>
    <row r="23" spans="1:36" customFormat="1" x14ac:dyDescent="0.2">
      <c r="A23" s="16"/>
      <c r="B23" s="191"/>
      <c r="C23" s="22"/>
      <c r="D23" s="23"/>
      <c r="E23" s="190"/>
      <c r="F23" s="35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</row>
    <row r="24" spans="1:36" customFormat="1" x14ac:dyDescent="0.2">
      <c r="A24" s="16"/>
      <c r="B24" s="191"/>
      <c r="C24" s="22"/>
      <c r="D24" s="23" t="s">
        <v>33</v>
      </c>
      <c r="E24" s="113" t="b">
        <v>1</v>
      </c>
      <c r="F24" s="35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</row>
    <row r="25" spans="1:36" customFormat="1" ht="11.25" customHeight="1" thickBot="1" x14ac:dyDescent="0.25">
      <c r="A25" s="16"/>
      <c r="B25" s="194"/>
      <c r="C25" s="37"/>
      <c r="D25" s="37"/>
      <c r="E25" s="37"/>
      <c r="F25" s="38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</row>
    <row r="26" spans="1:36" s="16" customFormat="1" x14ac:dyDescent="0.2">
      <c r="C26" s="18"/>
      <c r="D26" s="18"/>
      <c r="E26" s="18"/>
      <c r="F26" s="18"/>
    </row>
    <row r="27" spans="1:36" s="16" customFormat="1" x14ac:dyDescent="0.2">
      <c r="C27" s="18"/>
      <c r="D27" s="18"/>
      <c r="E27" s="18"/>
      <c r="F27" s="18"/>
    </row>
    <row r="28" spans="1:36" s="16" customFormat="1" x14ac:dyDescent="0.2">
      <c r="C28" s="18"/>
      <c r="D28" s="18"/>
      <c r="E28" s="18"/>
      <c r="F28" s="18"/>
    </row>
    <row r="29" spans="1:36" s="16" customFormat="1" x14ac:dyDescent="0.2">
      <c r="C29" s="18"/>
      <c r="D29" s="18"/>
      <c r="E29" s="18"/>
      <c r="F29" s="18"/>
    </row>
    <row r="30" spans="1:36" s="16" customFormat="1" x14ac:dyDescent="0.2">
      <c r="C30" s="18"/>
      <c r="D30" s="18"/>
      <c r="E30" s="18"/>
      <c r="F30" s="18"/>
    </row>
    <row r="31" spans="1:36" s="16" customFormat="1" x14ac:dyDescent="0.2">
      <c r="C31" s="18"/>
      <c r="D31" s="18"/>
      <c r="E31" s="18"/>
      <c r="F31" s="18"/>
    </row>
    <row r="32" spans="1:36" s="16" customFormat="1" x14ac:dyDescent="0.2"/>
    <row r="33" s="16" customFormat="1" x14ac:dyDescent="0.2"/>
    <row r="34" s="16" customFormat="1" x14ac:dyDescent="0.2"/>
    <row r="35" s="16" customFormat="1" x14ac:dyDescent="0.2"/>
    <row r="36" s="16" customFormat="1" x14ac:dyDescent="0.2"/>
    <row r="37" s="16" customFormat="1" x14ac:dyDescent="0.2"/>
    <row r="38" s="16" customFormat="1" x14ac:dyDescent="0.2"/>
    <row r="39" s="16" customFormat="1" x14ac:dyDescent="0.2"/>
    <row r="40" s="16" customFormat="1" x14ac:dyDescent="0.2"/>
    <row r="41" s="16" customFormat="1" x14ac:dyDescent="0.2"/>
    <row r="42" s="16" customFormat="1" x14ac:dyDescent="0.2"/>
    <row r="43" s="16" customFormat="1" x14ac:dyDescent="0.2"/>
    <row r="44" s="16" customFormat="1" x14ac:dyDescent="0.2"/>
    <row r="45" s="16" customFormat="1" x14ac:dyDescent="0.2"/>
    <row r="46" s="16" customFormat="1" x14ac:dyDescent="0.2"/>
    <row r="47" s="16" customFormat="1" x14ac:dyDescent="0.2"/>
    <row r="48" s="16" customFormat="1" x14ac:dyDescent="0.2"/>
    <row r="49" s="16" customFormat="1" x14ac:dyDescent="0.2"/>
    <row r="50" s="16" customFormat="1" x14ac:dyDescent="0.2"/>
    <row r="51" s="16" customFormat="1" x14ac:dyDescent="0.2"/>
    <row r="52" s="16" customFormat="1" x14ac:dyDescent="0.2"/>
    <row r="53" s="16" customFormat="1" x14ac:dyDescent="0.2"/>
    <row r="54" s="16" customFormat="1" x14ac:dyDescent="0.2"/>
    <row r="55" s="16" customFormat="1" x14ac:dyDescent="0.2"/>
    <row r="56" s="16" customFormat="1" x14ac:dyDescent="0.2"/>
    <row r="57" s="16" customFormat="1" x14ac:dyDescent="0.2"/>
  </sheetData>
  <mergeCells count="1">
    <mergeCell ref="B2:F2"/>
  </mergeCells>
  <phoneticPr fontId="4" type="noConversion"/>
  <conditionalFormatting sqref="E24">
    <cfRule type="cellIs" dxfId="0" priority="1" stopIfTrue="1" operator="equal">
      <formula>TRUE</formula>
    </cfRule>
  </conditionalFormatting>
  <dataValidations count="2">
    <dataValidation type="list" allowBlank="1" showInputMessage="1" showErrorMessage="1" sqref="D4">
      <formula1>"EUR,USD,GBP,JPY,CHF,HKD"</formula1>
    </dataValidation>
    <dataValidation type="list" allowBlank="1" showInputMessage="1" showErrorMessage="1" sqref="D8:D9">
      <formula1>"BackwardFlat,ForwardFlat,Linear,LogLinear,CubicNaturalSpline,LogCubicNaturalSpline,MonotonicCubicNaturalSpline,MonotonicLogCubicNaturalSpline,FritschButlandCubic,FritschButlandLogCubic,KrugerCubic,KrugerLogCubic"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61" r:id="rId4" name="CommandButton1">
          <controlPr defaultSize="0" autoLine="0" r:id="rId5">
            <anchor moveWithCells="1">
              <from>
                <xdr:col>1</xdr:col>
                <xdr:colOff>333375</xdr:colOff>
                <xdr:row>19</xdr:row>
                <xdr:rowOff>57150</xdr:rowOff>
              </from>
              <to>
                <xdr:col>3</xdr:col>
                <xdr:colOff>381000</xdr:colOff>
                <xdr:row>21</xdr:row>
                <xdr:rowOff>47625</xdr:rowOff>
              </to>
            </anchor>
          </controlPr>
        </control>
      </mc:Choice>
      <mc:Fallback>
        <control shapeId="2061" r:id="rId4" name="CommandButton1"/>
      </mc:Fallback>
    </mc:AlternateContent>
    <mc:AlternateContent xmlns:mc="http://schemas.openxmlformats.org/markup-compatibility/2006">
      <mc:Choice Requires="x14">
        <control shapeId="2064" r:id="rId6" name="CommandButton2">
          <controlPr defaultSize="0" autoLine="0" r:id="rId7">
            <anchor moveWithCells="1">
              <from>
                <xdr:col>2</xdr:col>
                <xdr:colOff>0</xdr:colOff>
                <xdr:row>21</xdr:row>
                <xdr:rowOff>123825</xdr:rowOff>
              </from>
              <to>
                <xdr:col>3</xdr:col>
                <xdr:colOff>390525</xdr:colOff>
                <xdr:row>23</xdr:row>
                <xdr:rowOff>114300</xdr:rowOff>
              </to>
            </anchor>
          </controlPr>
        </control>
      </mc:Choice>
      <mc:Fallback>
        <control shapeId="206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2:C5"/>
  <sheetViews>
    <sheetView workbookViewId="0"/>
  </sheetViews>
  <sheetFormatPr defaultRowHeight="12.75" x14ac:dyDescent="0.2"/>
  <sheetData>
    <row r="2" spans="2:3" x14ac:dyDescent="0.2">
      <c r="B2" t="s">
        <v>104</v>
      </c>
    </row>
    <row r="3" spans="2:3" x14ac:dyDescent="0.2">
      <c r="B3" t="s">
        <v>87</v>
      </c>
      <c r="C3">
        <f>_xll.ohTrigger(ISERROR(Deposits!$I$11),ISERROR(Swap1M!Counter),ISERROR(Futures1M!Counter))</f>
        <v>20</v>
      </c>
    </row>
    <row r="4" spans="2:3" x14ac:dyDescent="0.2">
      <c r="B4" t="s">
        <v>89</v>
      </c>
      <c r="C4">
        <f>_xll.ohTrigger(ISERROR(Deposits!I13),ISERROR(FRA!O5:O15),ISERROR(Futures3M!Counter))</f>
        <v>17</v>
      </c>
    </row>
    <row r="5" spans="2:3" x14ac:dyDescent="0.2">
      <c r="B5" t="s">
        <v>92</v>
      </c>
      <c r="C5">
        <f>_xll.ohTrigger(ISERROR(Deposits!I16),ISERROR(FRA!O16:O25),,ISERROR(ImmFra6M!Counter))</f>
        <v>16</v>
      </c>
    </row>
  </sheetData>
  <phoneticPr fontId="4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37"/>
  <sheetViews>
    <sheetView workbookViewId="0"/>
  </sheetViews>
  <sheetFormatPr defaultRowHeight="11.25" x14ac:dyDescent="0.2"/>
  <cols>
    <col min="1" max="1" width="4.28515625" style="44" customWidth="1"/>
    <col min="2" max="2" width="3.85546875" style="44" bestFit="1" customWidth="1"/>
    <col min="3" max="3" width="12.5703125" style="44" bestFit="1" customWidth="1"/>
    <col min="4" max="4" width="22.28515625" style="44" bestFit="1" customWidth="1"/>
    <col min="5" max="5" width="4.28515625" style="44" customWidth="1"/>
    <col min="6" max="6" width="5.7109375" style="44" bestFit="1" customWidth="1"/>
    <col min="7" max="7" width="4.28515625" style="44" customWidth="1"/>
    <col min="8" max="8" width="12.42578125" style="44" bestFit="1" customWidth="1"/>
    <col min="9" max="10" width="7.7109375" style="44" bestFit="1" customWidth="1"/>
    <col min="11" max="11" width="4.28515625" style="44" customWidth="1"/>
    <col min="12" max="12" width="2.140625" style="44" customWidth="1"/>
    <col min="13" max="13" width="9.42578125" style="44" bestFit="1" customWidth="1"/>
    <col min="14" max="15" width="7.140625" style="44" bestFit="1" customWidth="1"/>
    <col min="16" max="16" width="5.140625" style="44" bestFit="1" customWidth="1"/>
    <col min="17" max="17" width="4.85546875" style="44" bestFit="1" customWidth="1"/>
    <col min="18" max="16384" width="9.140625" style="44"/>
  </cols>
  <sheetData>
    <row r="1" spans="1:28" x14ac:dyDescent="0.2">
      <c r="A1" s="2"/>
      <c r="B1" s="3"/>
      <c r="C1" s="3"/>
      <c r="D1" s="3"/>
      <c r="E1" s="3"/>
      <c r="F1" s="3"/>
      <c r="G1" s="3"/>
      <c r="H1" s="3"/>
      <c r="I1" s="3"/>
      <c r="J1" s="3"/>
      <c r="K1" s="4"/>
    </row>
    <row r="2" spans="1:28" x14ac:dyDescent="0.2">
      <c r="A2" s="5"/>
      <c r="B2" s="45"/>
      <c r="C2" s="110" t="s">
        <v>172</v>
      </c>
      <c r="D2" s="6"/>
      <c r="E2" s="6"/>
      <c r="F2" s="6"/>
      <c r="G2" s="6"/>
      <c r="H2" s="207" t="s">
        <v>79</v>
      </c>
      <c r="I2" s="208" t="s">
        <v>141</v>
      </c>
      <c r="J2" s="1"/>
      <c r="K2" s="8"/>
      <c r="Y2" s="44">
        <v>0</v>
      </c>
      <c r="AB2" s="44">
        <v>1</v>
      </c>
    </row>
    <row r="3" spans="1:28" x14ac:dyDescent="0.2">
      <c r="A3" s="9"/>
      <c r="B3" s="1"/>
      <c r="C3" s="1"/>
      <c r="D3" s="1"/>
      <c r="E3" s="6"/>
      <c r="F3" s="6"/>
      <c r="G3" s="6"/>
      <c r="H3" s="1"/>
      <c r="I3" s="1"/>
      <c r="J3" s="48">
        <f>_xll.ohTrigger(J5:J22)</f>
        <v>13</v>
      </c>
      <c r="K3" s="10"/>
    </row>
    <row r="4" spans="1:28" ht="22.5" x14ac:dyDescent="0.2">
      <c r="A4" s="9"/>
      <c r="B4" s="88"/>
      <c r="C4" s="82" t="e">
        <f ca="1">_xll.RData(C5:C22,D4:D4,,ReutersRtMode,,D5)</f>
        <v>#NAME?</v>
      </c>
      <c r="D4" s="172" t="s">
        <v>174</v>
      </c>
      <c r="E4" s="6"/>
      <c r="F4" s="87" t="s">
        <v>105</v>
      </c>
      <c r="G4" s="6"/>
      <c r="H4" s="88" t="s">
        <v>31</v>
      </c>
      <c r="I4" s="173" t="s">
        <v>17</v>
      </c>
      <c r="J4" s="84" t="s">
        <v>24</v>
      </c>
      <c r="K4" s="10"/>
    </row>
    <row r="5" spans="1:28" x14ac:dyDescent="0.2">
      <c r="A5" s="9"/>
      <c r="B5" s="204" t="s">
        <v>134</v>
      </c>
      <c r="C5" s="26" t="str">
        <f>"HIHKD"&amp;B5&amp;"D="</f>
        <v>HIHKDOND=</v>
      </c>
      <c r="D5" s="165">
        <v>9.357E-2</v>
      </c>
      <c r="E5" s="6"/>
      <c r="F5" s="209">
        <v>9.357E-2</v>
      </c>
      <c r="G5" s="6"/>
      <c r="H5" s="91" t="str">
        <f t="shared" ref="H5:H22" si="0">Currency&amp;B5&amp;$I$2</f>
        <v>HKDOND_Quote</v>
      </c>
      <c r="I5" s="92">
        <f t="array" ref="I5:I22">QuoteLive</f>
        <v>9.357E-2</v>
      </c>
      <c r="J5" s="93">
        <f>_xll.qlSimpleQuoteSetValue($H5,$I5/100,Trigger)</f>
        <v>0</v>
      </c>
      <c r="K5" s="10"/>
    </row>
    <row r="6" spans="1:28" x14ac:dyDescent="0.2">
      <c r="A6" s="9"/>
      <c r="B6" s="226" t="s">
        <v>135</v>
      </c>
      <c r="C6" s="26" t="str">
        <f t="shared" ref="C6:C22" si="1">"HIHKD"&amp;B6&amp;"D="</f>
        <v>HIHKDTND=</v>
      </c>
      <c r="D6" s="75" t="s">
        <v>171</v>
      </c>
      <c r="E6" s="6"/>
      <c r="F6" s="85" t="s">
        <v>171</v>
      </c>
      <c r="G6" s="6"/>
      <c r="H6" s="94" t="str">
        <f t="shared" si="0"/>
        <v>HKDTND_Quote</v>
      </c>
      <c r="I6" s="15" t="str">
        <v>The record could not be found</v>
      </c>
      <c r="J6" s="95" t="e">
        <f>_xll.qlSimpleQuoteSetValue($H6,$I6/100,Trigger)</f>
        <v>#NUM!</v>
      </c>
      <c r="K6" s="10"/>
    </row>
    <row r="7" spans="1:28" x14ac:dyDescent="0.2">
      <c r="A7" s="9"/>
      <c r="B7" s="226" t="s">
        <v>136</v>
      </c>
      <c r="C7" s="26" t="str">
        <f t="shared" si="1"/>
        <v>HIHKDSND=</v>
      </c>
      <c r="D7" s="75" t="s">
        <v>171</v>
      </c>
      <c r="E7" s="6"/>
      <c r="F7" s="85" t="s">
        <v>171</v>
      </c>
      <c r="G7" s="6"/>
      <c r="H7" s="94" t="str">
        <f t="shared" si="0"/>
        <v>HKDSND_Quote</v>
      </c>
      <c r="I7" s="15" t="str">
        <v>The record could not be found</v>
      </c>
      <c r="J7" s="95" t="e">
        <f>_xll.qlSimpleQuoteSetValue($H7,$I7/100,Trigger)</f>
        <v>#NUM!</v>
      </c>
      <c r="K7" s="10"/>
    </row>
    <row r="8" spans="1:28" x14ac:dyDescent="0.2">
      <c r="A8" s="9"/>
      <c r="B8" s="226" t="s">
        <v>179</v>
      </c>
      <c r="C8" s="26" t="str">
        <f t="shared" si="1"/>
        <v>HIHKD1WD=</v>
      </c>
      <c r="D8" s="75">
        <v>0.13428999999999999</v>
      </c>
      <c r="E8" s="6"/>
      <c r="F8" s="85">
        <v>0.13428999999999999</v>
      </c>
      <c r="G8" s="6"/>
      <c r="H8" s="94" t="str">
        <f t="shared" si="0"/>
        <v>HKD1WD_Quote</v>
      </c>
      <c r="I8" s="15">
        <v>0.13428999999999999</v>
      </c>
      <c r="J8" s="95" t="e">
        <f>_xll.qlSimpleQuoteSetValue($H8,$I8/100,Trigger)</f>
        <v>#NUM!</v>
      </c>
      <c r="K8" s="10"/>
    </row>
    <row r="9" spans="1:28" x14ac:dyDescent="0.2">
      <c r="A9" s="9"/>
      <c r="B9" s="226" t="s">
        <v>85</v>
      </c>
      <c r="C9" s="26" t="str">
        <f t="shared" si="1"/>
        <v>HIHKD2WD=</v>
      </c>
      <c r="D9" s="75">
        <v>0.16070999999999999</v>
      </c>
      <c r="E9" s="6"/>
      <c r="F9" s="85">
        <v>0.16070999999999999</v>
      </c>
      <c r="G9" s="6"/>
      <c r="H9" s="94" t="str">
        <f t="shared" si="0"/>
        <v>HKD2WD_Quote</v>
      </c>
      <c r="I9" s="15">
        <v>0.16070999999999999</v>
      </c>
      <c r="J9" s="95">
        <f>_xll.qlSimpleQuoteSetValue($H9,$I9/100,Trigger)</f>
        <v>0</v>
      </c>
      <c r="K9" s="10"/>
    </row>
    <row r="10" spans="1:28" x14ac:dyDescent="0.2">
      <c r="A10" s="9"/>
      <c r="B10" s="226" t="s">
        <v>86</v>
      </c>
      <c r="C10" s="26" t="str">
        <f t="shared" si="1"/>
        <v>HIHKD3WD=</v>
      </c>
      <c r="D10" s="75" t="s">
        <v>171</v>
      </c>
      <c r="E10" s="6"/>
      <c r="F10" s="85" t="s">
        <v>171</v>
      </c>
      <c r="G10" s="6"/>
      <c r="H10" s="94" t="str">
        <f t="shared" si="0"/>
        <v>HKD3WD_Quote</v>
      </c>
      <c r="I10" s="15" t="str">
        <v>The record could not be found</v>
      </c>
      <c r="J10" s="95" t="e">
        <f>_xll.qlSimpleQuoteSetValue($H10,$I10/100,Trigger)</f>
        <v>#NUM!</v>
      </c>
      <c r="K10" s="10"/>
    </row>
    <row r="11" spans="1:28" x14ac:dyDescent="0.2">
      <c r="A11" s="9"/>
      <c r="B11" s="226" t="s">
        <v>87</v>
      </c>
      <c r="C11" s="26" t="str">
        <f t="shared" si="1"/>
        <v>HIHKD1MD=</v>
      </c>
      <c r="D11" s="75">
        <v>0.215</v>
      </c>
      <c r="E11" s="6"/>
      <c r="F11" s="85">
        <v>0.215</v>
      </c>
      <c r="G11" s="6"/>
      <c r="H11" s="94" t="str">
        <f t="shared" si="0"/>
        <v>HKD1MD_Quote</v>
      </c>
      <c r="I11" s="15">
        <v>0.215</v>
      </c>
      <c r="J11" s="95">
        <f>_xll.qlSimpleQuoteSetValue($H11,$I11/100,Trigger)</f>
        <v>0</v>
      </c>
      <c r="K11" s="10"/>
    </row>
    <row r="12" spans="1:28" x14ac:dyDescent="0.2">
      <c r="A12" s="9"/>
      <c r="B12" s="226" t="s">
        <v>88</v>
      </c>
      <c r="C12" s="26" t="str">
        <f t="shared" si="1"/>
        <v>HIHKD2MD=</v>
      </c>
      <c r="D12" s="75">
        <v>0.32500000000000001</v>
      </c>
      <c r="E12" s="6"/>
      <c r="F12" s="85">
        <v>0.32500000000000001</v>
      </c>
      <c r="G12" s="6"/>
      <c r="H12" s="94" t="str">
        <f t="shared" si="0"/>
        <v>HKD2MD_Quote</v>
      </c>
      <c r="I12" s="15">
        <v>0.32500000000000001</v>
      </c>
      <c r="J12" s="95">
        <f>_xll.qlSimpleQuoteSetValue($H12,$I12/100,Trigger)</f>
        <v>0</v>
      </c>
      <c r="K12" s="10"/>
    </row>
    <row r="13" spans="1:28" x14ac:dyDescent="0.2">
      <c r="A13" s="9"/>
      <c r="B13" s="226" t="s">
        <v>89</v>
      </c>
      <c r="C13" s="26" t="str">
        <f t="shared" si="1"/>
        <v>HIHKD3MD=</v>
      </c>
      <c r="D13" s="75">
        <v>0.38429000000000002</v>
      </c>
      <c r="E13" s="6"/>
      <c r="F13" s="85">
        <v>0.38429000000000002</v>
      </c>
      <c r="G13" s="6"/>
      <c r="H13" s="94" t="str">
        <f t="shared" si="0"/>
        <v>HKD3MD_Quote</v>
      </c>
      <c r="I13" s="15">
        <v>0.38429000000000002</v>
      </c>
      <c r="J13" s="95">
        <f>_xll.qlSimpleQuoteSetValue($H13,$I13/100,Trigger)</f>
        <v>0</v>
      </c>
      <c r="K13" s="10"/>
    </row>
    <row r="14" spans="1:28" x14ac:dyDescent="0.2">
      <c r="A14" s="9"/>
      <c r="B14" s="226" t="s">
        <v>90</v>
      </c>
      <c r="C14" s="26" t="str">
        <f t="shared" si="1"/>
        <v>HIHKD4MD=</v>
      </c>
      <c r="D14" s="75">
        <v>0.41143000000000002</v>
      </c>
      <c r="E14" s="6"/>
      <c r="F14" s="85">
        <v>0.41143000000000002</v>
      </c>
      <c r="G14" s="6"/>
      <c r="H14" s="94" t="str">
        <f t="shared" si="0"/>
        <v>HKD4MD_Quote</v>
      </c>
      <c r="I14" s="15">
        <v>0.41143000000000002</v>
      </c>
      <c r="J14" s="95">
        <f>_xll.qlSimpleQuoteSetValue($H14,$I14/100,Trigger)</f>
        <v>0</v>
      </c>
      <c r="K14" s="10"/>
    </row>
    <row r="15" spans="1:28" x14ac:dyDescent="0.2">
      <c r="A15" s="9"/>
      <c r="B15" s="226" t="s">
        <v>91</v>
      </c>
      <c r="C15" s="26" t="str">
        <f t="shared" si="1"/>
        <v>HIHKD5MD=</v>
      </c>
      <c r="D15" s="75">
        <v>0.45213999999999999</v>
      </c>
      <c r="E15" s="6"/>
      <c r="F15" s="85">
        <v>0.45213999999999999</v>
      </c>
      <c r="G15" s="6"/>
      <c r="H15" s="94" t="str">
        <f t="shared" si="0"/>
        <v>HKD5MD_Quote</v>
      </c>
      <c r="I15" s="15">
        <v>0.45213999999999999</v>
      </c>
      <c r="J15" s="95">
        <f>_xll.qlSimpleQuoteSetValue($H15,$I15/100,Trigger)</f>
        <v>0</v>
      </c>
      <c r="K15" s="10"/>
    </row>
    <row r="16" spans="1:28" x14ac:dyDescent="0.2">
      <c r="A16" s="9"/>
      <c r="B16" s="226" t="s">
        <v>92</v>
      </c>
      <c r="C16" s="26" t="str">
        <f t="shared" si="1"/>
        <v>HIHKD6MD=</v>
      </c>
      <c r="D16" s="75">
        <v>0.54571000000000003</v>
      </c>
      <c r="E16" s="6"/>
      <c r="F16" s="85">
        <v>0.54571000000000003</v>
      </c>
      <c r="G16" s="6"/>
      <c r="H16" s="94" t="str">
        <f t="shared" si="0"/>
        <v>HKD6MD_Quote</v>
      </c>
      <c r="I16" s="15">
        <v>0.54571000000000003</v>
      </c>
      <c r="J16" s="95">
        <f>_xll.qlSimpleQuoteSetValue($H16,$I16/100,Trigger)</f>
        <v>0</v>
      </c>
      <c r="K16" s="10"/>
    </row>
    <row r="17" spans="1:11" x14ac:dyDescent="0.2">
      <c r="A17" s="9"/>
      <c r="B17" s="226" t="s">
        <v>93</v>
      </c>
      <c r="C17" s="26" t="str">
        <f t="shared" si="1"/>
        <v>HIHKD7MD=</v>
      </c>
      <c r="D17" s="75">
        <v>0.57071000000000005</v>
      </c>
      <c r="E17" s="6"/>
      <c r="F17" s="85">
        <v>0.57071000000000005</v>
      </c>
      <c r="G17" s="6"/>
      <c r="H17" s="94" t="str">
        <f t="shared" si="0"/>
        <v>HKD7MD_Quote</v>
      </c>
      <c r="I17" s="15">
        <v>0.57071000000000005</v>
      </c>
      <c r="J17" s="95">
        <f>_xll.qlSimpleQuoteSetValue($H17,$I17/100,Trigger)</f>
        <v>0</v>
      </c>
      <c r="K17" s="10"/>
    </row>
    <row r="18" spans="1:11" x14ac:dyDescent="0.2">
      <c r="A18" s="9"/>
      <c r="B18" s="226" t="s">
        <v>94</v>
      </c>
      <c r="C18" s="26" t="str">
        <f t="shared" si="1"/>
        <v>HIHKD8MD=</v>
      </c>
      <c r="D18" s="75">
        <v>0.59214</v>
      </c>
      <c r="E18" s="6"/>
      <c r="F18" s="85">
        <v>0.59214</v>
      </c>
      <c r="G18" s="6"/>
      <c r="H18" s="94" t="str">
        <f t="shared" si="0"/>
        <v>HKD8MD_Quote</v>
      </c>
      <c r="I18" s="15">
        <v>0.59214</v>
      </c>
      <c r="J18" s="95">
        <f>_xll.qlSimpleQuoteSetValue($H18,$I18/100,Trigger)</f>
        <v>0</v>
      </c>
      <c r="K18" s="10"/>
    </row>
    <row r="19" spans="1:11" x14ac:dyDescent="0.2">
      <c r="A19" s="9"/>
      <c r="B19" s="226" t="s">
        <v>95</v>
      </c>
      <c r="C19" s="26" t="str">
        <f t="shared" si="1"/>
        <v>HIHKD9MD=</v>
      </c>
      <c r="D19" s="75">
        <v>0.62070999999999998</v>
      </c>
      <c r="E19" s="6"/>
      <c r="F19" s="85">
        <v>0.62070999999999998</v>
      </c>
      <c r="G19" s="6"/>
      <c r="H19" s="94" t="str">
        <f t="shared" si="0"/>
        <v>HKD9MD_Quote</v>
      </c>
      <c r="I19" s="15">
        <v>0.62070999999999998</v>
      </c>
      <c r="J19" s="95">
        <f>_xll.qlSimpleQuoteSetValue($H19,$I19/100,Trigger)</f>
        <v>0</v>
      </c>
      <c r="K19" s="10"/>
    </row>
    <row r="20" spans="1:11" x14ac:dyDescent="0.2">
      <c r="A20" s="9"/>
      <c r="B20" s="226" t="s">
        <v>96</v>
      </c>
      <c r="C20" s="26" t="str">
        <f t="shared" si="1"/>
        <v>HIHKD10MD=</v>
      </c>
      <c r="D20" s="75">
        <v>0.70143</v>
      </c>
      <c r="E20" s="6"/>
      <c r="F20" s="85">
        <v>0.70143</v>
      </c>
      <c r="G20" s="6"/>
      <c r="H20" s="94" t="str">
        <f t="shared" si="0"/>
        <v>HKD10MD_Quote</v>
      </c>
      <c r="I20" s="15">
        <v>0.70143</v>
      </c>
      <c r="J20" s="95">
        <f>_xll.qlSimpleQuoteSetValue($H20,$I20/100,Trigger)</f>
        <v>0</v>
      </c>
      <c r="K20" s="10"/>
    </row>
    <row r="21" spans="1:11" x14ac:dyDescent="0.2">
      <c r="A21" s="9"/>
      <c r="B21" s="226" t="s">
        <v>97</v>
      </c>
      <c r="C21" s="26" t="str">
        <f t="shared" si="1"/>
        <v>HIHKD11MD=</v>
      </c>
      <c r="D21" s="75">
        <v>0.78571000000000002</v>
      </c>
      <c r="E21" s="6"/>
      <c r="F21" s="85">
        <v>0.78571000000000002</v>
      </c>
      <c r="G21" s="6"/>
      <c r="H21" s="94" t="str">
        <f t="shared" si="0"/>
        <v>HKD11MD_Quote</v>
      </c>
      <c r="I21" s="15">
        <v>0.78571000000000002</v>
      </c>
      <c r="J21" s="95">
        <f>_xll.qlSimpleQuoteSetValue($H21,$I21/100,Trigger)</f>
        <v>0</v>
      </c>
      <c r="K21" s="10"/>
    </row>
    <row r="22" spans="1:11" x14ac:dyDescent="0.2">
      <c r="A22" s="9"/>
      <c r="B22" s="226" t="s">
        <v>36</v>
      </c>
      <c r="C22" s="26" t="str">
        <f t="shared" si="1"/>
        <v>HIHKD1YD=</v>
      </c>
      <c r="D22" s="75">
        <v>0.87070999999999998</v>
      </c>
      <c r="E22" s="6"/>
      <c r="F22" s="86">
        <v>0.87070999999999998</v>
      </c>
      <c r="G22" s="6"/>
      <c r="H22" s="96" t="str">
        <f t="shared" si="0"/>
        <v>HKD1YD_Quote</v>
      </c>
      <c r="I22" s="78">
        <v>0.87070999999999998</v>
      </c>
      <c r="J22" s="97">
        <f>_xll.qlSimpleQuoteSetValue($H22,$I22/100,Trigger)</f>
        <v>0</v>
      </c>
      <c r="K22" s="10"/>
    </row>
    <row r="23" spans="1:11" ht="12" thickBot="1" x14ac:dyDescent="0.25">
      <c r="A23" s="11"/>
      <c r="B23" s="243"/>
      <c r="C23" s="243"/>
      <c r="D23" s="243"/>
      <c r="E23" s="12"/>
      <c r="F23" s="12"/>
      <c r="G23" s="12"/>
      <c r="H23" s="12"/>
      <c r="I23" s="12"/>
      <c r="J23" s="12"/>
      <c r="K23" s="13"/>
    </row>
    <row r="25" spans="1:11" hidden="1" x14ac:dyDescent="0.2">
      <c r="A25" s="44" t="s">
        <v>76</v>
      </c>
    </row>
    <row r="27" spans="1:11" ht="33.75" x14ac:dyDescent="0.2">
      <c r="D27" s="215" t="s">
        <v>16</v>
      </c>
      <c r="E27" s="216" t="s">
        <v>138</v>
      </c>
      <c r="F27" s="216" t="s">
        <v>139</v>
      </c>
      <c r="G27" s="216" t="s">
        <v>132</v>
      </c>
      <c r="H27" s="217" t="s">
        <v>137</v>
      </c>
    </row>
    <row r="28" spans="1:11" x14ac:dyDescent="0.2">
      <c r="D28" s="210" t="s">
        <v>129</v>
      </c>
      <c r="E28" s="100" t="s">
        <v>140</v>
      </c>
      <c r="F28" s="100" t="s">
        <v>133</v>
      </c>
      <c r="G28" s="100" t="str">
        <f>""</f>
        <v/>
      </c>
      <c r="H28" s="211" t="s">
        <v>25</v>
      </c>
    </row>
    <row r="29" spans="1:11" x14ac:dyDescent="0.2">
      <c r="D29" s="210" t="s">
        <v>130</v>
      </c>
      <c r="E29" s="100"/>
      <c r="F29" s="100" t="s">
        <v>131</v>
      </c>
      <c r="G29" s="100"/>
      <c r="H29" s="211" t="s">
        <v>25</v>
      </c>
    </row>
    <row r="30" spans="1:11" x14ac:dyDescent="0.2">
      <c r="D30" s="210" t="s">
        <v>172</v>
      </c>
      <c r="E30" s="100" t="s">
        <v>173</v>
      </c>
      <c r="F30" s="100" t="s">
        <v>133</v>
      </c>
      <c r="G30" s="100"/>
      <c r="H30" s="211" t="s">
        <v>1</v>
      </c>
    </row>
    <row r="31" spans="1:11" x14ac:dyDescent="0.2">
      <c r="D31" s="210" t="s">
        <v>2</v>
      </c>
      <c r="E31" s="100"/>
      <c r="F31" s="100" t="s">
        <v>133</v>
      </c>
      <c r="G31" s="100"/>
      <c r="H31" s="211" t="s">
        <v>1</v>
      </c>
    </row>
    <row r="32" spans="1:11" x14ac:dyDescent="0.2">
      <c r="D32" s="210" t="s">
        <v>3</v>
      </c>
      <c r="E32" s="100"/>
      <c r="F32" s="100" t="s">
        <v>133</v>
      </c>
      <c r="G32" s="100" t="s">
        <v>4</v>
      </c>
      <c r="H32" s="211" t="s">
        <v>1</v>
      </c>
    </row>
    <row r="33" spans="4:8" x14ac:dyDescent="0.2">
      <c r="D33" s="210" t="s">
        <v>5</v>
      </c>
      <c r="E33" s="100"/>
      <c r="F33" s="100" t="s">
        <v>133</v>
      </c>
      <c r="G33" s="100" t="s">
        <v>5</v>
      </c>
      <c r="H33" s="211" t="s">
        <v>1</v>
      </c>
    </row>
    <row r="34" spans="4:8" x14ac:dyDescent="0.2">
      <c r="D34" s="210" t="s">
        <v>6</v>
      </c>
      <c r="E34" s="100"/>
      <c r="F34" s="100" t="s">
        <v>133</v>
      </c>
      <c r="G34" s="100" t="s">
        <v>7</v>
      </c>
      <c r="H34" s="211" t="s">
        <v>1</v>
      </c>
    </row>
    <row r="35" spans="4:8" x14ac:dyDescent="0.2">
      <c r="D35" s="210" t="s">
        <v>8</v>
      </c>
      <c r="E35" s="100"/>
      <c r="F35" s="100" t="s">
        <v>133</v>
      </c>
      <c r="G35" s="100" t="s">
        <v>9</v>
      </c>
      <c r="H35" s="211" t="s">
        <v>1</v>
      </c>
    </row>
    <row r="36" spans="4:8" x14ac:dyDescent="0.2">
      <c r="D36" s="210" t="s">
        <v>10</v>
      </c>
      <c r="E36" s="100"/>
      <c r="F36" s="100" t="s">
        <v>133</v>
      </c>
      <c r="G36" s="100" t="s">
        <v>11</v>
      </c>
      <c r="H36" s="211" t="s">
        <v>1</v>
      </c>
    </row>
    <row r="37" spans="4:8" x14ac:dyDescent="0.2">
      <c r="D37" s="212" t="s">
        <v>12</v>
      </c>
      <c r="E37" s="213"/>
      <c r="F37" s="213" t="s">
        <v>133</v>
      </c>
      <c r="G37" s="213" t="s">
        <v>13</v>
      </c>
      <c r="H37" s="214" t="s">
        <v>1</v>
      </c>
    </row>
  </sheetData>
  <phoneticPr fontId="4" type="noConversion"/>
  <dataValidations count="1">
    <dataValidation type="list" showInputMessage="1" showErrorMessage="1" sqref="C2">
      <formula1>Contributors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52"/>
  <sheetViews>
    <sheetView workbookViewId="0"/>
  </sheetViews>
  <sheetFormatPr defaultRowHeight="11.25" x14ac:dyDescent="0.2"/>
  <cols>
    <col min="1" max="1" width="5" style="44" customWidth="1"/>
    <col min="2" max="2" width="5" style="44" bestFit="1" customWidth="1"/>
    <col min="3" max="3" width="4.5703125" style="44" bestFit="1" customWidth="1"/>
    <col min="4" max="4" width="9.5703125" style="44" bestFit="1" customWidth="1"/>
    <col min="5" max="5" width="13.42578125" style="44" bestFit="1" customWidth="1"/>
    <col min="6" max="7" width="5.7109375" style="44" bestFit="1" customWidth="1"/>
    <col min="8" max="8" width="5.140625" style="44" bestFit="1" customWidth="1"/>
    <col min="9" max="9" width="10.28515625" style="44" customWidth="1"/>
    <col min="10" max="10" width="5.7109375" style="44" bestFit="1" customWidth="1"/>
    <col min="11" max="11" width="7.5703125" style="44" customWidth="1"/>
    <col min="12" max="12" width="5.7109375" style="44" bestFit="1" customWidth="1"/>
    <col min="13" max="13" width="7.5703125" style="44" customWidth="1"/>
    <col min="14" max="14" width="14.28515625" style="44" bestFit="1" customWidth="1"/>
    <col min="15" max="16" width="7.7109375" style="44" bestFit="1" customWidth="1"/>
    <col min="17" max="17" width="5" style="44" customWidth="1"/>
    <col min="18" max="22" width="4.28515625" style="44" customWidth="1"/>
    <col min="23" max="23" width="7" style="44" bestFit="1" customWidth="1"/>
    <col min="24" max="16384" width="9.140625" style="44"/>
  </cols>
  <sheetData>
    <row r="1" spans="1:23" x14ac:dyDescent="0.2">
      <c r="A1" s="27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4"/>
    </row>
    <row r="2" spans="1:23" x14ac:dyDescent="0.2">
      <c r="A2" s="5"/>
      <c r="B2" s="252"/>
      <c r="C2" s="7"/>
      <c r="D2" s="7"/>
      <c r="E2" s="110" t="s">
        <v>10</v>
      </c>
      <c r="F2" s="7"/>
      <c r="G2" s="7"/>
      <c r="H2" s="7"/>
      <c r="I2" s="7"/>
      <c r="J2" s="6"/>
      <c r="K2" s="6"/>
      <c r="L2" s="6"/>
      <c r="M2" s="6"/>
      <c r="N2" s="218" t="s">
        <v>79</v>
      </c>
      <c r="O2" s="110" t="s">
        <v>34</v>
      </c>
      <c r="P2" s="7"/>
      <c r="Q2" s="8"/>
    </row>
    <row r="3" spans="1:23" x14ac:dyDescent="0.2">
      <c r="A3" s="9"/>
      <c r="B3" s="7"/>
      <c r="C3" s="6"/>
      <c r="D3" s="7"/>
      <c r="E3" s="7"/>
      <c r="F3" s="7"/>
      <c r="G3" s="7"/>
      <c r="H3" s="7"/>
      <c r="I3" s="7"/>
      <c r="J3" s="7"/>
      <c r="K3" s="6"/>
      <c r="L3" s="6"/>
      <c r="M3" s="6"/>
      <c r="N3" s="7"/>
      <c r="O3" s="7"/>
      <c r="P3" s="48">
        <f>_xll.ohTrigger(P5:P26)</f>
        <v>14</v>
      </c>
      <c r="Q3" s="10"/>
    </row>
    <row r="4" spans="1:23" ht="22.5" x14ac:dyDescent="0.2">
      <c r="A4" s="9"/>
      <c r="B4" s="234"/>
      <c r="C4" s="233"/>
      <c r="D4" s="81"/>
      <c r="E4" s="82" t="e">
        <f ca="1">_xll.RData(E5:E36,F4:I4,,ReutersRtMode,,F5)</f>
        <v>#NAME?</v>
      </c>
      <c r="F4" s="83" t="s">
        <v>0</v>
      </c>
      <c r="G4" s="83" t="s">
        <v>1</v>
      </c>
      <c r="H4" s="83" t="s">
        <v>25</v>
      </c>
      <c r="I4" s="83" t="s">
        <v>26</v>
      </c>
      <c r="J4" s="84" t="s">
        <v>128</v>
      </c>
      <c r="K4" s="6"/>
      <c r="L4" s="87" t="s">
        <v>105</v>
      </c>
      <c r="M4" s="6"/>
      <c r="N4" s="235" t="s">
        <v>31</v>
      </c>
      <c r="O4" s="236" t="s">
        <v>17</v>
      </c>
      <c r="P4" s="237" t="s">
        <v>24</v>
      </c>
      <c r="Q4" s="10"/>
      <c r="W4" s="222" t="s">
        <v>142</v>
      </c>
    </row>
    <row r="5" spans="1:23" x14ac:dyDescent="0.2">
      <c r="A5" s="9"/>
      <c r="B5" s="161" t="s">
        <v>147</v>
      </c>
      <c r="C5" s="162" t="s">
        <v>148</v>
      </c>
      <c r="D5" s="163" t="str">
        <f t="shared" ref="D5:D36" si="0">Currency&amp;$B5&amp;$C5</f>
        <v>HKDT3F1</v>
      </c>
      <c r="E5" s="163" t="str">
        <f t="array" ref="E5:E36">UPPER(Instruments)&amp;"="&amp;VLOOKUP(Contributor,ContributorTable,2,FALSE)</f>
        <v>HKDT3F1=PREA</v>
      </c>
      <c r="F5" s="164" t="s">
        <v>171</v>
      </c>
      <c r="G5" s="164" t="s">
        <v>171</v>
      </c>
      <c r="H5" s="163" t="s">
        <v>171</v>
      </c>
      <c r="I5" s="163" t="s">
        <v>171</v>
      </c>
      <c r="J5" s="165" t="e">
        <f>_xll.qlMidSafe($F5,$G5)</f>
        <v>#NUM!</v>
      </c>
      <c r="K5" s="6"/>
      <c r="L5" s="167" t="e">
        <v>#NUM!</v>
      </c>
      <c r="M5" s="6"/>
      <c r="N5" s="91" t="str">
        <f t="shared" ref="N5:N36" si="1">$D5&amp;$O$2</f>
        <v>HKDT3F1_Quote</v>
      </c>
      <c r="O5" s="92" t="e">
        <f t="array" ref="O5:O36">QuoteLive</f>
        <v>#NUM!</v>
      </c>
      <c r="P5" s="93" t="e">
        <f>_xll.qlSimpleQuoteSetValue($N5,$O5/100,Trigger)</f>
        <v>#NUM!</v>
      </c>
      <c r="Q5" s="10"/>
      <c r="S5" s="219"/>
      <c r="W5" s="223" t="e">
        <f>(G5-J5)/50</f>
        <v>#VALUE!</v>
      </c>
    </row>
    <row r="6" spans="1:23" x14ac:dyDescent="0.2">
      <c r="A6" s="9"/>
      <c r="B6" s="76" t="s">
        <v>151</v>
      </c>
      <c r="C6" s="106" t="s">
        <v>148</v>
      </c>
      <c r="D6" s="77" t="str">
        <f t="shared" si="0"/>
        <v>HKDTOM3F1</v>
      </c>
      <c r="E6" s="77" t="str">
        <v>HKDTOM3F1=PREA</v>
      </c>
      <c r="F6" s="166" t="s">
        <v>171</v>
      </c>
      <c r="G6" s="166" t="s">
        <v>171</v>
      </c>
      <c r="H6" s="77" t="s">
        <v>171</v>
      </c>
      <c r="I6" s="77" t="s">
        <v>171</v>
      </c>
      <c r="J6" s="79" t="e">
        <f>_xll.qlMidSafe($F6,$G6)</f>
        <v>#NUM!</v>
      </c>
      <c r="K6" s="6"/>
      <c r="L6" s="169" t="e">
        <v>#NUM!</v>
      </c>
      <c r="M6" s="6"/>
      <c r="N6" s="96" t="str">
        <f t="shared" si="1"/>
        <v>HKDTOM3F1_Quote</v>
      </c>
      <c r="O6" s="78" t="e">
        <v>#NUM!</v>
      </c>
      <c r="P6" s="97" t="e">
        <f>_xll.qlSimpleQuoteSetValue($N6,$O6/100,Trigger)</f>
        <v>#NUM!</v>
      </c>
      <c r="Q6" s="10"/>
      <c r="S6" s="219"/>
      <c r="W6" s="223" t="e">
        <f t="shared" ref="W6:W36" si="2">(G6-J6)/50</f>
        <v>#VALUE!</v>
      </c>
    </row>
    <row r="7" spans="1:23" x14ac:dyDescent="0.2">
      <c r="A7" s="9"/>
      <c r="B7" s="161">
        <v>1</v>
      </c>
      <c r="C7" s="162" t="s">
        <v>155</v>
      </c>
      <c r="D7" s="163" t="str">
        <f t="shared" si="0"/>
        <v>HKD1x4F</v>
      </c>
      <c r="E7" s="163" t="str">
        <v>HKD1X4F=PREA</v>
      </c>
      <c r="F7" s="164">
        <v>0.36</v>
      </c>
      <c r="G7" s="164">
        <v>0.46</v>
      </c>
      <c r="H7" s="163">
        <v>0</v>
      </c>
      <c r="I7" s="163">
        <v>0</v>
      </c>
      <c r="J7" s="165">
        <f>_xll.qlMidSafe($F7,$G7)</f>
        <v>0.41000000000000003</v>
      </c>
      <c r="K7" s="6"/>
      <c r="L7" s="168">
        <v>0.41000000000000003</v>
      </c>
      <c r="M7" s="6"/>
      <c r="N7" s="94" t="str">
        <f t="shared" si="1"/>
        <v>HKD1x4F_Quote</v>
      </c>
      <c r="O7" s="15">
        <v>0.41000000000000003</v>
      </c>
      <c r="P7" s="95">
        <f>_xll.qlSimpleQuoteSetValue($N7,$O7/100,Trigger)</f>
        <v>0</v>
      </c>
      <c r="Q7" s="10"/>
      <c r="S7" s="219"/>
      <c r="W7" s="223">
        <f t="shared" si="2"/>
        <v>9.999999999999998E-4</v>
      </c>
    </row>
    <row r="8" spans="1:23" x14ac:dyDescent="0.2">
      <c r="A8" s="9"/>
      <c r="B8" s="74">
        <v>2</v>
      </c>
      <c r="C8" s="42" t="s">
        <v>156</v>
      </c>
      <c r="D8" s="43" t="str">
        <f t="shared" si="0"/>
        <v>HKD2x5F</v>
      </c>
      <c r="E8" s="43" t="str">
        <v>HKD2X5F=PREA</v>
      </c>
      <c r="F8" s="53">
        <v>0.36</v>
      </c>
      <c r="G8" s="53">
        <v>0.46</v>
      </c>
      <c r="H8" s="43">
        <v>0</v>
      </c>
      <c r="I8" s="43">
        <v>0</v>
      </c>
      <c r="J8" s="75">
        <f>_xll.qlMidSafe($F8,$G8)</f>
        <v>0.41000000000000003</v>
      </c>
      <c r="K8" s="6"/>
      <c r="L8" s="168">
        <v>0.41000000000000003</v>
      </c>
      <c r="M8" s="6"/>
      <c r="N8" s="94" t="str">
        <f t="shared" si="1"/>
        <v>HKD2x5F_Quote</v>
      </c>
      <c r="O8" s="15">
        <v>0.41000000000000003</v>
      </c>
      <c r="P8" s="95">
        <f>_xll.qlSimpleQuoteSetValue($N8,$O8/100,Trigger)</f>
        <v>0</v>
      </c>
      <c r="Q8" s="10"/>
      <c r="S8" s="219"/>
      <c r="W8" s="223">
        <f t="shared" si="2"/>
        <v>9.999999999999998E-4</v>
      </c>
    </row>
    <row r="9" spans="1:23" x14ac:dyDescent="0.2">
      <c r="A9" s="9"/>
      <c r="B9" s="74">
        <v>3</v>
      </c>
      <c r="C9" s="42" t="s">
        <v>157</v>
      </c>
      <c r="D9" s="43" t="str">
        <f t="shared" si="0"/>
        <v>HKD3x6F</v>
      </c>
      <c r="E9" s="43" t="str">
        <v>HKD3X6F=PREA</v>
      </c>
      <c r="F9" s="53">
        <v>0.36</v>
      </c>
      <c r="G9" s="53">
        <v>0.46</v>
      </c>
      <c r="H9" s="43">
        <v>0</v>
      </c>
      <c r="I9" s="43">
        <v>0</v>
      </c>
      <c r="J9" s="75">
        <f>_xll.qlMidSafe($F9,$G9)</f>
        <v>0.41000000000000003</v>
      </c>
      <c r="K9" s="6"/>
      <c r="L9" s="168">
        <v>0.41000000000000003</v>
      </c>
      <c r="M9" s="6"/>
      <c r="N9" s="94" t="str">
        <f t="shared" si="1"/>
        <v>HKD3x6F_Quote</v>
      </c>
      <c r="O9" s="15">
        <v>0.41000000000000003</v>
      </c>
      <c r="P9" s="95">
        <f>_xll.qlSimpleQuoteSetValue($N9,$O9/100,Trigger)</f>
        <v>0</v>
      </c>
      <c r="Q9" s="10"/>
      <c r="S9" s="219"/>
      <c r="W9" s="223">
        <f t="shared" si="2"/>
        <v>9.999999999999998E-4</v>
      </c>
    </row>
    <row r="10" spans="1:23" x14ac:dyDescent="0.2">
      <c r="A10" s="9"/>
      <c r="B10" s="74">
        <v>4</v>
      </c>
      <c r="C10" s="42" t="s">
        <v>158</v>
      </c>
      <c r="D10" s="43" t="str">
        <f t="shared" si="0"/>
        <v>HKD4x7F</v>
      </c>
      <c r="E10" s="43" t="str">
        <v>HKD4X7F=PREA</v>
      </c>
      <c r="F10" s="53">
        <v>0.38</v>
      </c>
      <c r="G10" s="53">
        <v>0.48</v>
      </c>
      <c r="H10" s="43">
        <v>0</v>
      </c>
      <c r="I10" s="43">
        <v>0</v>
      </c>
      <c r="J10" s="75">
        <f>_xll.qlMidSafe($F10,$G10)</f>
        <v>0.43</v>
      </c>
      <c r="K10" s="6"/>
      <c r="L10" s="168">
        <v>0.43</v>
      </c>
      <c r="M10" s="6"/>
      <c r="N10" s="94" t="str">
        <f t="shared" si="1"/>
        <v>HKD4x7F_Quote</v>
      </c>
      <c r="O10" s="15">
        <v>0.43</v>
      </c>
      <c r="P10" s="95">
        <f>_xll.qlSimpleQuoteSetValue($N10,$O10/100,Trigger)</f>
        <v>0</v>
      </c>
      <c r="Q10" s="10"/>
      <c r="S10" s="219"/>
      <c r="W10" s="223">
        <f t="shared" si="2"/>
        <v>9.999999999999998E-4</v>
      </c>
    </row>
    <row r="11" spans="1:23" x14ac:dyDescent="0.2">
      <c r="A11" s="9"/>
      <c r="B11" s="74">
        <v>5</v>
      </c>
      <c r="C11" s="42" t="s">
        <v>159</v>
      </c>
      <c r="D11" s="43" t="str">
        <f t="shared" si="0"/>
        <v>HKD5x8F</v>
      </c>
      <c r="E11" s="43" t="str">
        <v>HKD5X8F=PREA</v>
      </c>
      <c r="F11" s="53">
        <v>0.39</v>
      </c>
      <c r="G11" s="53">
        <v>0.49</v>
      </c>
      <c r="H11" s="43">
        <v>0</v>
      </c>
      <c r="I11" s="43">
        <v>0</v>
      </c>
      <c r="J11" s="75">
        <f>_xll.qlMidSafe($F11,$G11)</f>
        <v>0.44</v>
      </c>
      <c r="K11" s="6"/>
      <c r="L11" s="168">
        <v>0.44</v>
      </c>
      <c r="M11" s="6"/>
      <c r="N11" s="94" t="str">
        <f t="shared" si="1"/>
        <v>HKD5x8F_Quote</v>
      </c>
      <c r="O11" s="15">
        <v>0.44</v>
      </c>
      <c r="P11" s="95">
        <f>_xll.qlSimpleQuoteSetValue($N11,$O11/100,Trigger)</f>
        <v>0</v>
      </c>
      <c r="Q11" s="10"/>
      <c r="S11" s="219"/>
      <c r="W11" s="223">
        <f t="shared" si="2"/>
        <v>9.999999999999998E-4</v>
      </c>
    </row>
    <row r="12" spans="1:23" x14ac:dyDescent="0.2">
      <c r="A12" s="9"/>
      <c r="B12" s="74">
        <v>6</v>
      </c>
      <c r="C12" s="42" t="s">
        <v>160</v>
      </c>
      <c r="D12" s="43" t="str">
        <f t="shared" si="0"/>
        <v>HKD6x9F</v>
      </c>
      <c r="E12" s="43" t="str">
        <v>HKD6X9F=PREA</v>
      </c>
      <c r="F12" s="53">
        <v>0.4</v>
      </c>
      <c r="G12" s="53">
        <v>0.5</v>
      </c>
      <c r="H12" s="43">
        <v>0</v>
      </c>
      <c r="I12" s="43">
        <v>0</v>
      </c>
      <c r="J12" s="75">
        <f>_xll.qlMidSafe($F12,$G12)</f>
        <v>0.45</v>
      </c>
      <c r="K12" s="6"/>
      <c r="L12" s="168">
        <v>0.45</v>
      </c>
      <c r="M12" s="6"/>
      <c r="N12" s="94" t="str">
        <f t="shared" si="1"/>
        <v>HKD6x9F_Quote</v>
      </c>
      <c r="O12" s="15">
        <v>0.45</v>
      </c>
      <c r="P12" s="95">
        <f>_xll.qlSimpleQuoteSetValue($N12,$O12/100,Trigger)</f>
        <v>0</v>
      </c>
      <c r="Q12" s="10"/>
      <c r="S12" s="219"/>
      <c r="W12" s="223"/>
    </row>
    <row r="13" spans="1:23" x14ac:dyDescent="0.2">
      <c r="A13" s="9"/>
      <c r="B13" s="74">
        <v>7</v>
      </c>
      <c r="C13" s="42" t="s">
        <v>176</v>
      </c>
      <c r="D13" s="43" t="str">
        <f t="shared" si="0"/>
        <v>HKD7x10F</v>
      </c>
      <c r="E13" s="43" t="str">
        <v>HKD7X10F=PREA</v>
      </c>
      <c r="F13" s="53">
        <v>0.42</v>
      </c>
      <c r="G13" s="53">
        <v>0.52</v>
      </c>
      <c r="H13" s="43">
        <v>0</v>
      </c>
      <c r="I13" s="43">
        <v>0</v>
      </c>
      <c r="J13" s="75">
        <f>_xll.qlMidSafe($F13,$G13)</f>
        <v>0.47</v>
      </c>
      <c r="K13" s="6"/>
      <c r="L13" s="168">
        <v>0.47</v>
      </c>
      <c r="M13" s="6"/>
      <c r="N13" s="94" t="str">
        <f t="shared" si="1"/>
        <v>HKD7x10F_Quote</v>
      </c>
      <c r="O13" s="15">
        <v>0.47</v>
      </c>
      <c r="P13" s="95">
        <f>_xll.qlSimpleQuoteSetValue($N13,$O13/100,Trigger)</f>
        <v>0</v>
      </c>
      <c r="Q13" s="10"/>
      <c r="S13" s="219"/>
      <c r="W13" s="223"/>
    </row>
    <row r="14" spans="1:23" x14ac:dyDescent="0.2">
      <c r="A14" s="9"/>
      <c r="B14" s="74">
        <v>8</v>
      </c>
      <c r="C14" s="42" t="s">
        <v>177</v>
      </c>
      <c r="D14" s="43" t="str">
        <f t="shared" si="0"/>
        <v>HKD8x11F</v>
      </c>
      <c r="E14" s="43" t="str">
        <v>HKD8X11F=PREA</v>
      </c>
      <c r="F14" s="53">
        <v>0.43</v>
      </c>
      <c r="G14" s="53">
        <v>0.53</v>
      </c>
      <c r="H14" s="43">
        <v>0</v>
      </c>
      <c r="I14" s="43">
        <v>0</v>
      </c>
      <c r="J14" s="75">
        <f>_xll.qlMidSafe($F14,$G14)</f>
        <v>0.48</v>
      </c>
      <c r="K14" s="6"/>
      <c r="L14" s="168">
        <v>0.48</v>
      </c>
      <c r="M14" s="6"/>
      <c r="N14" s="94" t="str">
        <f t="shared" si="1"/>
        <v>HKD8x11F_Quote</v>
      </c>
      <c r="O14" s="15">
        <v>0.48</v>
      </c>
      <c r="P14" s="95">
        <f>_xll.qlSimpleQuoteSetValue($N14,$O14/100,Trigger)</f>
        <v>0</v>
      </c>
      <c r="Q14" s="10"/>
      <c r="S14" s="219"/>
      <c r="W14" s="223"/>
    </row>
    <row r="15" spans="1:23" x14ac:dyDescent="0.2">
      <c r="A15" s="9"/>
      <c r="B15" s="76">
        <v>9</v>
      </c>
      <c r="C15" s="106" t="s">
        <v>178</v>
      </c>
      <c r="D15" s="77" t="str">
        <f t="shared" si="0"/>
        <v>HKD9x12F</v>
      </c>
      <c r="E15" s="77" t="str">
        <v>HKD9X12F=PREA</v>
      </c>
      <c r="F15" s="166">
        <v>0.45</v>
      </c>
      <c r="G15" s="166">
        <v>0.55000000000000004</v>
      </c>
      <c r="H15" s="77">
        <v>0</v>
      </c>
      <c r="I15" s="77">
        <v>0</v>
      </c>
      <c r="J15" s="79">
        <f>_xll.qlMidSafe($F15,$G15)</f>
        <v>0.5</v>
      </c>
      <c r="K15" s="6"/>
      <c r="L15" s="169">
        <v>0.5</v>
      </c>
      <c r="M15" s="6"/>
      <c r="N15" s="94" t="str">
        <f t="shared" si="1"/>
        <v>HKD9x12F_Quote</v>
      </c>
      <c r="O15" s="15">
        <v>0.5</v>
      </c>
      <c r="P15" s="95">
        <f>_xll.qlSimpleQuoteSetValue($N15,$O15/100,Trigger)</f>
        <v>0</v>
      </c>
      <c r="Q15" s="10"/>
      <c r="S15" s="219"/>
      <c r="W15" s="223">
        <f t="shared" si="2"/>
        <v>1.0000000000000009E-3</v>
      </c>
    </row>
    <row r="16" spans="1:23" x14ac:dyDescent="0.2">
      <c r="A16" s="9"/>
      <c r="B16" s="161" t="s">
        <v>149</v>
      </c>
      <c r="C16" s="162" t="s">
        <v>148</v>
      </c>
      <c r="D16" s="163" t="str">
        <f t="shared" si="0"/>
        <v>HKDT6F1</v>
      </c>
      <c r="E16" s="163" t="str">
        <v>HKDT6F1=PREA</v>
      </c>
      <c r="F16" s="164" t="s">
        <v>171</v>
      </c>
      <c r="G16" s="164" t="s">
        <v>171</v>
      </c>
      <c r="H16" s="163" t="s">
        <v>171</v>
      </c>
      <c r="I16" s="163" t="s">
        <v>171</v>
      </c>
      <c r="J16" s="165" t="e">
        <f>_xll.qlMidSafe($F16,$G16)</f>
        <v>#NUM!</v>
      </c>
      <c r="K16" s="6"/>
      <c r="L16" s="167" t="e">
        <v>#NUM!</v>
      </c>
      <c r="M16" s="6"/>
      <c r="N16" s="91" t="str">
        <f t="shared" si="1"/>
        <v>HKDT6F1_Quote</v>
      </c>
      <c r="O16" s="92" t="e">
        <v>#NUM!</v>
      </c>
      <c r="P16" s="93" t="e">
        <f>_xll.qlSimpleQuoteSetValue($N16,$O16/100,Trigger)</f>
        <v>#NUM!</v>
      </c>
      <c r="Q16" s="10"/>
      <c r="S16" s="219"/>
      <c r="W16" s="223" t="e">
        <f t="shared" si="2"/>
        <v>#VALUE!</v>
      </c>
    </row>
    <row r="17" spans="1:23" x14ac:dyDescent="0.2">
      <c r="A17" s="9"/>
      <c r="B17" s="76" t="s">
        <v>150</v>
      </c>
      <c r="C17" s="106" t="s">
        <v>148</v>
      </c>
      <c r="D17" s="77" t="str">
        <f t="shared" si="0"/>
        <v>HKDTOM6F1</v>
      </c>
      <c r="E17" s="77" t="str">
        <v>HKDTOM6F1=PREA</v>
      </c>
      <c r="F17" s="166" t="s">
        <v>171</v>
      </c>
      <c r="G17" s="166" t="s">
        <v>171</v>
      </c>
      <c r="H17" s="77" t="s">
        <v>171</v>
      </c>
      <c r="I17" s="77" t="s">
        <v>171</v>
      </c>
      <c r="J17" s="79" t="e">
        <f>_xll.qlMidSafe($F17,$G17)</f>
        <v>#NUM!</v>
      </c>
      <c r="K17" s="6"/>
      <c r="L17" s="169" t="e">
        <v>#NUM!</v>
      </c>
      <c r="M17" s="6"/>
      <c r="N17" s="96" t="str">
        <f t="shared" si="1"/>
        <v>HKDTOM6F1_Quote</v>
      </c>
      <c r="O17" s="78" t="e">
        <v>#NUM!</v>
      </c>
      <c r="P17" s="97" t="e">
        <f>_xll.qlSimpleQuoteSetValue($N17,$O17/100,Trigger)</f>
        <v>#NUM!</v>
      </c>
      <c r="Q17" s="10"/>
      <c r="S17" s="219"/>
      <c r="W17" s="223" t="e">
        <f t="shared" si="2"/>
        <v>#VALUE!</v>
      </c>
    </row>
    <row r="18" spans="1:23" x14ac:dyDescent="0.2">
      <c r="A18" s="9"/>
      <c r="B18" s="74">
        <v>1</v>
      </c>
      <c r="C18" s="42" t="str">
        <f>"x"&amp;B18+6&amp;"F"</f>
        <v>x7F</v>
      </c>
      <c r="D18" s="43" t="str">
        <f t="shared" si="0"/>
        <v>HKD1x7F</v>
      </c>
      <c r="E18" s="43" t="str">
        <v>HKD1X7F=PREA</v>
      </c>
      <c r="F18" s="53">
        <v>0.44</v>
      </c>
      <c r="G18" s="53">
        <v>0.54</v>
      </c>
      <c r="H18" s="43">
        <v>0</v>
      </c>
      <c r="I18" s="43">
        <v>0</v>
      </c>
      <c r="J18" s="75">
        <f>_xll.qlMidSafe($F18,$G18)</f>
        <v>0.49</v>
      </c>
      <c r="K18" s="6"/>
      <c r="L18" s="168">
        <v>0.49</v>
      </c>
      <c r="M18" s="6"/>
      <c r="N18" s="94" t="str">
        <f t="shared" si="1"/>
        <v>HKD1x7F_Quote</v>
      </c>
      <c r="O18" s="15">
        <v>0.49</v>
      </c>
      <c r="P18" s="95">
        <f>_xll.qlSimpleQuoteSetValue($N18,$O18/100,Trigger)</f>
        <v>0</v>
      </c>
      <c r="Q18" s="10"/>
      <c r="S18" s="219"/>
      <c r="W18" s="223">
        <f t="shared" si="2"/>
        <v>1.0000000000000009E-3</v>
      </c>
    </row>
    <row r="19" spans="1:23" x14ac:dyDescent="0.2">
      <c r="A19" s="9"/>
      <c r="B19" s="74">
        <v>2</v>
      </c>
      <c r="C19" s="42" t="str">
        <f t="shared" ref="C19:C35" si="3">"x"&amp;B19+6&amp;"F"</f>
        <v>x8F</v>
      </c>
      <c r="D19" s="43" t="str">
        <f t="shared" si="0"/>
        <v>HKD2x8F</v>
      </c>
      <c r="E19" s="43" t="str">
        <v>HKD2X8F=PREA</v>
      </c>
      <c r="F19" s="53">
        <v>0.44</v>
      </c>
      <c r="G19" s="53">
        <v>0.54</v>
      </c>
      <c r="H19" s="43">
        <v>0</v>
      </c>
      <c r="I19" s="43">
        <v>0</v>
      </c>
      <c r="J19" s="75">
        <f>_xll.qlMidSafe($F19,$G19)</f>
        <v>0.49</v>
      </c>
      <c r="K19" s="6"/>
      <c r="L19" s="168">
        <v>0.49</v>
      </c>
      <c r="M19" s="6"/>
      <c r="N19" s="94" t="str">
        <f t="shared" si="1"/>
        <v>HKD2x8F_Quote</v>
      </c>
      <c r="O19" s="15">
        <v>0.49</v>
      </c>
      <c r="P19" s="95">
        <f>_xll.qlSimpleQuoteSetValue($N19,$O19/100,Trigger)</f>
        <v>0</v>
      </c>
      <c r="Q19" s="10"/>
      <c r="S19" s="219"/>
      <c r="W19" s="223">
        <f t="shared" si="2"/>
        <v>1.0000000000000009E-3</v>
      </c>
    </row>
    <row r="20" spans="1:23" x14ac:dyDescent="0.2">
      <c r="A20" s="9"/>
      <c r="B20" s="74">
        <v>3</v>
      </c>
      <c r="C20" s="42" t="str">
        <f t="shared" si="3"/>
        <v>x9F</v>
      </c>
      <c r="D20" s="43" t="str">
        <f t="shared" si="0"/>
        <v>HKD3x9F</v>
      </c>
      <c r="E20" s="43" t="str">
        <v>HKD3X9F=PREA</v>
      </c>
      <c r="F20" s="53">
        <v>0.45</v>
      </c>
      <c r="G20" s="53">
        <v>0.55000000000000004</v>
      </c>
      <c r="H20" s="43">
        <v>0</v>
      </c>
      <c r="I20" s="43">
        <v>0</v>
      </c>
      <c r="J20" s="75">
        <f>_xll.qlMidSafe($F20,$G20)</f>
        <v>0.5</v>
      </c>
      <c r="K20" s="6"/>
      <c r="L20" s="168">
        <v>0.5</v>
      </c>
      <c r="M20" s="6"/>
      <c r="N20" s="94" t="str">
        <f t="shared" si="1"/>
        <v>HKD3x9F_Quote</v>
      </c>
      <c r="O20" s="15">
        <v>0.5</v>
      </c>
      <c r="P20" s="95">
        <f>_xll.qlSimpleQuoteSetValue($N20,$O20/100,Trigger)</f>
        <v>0</v>
      </c>
      <c r="Q20" s="10"/>
      <c r="S20" s="219"/>
      <c r="W20" s="223">
        <f t="shared" si="2"/>
        <v>1.0000000000000009E-3</v>
      </c>
    </row>
    <row r="21" spans="1:23" x14ac:dyDescent="0.2">
      <c r="A21" s="9"/>
      <c r="B21" s="74">
        <v>4</v>
      </c>
      <c r="C21" s="42" t="str">
        <f t="shared" si="3"/>
        <v>x10F</v>
      </c>
      <c r="D21" s="43" t="str">
        <f t="shared" si="0"/>
        <v>HKD4x10F</v>
      </c>
      <c r="E21" s="43" t="str">
        <v>HKD4X10F=PREA</v>
      </c>
      <c r="F21" s="53">
        <v>0.47</v>
      </c>
      <c r="G21" s="53">
        <v>0.56999999999999995</v>
      </c>
      <c r="H21" s="43">
        <v>0</v>
      </c>
      <c r="I21" s="43">
        <v>0</v>
      </c>
      <c r="J21" s="75">
        <f>_xll.qlMidSafe($F21,$G21)</f>
        <v>0.52</v>
      </c>
      <c r="K21" s="6"/>
      <c r="L21" s="168">
        <v>0.52</v>
      </c>
      <c r="M21" s="6"/>
      <c r="N21" s="94" t="str">
        <f t="shared" si="1"/>
        <v>HKD4x10F_Quote</v>
      </c>
      <c r="O21" s="15">
        <v>0.52</v>
      </c>
      <c r="P21" s="95">
        <f>_xll.qlSimpleQuoteSetValue($N21,$O21/100,Trigger)</f>
        <v>0</v>
      </c>
      <c r="Q21" s="10"/>
      <c r="S21" s="219"/>
      <c r="W21" s="223">
        <f t="shared" si="2"/>
        <v>9.9999999999999872E-4</v>
      </c>
    </row>
    <row r="22" spans="1:23" x14ac:dyDescent="0.2">
      <c r="A22" s="9"/>
      <c r="B22" s="74">
        <v>5</v>
      </c>
      <c r="C22" s="42" t="str">
        <f t="shared" si="3"/>
        <v>x11F</v>
      </c>
      <c r="D22" s="43" t="str">
        <f t="shared" si="0"/>
        <v>HKD5x11F</v>
      </c>
      <c r="E22" s="43" t="str">
        <v>HKD5X11F=PREA</v>
      </c>
      <c r="F22" s="53">
        <v>0.48</v>
      </c>
      <c r="G22" s="53">
        <v>0.57999999999999996</v>
      </c>
      <c r="H22" s="43">
        <v>0</v>
      </c>
      <c r="I22" s="43">
        <v>0</v>
      </c>
      <c r="J22" s="75">
        <f>_xll.qlMidSafe($F22,$G22)</f>
        <v>0.53</v>
      </c>
      <c r="K22" s="6"/>
      <c r="L22" s="168">
        <v>0.53</v>
      </c>
      <c r="M22" s="6"/>
      <c r="N22" s="94" t="str">
        <f t="shared" si="1"/>
        <v>HKD5x11F_Quote</v>
      </c>
      <c r="O22" s="15">
        <v>0.53</v>
      </c>
      <c r="P22" s="95">
        <f>_xll.qlSimpleQuoteSetValue($N22,$O22/100,Trigger)</f>
        <v>0</v>
      </c>
      <c r="Q22" s="10"/>
      <c r="S22" s="219"/>
      <c r="W22" s="223">
        <f t="shared" si="2"/>
        <v>9.9999999999999872E-4</v>
      </c>
    </row>
    <row r="23" spans="1:23" x14ac:dyDescent="0.2">
      <c r="A23" s="9"/>
      <c r="B23" s="74">
        <v>6</v>
      </c>
      <c r="C23" s="42" t="str">
        <f t="shared" si="3"/>
        <v>x12F</v>
      </c>
      <c r="D23" s="43" t="str">
        <f t="shared" si="0"/>
        <v>HKD6x12F</v>
      </c>
      <c r="E23" s="43" t="str">
        <v>HKD6X12F=PREA</v>
      </c>
      <c r="F23" s="53">
        <v>0.49</v>
      </c>
      <c r="G23" s="53">
        <v>0.59</v>
      </c>
      <c r="H23" s="43">
        <v>0</v>
      </c>
      <c r="I23" s="43">
        <v>0</v>
      </c>
      <c r="J23" s="75">
        <f>_xll.qlMidSafe($F23,$G23)</f>
        <v>0.54</v>
      </c>
      <c r="K23" s="6"/>
      <c r="L23" s="168">
        <v>0.54</v>
      </c>
      <c r="M23" s="6"/>
      <c r="N23" s="94" t="str">
        <f t="shared" si="1"/>
        <v>HKD6x12F_Quote</v>
      </c>
      <c r="O23" s="15">
        <v>0.54</v>
      </c>
      <c r="P23" s="95">
        <f>_xll.qlSimpleQuoteSetValue($N23,$O23/100,Trigger)</f>
        <v>0</v>
      </c>
      <c r="Q23" s="10"/>
      <c r="S23" s="219"/>
      <c r="W23" s="223">
        <f t="shared" si="2"/>
        <v>9.9999999999999872E-4</v>
      </c>
    </row>
    <row r="24" spans="1:23" x14ac:dyDescent="0.2">
      <c r="A24" s="9"/>
      <c r="B24" s="74">
        <v>7</v>
      </c>
      <c r="C24" s="42" t="str">
        <f t="shared" si="3"/>
        <v>x13F</v>
      </c>
      <c r="D24" s="43" t="str">
        <f t="shared" si="0"/>
        <v>HKD7x13F</v>
      </c>
      <c r="E24" s="43" t="str">
        <v>HKD7X13F=PREA</v>
      </c>
      <c r="F24" s="53" t="s">
        <v>171</v>
      </c>
      <c r="G24" s="53" t="s">
        <v>171</v>
      </c>
      <c r="H24" s="43" t="s">
        <v>171</v>
      </c>
      <c r="I24" s="43" t="s">
        <v>171</v>
      </c>
      <c r="J24" s="75" t="e">
        <f>_xll.qlMidSafe($F24,$G24)</f>
        <v>#NUM!</v>
      </c>
      <c r="K24" s="6"/>
      <c r="L24" s="168" t="e">
        <v>#NUM!</v>
      </c>
      <c r="M24" s="6"/>
      <c r="N24" s="94" t="str">
        <f t="shared" si="1"/>
        <v>HKD7x13F_Quote</v>
      </c>
      <c r="O24" s="15" t="e">
        <v>#NUM!</v>
      </c>
      <c r="P24" s="95" t="e">
        <f>_xll.qlSimpleQuoteSetValue($N24,$O24/100,Trigger)</f>
        <v>#NUM!</v>
      </c>
      <c r="Q24" s="10"/>
      <c r="S24" s="219"/>
      <c r="W24" s="223" t="e">
        <f t="shared" si="2"/>
        <v>#VALUE!</v>
      </c>
    </row>
    <row r="25" spans="1:23" x14ac:dyDescent="0.2">
      <c r="A25" s="9"/>
      <c r="B25" s="74">
        <v>8</v>
      </c>
      <c r="C25" s="42" t="str">
        <f t="shared" si="3"/>
        <v>x14F</v>
      </c>
      <c r="D25" s="43" t="str">
        <f t="shared" si="0"/>
        <v>HKD8x14F</v>
      </c>
      <c r="E25" s="43" t="str">
        <v>HKD8X14F=PREA</v>
      </c>
      <c r="F25" s="53" t="s">
        <v>171</v>
      </c>
      <c r="G25" s="53" t="s">
        <v>171</v>
      </c>
      <c r="H25" s="43" t="s">
        <v>171</v>
      </c>
      <c r="I25" s="43" t="s">
        <v>171</v>
      </c>
      <c r="J25" s="75" t="e">
        <f>_xll.qlMidSafe($F25,$G25)</f>
        <v>#NUM!</v>
      </c>
      <c r="K25" s="6"/>
      <c r="L25" s="168" t="e">
        <v>#NUM!</v>
      </c>
      <c r="M25" s="6"/>
      <c r="N25" s="94" t="str">
        <f t="shared" si="1"/>
        <v>HKD8x14F_Quote</v>
      </c>
      <c r="O25" s="15" t="e">
        <v>#NUM!</v>
      </c>
      <c r="P25" s="95" t="e">
        <f>_xll.qlSimpleQuoteSetValue($N25,$O25/100,Trigger)</f>
        <v>#NUM!</v>
      </c>
      <c r="Q25" s="10"/>
      <c r="S25" s="219"/>
      <c r="W25" s="223" t="e">
        <f t="shared" si="2"/>
        <v>#VALUE!</v>
      </c>
    </row>
    <row r="26" spans="1:23" x14ac:dyDescent="0.2">
      <c r="A26" s="9"/>
      <c r="B26" s="74">
        <v>9</v>
      </c>
      <c r="C26" s="42" t="str">
        <f t="shared" si="3"/>
        <v>x15F</v>
      </c>
      <c r="D26" s="43" t="str">
        <f t="shared" si="0"/>
        <v>HKD9x15F</v>
      </c>
      <c r="E26" s="43" t="str">
        <v>HKD9X15F=PREA</v>
      </c>
      <c r="F26" s="53" t="s">
        <v>171</v>
      </c>
      <c r="G26" s="53" t="s">
        <v>171</v>
      </c>
      <c r="H26" s="43" t="s">
        <v>171</v>
      </c>
      <c r="I26" s="43" t="s">
        <v>171</v>
      </c>
      <c r="J26" s="75" t="e">
        <f>_xll.qlMidSafe($F26,$G26)</f>
        <v>#NUM!</v>
      </c>
      <c r="K26" s="6"/>
      <c r="L26" s="168" t="e">
        <v>#NUM!</v>
      </c>
      <c r="M26" s="6"/>
      <c r="N26" s="94" t="str">
        <f t="shared" si="1"/>
        <v>HKD9x15F_Quote</v>
      </c>
      <c r="O26" s="15" t="e">
        <v>#NUM!</v>
      </c>
      <c r="P26" s="95" t="e">
        <f>_xll.qlSimpleQuoteSetValue($N26,$O26/100,Trigger)</f>
        <v>#NUM!</v>
      </c>
      <c r="Q26" s="10"/>
      <c r="S26" s="219"/>
      <c r="W26" s="223" t="e">
        <f t="shared" si="2"/>
        <v>#VALUE!</v>
      </c>
    </row>
    <row r="27" spans="1:23" x14ac:dyDescent="0.2">
      <c r="A27" s="9"/>
      <c r="B27" s="74">
        <v>10</v>
      </c>
      <c r="C27" s="42" t="str">
        <f t="shared" si="3"/>
        <v>x16F</v>
      </c>
      <c r="D27" s="43" t="str">
        <f t="shared" si="0"/>
        <v>HKD10x16F</v>
      </c>
      <c r="E27" s="43" t="str">
        <v>HKD10X16F=PREA</v>
      </c>
      <c r="F27" s="53" t="s">
        <v>171</v>
      </c>
      <c r="G27" s="53" t="s">
        <v>171</v>
      </c>
      <c r="H27" s="43" t="s">
        <v>171</v>
      </c>
      <c r="I27" s="43" t="s">
        <v>171</v>
      </c>
      <c r="J27" s="75" t="e">
        <f>_xll.qlMidSafe($F27,$G27)</f>
        <v>#NUM!</v>
      </c>
      <c r="K27" s="6"/>
      <c r="L27" s="168" t="e">
        <v>#NUM!</v>
      </c>
      <c r="M27" s="6"/>
      <c r="N27" s="94" t="str">
        <f t="shared" si="1"/>
        <v>HKD10x16F_Quote</v>
      </c>
      <c r="O27" s="15" t="e">
        <v>#NUM!</v>
      </c>
      <c r="P27" s="95" t="e">
        <f>_xll.qlSimpleQuoteSetValue($N27,$O27/100,Trigger)</f>
        <v>#NUM!</v>
      </c>
      <c r="Q27" s="10"/>
      <c r="S27" s="219"/>
      <c r="W27" s="223" t="e">
        <f t="shared" si="2"/>
        <v>#VALUE!</v>
      </c>
    </row>
    <row r="28" spans="1:23" x14ac:dyDescent="0.2">
      <c r="A28" s="9"/>
      <c r="B28" s="74">
        <v>11</v>
      </c>
      <c r="C28" s="42" t="str">
        <f t="shared" si="3"/>
        <v>x17F</v>
      </c>
      <c r="D28" s="43" t="str">
        <f t="shared" si="0"/>
        <v>HKD11x17F</v>
      </c>
      <c r="E28" s="43" t="str">
        <v>HKD11X17F=PREA</v>
      </c>
      <c r="F28" s="53" t="s">
        <v>171</v>
      </c>
      <c r="G28" s="53" t="s">
        <v>171</v>
      </c>
      <c r="H28" s="43" t="s">
        <v>171</v>
      </c>
      <c r="I28" s="43" t="s">
        <v>171</v>
      </c>
      <c r="J28" s="75" t="e">
        <f>_xll.qlMidSafe($F28,$G28)</f>
        <v>#NUM!</v>
      </c>
      <c r="K28" s="6"/>
      <c r="L28" s="168" t="e">
        <v>#NUM!</v>
      </c>
      <c r="M28" s="6"/>
      <c r="N28" s="94" t="str">
        <f t="shared" si="1"/>
        <v>HKD11x17F_Quote</v>
      </c>
      <c r="O28" s="15" t="e">
        <v>#NUM!</v>
      </c>
      <c r="P28" s="95" t="e">
        <f>_xll.qlSimpleQuoteSetValue($N28,$O28/100,Trigger)</f>
        <v>#NUM!</v>
      </c>
      <c r="Q28" s="10"/>
      <c r="W28" s="223" t="e">
        <f t="shared" si="2"/>
        <v>#VALUE!</v>
      </c>
    </row>
    <row r="29" spans="1:23" x14ac:dyDescent="0.2">
      <c r="A29" s="9"/>
      <c r="B29" s="74">
        <v>12</v>
      </c>
      <c r="C29" s="42" t="str">
        <f t="shared" si="3"/>
        <v>x18F</v>
      </c>
      <c r="D29" s="43" t="str">
        <f t="shared" si="0"/>
        <v>HKD12x18F</v>
      </c>
      <c r="E29" s="43" t="str">
        <v>HKD12X18F=PREA</v>
      </c>
      <c r="F29" s="53">
        <v>0.59</v>
      </c>
      <c r="G29" s="53">
        <v>0.69</v>
      </c>
      <c r="H29" s="43">
        <v>0</v>
      </c>
      <c r="I29" s="43">
        <v>0</v>
      </c>
      <c r="J29" s="75">
        <f>_xll.qlMidSafe($F29,$G29)</f>
        <v>0.6399999999999999</v>
      </c>
      <c r="K29" s="6"/>
      <c r="L29" s="168">
        <v>0.6399999999999999</v>
      </c>
      <c r="M29" s="6"/>
      <c r="N29" s="94" t="str">
        <f t="shared" si="1"/>
        <v>HKD12x18F_Quote</v>
      </c>
      <c r="O29" s="15">
        <v>0.6399999999999999</v>
      </c>
      <c r="P29" s="95">
        <f>_xll.qlSimpleQuoteSetValue($N29,$O29/100,Trigger)</f>
        <v>0</v>
      </c>
      <c r="Q29" s="10"/>
      <c r="W29" s="223">
        <f t="shared" si="2"/>
        <v>1.0000000000000009E-3</v>
      </c>
    </row>
    <row r="30" spans="1:23" x14ac:dyDescent="0.2">
      <c r="A30" s="9"/>
      <c r="B30" s="74">
        <v>13</v>
      </c>
      <c r="C30" s="42" t="str">
        <f t="shared" si="3"/>
        <v>x19F</v>
      </c>
      <c r="D30" s="43" t="str">
        <f t="shared" si="0"/>
        <v>HKD13x19F</v>
      </c>
      <c r="E30" s="43" t="str">
        <v>HKD13X19F=PREA</v>
      </c>
      <c r="F30" s="53" t="s">
        <v>171</v>
      </c>
      <c r="G30" s="53" t="s">
        <v>171</v>
      </c>
      <c r="H30" s="43" t="s">
        <v>171</v>
      </c>
      <c r="I30" s="43" t="s">
        <v>171</v>
      </c>
      <c r="J30" s="75" t="e">
        <f>_xll.qlMidSafe($F30,$G30)</f>
        <v>#NUM!</v>
      </c>
      <c r="K30" s="6"/>
      <c r="L30" s="168" t="e">
        <v>#NUM!</v>
      </c>
      <c r="M30" s="6"/>
      <c r="N30" s="94" t="str">
        <f t="shared" si="1"/>
        <v>HKD13x19F_Quote</v>
      </c>
      <c r="O30" s="15" t="e">
        <v>#NUM!</v>
      </c>
      <c r="P30" s="95" t="e">
        <f>_xll.qlSimpleQuoteSetValue($N30,$O30/100,Trigger)</f>
        <v>#NUM!</v>
      </c>
      <c r="Q30" s="10"/>
      <c r="W30" s="223" t="e">
        <f t="shared" si="2"/>
        <v>#VALUE!</v>
      </c>
    </row>
    <row r="31" spans="1:23" x14ac:dyDescent="0.2">
      <c r="A31" s="9"/>
      <c r="B31" s="74">
        <v>14</v>
      </c>
      <c r="C31" s="42" t="str">
        <f t="shared" si="3"/>
        <v>x20F</v>
      </c>
      <c r="D31" s="43" t="str">
        <f t="shared" si="0"/>
        <v>HKD14x20F</v>
      </c>
      <c r="E31" s="43" t="str">
        <v>HKD14X20F=PREA</v>
      </c>
      <c r="F31" s="53" t="s">
        <v>171</v>
      </c>
      <c r="G31" s="53" t="s">
        <v>171</v>
      </c>
      <c r="H31" s="43" t="s">
        <v>171</v>
      </c>
      <c r="I31" s="43" t="s">
        <v>171</v>
      </c>
      <c r="J31" s="75" t="e">
        <f>_xll.qlMidSafe($F31,$G31)</f>
        <v>#NUM!</v>
      </c>
      <c r="K31" s="6"/>
      <c r="L31" s="168" t="e">
        <v>#NUM!</v>
      </c>
      <c r="M31" s="6"/>
      <c r="N31" s="94" t="str">
        <f t="shared" si="1"/>
        <v>HKD14x20F_Quote</v>
      </c>
      <c r="O31" s="15" t="e">
        <v>#NUM!</v>
      </c>
      <c r="P31" s="95" t="e">
        <f>_xll.qlSimpleQuoteSetValue($N31,$O31/100,Trigger)</f>
        <v>#NUM!</v>
      </c>
      <c r="Q31" s="10"/>
      <c r="W31" s="223" t="e">
        <f t="shared" si="2"/>
        <v>#VALUE!</v>
      </c>
    </row>
    <row r="32" spans="1:23" x14ac:dyDescent="0.2">
      <c r="A32" s="9"/>
      <c r="B32" s="74">
        <v>15</v>
      </c>
      <c r="C32" s="42" t="str">
        <f t="shared" si="3"/>
        <v>x21F</v>
      </c>
      <c r="D32" s="43" t="str">
        <f t="shared" si="0"/>
        <v>HKD15x21F</v>
      </c>
      <c r="E32" s="43" t="str">
        <v>HKD15X21F=PREA</v>
      </c>
      <c r="F32" s="53" t="s">
        <v>171</v>
      </c>
      <c r="G32" s="53" t="s">
        <v>171</v>
      </c>
      <c r="H32" s="43" t="s">
        <v>171</v>
      </c>
      <c r="I32" s="43" t="s">
        <v>171</v>
      </c>
      <c r="J32" s="75" t="e">
        <f>_xll.qlMidSafe($F32,$G32)</f>
        <v>#NUM!</v>
      </c>
      <c r="K32" s="6"/>
      <c r="L32" s="168" t="e">
        <v>#NUM!</v>
      </c>
      <c r="M32" s="6"/>
      <c r="N32" s="94" t="str">
        <f t="shared" si="1"/>
        <v>HKD15x21F_Quote</v>
      </c>
      <c r="O32" s="15" t="e">
        <v>#NUM!</v>
      </c>
      <c r="P32" s="95" t="e">
        <f>_xll.qlSimpleQuoteSetValue($N32,$O32/100,Trigger)</f>
        <v>#NUM!</v>
      </c>
      <c r="Q32" s="10"/>
      <c r="W32" s="223" t="e">
        <f t="shared" si="2"/>
        <v>#VALUE!</v>
      </c>
    </row>
    <row r="33" spans="1:23" x14ac:dyDescent="0.2">
      <c r="A33" s="9"/>
      <c r="B33" s="74">
        <v>16</v>
      </c>
      <c r="C33" s="42" t="str">
        <f t="shared" si="3"/>
        <v>x22F</v>
      </c>
      <c r="D33" s="43" t="str">
        <f t="shared" si="0"/>
        <v>HKD16x22F</v>
      </c>
      <c r="E33" s="43" t="str">
        <v>HKD16X22F=PREA</v>
      </c>
      <c r="F33" s="53" t="s">
        <v>171</v>
      </c>
      <c r="G33" s="53" t="s">
        <v>171</v>
      </c>
      <c r="H33" s="43" t="s">
        <v>171</v>
      </c>
      <c r="I33" s="43" t="s">
        <v>171</v>
      </c>
      <c r="J33" s="75" t="e">
        <f>_xll.qlMidSafe($F33,$G33)</f>
        <v>#NUM!</v>
      </c>
      <c r="K33" s="6"/>
      <c r="L33" s="168" t="e">
        <v>#NUM!</v>
      </c>
      <c r="M33" s="6"/>
      <c r="N33" s="94" t="str">
        <f t="shared" si="1"/>
        <v>HKD16x22F_Quote</v>
      </c>
      <c r="O33" s="15" t="e">
        <v>#NUM!</v>
      </c>
      <c r="P33" s="95" t="e">
        <f>_xll.qlSimpleQuoteSetValue($N33,$O33/100,Trigger)</f>
        <v>#NUM!</v>
      </c>
      <c r="Q33" s="10"/>
      <c r="W33" s="223" t="e">
        <f t="shared" si="2"/>
        <v>#VALUE!</v>
      </c>
    </row>
    <row r="34" spans="1:23" x14ac:dyDescent="0.2">
      <c r="A34" s="9"/>
      <c r="B34" s="74">
        <v>17</v>
      </c>
      <c r="C34" s="42" t="str">
        <f t="shared" si="3"/>
        <v>x23F</v>
      </c>
      <c r="D34" s="43" t="str">
        <f t="shared" si="0"/>
        <v>HKD17x23F</v>
      </c>
      <c r="E34" s="43" t="str">
        <v>HKD17X23F=PREA</v>
      </c>
      <c r="F34" s="53" t="s">
        <v>171</v>
      </c>
      <c r="G34" s="53" t="s">
        <v>171</v>
      </c>
      <c r="H34" s="43" t="s">
        <v>171</v>
      </c>
      <c r="I34" s="43" t="s">
        <v>171</v>
      </c>
      <c r="J34" s="75" t="e">
        <f>_xll.qlMidSafe($F34,$G34)</f>
        <v>#NUM!</v>
      </c>
      <c r="K34" s="6"/>
      <c r="L34" s="168" t="e">
        <v>#NUM!</v>
      </c>
      <c r="M34" s="6"/>
      <c r="N34" s="94" t="str">
        <f t="shared" si="1"/>
        <v>HKD17x23F_Quote</v>
      </c>
      <c r="O34" s="15" t="e">
        <v>#NUM!</v>
      </c>
      <c r="P34" s="95" t="e">
        <f>_xll.qlSimpleQuoteSetValue($N34,$O34/100,Trigger)</f>
        <v>#NUM!</v>
      </c>
      <c r="Q34" s="10"/>
      <c r="W34" s="223" t="e">
        <f t="shared" si="2"/>
        <v>#VALUE!</v>
      </c>
    </row>
    <row r="35" spans="1:23" x14ac:dyDescent="0.2">
      <c r="A35" s="9"/>
      <c r="B35" s="74">
        <v>18</v>
      </c>
      <c r="C35" s="42" t="str">
        <f t="shared" si="3"/>
        <v>x24F</v>
      </c>
      <c r="D35" s="43" t="str">
        <f t="shared" si="0"/>
        <v>HKD18x24F</v>
      </c>
      <c r="E35" s="43" t="str">
        <v>HKD18X24F=PREA</v>
      </c>
      <c r="F35" s="53">
        <v>0.76</v>
      </c>
      <c r="G35" s="53">
        <v>0.86</v>
      </c>
      <c r="H35" s="43">
        <v>0</v>
      </c>
      <c r="I35" s="43">
        <v>0</v>
      </c>
      <c r="J35" s="75">
        <f>_xll.qlMidSafe($F35,$G35)</f>
        <v>0.81</v>
      </c>
      <c r="K35" s="6"/>
      <c r="L35" s="168">
        <v>0.81</v>
      </c>
      <c r="M35" s="6"/>
      <c r="N35" s="94" t="str">
        <f t="shared" si="1"/>
        <v>HKD18x24F_Quote</v>
      </c>
      <c r="O35" s="15">
        <v>0.81</v>
      </c>
      <c r="P35" s="95">
        <f>_xll.qlSimpleQuoteSetValue($N35,$O35/100,Trigger)</f>
        <v>0</v>
      </c>
      <c r="Q35" s="10"/>
      <c r="W35" s="223">
        <f t="shared" si="2"/>
        <v>9.9999999999999872E-4</v>
      </c>
    </row>
    <row r="36" spans="1:23" x14ac:dyDescent="0.2">
      <c r="A36" s="9"/>
      <c r="B36" s="253">
        <v>12</v>
      </c>
      <c r="C36" s="254" t="str">
        <f>"x"&amp;B36+12&amp;"F"</f>
        <v>x24F</v>
      </c>
      <c r="D36" s="255" t="str">
        <f t="shared" si="0"/>
        <v>HKD12x24F</v>
      </c>
      <c r="E36" s="255" t="str">
        <v>HKD12X24F=PREA</v>
      </c>
      <c r="F36" s="256" t="s">
        <v>171</v>
      </c>
      <c r="G36" s="256" t="s">
        <v>171</v>
      </c>
      <c r="H36" s="255" t="s">
        <v>171</v>
      </c>
      <c r="I36" s="255" t="s">
        <v>171</v>
      </c>
      <c r="J36" s="257" t="e">
        <f>_xll.qlMidSafe($F36,$G36)</f>
        <v>#NUM!</v>
      </c>
      <c r="K36" s="6"/>
      <c r="L36" s="258" t="e">
        <v>#NUM!</v>
      </c>
      <c r="M36" s="6"/>
      <c r="N36" s="259" t="str">
        <f t="shared" si="1"/>
        <v>HKD12x24F_Quote</v>
      </c>
      <c r="O36" s="260" t="e">
        <v>#NUM!</v>
      </c>
      <c r="P36" s="261" t="e">
        <f>_xll.qlSimpleQuoteSetValue($N36,$O36/100,Trigger)</f>
        <v>#NUM!</v>
      </c>
      <c r="Q36" s="10"/>
      <c r="W36" s="223" t="e">
        <f t="shared" si="2"/>
        <v>#VALUE!</v>
      </c>
    </row>
    <row r="37" spans="1:23" ht="12" thickBot="1" x14ac:dyDescent="0.25">
      <c r="A37" s="11"/>
      <c r="B37" s="243"/>
      <c r="C37" s="243"/>
      <c r="D37" s="243"/>
      <c r="E37" s="243"/>
      <c r="F37" s="243"/>
      <c r="G37" s="243"/>
      <c r="H37" s="243"/>
      <c r="I37" s="243"/>
      <c r="J37" s="243"/>
      <c r="K37" s="12"/>
      <c r="L37" s="243"/>
      <c r="M37" s="12"/>
      <c r="N37" s="243"/>
      <c r="O37" s="243"/>
      <c r="P37" s="243"/>
      <c r="Q37" s="13"/>
    </row>
    <row r="40" spans="1:23" ht="12.75" x14ac:dyDescent="0.2">
      <c r="P40" t="e">
        <f ca="1">_xll.RtGet("IDN","HKD1X7F=","SEC_ACT_1")</f>
        <v>#NAME?</v>
      </c>
    </row>
    <row r="41" spans="1:23" ht="12.75" x14ac:dyDescent="0.2">
      <c r="P41" t="e">
        <f ca="1">_xll.RtGet("IDN","HKD1X4F=","PRIMACT_1")</f>
        <v>#NAME?</v>
      </c>
    </row>
    <row r="44" spans="1:23" x14ac:dyDescent="0.2">
      <c r="E44" s="44" t="s">
        <v>186</v>
      </c>
      <c r="G44" s="44" t="s">
        <v>186</v>
      </c>
      <c r="H44" s="44" t="s">
        <v>187</v>
      </c>
      <c r="I44" s="44" t="s">
        <v>188</v>
      </c>
      <c r="J44" s="44" t="s">
        <v>189</v>
      </c>
      <c r="K44" s="44" t="s">
        <v>190</v>
      </c>
      <c r="L44" s="44" t="s">
        <v>191</v>
      </c>
      <c r="M44" s="44" t="s">
        <v>183</v>
      </c>
      <c r="N44" s="44" t="s">
        <v>184</v>
      </c>
      <c r="O44" s="44" t="s">
        <v>185</v>
      </c>
    </row>
    <row r="45" spans="1:23" x14ac:dyDescent="0.2">
      <c r="E45" s="44" t="s">
        <v>187</v>
      </c>
    </row>
    <row r="46" spans="1:23" x14ac:dyDescent="0.2">
      <c r="E46" s="44" t="s">
        <v>188</v>
      </c>
    </row>
    <row r="47" spans="1:23" x14ac:dyDescent="0.2">
      <c r="E47" s="44" t="s">
        <v>189</v>
      </c>
    </row>
    <row r="48" spans="1:23" x14ac:dyDescent="0.2">
      <c r="E48" s="44" t="s">
        <v>190</v>
      </c>
    </row>
    <row r="49" spans="5:5" x14ac:dyDescent="0.2">
      <c r="E49" s="44" t="s">
        <v>191</v>
      </c>
    </row>
    <row r="50" spans="5:5" x14ac:dyDescent="0.2">
      <c r="E50" s="44" t="s">
        <v>183</v>
      </c>
    </row>
    <row r="51" spans="5:5" x14ac:dyDescent="0.2">
      <c r="E51" s="44" t="s">
        <v>184</v>
      </c>
    </row>
    <row r="52" spans="5:5" x14ac:dyDescent="0.2">
      <c r="E52" s="44" t="s">
        <v>185</v>
      </c>
    </row>
  </sheetData>
  <phoneticPr fontId="4" type="noConversion"/>
  <dataValidations count="1">
    <dataValidation type="list" showInputMessage="1" showErrorMessage="1" sqref="E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X18"/>
  <sheetViews>
    <sheetView workbookViewId="0"/>
  </sheetViews>
  <sheetFormatPr defaultRowHeight="11.25" x14ac:dyDescent="0.2"/>
  <cols>
    <col min="1" max="1" width="2.85546875" style="29" customWidth="1"/>
    <col min="2" max="2" width="2.7109375" style="29" bestFit="1" customWidth="1"/>
    <col min="3" max="3" width="5.7109375" style="29" customWidth="1"/>
    <col min="4" max="4" width="6.140625" style="29" bestFit="1" customWidth="1"/>
    <col min="5" max="5" width="14.28515625" style="29" bestFit="1" customWidth="1"/>
    <col min="6" max="6" width="8.85546875" style="29" bestFit="1" customWidth="1"/>
    <col min="7" max="7" width="10.5703125" style="29" bestFit="1" customWidth="1"/>
    <col min="8" max="10" width="6.5703125" style="29" bestFit="1" customWidth="1"/>
    <col min="11" max="11" width="9.7109375" style="29" customWidth="1"/>
    <col min="12" max="12" width="6.5703125" style="29" bestFit="1" customWidth="1"/>
    <col min="13" max="13" width="2.85546875" style="29" customWidth="1"/>
    <col min="14" max="14" width="6.5703125" style="29" customWidth="1"/>
    <col min="15" max="15" width="2.85546875" style="29" customWidth="1"/>
    <col min="16" max="16" width="15.85546875" style="29" bestFit="1" customWidth="1"/>
    <col min="17" max="17" width="7.7109375" style="29" bestFit="1" customWidth="1"/>
    <col min="18" max="18" width="7" style="29" bestFit="1" customWidth="1"/>
    <col min="19" max="20" width="2.85546875" style="29" customWidth="1"/>
    <col min="21" max="21" width="4.7109375" style="29" bestFit="1" customWidth="1"/>
    <col min="22" max="22" width="6" style="29" bestFit="1" customWidth="1"/>
    <col min="23" max="16384" width="9.140625" style="29"/>
  </cols>
  <sheetData>
    <row r="1" spans="1:24" ht="12.75" customHeight="1" x14ac:dyDescent="0.2">
      <c r="A1" s="30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54"/>
      <c r="N1" s="54"/>
      <c r="O1" s="31"/>
      <c r="P1" s="31"/>
      <c r="Q1" s="31"/>
      <c r="R1" s="31"/>
      <c r="S1" s="55"/>
    </row>
    <row r="2" spans="1:24" ht="12.75" customHeight="1" x14ac:dyDescent="0.2">
      <c r="A2" s="33"/>
      <c r="B2" s="34"/>
      <c r="C2" s="56"/>
      <c r="D2" s="56"/>
      <c r="E2" s="34"/>
      <c r="F2" s="34"/>
      <c r="G2" s="34"/>
      <c r="H2" s="34"/>
      <c r="I2" s="34"/>
      <c r="J2" s="34"/>
      <c r="K2" s="34"/>
      <c r="L2" s="34"/>
      <c r="M2" s="57"/>
      <c r="N2" s="57"/>
      <c r="O2" s="34"/>
      <c r="P2" s="112" t="s">
        <v>79</v>
      </c>
      <c r="Q2" s="111" t="s">
        <v>34</v>
      </c>
      <c r="R2" s="34"/>
      <c r="S2" s="58"/>
    </row>
    <row r="3" spans="1:24" ht="12.75" customHeight="1" x14ac:dyDescent="0.2">
      <c r="A3" s="33"/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57"/>
      <c r="N3" s="57"/>
      <c r="O3" s="34"/>
      <c r="Q3" s="34"/>
      <c r="R3" s="34"/>
      <c r="S3" s="58"/>
    </row>
    <row r="4" spans="1:24" ht="12.75" customHeight="1" thickBot="1" x14ac:dyDescent="0.25">
      <c r="A4" s="33"/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57"/>
      <c r="N4" s="57"/>
      <c r="O4" s="34"/>
      <c r="P4" s="57" t="s">
        <v>152</v>
      </c>
      <c r="Q4" s="34"/>
      <c r="R4" s="28">
        <f>_xll.ohTrigger(R6:R17)</f>
        <v>13</v>
      </c>
      <c r="S4" s="58"/>
    </row>
    <row r="5" spans="1:24" ht="22.5" x14ac:dyDescent="0.2">
      <c r="A5" s="33"/>
      <c r="B5" s="126" t="s">
        <v>21</v>
      </c>
      <c r="C5" s="127" t="s">
        <v>32</v>
      </c>
      <c r="D5" s="127" t="s">
        <v>23</v>
      </c>
      <c r="E5" s="127" t="s">
        <v>35</v>
      </c>
      <c r="F5" s="128" t="e">
        <f ca="1">_xll.RData(F6:F17,G5:K5,,ReutersRtMode,,G6)</f>
        <v>#NAME?</v>
      </c>
      <c r="G5" s="127" t="s">
        <v>20</v>
      </c>
      <c r="H5" s="127" t="s">
        <v>0</v>
      </c>
      <c r="I5" s="127" t="s">
        <v>1</v>
      </c>
      <c r="J5" s="127" t="s">
        <v>25</v>
      </c>
      <c r="K5" s="127" t="s">
        <v>26</v>
      </c>
      <c r="L5" s="129" t="s">
        <v>128</v>
      </c>
      <c r="M5" s="57"/>
      <c r="N5" s="130" t="s">
        <v>105</v>
      </c>
      <c r="O5" s="57"/>
      <c r="P5" s="131" t="s">
        <v>31</v>
      </c>
      <c r="Q5" s="127" t="s">
        <v>17</v>
      </c>
      <c r="R5" s="132" t="s">
        <v>24</v>
      </c>
      <c r="S5" s="35"/>
      <c r="U5" s="69" t="s">
        <v>107</v>
      </c>
      <c r="V5" s="70" t="s">
        <v>108</v>
      </c>
      <c r="X5" s="222" t="s">
        <v>142</v>
      </c>
    </row>
    <row r="6" spans="1:24" ht="12.75" customHeight="1" x14ac:dyDescent="0.2">
      <c r="A6" s="59"/>
      <c r="B6" s="140">
        <v>1</v>
      </c>
      <c r="C6" s="141" t="b">
        <v>0</v>
      </c>
      <c r="D6" s="142" t="str">
        <f t="array" ref="D6:D17">_xll.qlIMMcode(FuturesDates)</f>
        <v>X3</v>
      </c>
      <c r="E6" s="143">
        <f t="array" ref="E6:E17">_xll.qlIMMNextDates(_xll.qlSettingsEvaluationDate(Trigger)-1,$C6:$C17)</f>
        <v>41598</v>
      </c>
      <c r="F6" s="142" t="str">
        <f t="array" ref="F6:F17">VLOOKUP(Currency,LiffeCodes,2)&amp;FuturesCodes</f>
        <v>X3</v>
      </c>
      <c r="G6" s="144" t="s">
        <v>171</v>
      </c>
      <c r="H6" s="142" t="s">
        <v>171</v>
      </c>
      <c r="I6" s="142" t="s">
        <v>171</v>
      </c>
      <c r="J6" s="142" t="s">
        <v>171</v>
      </c>
      <c r="K6" s="142" t="s">
        <v>171</v>
      </c>
      <c r="L6" s="145" t="e">
        <f>_xll.qlMidSafe($H6,$I6)</f>
        <v>#NUM!</v>
      </c>
      <c r="M6" s="57"/>
      <c r="N6" s="154" t="e">
        <v>#NUM!</v>
      </c>
      <c r="O6" s="57"/>
      <c r="P6" s="158" t="str">
        <f t="array" ref="P6:P17">Currency&amp;$P$4&amp;FuturesCodes&amp;$Q$2</f>
        <v>HKDFUT1MX3_Quote</v>
      </c>
      <c r="Q6" s="142" t="e">
        <f t="array" ref="Q6:Q17">QuoteLive</f>
        <v>#NUM!</v>
      </c>
      <c r="R6" s="145" t="e">
        <f>_xll.qlSimpleQuoteSetValue($P6,$Q6,Trigger)</f>
        <v>#NUM!</v>
      </c>
      <c r="S6" s="35"/>
      <c r="U6" s="65" t="s">
        <v>114</v>
      </c>
      <c r="V6" s="66"/>
      <c r="X6" s="225" t="e">
        <f>(I6-L6)/50</f>
        <v>#VALUE!</v>
      </c>
    </row>
    <row r="7" spans="1:24" x14ac:dyDescent="0.2">
      <c r="A7" s="59"/>
      <c r="B7" s="146">
        <v>2</v>
      </c>
      <c r="C7" s="60" t="b">
        <v>0</v>
      </c>
      <c r="D7" s="61" t="str">
        <v>Z3</v>
      </c>
      <c r="E7" s="62">
        <v>41626</v>
      </c>
      <c r="F7" s="61" t="str">
        <v>Z3</v>
      </c>
      <c r="G7" s="63" t="s">
        <v>171</v>
      </c>
      <c r="H7" s="61" t="s">
        <v>171</v>
      </c>
      <c r="I7" s="61" t="s">
        <v>171</v>
      </c>
      <c r="J7" s="61" t="s">
        <v>171</v>
      </c>
      <c r="K7" s="61" t="s">
        <v>171</v>
      </c>
      <c r="L7" s="147" t="e">
        <f>_xll.qlMidSafe($H7,$I7)</f>
        <v>#NUM!</v>
      </c>
      <c r="M7" s="57"/>
      <c r="N7" s="155" t="e">
        <v>#NUM!</v>
      </c>
      <c r="O7" s="57"/>
      <c r="P7" s="159" t="str">
        <v>HKDFUT1MZ3_Quote</v>
      </c>
      <c r="Q7" s="61" t="e">
        <v>#NUM!</v>
      </c>
      <c r="R7" s="147" t="e">
        <f>_xll.qlSimpleQuoteSetValue($P7,$Q7,Trigger)</f>
        <v>#NUM!</v>
      </c>
      <c r="S7" s="35"/>
      <c r="U7" s="65" t="s">
        <v>15</v>
      </c>
      <c r="V7" s="66"/>
      <c r="X7" s="225" t="e">
        <f t="shared" ref="X7:X17" si="0">(I7-L7)/50</f>
        <v>#VALUE!</v>
      </c>
    </row>
    <row r="8" spans="1:24" x14ac:dyDescent="0.2">
      <c r="A8" s="59"/>
      <c r="B8" s="146">
        <v>3</v>
      </c>
      <c r="C8" s="60" t="b">
        <v>0</v>
      </c>
      <c r="D8" s="61" t="str">
        <v>F4</v>
      </c>
      <c r="E8" s="62">
        <v>41654</v>
      </c>
      <c r="F8" s="61" t="str">
        <v>F4</v>
      </c>
      <c r="G8" s="63" t="s">
        <v>171</v>
      </c>
      <c r="H8" s="61" t="s">
        <v>171</v>
      </c>
      <c r="I8" s="61" t="s">
        <v>171</v>
      </c>
      <c r="J8" s="61" t="s">
        <v>171</v>
      </c>
      <c r="K8" s="61" t="s">
        <v>171</v>
      </c>
      <c r="L8" s="147" t="e">
        <f>_xll.qlMidSafe($H8,$I8)</f>
        <v>#NUM!</v>
      </c>
      <c r="M8" s="57"/>
      <c r="N8" s="155" t="e">
        <v>#NUM!</v>
      </c>
      <c r="O8" s="57"/>
      <c r="P8" s="159" t="str">
        <v>HKDFUT1MF4_Quote</v>
      </c>
      <c r="Q8" s="61" t="e">
        <v>#NUM!</v>
      </c>
      <c r="R8" s="147" t="e">
        <f>_xll.qlSimpleQuoteSetValue($P8,$Q8,Trigger)</f>
        <v>#NUM!</v>
      </c>
      <c r="S8" s="35"/>
      <c r="U8" s="65" t="s">
        <v>111</v>
      </c>
      <c r="V8" s="66"/>
      <c r="X8" s="225" t="e">
        <f t="shared" si="0"/>
        <v>#VALUE!</v>
      </c>
    </row>
    <row r="9" spans="1:24" x14ac:dyDescent="0.2">
      <c r="A9" s="59"/>
      <c r="B9" s="146">
        <v>4</v>
      </c>
      <c r="C9" s="60" t="b">
        <v>0</v>
      </c>
      <c r="D9" s="61" t="str">
        <v>G4</v>
      </c>
      <c r="E9" s="62">
        <v>41689</v>
      </c>
      <c r="F9" s="61" t="str">
        <v>G4</v>
      </c>
      <c r="G9" s="63" t="s">
        <v>171</v>
      </c>
      <c r="H9" s="61" t="s">
        <v>171</v>
      </c>
      <c r="I9" s="61" t="s">
        <v>171</v>
      </c>
      <c r="J9" s="61" t="s">
        <v>171</v>
      </c>
      <c r="K9" s="61" t="s">
        <v>171</v>
      </c>
      <c r="L9" s="147" t="e">
        <f>_xll.qlMidSafe($H9,$I9)</f>
        <v>#NUM!</v>
      </c>
      <c r="M9" s="57"/>
      <c r="N9" s="155" t="e">
        <v>#NUM!</v>
      </c>
      <c r="O9" s="57"/>
      <c r="P9" s="159" t="str">
        <v>HKDFUT1MG4_Quote</v>
      </c>
      <c r="Q9" s="61" t="e">
        <v>#NUM!</v>
      </c>
      <c r="R9" s="147" t="e">
        <f>_xll.qlSimpleQuoteSetValue($P9,$Q9,Trigger)</f>
        <v>#NUM!</v>
      </c>
      <c r="S9" s="35"/>
      <c r="U9" s="65" t="s">
        <v>113</v>
      </c>
      <c r="V9" s="66"/>
      <c r="X9" s="225" t="e">
        <f t="shared" si="0"/>
        <v>#VALUE!</v>
      </c>
    </row>
    <row r="10" spans="1:24" ht="12" thickBot="1" x14ac:dyDescent="0.25">
      <c r="A10" s="59"/>
      <c r="B10" s="146">
        <v>5</v>
      </c>
      <c r="C10" s="60" t="b">
        <v>0</v>
      </c>
      <c r="D10" s="61" t="str">
        <v>H4</v>
      </c>
      <c r="E10" s="62">
        <v>41717</v>
      </c>
      <c r="F10" s="61" t="str">
        <v>H4</v>
      </c>
      <c r="G10" s="63" t="s">
        <v>171</v>
      </c>
      <c r="H10" s="61" t="s">
        <v>171</v>
      </c>
      <c r="I10" s="61" t="s">
        <v>171</v>
      </c>
      <c r="J10" s="61" t="s">
        <v>171</v>
      </c>
      <c r="K10" s="61" t="s">
        <v>171</v>
      </c>
      <c r="L10" s="147" t="e">
        <f>_xll.qlMidSafe($H10,$I10)</f>
        <v>#NUM!</v>
      </c>
      <c r="M10" s="57"/>
      <c r="N10" s="156" t="e">
        <v>#NUM!</v>
      </c>
      <c r="O10" s="57"/>
      <c r="P10" s="159" t="str">
        <v>HKDFUT1MH4_Quote</v>
      </c>
      <c r="Q10" s="61" t="e">
        <v>#NUM!</v>
      </c>
      <c r="R10" s="147" t="e">
        <f>_xll.qlSimpleQuoteSetValue($P10,$Q10,Trigger)</f>
        <v>#NUM!</v>
      </c>
      <c r="S10" s="35"/>
      <c r="U10" s="67" t="s">
        <v>106</v>
      </c>
      <c r="V10" s="68" t="s">
        <v>122</v>
      </c>
      <c r="X10" s="225" t="e">
        <f t="shared" si="0"/>
        <v>#VALUE!</v>
      </c>
    </row>
    <row r="11" spans="1:24" x14ac:dyDescent="0.2">
      <c r="A11" s="59"/>
      <c r="B11" s="146">
        <v>6</v>
      </c>
      <c r="C11" s="60" t="b">
        <v>0</v>
      </c>
      <c r="D11" s="61" t="str">
        <v>J4</v>
      </c>
      <c r="E11" s="62">
        <v>41745</v>
      </c>
      <c r="F11" s="61" t="str">
        <v>J4</v>
      </c>
      <c r="G11" s="63" t="s">
        <v>171</v>
      </c>
      <c r="H11" s="61" t="s">
        <v>171</v>
      </c>
      <c r="I11" s="61" t="s">
        <v>171</v>
      </c>
      <c r="J11" s="61" t="s">
        <v>171</v>
      </c>
      <c r="K11" s="61" t="s">
        <v>171</v>
      </c>
      <c r="L11" s="147" t="e">
        <f>_xll.qlMidSafe($H11,$I11)</f>
        <v>#NUM!</v>
      </c>
      <c r="M11" s="57"/>
      <c r="N11" s="156" t="e">
        <v>#NUM!</v>
      </c>
      <c r="O11" s="57"/>
      <c r="P11" s="159" t="str">
        <v>HKDFUT1MJ4_Quote</v>
      </c>
      <c r="Q11" s="61" t="e">
        <v>#NUM!</v>
      </c>
      <c r="R11" s="147" t="e">
        <f>_xll.qlSimpleQuoteSetValue($P11,$Q11,Trigger)</f>
        <v>#NUM!</v>
      </c>
      <c r="S11" s="35"/>
      <c r="X11" s="225" t="e">
        <f t="shared" si="0"/>
        <v>#VALUE!</v>
      </c>
    </row>
    <row r="12" spans="1:24" x14ac:dyDescent="0.2">
      <c r="A12" s="59"/>
      <c r="B12" s="146">
        <v>7</v>
      </c>
      <c r="C12" s="60" t="b">
        <v>0</v>
      </c>
      <c r="D12" s="61" t="str">
        <v>K4</v>
      </c>
      <c r="E12" s="62">
        <v>41780</v>
      </c>
      <c r="F12" s="61" t="str">
        <v>K4</v>
      </c>
      <c r="G12" s="63" t="s">
        <v>171</v>
      </c>
      <c r="H12" s="61" t="s">
        <v>171</v>
      </c>
      <c r="I12" s="61" t="s">
        <v>171</v>
      </c>
      <c r="J12" s="61" t="s">
        <v>171</v>
      </c>
      <c r="K12" s="61" t="s">
        <v>171</v>
      </c>
      <c r="L12" s="147" t="e">
        <f>_xll.qlMidSafe($H12,$I12)</f>
        <v>#NUM!</v>
      </c>
      <c r="M12" s="57"/>
      <c r="N12" s="156" t="e">
        <v>#NUM!</v>
      </c>
      <c r="O12" s="57"/>
      <c r="P12" s="159" t="str">
        <v>HKDFUT1MK4_Quote</v>
      </c>
      <c r="Q12" s="61" t="e">
        <v>#NUM!</v>
      </c>
      <c r="R12" s="147" t="e">
        <f>_xll.qlSimpleQuoteSetValue($P12,$Q12,Trigger)</f>
        <v>#NUM!</v>
      </c>
      <c r="S12" s="35"/>
      <c r="X12" s="225" t="e">
        <f t="shared" si="0"/>
        <v>#VALUE!</v>
      </c>
    </row>
    <row r="13" spans="1:24" x14ac:dyDescent="0.2">
      <c r="A13" s="59"/>
      <c r="B13" s="146">
        <v>8</v>
      </c>
      <c r="C13" s="60" t="b">
        <v>0</v>
      </c>
      <c r="D13" s="61" t="str">
        <v>M4</v>
      </c>
      <c r="E13" s="62">
        <v>41808</v>
      </c>
      <c r="F13" s="61" t="str">
        <v>M4</v>
      </c>
      <c r="G13" s="63" t="s">
        <v>171</v>
      </c>
      <c r="H13" s="61" t="s">
        <v>171</v>
      </c>
      <c r="I13" s="61" t="s">
        <v>171</v>
      </c>
      <c r="J13" s="61" t="s">
        <v>171</v>
      </c>
      <c r="K13" s="61" t="s">
        <v>171</v>
      </c>
      <c r="L13" s="147" t="e">
        <f>_xll.qlMidSafe($H13,$I13)</f>
        <v>#NUM!</v>
      </c>
      <c r="M13" s="57"/>
      <c r="N13" s="156" t="e">
        <v>#NUM!</v>
      </c>
      <c r="O13" s="57"/>
      <c r="P13" s="159" t="str">
        <v>HKDFUT1MM4_Quote</v>
      </c>
      <c r="Q13" s="61" t="e">
        <v>#NUM!</v>
      </c>
      <c r="R13" s="147" t="e">
        <f>_xll.qlSimpleQuoteSetValue($P13,$Q13,Trigger)</f>
        <v>#NUM!</v>
      </c>
      <c r="S13" s="35"/>
      <c r="X13" s="225" t="e">
        <f t="shared" si="0"/>
        <v>#VALUE!</v>
      </c>
    </row>
    <row r="14" spans="1:24" x14ac:dyDescent="0.2">
      <c r="A14" s="59"/>
      <c r="B14" s="146">
        <v>9</v>
      </c>
      <c r="C14" s="60" t="b">
        <v>0</v>
      </c>
      <c r="D14" s="61" t="str">
        <v>N4</v>
      </c>
      <c r="E14" s="62">
        <v>41836</v>
      </c>
      <c r="F14" s="61" t="str">
        <v>N4</v>
      </c>
      <c r="G14" s="63" t="s">
        <v>171</v>
      </c>
      <c r="H14" s="61" t="s">
        <v>171</v>
      </c>
      <c r="I14" s="61" t="s">
        <v>171</v>
      </c>
      <c r="J14" s="61" t="s">
        <v>171</v>
      </c>
      <c r="K14" s="61" t="s">
        <v>171</v>
      </c>
      <c r="L14" s="147" t="e">
        <f>_xll.qlMidSafe($H14,$I14)</f>
        <v>#NUM!</v>
      </c>
      <c r="M14" s="57"/>
      <c r="N14" s="156" t="e">
        <v>#NUM!</v>
      </c>
      <c r="O14" s="57"/>
      <c r="P14" s="159" t="str">
        <v>HKDFUT1MN4_Quote</v>
      </c>
      <c r="Q14" s="61" t="e">
        <v>#NUM!</v>
      </c>
      <c r="R14" s="147" t="e">
        <f>_xll.qlSimpleQuoteSetValue($P14,$Q14,Trigger)</f>
        <v>#NUM!</v>
      </c>
      <c r="S14" s="35"/>
      <c r="X14" s="225" t="e">
        <f t="shared" si="0"/>
        <v>#VALUE!</v>
      </c>
    </row>
    <row r="15" spans="1:24" x14ac:dyDescent="0.2">
      <c r="A15" s="59"/>
      <c r="B15" s="146">
        <v>10</v>
      </c>
      <c r="C15" s="60" t="b">
        <v>0</v>
      </c>
      <c r="D15" s="61" t="str">
        <v>Q4</v>
      </c>
      <c r="E15" s="62">
        <v>41871</v>
      </c>
      <c r="F15" s="61" t="str">
        <v>Q4</v>
      </c>
      <c r="G15" s="63" t="s">
        <v>171</v>
      </c>
      <c r="H15" s="61" t="s">
        <v>171</v>
      </c>
      <c r="I15" s="61" t="s">
        <v>171</v>
      </c>
      <c r="J15" s="61" t="s">
        <v>171</v>
      </c>
      <c r="K15" s="61" t="s">
        <v>171</v>
      </c>
      <c r="L15" s="147" t="e">
        <f>_xll.qlMidSafe($H15,$I15)</f>
        <v>#NUM!</v>
      </c>
      <c r="M15" s="57"/>
      <c r="N15" s="156" t="e">
        <v>#NUM!</v>
      </c>
      <c r="O15" s="57"/>
      <c r="P15" s="159" t="str">
        <v>HKDFUT1MQ4_Quote</v>
      </c>
      <c r="Q15" s="61" t="e">
        <v>#NUM!</v>
      </c>
      <c r="R15" s="147" t="e">
        <f>_xll.qlSimpleQuoteSetValue($P15,$Q15,Trigger)</f>
        <v>#NUM!</v>
      </c>
      <c r="S15" s="35"/>
      <c r="X15" s="225" t="e">
        <f t="shared" si="0"/>
        <v>#VALUE!</v>
      </c>
    </row>
    <row r="16" spans="1:24" x14ac:dyDescent="0.2">
      <c r="A16" s="59"/>
      <c r="B16" s="146">
        <v>11</v>
      </c>
      <c r="C16" s="60" t="b">
        <v>0</v>
      </c>
      <c r="D16" s="61" t="str">
        <v>U4</v>
      </c>
      <c r="E16" s="62">
        <v>41899</v>
      </c>
      <c r="F16" s="61" t="str">
        <v>U4</v>
      </c>
      <c r="G16" s="63" t="s">
        <v>171</v>
      </c>
      <c r="H16" s="61" t="s">
        <v>171</v>
      </c>
      <c r="I16" s="61" t="s">
        <v>171</v>
      </c>
      <c r="J16" s="61" t="s">
        <v>171</v>
      </c>
      <c r="K16" s="61" t="s">
        <v>171</v>
      </c>
      <c r="L16" s="147" t="e">
        <f>_xll.qlMidSafe($H16,$I16)</f>
        <v>#NUM!</v>
      </c>
      <c r="M16" s="57"/>
      <c r="N16" s="156" t="e">
        <v>#NUM!</v>
      </c>
      <c r="O16" s="57"/>
      <c r="P16" s="159" t="str">
        <v>HKDFUT1MU4_Quote</v>
      </c>
      <c r="Q16" s="61" t="e">
        <v>#NUM!</v>
      </c>
      <c r="R16" s="147" t="e">
        <f>_xll.qlSimpleQuoteSetValue($P16,$Q16,Trigger)</f>
        <v>#NUM!</v>
      </c>
      <c r="S16" s="35"/>
      <c r="X16" s="225" t="e">
        <f t="shared" si="0"/>
        <v>#VALUE!</v>
      </c>
    </row>
    <row r="17" spans="1:24" x14ac:dyDescent="0.2">
      <c r="A17" s="59"/>
      <c r="B17" s="148">
        <v>12</v>
      </c>
      <c r="C17" s="149" t="b">
        <v>0</v>
      </c>
      <c r="D17" s="150" t="str">
        <v>V4</v>
      </c>
      <c r="E17" s="151">
        <v>41927</v>
      </c>
      <c r="F17" s="150" t="str">
        <v>V4</v>
      </c>
      <c r="G17" s="152" t="s">
        <v>171</v>
      </c>
      <c r="H17" s="150" t="s">
        <v>171</v>
      </c>
      <c r="I17" s="150" t="s">
        <v>171</v>
      </c>
      <c r="J17" s="150" t="s">
        <v>171</v>
      </c>
      <c r="K17" s="150" t="s">
        <v>171</v>
      </c>
      <c r="L17" s="153" t="e">
        <f>_xll.qlMidSafe($H17,$I17)</f>
        <v>#NUM!</v>
      </c>
      <c r="M17" s="57"/>
      <c r="N17" s="157" t="e">
        <v>#NUM!</v>
      </c>
      <c r="O17" s="57"/>
      <c r="P17" s="160" t="str">
        <v>HKDFUT1MV4_Quote</v>
      </c>
      <c r="Q17" s="150" t="e">
        <v>#NUM!</v>
      </c>
      <c r="R17" s="153" t="e">
        <f>_xll.qlSimpleQuoteSetValue($P17,$Q17,Trigger)</f>
        <v>#NUM!</v>
      </c>
      <c r="S17" s="35"/>
      <c r="X17" s="225" t="e">
        <f t="shared" si="0"/>
        <v>#VALUE!</v>
      </c>
    </row>
    <row r="18" spans="1:24" ht="12" thickBot="1" x14ac:dyDescent="0.25">
      <c r="A18" s="64"/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8"/>
    </row>
  </sheetData>
  <phoneticPr fontId="4" type="noConversion"/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48"/>
  <sheetViews>
    <sheetView workbookViewId="0"/>
  </sheetViews>
  <sheetFormatPr defaultRowHeight="11.25" x14ac:dyDescent="0.2"/>
  <cols>
    <col min="1" max="1" width="2.85546875" style="29" customWidth="1"/>
    <col min="2" max="2" width="2.7109375" style="29" bestFit="1" customWidth="1"/>
    <col min="3" max="3" width="5.7109375" style="29" customWidth="1"/>
    <col min="4" max="4" width="6.140625" style="29" bestFit="1" customWidth="1"/>
    <col min="5" max="5" width="14.28515625" style="29" bestFit="1" customWidth="1"/>
    <col min="6" max="6" width="8.85546875" style="29" bestFit="1" customWidth="1"/>
    <col min="7" max="7" width="9" style="29" customWidth="1"/>
    <col min="8" max="10" width="6.5703125" style="29" bestFit="1" customWidth="1"/>
    <col min="11" max="11" width="9.85546875" style="29" customWidth="1"/>
    <col min="12" max="12" width="6.5703125" style="29" bestFit="1" customWidth="1"/>
    <col min="13" max="13" width="2.85546875" style="29" customWidth="1"/>
    <col min="14" max="14" width="6.5703125" style="29" customWidth="1"/>
    <col min="15" max="15" width="2.85546875" style="29" customWidth="1"/>
    <col min="16" max="16" width="15.85546875" style="29" bestFit="1" customWidth="1"/>
    <col min="17" max="17" width="7.7109375" style="29" bestFit="1" customWidth="1"/>
    <col min="18" max="18" width="7" style="29" bestFit="1" customWidth="1"/>
    <col min="19" max="20" width="2.85546875" style="29" customWidth="1"/>
    <col min="21" max="21" width="4.7109375" style="29" bestFit="1" customWidth="1"/>
    <col min="22" max="22" width="6" style="29" bestFit="1" customWidth="1"/>
    <col min="23" max="16384" width="9.140625" style="29"/>
  </cols>
  <sheetData>
    <row r="1" spans="1:24" ht="12.75" customHeight="1" x14ac:dyDescent="0.2">
      <c r="A1" s="30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54"/>
      <c r="N1" s="54"/>
      <c r="O1" s="31"/>
      <c r="P1" s="31"/>
      <c r="Q1" s="31"/>
      <c r="R1" s="31"/>
      <c r="S1" s="55"/>
    </row>
    <row r="2" spans="1:24" ht="12.75" customHeight="1" x14ac:dyDescent="0.2">
      <c r="A2" s="33"/>
      <c r="B2" s="34"/>
      <c r="C2" s="56"/>
      <c r="D2" s="56"/>
      <c r="E2" s="34"/>
      <c r="F2" s="34"/>
      <c r="G2" s="34"/>
      <c r="H2" s="34"/>
      <c r="I2" s="34"/>
      <c r="J2" s="34"/>
      <c r="K2" s="34"/>
      <c r="L2" s="34"/>
      <c r="M2" s="57"/>
      <c r="N2" s="57"/>
      <c r="O2" s="34"/>
      <c r="P2" s="112" t="s">
        <v>79</v>
      </c>
      <c r="Q2" s="111" t="s">
        <v>34</v>
      </c>
      <c r="R2" s="34"/>
      <c r="S2" s="58"/>
    </row>
    <row r="3" spans="1:24" ht="12.75" customHeight="1" x14ac:dyDescent="0.2">
      <c r="A3" s="33"/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57"/>
      <c r="N3" s="57"/>
      <c r="O3" s="34"/>
      <c r="Q3" s="34"/>
      <c r="R3" s="34"/>
      <c r="S3" s="58"/>
    </row>
    <row r="4" spans="1:24" ht="12.75" customHeight="1" thickBot="1" x14ac:dyDescent="0.25">
      <c r="A4" s="33"/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57"/>
      <c r="N4" s="57"/>
      <c r="O4" s="34"/>
      <c r="P4" s="57" t="s">
        <v>153</v>
      </c>
      <c r="Q4" s="34"/>
      <c r="R4" s="28">
        <f>_xll.ohTrigger(R6:R47)</f>
        <v>14</v>
      </c>
      <c r="S4" s="58"/>
    </row>
    <row r="5" spans="1:24" ht="22.5" x14ac:dyDescent="0.2">
      <c r="A5" s="33"/>
      <c r="B5" s="133" t="s">
        <v>21</v>
      </c>
      <c r="C5" s="134" t="s">
        <v>32</v>
      </c>
      <c r="D5" s="134" t="s">
        <v>23</v>
      </c>
      <c r="E5" s="134" t="s">
        <v>35</v>
      </c>
      <c r="F5" s="135" t="e">
        <f ca="1">_xll.RData(F6:F47,G5:K5,,ReutersRtMode,,G6)</f>
        <v>#NAME?</v>
      </c>
      <c r="G5" s="134" t="s">
        <v>20</v>
      </c>
      <c r="H5" s="134" t="s">
        <v>0</v>
      </c>
      <c r="I5" s="134" t="s">
        <v>1</v>
      </c>
      <c r="J5" s="134" t="s">
        <v>25</v>
      </c>
      <c r="K5" s="134" t="s">
        <v>26</v>
      </c>
      <c r="L5" s="136" t="s">
        <v>128</v>
      </c>
      <c r="M5" s="57"/>
      <c r="N5" s="137" t="s">
        <v>105</v>
      </c>
      <c r="O5" s="57"/>
      <c r="P5" s="138" t="s">
        <v>31</v>
      </c>
      <c r="Q5" s="134" t="s">
        <v>17</v>
      </c>
      <c r="R5" s="139" t="s">
        <v>24</v>
      </c>
      <c r="S5" s="35"/>
      <c r="U5" s="69" t="s">
        <v>107</v>
      </c>
      <c r="V5" s="70" t="s">
        <v>108</v>
      </c>
      <c r="X5" s="222" t="s">
        <v>142</v>
      </c>
    </row>
    <row r="6" spans="1:24" ht="12.75" customHeight="1" x14ac:dyDescent="0.2">
      <c r="A6" s="59"/>
      <c r="B6" s="140">
        <v>1</v>
      </c>
      <c r="C6" s="141" t="b">
        <v>0</v>
      </c>
      <c r="D6" s="142" t="str">
        <f t="array" ref="D6:D47">_xll.qlIMMcode(FuturesDates)</f>
        <v>X3</v>
      </c>
      <c r="E6" s="143">
        <f t="array" ref="E6:E47">_xll.qlIMMNextDates(_xll.qlSettingsEvaluationDate(Trigger)-1,$C6:$C47)</f>
        <v>41598</v>
      </c>
      <c r="F6" s="142" t="str">
        <f t="array" ref="F6:F47">VLOOKUP(Currency,LiffeCodes,2)&amp;FuturesCodes</f>
        <v>HIRX3</v>
      </c>
      <c r="G6" s="144">
        <v>41596</v>
      </c>
      <c r="H6" s="142">
        <v>99.54</v>
      </c>
      <c r="I6" s="142">
        <v>99.64</v>
      </c>
      <c r="J6" s="142">
        <v>0</v>
      </c>
      <c r="K6" s="142">
        <v>99.58</v>
      </c>
      <c r="L6" s="145">
        <f>_xll.qlMidSafe($H6,$I6)</f>
        <v>99.59</v>
      </c>
      <c r="M6" s="57"/>
      <c r="N6" s="154">
        <v>99.59</v>
      </c>
      <c r="O6" s="57"/>
      <c r="P6" s="158" t="str">
        <f t="array" ref="P6:P47">Currency&amp;$P$4&amp;FuturesCodes&amp;$Q$2</f>
        <v>HKDFUT3MX3_Quote</v>
      </c>
      <c r="Q6" s="142">
        <f t="array" ref="Q6:Q47">QuoteLive</f>
        <v>99.59</v>
      </c>
      <c r="R6" s="145">
        <f>_xll.qlSimpleQuoteSetValue($P6,$Q6,Trigger)</f>
        <v>0</v>
      </c>
      <c r="S6" s="35"/>
      <c r="U6" s="65" t="s">
        <v>114</v>
      </c>
      <c r="V6" s="66" t="s">
        <v>115</v>
      </c>
      <c r="X6" s="225">
        <f>(I6-L6)/50</f>
        <v>9.9999999999994321E-4</v>
      </c>
    </row>
    <row r="7" spans="1:24" x14ac:dyDescent="0.2">
      <c r="A7" s="59"/>
      <c r="B7" s="146">
        <v>2</v>
      </c>
      <c r="C7" s="60" t="b">
        <v>0</v>
      </c>
      <c r="D7" s="61" t="str">
        <v>Z3</v>
      </c>
      <c r="E7" s="62">
        <v>41626</v>
      </c>
      <c r="F7" s="61" t="str">
        <v>HIRZ3</v>
      </c>
      <c r="G7" s="63">
        <v>41624</v>
      </c>
      <c r="H7" s="61">
        <v>99.54</v>
      </c>
      <c r="I7" s="61">
        <v>99.64</v>
      </c>
      <c r="J7" s="61">
        <v>0</v>
      </c>
      <c r="K7" s="61">
        <v>99.58</v>
      </c>
      <c r="L7" s="147">
        <f>_xll.qlMidSafe($H7,$I7)</f>
        <v>99.59</v>
      </c>
      <c r="M7" s="57"/>
      <c r="N7" s="155">
        <v>99.59</v>
      </c>
      <c r="O7" s="57"/>
      <c r="P7" s="159" t="str">
        <v>HKDFUT3MZ3_Quote</v>
      </c>
      <c r="Q7" s="61">
        <v>99.59</v>
      </c>
      <c r="R7" s="147">
        <f>_xll.qlSimpleQuoteSetValue($P7,$Q7,Trigger)</f>
        <v>0</v>
      </c>
      <c r="S7" s="35"/>
      <c r="U7" s="65" t="s">
        <v>15</v>
      </c>
      <c r="V7" s="66" t="s">
        <v>109</v>
      </c>
      <c r="X7" s="225">
        <f t="shared" ref="X7:X47" si="0">(I7-L7)/50</f>
        <v>9.9999999999994321E-4</v>
      </c>
    </row>
    <row r="8" spans="1:24" x14ac:dyDescent="0.2">
      <c r="A8" s="59"/>
      <c r="B8" s="146">
        <v>3</v>
      </c>
      <c r="C8" s="60" t="b">
        <v>0</v>
      </c>
      <c r="D8" s="61" t="str">
        <v>F4</v>
      </c>
      <c r="E8" s="62">
        <v>41654</v>
      </c>
      <c r="F8" s="61" t="str">
        <v>HIRF4</v>
      </c>
      <c r="G8" s="63">
        <v>41652</v>
      </c>
      <c r="H8" s="61">
        <v>99.54</v>
      </c>
      <c r="I8" s="61">
        <v>99.64</v>
      </c>
      <c r="J8" s="61">
        <v>0</v>
      </c>
      <c r="K8" s="61">
        <v>99.58</v>
      </c>
      <c r="L8" s="147">
        <f>_xll.qlMidSafe($H8,$I8)</f>
        <v>99.59</v>
      </c>
      <c r="M8" s="57"/>
      <c r="N8" s="155">
        <v>99.59</v>
      </c>
      <c r="O8" s="57"/>
      <c r="P8" s="159" t="str">
        <v>HKDFUT3MF4_Quote</v>
      </c>
      <c r="Q8" s="61">
        <v>99.59</v>
      </c>
      <c r="R8" s="147">
        <f>_xll.qlSimpleQuoteSetValue($P8,$Q8,Trigger)</f>
        <v>0</v>
      </c>
      <c r="S8" s="35"/>
      <c r="U8" s="65" t="s">
        <v>111</v>
      </c>
      <c r="V8" s="66" t="s">
        <v>112</v>
      </c>
      <c r="X8" s="225">
        <f t="shared" si="0"/>
        <v>9.9999999999994321E-4</v>
      </c>
    </row>
    <row r="9" spans="1:24" x14ac:dyDescent="0.2">
      <c r="A9" s="59"/>
      <c r="B9" s="146">
        <v>4</v>
      </c>
      <c r="C9" s="60" t="b">
        <v>0</v>
      </c>
      <c r="D9" s="61" t="str">
        <v>G4</v>
      </c>
      <c r="E9" s="62">
        <v>41689</v>
      </c>
      <c r="F9" s="61" t="str">
        <v>HIRG4</v>
      </c>
      <c r="G9" s="63" t="s">
        <v>171</v>
      </c>
      <c r="H9" s="61" t="s">
        <v>171</v>
      </c>
      <c r="I9" s="61" t="s">
        <v>171</v>
      </c>
      <c r="J9" s="61" t="s">
        <v>171</v>
      </c>
      <c r="K9" s="61" t="s">
        <v>171</v>
      </c>
      <c r="L9" s="147" t="e">
        <f>_xll.qlMidSafe($H9,$I9)</f>
        <v>#NUM!</v>
      </c>
      <c r="M9" s="57"/>
      <c r="N9" s="155" t="e">
        <v>#NUM!</v>
      </c>
      <c r="O9" s="57"/>
      <c r="P9" s="159" t="str">
        <v>HKDFUT3MG4_Quote</v>
      </c>
      <c r="Q9" s="61" t="e">
        <v>#NUM!</v>
      </c>
      <c r="R9" s="147" t="e">
        <f>_xll.qlSimpleQuoteSetValue($P9,$Q9,Trigger)</f>
        <v>#NUM!</v>
      </c>
      <c r="S9" s="35"/>
      <c r="U9" s="114" t="s">
        <v>144</v>
      </c>
      <c r="V9" s="101" t="s">
        <v>182</v>
      </c>
      <c r="X9" s="225" t="e">
        <f t="shared" si="0"/>
        <v>#VALUE!</v>
      </c>
    </row>
    <row r="10" spans="1:24" x14ac:dyDescent="0.2">
      <c r="A10" s="59"/>
      <c r="B10" s="146">
        <v>5</v>
      </c>
      <c r="C10" s="60" t="b">
        <v>0</v>
      </c>
      <c r="D10" s="61" t="str">
        <v>H4</v>
      </c>
      <c r="E10" s="62">
        <v>41717</v>
      </c>
      <c r="F10" s="61" t="str">
        <v>HIRH4</v>
      </c>
      <c r="G10" s="63">
        <v>41715</v>
      </c>
      <c r="H10" s="61">
        <v>99.51</v>
      </c>
      <c r="I10" s="61">
        <v>99.61</v>
      </c>
      <c r="J10" s="61">
        <v>0</v>
      </c>
      <c r="K10" s="61">
        <v>99.55</v>
      </c>
      <c r="L10" s="147">
        <f>_xll.qlMidSafe($H10,$I10)</f>
        <v>99.56</v>
      </c>
      <c r="M10" s="57"/>
      <c r="N10" s="156">
        <v>99.56</v>
      </c>
      <c r="O10" s="57"/>
      <c r="P10" s="159" t="str">
        <v>HKDFUT3MH4_Quote</v>
      </c>
      <c r="Q10" s="61">
        <v>99.56</v>
      </c>
      <c r="R10" s="147">
        <f>_xll.qlSimpleQuoteSetValue($P10,$Q10,Trigger)</f>
        <v>0</v>
      </c>
      <c r="S10" s="35"/>
      <c r="U10" s="65" t="s">
        <v>113</v>
      </c>
      <c r="V10" s="66"/>
      <c r="X10" s="225">
        <f t="shared" si="0"/>
        <v>9.9999999999994321E-4</v>
      </c>
    </row>
    <row r="11" spans="1:24" ht="12" thickBot="1" x14ac:dyDescent="0.25">
      <c r="A11" s="59"/>
      <c r="B11" s="146">
        <v>6</v>
      </c>
      <c r="C11" s="60" t="b">
        <v>0</v>
      </c>
      <c r="D11" s="61" t="str">
        <v>J4</v>
      </c>
      <c r="E11" s="62">
        <v>41745</v>
      </c>
      <c r="F11" s="61" t="str">
        <v>HIRJ4</v>
      </c>
      <c r="G11" s="63" t="s">
        <v>171</v>
      </c>
      <c r="H11" s="61" t="s">
        <v>171</v>
      </c>
      <c r="I11" s="61" t="s">
        <v>171</v>
      </c>
      <c r="J11" s="61" t="s">
        <v>171</v>
      </c>
      <c r="K11" s="61" t="s">
        <v>171</v>
      </c>
      <c r="L11" s="147" t="e">
        <f>_xll.qlMidSafe($H11,$I11)</f>
        <v>#NUM!</v>
      </c>
      <c r="M11" s="57"/>
      <c r="N11" s="156" t="e">
        <v>#NUM!</v>
      </c>
      <c r="O11" s="57"/>
      <c r="P11" s="159" t="str">
        <v>HKDFUT3MJ4_Quote</v>
      </c>
      <c r="Q11" s="61" t="e">
        <v>#NUM!</v>
      </c>
      <c r="R11" s="147" t="e">
        <f>_xll.qlSimpleQuoteSetValue($P11,$Q11,Trigger)</f>
        <v>#NUM!</v>
      </c>
      <c r="S11" s="35"/>
      <c r="U11" s="67" t="s">
        <v>106</v>
      </c>
      <c r="V11" s="68" t="s">
        <v>110</v>
      </c>
      <c r="X11" s="225" t="e">
        <f t="shared" si="0"/>
        <v>#VALUE!</v>
      </c>
    </row>
    <row r="12" spans="1:24" x14ac:dyDescent="0.2">
      <c r="A12" s="59"/>
      <c r="B12" s="146">
        <v>7</v>
      </c>
      <c r="C12" s="60" t="b">
        <v>0</v>
      </c>
      <c r="D12" s="61" t="str">
        <v>K4</v>
      </c>
      <c r="E12" s="62">
        <v>41780</v>
      </c>
      <c r="F12" s="61" t="str">
        <v>HIRK4</v>
      </c>
      <c r="G12" s="63" t="s">
        <v>171</v>
      </c>
      <c r="H12" s="61" t="s">
        <v>171</v>
      </c>
      <c r="I12" s="61" t="s">
        <v>171</v>
      </c>
      <c r="J12" s="61" t="s">
        <v>171</v>
      </c>
      <c r="K12" s="61" t="s">
        <v>171</v>
      </c>
      <c r="L12" s="147" t="e">
        <f>_xll.qlMidSafe($H12,$I12)</f>
        <v>#NUM!</v>
      </c>
      <c r="M12" s="57"/>
      <c r="N12" s="156" t="e">
        <v>#NUM!</v>
      </c>
      <c r="O12" s="57"/>
      <c r="P12" s="159" t="str">
        <v>HKDFUT3MK4_Quote</v>
      </c>
      <c r="Q12" s="61" t="e">
        <v>#NUM!</v>
      </c>
      <c r="R12" s="147" t="e">
        <f>_xll.qlSimpleQuoteSetValue($P12,$Q12,Trigger)</f>
        <v>#NUM!</v>
      </c>
      <c r="S12" s="35"/>
      <c r="X12" s="225" t="e">
        <f t="shared" si="0"/>
        <v>#VALUE!</v>
      </c>
    </row>
    <row r="13" spans="1:24" x14ac:dyDescent="0.2">
      <c r="A13" s="59"/>
      <c r="B13" s="146">
        <v>8</v>
      </c>
      <c r="C13" s="60" t="b">
        <v>0</v>
      </c>
      <c r="D13" s="61" t="str">
        <v>M4</v>
      </c>
      <c r="E13" s="62">
        <v>41808</v>
      </c>
      <c r="F13" s="61" t="str">
        <v>HIRM4</v>
      </c>
      <c r="G13" s="63">
        <v>41806</v>
      </c>
      <c r="H13" s="61">
        <v>99.47</v>
      </c>
      <c r="I13" s="61">
        <v>99.57</v>
      </c>
      <c r="J13" s="61">
        <v>0</v>
      </c>
      <c r="K13" s="61">
        <v>99.52</v>
      </c>
      <c r="L13" s="147">
        <f>_xll.qlMidSafe($H13,$I13)</f>
        <v>99.52</v>
      </c>
      <c r="M13" s="57"/>
      <c r="N13" s="156">
        <v>99.52</v>
      </c>
      <c r="O13" s="57"/>
      <c r="P13" s="159" t="str">
        <v>HKDFUT3MM4_Quote</v>
      </c>
      <c r="Q13" s="61">
        <v>99.52</v>
      </c>
      <c r="R13" s="147">
        <f>_xll.qlSimpleQuoteSetValue($P13,$Q13,Trigger)</f>
        <v>0</v>
      </c>
      <c r="S13" s="35"/>
      <c r="X13" s="225">
        <f t="shared" si="0"/>
        <v>9.9999999999994321E-4</v>
      </c>
    </row>
    <row r="14" spans="1:24" x14ac:dyDescent="0.2">
      <c r="A14" s="59"/>
      <c r="B14" s="146">
        <v>9</v>
      </c>
      <c r="C14" s="60" t="b">
        <v>0</v>
      </c>
      <c r="D14" s="61" t="str">
        <v>N4</v>
      </c>
      <c r="E14" s="62">
        <v>41836</v>
      </c>
      <c r="F14" s="61" t="str">
        <v>HIRN4</v>
      </c>
      <c r="G14" s="63" t="s">
        <v>171</v>
      </c>
      <c r="H14" s="61" t="s">
        <v>171</v>
      </c>
      <c r="I14" s="61" t="s">
        <v>171</v>
      </c>
      <c r="J14" s="61" t="s">
        <v>171</v>
      </c>
      <c r="K14" s="61" t="s">
        <v>171</v>
      </c>
      <c r="L14" s="147" t="e">
        <f>_xll.qlMidSafe($H14,$I14)</f>
        <v>#NUM!</v>
      </c>
      <c r="M14" s="57"/>
      <c r="N14" s="156" t="e">
        <v>#NUM!</v>
      </c>
      <c r="O14" s="57"/>
      <c r="P14" s="159" t="str">
        <v>HKDFUT3MN4_Quote</v>
      </c>
      <c r="Q14" s="61" t="e">
        <v>#NUM!</v>
      </c>
      <c r="R14" s="147" t="e">
        <f>_xll.qlSimpleQuoteSetValue($P14,$Q14,Trigger)</f>
        <v>#NUM!</v>
      </c>
      <c r="S14" s="35"/>
      <c r="X14" s="225" t="e">
        <f t="shared" si="0"/>
        <v>#VALUE!</v>
      </c>
    </row>
    <row r="15" spans="1:24" x14ac:dyDescent="0.2">
      <c r="A15" s="59"/>
      <c r="B15" s="146">
        <v>10</v>
      </c>
      <c r="C15" s="60" t="b">
        <v>0</v>
      </c>
      <c r="D15" s="61" t="str">
        <v>Q4</v>
      </c>
      <c r="E15" s="62">
        <v>41871</v>
      </c>
      <c r="F15" s="61" t="str">
        <v>HIRQ4</v>
      </c>
      <c r="G15" s="63" t="s">
        <v>171</v>
      </c>
      <c r="H15" s="61" t="s">
        <v>171</v>
      </c>
      <c r="I15" s="61" t="s">
        <v>171</v>
      </c>
      <c r="J15" s="61" t="s">
        <v>171</v>
      </c>
      <c r="K15" s="61" t="s">
        <v>171</v>
      </c>
      <c r="L15" s="147" t="e">
        <f>_xll.qlMidSafe($H15,$I15)</f>
        <v>#NUM!</v>
      </c>
      <c r="M15" s="57"/>
      <c r="N15" s="156" t="e">
        <v>#NUM!</v>
      </c>
      <c r="O15" s="57"/>
      <c r="P15" s="159" t="str">
        <v>HKDFUT3MQ4_Quote</v>
      </c>
      <c r="Q15" s="61" t="e">
        <v>#NUM!</v>
      </c>
      <c r="R15" s="147" t="e">
        <f>_xll.qlSimpleQuoteSetValue($P15,$Q15,Trigger)</f>
        <v>#NUM!</v>
      </c>
      <c r="S15" s="35"/>
      <c r="X15" s="225" t="e">
        <f t="shared" si="0"/>
        <v>#VALUE!</v>
      </c>
    </row>
    <row r="16" spans="1:24" x14ac:dyDescent="0.2">
      <c r="A16" s="59"/>
      <c r="B16" s="146">
        <v>11</v>
      </c>
      <c r="C16" s="60" t="b">
        <v>0</v>
      </c>
      <c r="D16" s="61" t="str">
        <v>U4</v>
      </c>
      <c r="E16" s="62">
        <v>41899</v>
      </c>
      <c r="F16" s="61" t="str">
        <v>HIRU4</v>
      </c>
      <c r="G16" s="63">
        <v>41897</v>
      </c>
      <c r="H16" s="61">
        <v>99.43</v>
      </c>
      <c r="I16" s="61">
        <v>99.53</v>
      </c>
      <c r="J16" s="61">
        <v>0</v>
      </c>
      <c r="K16" s="61">
        <v>99.48</v>
      </c>
      <c r="L16" s="147">
        <f>_xll.qlMidSafe($H16,$I16)</f>
        <v>99.48</v>
      </c>
      <c r="M16" s="57"/>
      <c r="N16" s="156">
        <v>99.48</v>
      </c>
      <c r="O16" s="57"/>
      <c r="P16" s="159" t="str">
        <v>HKDFUT3MU4_Quote</v>
      </c>
      <c r="Q16" s="61">
        <v>99.48</v>
      </c>
      <c r="R16" s="147">
        <f>_xll.qlSimpleQuoteSetValue($P16,$Q16,Trigger)</f>
        <v>0</v>
      </c>
      <c r="S16" s="35"/>
      <c r="X16" s="225">
        <f t="shared" si="0"/>
        <v>9.9999999999994321E-4</v>
      </c>
    </row>
    <row r="17" spans="1:24" x14ac:dyDescent="0.2">
      <c r="A17" s="59"/>
      <c r="B17" s="146">
        <v>12</v>
      </c>
      <c r="C17" s="60" t="b">
        <v>0</v>
      </c>
      <c r="D17" s="61" t="str">
        <v>V4</v>
      </c>
      <c r="E17" s="62">
        <v>41927</v>
      </c>
      <c r="F17" s="61" t="str">
        <v>HIRV4</v>
      </c>
      <c r="G17" s="63" t="s">
        <v>171</v>
      </c>
      <c r="H17" s="61" t="s">
        <v>171</v>
      </c>
      <c r="I17" s="61" t="s">
        <v>171</v>
      </c>
      <c r="J17" s="61" t="s">
        <v>171</v>
      </c>
      <c r="K17" s="61" t="s">
        <v>171</v>
      </c>
      <c r="L17" s="147" t="e">
        <f>_xll.qlMidSafe($H17,$I17)</f>
        <v>#NUM!</v>
      </c>
      <c r="M17" s="57"/>
      <c r="N17" s="156" t="e">
        <v>#NUM!</v>
      </c>
      <c r="O17" s="57"/>
      <c r="P17" s="159" t="str">
        <v>HKDFUT3MV4_Quote</v>
      </c>
      <c r="Q17" s="61" t="e">
        <v>#NUM!</v>
      </c>
      <c r="R17" s="147" t="e">
        <f>_xll.qlSimpleQuoteSetValue($P17,$Q17,Trigger)</f>
        <v>#NUM!</v>
      </c>
      <c r="S17" s="35"/>
      <c r="X17" s="225" t="e">
        <f t="shared" si="0"/>
        <v>#VALUE!</v>
      </c>
    </row>
    <row r="18" spans="1:24" x14ac:dyDescent="0.2">
      <c r="A18" s="59"/>
      <c r="B18" s="146">
        <v>13</v>
      </c>
      <c r="C18" s="60" t="b">
        <v>1</v>
      </c>
      <c r="D18" s="61" t="str">
        <v>Z4</v>
      </c>
      <c r="E18" s="62">
        <v>41990</v>
      </c>
      <c r="F18" s="61" t="str">
        <v>HIRZ4</v>
      </c>
      <c r="G18" s="63">
        <v>41988</v>
      </c>
      <c r="H18" s="61">
        <v>0</v>
      </c>
      <c r="I18" s="61">
        <v>0</v>
      </c>
      <c r="J18" s="61">
        <v>0</v>
      </c>
      <c r="K18" s="61">
        <v>99.48</v>
      </c>
      <c r="L18" s="147" t="e">
        <f>_xll.qlMidSafe($H18,$I18)</f>
        <v>#NUM!</v>
      </c>
      <c r="M18" s="57"/>
      <c r="N18" s="156" t="e">
        <v>#NUM!</v>
      </c>
      <c r="O18" s="57"/>
      <c r="P18" s="159" t="str">
        <v>HKDFUT3MZ4_Quote</v>
      </c>
      <c r="Q18" s="61" t="e">
        <v>#NUM!</v>
      </c>
      <c r="R18" s="147" t="e">
        <f>_xll.qlSimpleQuoteSetValue($P18,$Q18,Trigger)</f>
        <v>#NUM!</v>
      </c>
      <c r="S18" s="35"/>
      <c r="X18" s="225" t="e">
        <f t="shared" si="0"/>
        <v>#NUM!</v>
      </c>
    </row>
    <row r="19" spans="1:24" x14ac:dyDescent="0.2">
      <c r="A19" s="59"/>
      <c r="B19" s="146">
        <v>14</v>
      </c>
      <c r="C19" s="60" t="b">
        <v>1</v>
      </c>
      <c r="D19" s="61" t="str">
        <v>H5</v>
      </c>
      <c r="E19" s="62">
        <v>42081</v>
      </c>
      <c r="F19" s="61" t="str">
        <v>HIRH5</v>
      </c>
      <c r="G19" s="63">
        <v>42079</v>
      </c>
      <c r="H19" s="61">
        <v>0</v>
      </c>
      <c r="I19" s="61">
        <v>0</v>
      </c>
      <c r="J19" s="61">
        <v>0</v>
      </c>
      <c r="K19" s="61">
        <v>99.48</v>
      </c>
      <c r="L19" s="147" t="e">
        <f>_xll.qlMidSafe($H19,$I19)</f>
        <v>#NUM!</v>
      </c>
      <c r="M19" s="57"/>
      <c r="N19" s="156" t="e">
        <v>#NUM!</v>
      </c>
      <c r="O19" s="57"/>
      <c r="P19" s="159" t="str">
        <v>HKDFUT3MH5_Quote</v>
      </c>
      <c r="Q19" s="61" t="e">
        <v>#NUM!</v>
      </c>
      <c r="R19" s="147" t="e">
        <f>_xll.qlSimpleQuoteSetValue($P19,$Q19,Trigger)</f>
        <v>#NUM!</v>
      </c>
      <c r="S19" s="35"/>
      <c r="X19" s="225" t="e">
        <f t="shared" si="0"/>
        <v>#NUM!</v>
      </c>
    </row>
    <row r="20" spans="1:24" x14ac:dyDescent="0.2">
      <c r="A20" s="59"/>
      <c r="B20" s="146">
        <v>15</v>
      </c>
      <c r="C20" s="60" t="b">
        <v>1</v>
      </c>
      <c r="D20" s="61" t="str">
        <v>M5</v>
      </c>
      <c r="E20" s="62">
        <v>42172</v>
      </c>
      <c r="F20" s="61" t="str">
        <v>HIRM5</v>
      </c>
      <c r="G20" s="63">
        <v>42170</v>
      </c>
      <c r="H20" s="61">
        <v>0</v>
      </c>
      <c r="I20" s="61">
        <v>0</v>
      </c>
      <c r="J20" s="61">
        <v>0</v>
      </c>
      <c r="K20" s="61">
        <v>99.48</v>
      </c>
      <c r="L20" s="147" t="e">
        <f>_xll.qlMidSafe($H20,$I20)</f>
        <v>#NUM!</v>
      </c>
      <c r="M20" s="57"/>
      <c r="N20" s="156" t="e">
        <v>#NUM!</v>
      </c>
      <c r="O20" s="57"/>
      <c r="P20" s="159" t="str">
        <v>HKDFUT3MM5_Quote</v>
      </c>
      <c r="Q20" s="61" t="e">
        <v>#NUM!</v>
      </c>
      <c r="R20" s="147" t="e">
        <f>_xll.qlSimpleQuoteSetValue($P20,$Q20,Trigger)</f>
        <v>#NUM!</v>
      </c>
      <c r="S20" s="35"/>
      <c r="X20" s="225" t="e">
        <f t="shared" si="0"/>
        <v>#NUM!</v>
      </c>
    </row>
    <row r="21" spans="1:24" x14ac:dyDescent="0.2">
      <c r="A21" s="59"/>
      <c r="B21" s="146">
        <v>16</v>
      </c>
      <c r="C21" s="60" t="b">
        <v>1</v>
      </c>
      <c r="D21" s="61" t="str">
        <v>U5</v>
      </c>
      <c r="E21" s="62">
        <v>42263</v>
      </c>
      <c r="F21" s="61" t="str">
        <v>HIRU5</v>
      </c>
      <c r="G21" s="63">
        <v>42261</v>
      </c>
      <c r="H21" s="61">
        <v>0</v>
      </c>
      <c r="I21" s="61">
        <v>0</v>
      </c>
      <c r="J21" s="61">
        <v>0</v>
      </c>
      <c r="K21" s="61">
        <v>99.48</v>
      </c>
      <c r="L21" s="147" t="e">
        <f>_xll.qlMidSafe($H21,$I21)</f>
        <v>#NUM!</v>
      </c>
      <c r="M21" s="57"/>
      <c r="N21" s="156" t="e">
        <v>#NUM!</v>
      </c>
      <c r="O21" s="57"/>
      <c r="P21" s="159" t="str">
        <v>HKDFUT3MU5_Quote</v>
      </c>
      <c r="Q21" s="61" t="e">
        <v>#NUM!</v>
      </c>
      <c r="R21" s="147" t="e">
        <f>_xll.qlSimpleQuoteSetValue($P21,$Q21,Trigger)</f>
        <v>#NUM!</v>
      </c>
      <c r="S21" s="35"/>
      <c r="X21" s="225" t="e">
        <f t="shared" si="0"/>
        <v>#NUM!</v>
      </c>
    </row>
    <row r="22" spans="1:24" x14ac:dyDescent="0.2">
      <c r="A22" s="59"/>
      <c r="B22" s="146">
        <v>17</v>
      </c>
      <c r="C22" s="60" t="b">
        <v>1</v>
      </c>
      <c r="D22" s="61" t="str">
        <v>Z5</v>
      </c>
      <c r="E22" s="62">
        <v>42354</v>
      </c>
      <c r="F22" s="61" t="str">
        <v>HIRZ5</v>
      </c>
      <c r="G22" s="63" t="s">
        <v>171</v>
      </c>
      <c r="H22" s="61" t="s">
        <v>171</v>
      </c>
      <c r="I22" s="61" t="s">
        <v>171</v>
      </c>
      <c r="J22" s="61" t="s">
        <v>171</v>
      </c>
      <c r="K22" s="61" t="s">
        <v>171</v>
      </c>
      <c r="L22" s="147" t="e">
        <f>_xll.qlMidSafe($H22,$I22)</f>
        <v>#NUM!</v>
      </c>
      <c r="M22" s="57"/>
      <c r="N22" s="156" t="e">
        <v>#NUM!</v>
      </c>
      <c r="O22" s="57"/>
      <c r="P22" s="159" t="str">
        <v>HKDFUT3MZ5_Quote</v>
      </c>
      <c r="Q22" s="61" t="e">
        <v>#NUM!</v>
      </c>
      <c r="R22" s="147" t="e">
        <f>_xll.qlSimpleQuoteSetValue($P22,$Q22,Trigger)</f>
        <v>#NUM!</v>
      </c>
      <c r="S22" s="35"/>
      <c r="X22" s="225" t="e">
        <f t="shared" si="0"/>
        <v>#VALUE!</v>
      </c>
    </row>
    <row r="23" spans="1:24" x14ac:dyDescent="0.2">
      <c r="A23" s="59"/>
      <c r="B23" s="146">
        <v>18</v>
      </c>
      <c r="C23" s="60" t="b">
        <v>1</v>
      </c>
      <c r="D23" s="61" t="str">
        <v>H6</v>
      </c>
      <c r="E23" s="62">
        <v>42445</v>
      </c>
      <c r="F23" s="61" t="str">
        <v>HIRH6</v>
      </c>
      <c r="G23" s="63" t="s">
        <v>171</v>
      </c>
      <c r="H23" s="61" t="s">
        <v>171</v>
      </c>
      <c r="I23" s="61" t="s">
        <v>171</v>
      </c>
      <c r="J23" s="61" t="s">
        <v>171</v>
      </c>
      <c r="K23" s="61" t="s">
        <v>171</v>
      </c>
      <c r="L23" s="147" t="e">
        <f>_xll.qlMidSafe($H23,$I23)</f>
        <v>#NUM!</v>
      </c>
      <c r="M23" s="57"/>
      <c r="N23" s="156" t="e">
        <v>#NUM!</v>
      </c>
      <c r="O23" s="57"/>
      <c r="P23" s="159" t="str">
        <v>HKDFUT3MH6_Quote</v>
      </c>
      <c r="Q23" s="61" t="e">
        <v>#NUM!</v>
      </c>
      <c r="R23" s="147" t="e">
        <f>_xll.qlSimpleQuoteSetValue($P23,$Q23,Trigger)</f>
        <v>#NUM!</v>
      </c>
      <c r="S23" s="35"/>
      <c r="X23" s="225" t="e">
        <f t="shared" si="0"/>
        <v>#VALUE!</v>
      </c>
    </row>
    <row r="24" spans="1:24" x14ac:dyDescent="0.2">
      <c r="A24" s="59"/>
      <c r="B24" s="146">
        <v>19</v>
      </c>
      <c r="C24" s="60" t="b">
        <v>1</v>
      </c>
      <c r="D24" s="61" t="str">
        <v>M6</v>
      </c>
      <c r="E24" s="62">
        <v>42536</v>
      </c>
      <c r="F24" s="61" t="str">
        <v>HIRM6</v>
      </c>
      <c r="G24" s="63" t="s">
        <v>171</v>
      </c>
      <c r="H24" s="61" t="s">
        <v>171</v>
      </c>
      <c r="I24" s="61" t="s">
        <v>171</v>
      </c>
      <c r="J24" s="61" t="s">
        <v>171</v>
      </c>
      <c r="K24" s="61" t="s">
        <v>171</v>
      </c>
      <c r="L24" s="147" t="e">
        <f>_xll.qlMidSafe($H24,$I24)</f>
        <v>#NUM!</v>
      </c>
      <c r="M24" s="57"/>
      <c r="N24" s="156" t="e">
        <v>#NUM!</v>
      </c>
      <c r="O24" s="57"/>
      <c r="P24" s="159" t="str">
        <v>HKDFUT3MM6_Quote</v>
      </c>
      <c r="Q24" s="61" t="e">
        <v>#NUM!</v>
      </c>
      <c r="R24" s="147" t="e">
        <f>_xll.qlSimpleQuoteSetValue($P24,$Q24,Trigger)</f>
        <v>#NUM!</v>
      </c>
      <c r="S24" s="35"/>
      <c r="X24" s="225" t="e">
        <f t="shared" si="0"/>
        <v>#VALUE!</v>
      </c>
    </row>
    <row r="25" spans="1:24" x14ac:dyDescent="0.2">
      <c r="A25" s="59"/>
      <c r="B25" s="146">
        <v>20</v>
      </c>
      <c r="C25" s="60" t="b">
        <v>1</v>
      </c>
      <c r="D25" s="61" t="str">
        <v>U6</v>
      </c>
      <c r="E25" s="62">
        <v>42634</v>
      </c>
      <c r="F25" s="61" t="str">
        <v>HIRU6</v>
      </c>
      <c r="G25" s="63" t="s">
        <v>171</v>
      </c>
      <c r="H25" s="61" t="s">
        <v>171</v>
      </c>
      <c r="I25" s="61" t="s">
        <v>171</v>
      </c>
      <c r="J25" s="61" t="s">
        <v>171</v>
      </c>
      <c r="K25" s="61" t="s">
        <v>171</v>
      </c>
      <c r="L25" s="147" t="e">
        <f>_xll.qlMidSafe($H25,$I25)</f>
        <v>#NUM!</v>
      </c>
      <c r="M25" s="57"/>
      <c r="N25" s="156" t="e">
        <v>#NUM!</v>
      </c>
      <c r="O25" s="57"/>
      <c r="P25" s="159" t="str">
        <v>HKDFUT3MU6_Quote</v>
      </c>
      <c r="Q25" s="61" t="e">
        <v>#NUM!</v>
      </c>
      <c r="R25" s="147" t="e">
        <f>_xll.qlSimpleQuoteSetValue($P25,$Q25,Trigger)</f>
        <v>#NUM!</v>
      </c>
      <c r="S25" s="35"/>
      <c r="X25" s="225" t="e">
        <f t="shared" si="0"/>
        <v>#VALUE!</v>
      </c>
    </row>
    <row r="26" spans="1:24" x14ac:dyDescent="0.2">
      <c r="A26" s="59"/>
      <c r="B26" s="146">
        <v>21</v>
      </c>
      <c r="C26" s="60" t="b">
        <v>1</v>
      </c>
      <c r="D26" s="61" t="str">
        <v>Z6</v>
      </c>
      <c r="E26" s="62">
        <v>42725</v>
      </c>
      <c r="F26" s="61" t="str">
        <v>HIRZ6</v>
      </c>
      <c r="G26" s="63" t="s">
        <v>171</v>
      </c>
      <c r="H26" s="61" t="s">
        <v>171</v>
      </c>
      <c r="I26" s="61" t="s">
        <v>171</v>
      </c>
      <c r="J26" s="61" t="s">
        <v>171</v>
      </c>
      <c r="K26" s="61" t="s">
        <v>171</v>
      </c>
      <c r="L26" s="147" t="e">
        <f>_xll.qlMidSafe($H26,$I26)</f>
        <v>#NUM!</v>
      </c>
      <c r="M26" s="57"/>
      <c r="N26" s="156" t="e">
        <v>#NUM!</v>
      </c>
      <c r="O26" s="57"/>
      <c r="P26" s="159" t="str">
        <v>HKDFUT3MZ6_Quote</v>
      </c>
      <c r="Q26" s="61" t="e">
        <v>#NUM!</v>
      </c>
      <c r="R26" s="147" t="e">
        <f>_xll.qlSimpleQuoteSetValue($P26,$Q26,Trigger)</f>
        <v>#NUM!</v>
      </c>
      <c r="S26" s="35"/>
      <c r="X26" s="225" t="e">
        <f t="shared" si="0"/>
        <v>#VALUE!</v>
      </c>
    </row>
    <row r="27" spans="1:24" x14ac:dyDescent="0.2">
      <c r="A27" s="59"/>
      <c r="B27" s="146">
        <v>22</v>
      </c>
      <c r="C27" s="60" t="b">
        <v>1</v>
      </c>
      <c r="D27" s="61" t="str">
        <v>H7</v>
      </c>
      <c r="E27" s="62">
        <v>42809</v>
      </c>
      <c r="F27" s="61" t="str">
        <v>HIRH7</v>
      </c>
      <c r="G27" s="63" t="s">
        <v>171</v>
      </c>
      <c r="H27" s="61" t="s">
        <v>171</v>
      </c>
      <c r="I27" s="61" t="s">
        <v>171</v>
      </c>
      <c r="J27" s="61" t="s">
        <v>171</v>
      </c>
      <c r="K27" s="61" t="s">
        <v>171</v>
      </c>
      <c r="L27" s="147" t="e">
        <f>_xll.qlMidSafe($H27,$I27)</f>
        <v>#NUM!</v>
      </c>
      <c r="M27" s="57"/>
      <c r="N27" s="156" t="e">
        <v>#NUM!</v>
      </c>
      <c r="O27" s="57"/>
      <c r="P27" s="159" t="str">
        <v>HKDFUT3MH7_Quote</v>
      </c>
      <c r="Q27" s="61" t="e">
        <v>#NUM!</v>
      </c>
      <c r="R27" s="147" t="e">
        <f>_xll.qlSimpleQuoteSetValue($P27,$Q27,Trigger)</f>
        <v>#NUM!</v>
      </c>
      <c r="S27" s="35"/>
      <c r="X27" s="225" t="e">
        <f t="shared" si="0"/>
        <v>#VALUE!</v>
      </c>
    </row>
    <row r="28" spans="1:24" x14ac:dyDescent="0.2">
      <c r="A28" s="59"/>
      <c r="B28" s="146">
        <v>23</v>
      </c>
      <c r="C28" s="60" t="b">
        <v>1</v>
      </c>
      <c r="D28" s="61" t="str">
        <v>M7</v>
      </c>
      <c r="E28" s="62">
        <v>42907</v>
      </c>
      <c r="F28" s="61" t="str">
        <v>HIRM7</v>
      </c>
      <c r="G28" s="63" t="s">
        <v>171</v>
      </c>
      <c r="H28" s="61" t="s">
        <v>171</v>
      </c>
      <c r="I28" s="61" t="s">
        <v>171</v>
      </c>
      <c r="J28" s="61" t="s">
        <v>171</v>
      </c>
      <c r="K28" s="61" t="s">
        <v>171</v>
      </c>
      <c r="L28" s="147" t="e">
        <f>_xll.qlMidSafe($H28,$I28)</f>
        <v>#NUM!</v>
      </c>
      <c r="M28" s="57"/>
      <c r="N28" s="156" t="e">
        <v>#NUM!</v>
      </c>
      <c r="O28" s="57"/>
      <c r="P28" s="159" t="str">
        <v>HKDFUT3MM7_Quote</v>
      </c>
      <c r="Q28" s="61" t="e">
        <v>#NUM!</v>
      </c>
      <c r="R28" s="147" t="e">
        <f>_xll.qlSimpleQuoteSetValue($P28,$Q28,Trigger)</f>
        <v>#NUM!</v>
      </c>
      <c r="S28" s="35"/>
      <c r="X28" s="225" t="e">
        <f t="shared" si="0"/>
        <v>#VALUE!</v>
      </c>
    </row>
    <row r="29" spans="1:24" x14ac:dyDescent="0.2">
      <c r="A29" s="59"/>
      <c r="B29" s="146">
        <v>24</v>
      </c>
      <c r="C29" s="60" t="b">
        <v>1</v>
      </c>
      <c r="D29" s="61" t="str">
        <v>U7</v>
      </c>
      <c r="E29" s="62">
        <v>42998</v>
      </c>
      <c r="F29" s="61" t="str">
        <v>HIRU7</v>
      </c>
      <c r="G29" s="63" t="s">
        <v>171</v>
      </c>
      <c r="H29" s="61" t="s">
        <v>171</v>
      </c>
      <c r="I29" s="61" t="s">
        <v>171</v>
      </c>
      <c r="J29" s="61" t="s">
        <v>171</v>
      </c>
      <c r="K29" s="61" t="s">
        <v>171</v>
      </c>
      <c r="L29" s="147" t="e">
        <f>_xll.qlMidSafe($H29,$I29)</f>
        <v>#NUM!</v>
      </c>
      <c r="M29" s="57"/>
      <c r="N29" s="156" t="e">
        <v>#NUM!</v>
      </c>
      <c r="O29" s="57"/>
      <c r="P29" s="159" t="str">
        <v>HKDFUT3MU7_Quote</v>
      </c>
      <c r="Q29" s="61" t="e">
        <v>#NUM!</v>
      </c>
      <c r="R29" s="147" t="e">
        <f>_xll.qlSimpleQuoteSetValue($P29,$Q29,Trigger)</f>
        <v>#NUM!</v>
      </c>
      <c r="S29" s="35"/>
      <c r="X29" s="225" t="e">
        <f t="shared" si="0"/>
        <v>#VALUE!</v>
      </c>
    </row>
    <row r="30" spans="1:24" x14ac:dyDescent="0.2">
      <c r="A30" s="59"/>
      <c r="B30" s="146">
        <v>25</v>
      </c>
      <c r="C30" s="60" t="b">
        <v>1</v>
      </c>
      <c r="D30" s="61" t="str">
        <v>Z7</v>
      </c>
      <c r="E30" s="62">
        <v>43089</v>
      </c>
      <c r="F30" s="61" t="str">
        <v>HIRZ7</v>
      </c>
      <c r="G30" s="63" t="s">
        <v>171</v>
      </c>
      <c r="H30" s="61" t="s">
        <v>171</v>
      </c>
      <c r="I30" s="61" t="s">
        <v>171</v>
      </c>
      <c r="J30" s="61" t="s">
        <v>171</v>
      </c>
      <c r="K30" s="61" t="s">
        <v>171</v>
      </c>
      <c r="L30" s="147" t="e">
        <f>_xll.qlMidSafe($H30,$I30)</f>
        <v>#NUM!</v>
      </c>
      <c r="M30" s="57"/>
      <c r="N30" s="156" t="e">
        <v>#NUM!</v>
      </c>
      <c r="O30" s="57"/>
      <c r="P30" s="159" t="str">
        <v>HKDFUT3MZ7_Quote</v>
      </c>
      <c r="Q30" s="61" t="e">
        <v>#NUM!</v>
      </c>
      <c r="R30" s="147" t="e">
        <f>_xll.qlSimpleQuoteSetValue($P30,$Q30,Trigger)</f>
        <v>#NUM!</v>
      </c>
      <c r="S30" s="35"/>
      <c r="X30" s="225" t="e">
        <f t="shared" si="0"/>
        <v>#VALUE!</v>
      </c>
    </row>
    <row r="31" spans="1:24" x14ac:dyDescent="0.2">
      <c r="A31" s="59"/>
      <c r="B31" s="146">
        <v>26</v>
      </c>
      <c r="C31" s="60" t="b">
        <v>1</v>
      </c>
      <c r="D31" s="61" t="str">
        <v>H8</v>
      </c>
      <c r="E31" s="62">
        <v>43180</v>
      </c>
      <c r="F31" s="61" t="str">
        <v>HIRH8</v>
      </c>
      <c r="G31" s="63" t="s">
        <v>171</v>
      </c>
      <c r="H31" s="61" t="s">
        <v>171</v>
      </c>
      <c r="I31" s="61" t="s">
        <v>171</v>
      </c>
      <c r="J31" s="61" t="s">
        <v>171</v>
      </c>
      <c r="K31" s="61" t="s">
        <v>171</v>
      </c>
      <c r="L31" s="147" t="e">
        <f>_xll.qlMidSafe($H31,$I31)</f>
        <v>#NUM!</v>
      </c>
      <c r="M31" s="57"/>
      <c r="N31" s="156" t="e">
        <v>#NUM!</v>
      </c>
      <c r="O31" s="57"/>
      <c r="P31" s="159" t="str">
        <v>HKDFUT3MH8_Quote</v>
      </c>
      <c r="Q31" s="61" t="e">
        <v>#NUM!</v>
      </c>
      <c r="R31" s="147" t="e">
        <f>_xll.qlSimpleQuoteSetValue($P31,$Q31,Trigger)</f>
        <v>#NUM!</v>
      </c>
      <c r="S31" s="35"/>
      <c r="X31" s="225" t="e">
        <f t="shared" si="0"/>
        <v>#VALUE!</v>
      </c>
    </row>
    <row r="32" spans="1:24" x14ac:dyDescent="0.2">
      <c r="A32" s="59"/>
      <c r="B32" s="146">
        <v>27</v>
      </c>
      <c r="C32" s="60" t="b">
        <v>1</v>
      </c>
      <c r="D32" s="61" t="str">
        <v>M8</v>
      </c>
      <c r="E32" s="62">
        <v>43271</v>
      </c>
      <c r="F32" s="61" t="str">
        <v>HIRM8</v>
      </c>
      <c r="G32" s="63" t="s">
        <v>171</v>
      </c>
      <c r="H32" s="61" t="s">
        <v>171</v>
      </c>
      <c r="I32" s="61" t="s">
        <v>171</v>
      </c>
      <c r="J32" s="61" t="s">
        <v>171</v>
      </c>
      <c r="K32" s="61" t="s">
        <v>171</v>
      </c>
      <c r="L32" s="147" t="e">
        <f>_xll.qlMidSafe($H32,$I32)</f>
        <v>#NUM!</v>
      </c>
      <c r="M32" s="57"/>
      <c r="N32" s="156" t="e">
        <v>#NUM!</v>
      </c>
      <c r="O32" s="57"/>
      <c r="P32" s="159" t="str">
        <v>HKDFUT3MM8_Quote</v>
      </c>
      <c r="Q32" s="61" t="e">
        <v>#NUM!</v>
      </c>
      <c r="R32" s="147" t="e">
        <f>_xll.qlSimpleQuoteSetValue($P32,$Q32,Trigger)</f>
        <v>#NUM!</v>
      </c>
      <c r="S32" s="35"/>
      <c r="X32" s="225" t="e">
        <f t="shared" si="0"/>
        <v>#VALUE!</v>
      </c>
    </row>
    <row r="33" spans="1:24" x14ac:dyDescent="0.2">
      <c r="A33" s="59"/>
      <c r="B33" s="146">
        <v>28</v>
      </c>
      <c r="C33" s="60" t="b">
        <v>1</v>
      </c>
      <c r="D33" s="61" t="str">
        <v>U8</v>
      </c>
      <c r="E33" s="62">
        <v>43362</v>
      </c>
      <c r="F33" s="61" t="str">
        <v>HIRU8</v>
      </c>
      <c r="G33" s="63" t="s">
        <v>171</v>
      </c>
      <c r="H33" s="61" t="s">
        <v>171</v>
      </c>
      <c r="I33" s="61" t="s">
        <v>171</v>
      </c>
      <c r="J33" s="61" t="s">
        <v>171</v>
      </c>
      <c r="K33" s="61" t="s">
        <v>171</v>
      </c>
      <c r="L33" s="147" t="e">
        <f>_xll.qlMidSafe($H33,$I33)</f>
        <v>#NUM!</v>
      </c>
      <c r="M33" s="57"/>
      <c r="N33" s="156" t="e">
        <v>#NUM!</v>
      </c>
      <c r="O33" s="57"/>
      <c r="P33" s="159" t="str">
        <v>HKDFUT3MU8_Quote</v>
      </c>
      <c r="Q33" s="61" t="e">
        <v>#NUM!</v>
      </c>
      <c r="R33" s="147" t="e">
        <f>_xll.qlSimpleQuoteSetValue($P33,$Q33,Trigger)</f>
        <v>#NUM!</v>
      </c>
      <c r="S33" s="35"/>
      <c r="X33" s="225" t="e">
        <f t="shared" si="0"/>
        <v>#VALUE!</v>
      </c>
    </row>
    <row r="34" spans="1:24" x14ac:dyDescent="0.2">
      <c r="A34" s="59"/>
      <c r="B34" s="146">
        <v>29</v>
      </c>
      <c r="C34" s="60" t="b">
        <v>1</v>
      </c>
      <c r="D34" s="61" t="str">
        <v>Z8</v>
      </c>
      <c r="E34" s="62">
        <v>43453</v>
      </c>
      <c r="F34" s="61" t="str">
        <v>HIRZ8</v>
      </c>
      <c r="G34" s="63" t="s">
        <v>171</v>
      </c>
      <c r="H34" s="61" t="s">
        <v>171</v>
      </c>
      <c r="I34" s="61" t="s">
        <v>171</v>
      </c>
      <c r="J34" s="61" t="s">
        <v>171</v>
      </c>
      <c r="K34" s="61" t="s">
        <v>171</v>
      </c>
      <c r="L34" s="147" t="e">
        <f>_xll.qlMidSafe($H34,$I34)</f>
        <v>#NUM!</v>
      </c>
      <c r="M34" s="57"/>
      <c r="N34" s="156" t="e">
        <v>#NUM!</v>
      </c>
      <c r="O34" s="57"/>
      <c r="P34" s="159" t="str">
        <v>HKDFUT3MZ8_Quote</v>
      </c>
      <c r="Q34" s="61" t="e">
        <v>#NUM!</v>
      </c>
      <c r="R34" s="147" t="e">
        <f>_xll.qlSimpleQuoteSetValue($P34,$Q34,Trigger)</f>
        <v>#NUM!</v>
      </c>
      <c r="S34" s="35"/>
      <c r="X34" s="225" t="e">
        <f t="shared" si="0"/>
        <v>#VALUE!</v>
      </c>
    </row>
    <row r="35" spans="1:24" x14ac:dyDescent="0.2">
      <c r="A35" s="59"/>
      <c r="B35" s="146">
        <v>30</v>
      </c>
      <c r="C35" s="60" t="b">
        <v>1</v>
      </c>
      <c r="D35" s="61" t="str">
        <v>H9</v>
      </c>
      <c r="E35" s="62">
        <v>43544</v>
      </c>
      <c r="F35" s="61" t="str">
        <v>HIRH9</v>
      </c>
      <c r="G35" s="63" t="s">
        <v>171</v>
      </c>
      <c r="H35" s="61" t="s">
        <v>171</v>
      </c>
      <c r="I35" s="61" t="s">
        <v>171</v>
      </c>
      <c r="J35" s="61" t="s">
        <v>171</v>
      </c>
      <c r="K35" s="61" t="s">
        <v>171</v>
      </c>
      <c r="L35" s="147" t="e">
        <f>_xll.qlMidSafe($H35,$I35)</f>
        <v>#NUM!</v>
      </c>
      <c r="M35" s="57"/>
      <c r="N35" s="156" t="e">
        <v>#NUM!</v>
      </c>
      <c r="O35" s="57"/>
      <c r="P35" s="159" t="str">
        <v>HKDFUT3MH9_Quote</v>
      </c>
      <c r="Q35" s="61" t="e">
        <v>#NUM!</v>
      </c>
      <c r="R35" s="147" t="e">
        <f>_xll.qlSimpleQuoteSetValue($P35,$Q35,Trigger)</f>
        <v>#NUM!</v>
      </c>
      <c r="S35" s="35"/>
      <c r="X35" s="225" t="e">
        <f t="shared" si="0"/>
        <v>#VALUE!</v>
      </c>
    </row>
    <row r="36" spans="1:24" x14ac:dyDescent="0.2">
      <c r="A36" s="59"/>
      <c r="B36" s="146">
        <v>31</v>
      </c>
      <c r="C36" s="60" t="b">
        <v>1</v>
      </c>
      <c r="D36" s="61" t="str">
        <v>M9</v>
      </c>
      <c r="E36" s="62">
        <v>43635</v>
      </c>
      <c r="F36" s="61" t="str">
        <v>HIRM9</v>
      </c>
      <c r="G36" s="63" t="s">
        <v>171</v>
      </c>
      <c r="H36" s="61" t="s">
        <v>171</v>
      </c>
      <c r="I36" s="61" t="s">
        <v>171</v>
      </c>
      <c r="J36" s="61" t="s">
        <v>171</v>
      </c>
      <c r="K36" s="61" t="s">
        <v>171</v>
      </c>
      <c r="L36" s="147" t="e">
        <f>_xll.qlMidSafe($H36,$I36)</f>
        <v>#NUM!</v>
      </c>
      <c r="M36" s="57"/>
      <c r="N36" s="156" t="e">
        <v>#NUM!</v>
      </c>
      <c r="O36" s="57"/>
      <c r="P36" s="159" t="str">
        <v>HKDFUT3MM9_Quote</v>
      </c>
      <c r="Q36" s="61" t="e">
        <v>#NUM!</v>
      </c>
      <c r="R36" s="147" t="e">
        <f>_xll.qlSimpleQuoteSetValue($P36,$Q36,Trigger)</f>
        <v>#NUM!</v>
      </c>
      <c r="S36" s="35"/>
      <c r="X36" s="225" t="e">
        <f t="shared" si="0"/>
        <v>#VALUE!</v>
      </c>
    </row>
    <row r="37" spans="1:24" x14ac:dyDescent="0.2">
      <c r="A37" s="59"/>
      <c r="B37" s="146">
        <v>32</v>
      </c>
      <c r="C37" s="60" t="b">
        <v>1</v>
      </c>
      <c r="D37" s="61" t="str">
        <v>U9</v>
      </c>
      <c r="E37" s="62">
        <v>43726</v>
      </c>
      <c r="F37" s="61" t="str">
        <v>HIRU9</v>
      </c>
      <c r="G37" s="63" t="s">
        <v>171</v>
      </c>
      <c r="H37" s="61" t="s">
        <v>171</v>
      </c>
      <c r="I37" s="61" t="s">
        <v>171</v>
      </c>
      <c r="J37" s="61" t="s">
        <v>171</v>
      </c>
      <c r="K37" s="61" t="s">
        <v>171</v>
      </c>
      <c r="L37" s="147" t="e">
        <f>_xll.qlMidSafe($H37,$I37)</f>
        <v>#NUM!</v>
      </c>
      <c r="M37" s="57"/>
      <c r="N37" s="156" t="e">
        <v>#NUM!</v>
      </c>
      <c r="O37" s="57"/>
      <c r="P37" s="159" t="str">
        <v>HKDFUT3MU9_Quote</v>
      </c>
      <c r="Q37" s="61" t="e">
        <v>#NUM!</v>
      </c>
      <c r="R37" s="147" t="e">
        <f>_xll.qlSimpleQuoteSetValue($P37,$Q37,Trigger)</f>
        <v>#NUM!</v>
      </c>
      <c r="S37" s="35"/>
      <c r="X37" s="225" t="e">
        <f t="shared" si="0"/>
        <v>#VALUE!</v>
      </c>
    </row>
    <row r="38" spans="1:24" x14ac:dyDescent="0.2">
      <c r="A38" s="59"/>
      <c r="B38" s="146">
        <v>33</v>
      </c>
      <c r="C38" s="60" t="b">
        <v>1</v>
      </c>
      <c r="D38" s="61" t="str">
        <v>Z9</v>
      </c>
      <c r="E38" s="62">
        <v>43817</v>
      </c>
      <c r="F38" s="61" t="str">
        <v>HIRZ9</v>
      </c>
      <c r="G38" s="63" t="s">
        <v>171</v>
      </c>
      <c r="H38" s="61" t="s">
        <v>171</v>
      </c>
      <c r="I38" s="61" t="s">
        <v>171</v>
      </c>
      <c r="J38" s="61" t="s">
        <v>171</v>
      </c>
      <c r="K38" s="61" t="s">
        <v>171</v>
      </c>
      <c r="L38" s="147" t="e">
        <f>_xll.qlMidSafe($H38,$I38)</f>
        <v>#NUM!</v>
      </c>
      <c r="M38" s="57"/>
      <c r="N38" s="156" t="e">
        <v>#NUM!</v>
      </c>
      <c r="O38" s="57"/>
      <c r="P38" s="159" t="str">
        <v>HKDFUT3MZ9_Quote</v>
      </c>
      <c r="Q38" s="61" t="e">
        <v>#NUM!</v>
      </c>
      <c r="R38" s="147" t="e">
        <f>_xll.qlSimpleQuoteSetValue($P38,$Q38,Trigger)</f>
        <v>#NUM!</v>
      </c>
      <c r="S38" s="35"/>
      <c r="X38" s="225" t="e">
        <f t="shared" si="0"/>
        <v>#VALUE!</v>
      </c>
    </row>
    <row r="39" spans="1:24" ht="12.75" x14ac:dyDescent="0.2">
      <c r="A39" s="59"/>
      <c r="B39" s="146">
        <v>34</v>
      </c>
      <c r="C39" s="60" t="b">
        <v>1</v>
      </c>
      <c r="D39" s="61" t="str">
        <v>H0</v>
      </c>
      <c r="E39" s="62">
        <v>43908</v>
      </c>
      <c r="F39" s="61" t="str">
        <v>HIRH0</v>
      </c>
      <c r="G39" s="63" t="s">
        <v>171</v>
      </c>
      <c r="H39" s="61" t="s">
        <v>171</v>
      </c>
      <c r="I39" s="61" t="s">
        <v>171</v>
      </c>
      <c r="J39" s="61" t="s">
        <v>171</v>
      </c>
      <c r="K39" s="61" t="s">
        <v>171</v>
      </c>
      <c r="L39" s="147" t="e">
        <f>_xll.qlMidSafe($H39,$I39)</f>
        <v>#NUM!</v>
      </c>
      <c r="M39" s="57"/>
      <c r="N39" s="156" t="e">
        <v>#NUM!</v>
      </c>
      <c r="O39" s="57"/>
      <c r="P39" s="159" t="str">
        <v>HKDFUT3MH0_Quote</v>
      </c>
      <c r="Q39" s="61" t="e">
        <v>#NUM!</v>
      </c>
      <c r="R39" s="147" t="e">
        <f>_xll.qlSimpleQuoteSetValue($P39,$Q39,Trigger)</f>
        <v>#NUM!</v>
      </c>
      <c r="S39" s="35"/>
      <c r="W39" t="e">
        <f ca="1">_xll.RtGet("IDN","/HIRX3","BID")</f>
        <v>#NAME?</v>
      </c>
      <c r="X39" s="225" t="e">
        <f t="shared" si="0"/>
        <v>#VALUE!</v>
      </c>
    </row>
    <row r="40" spans="1:24" x14ac:dyDescent="0.2">
      <c r="A40" s="59"/>
      <c r="B40" s="146">
        <v>35</v>
      </c>
      <c r="C40" s="60" t="b">
        <v>1</v>
      </c>
      <c r="D40" s="61" t="str">
        <v>M0</v>
      </c>
      <c r="E40" s="62">
        <v>43999</v>
      </c>
      <c r="F40" s="61" t="str">
        <v>HIRM0</v>
      </c>
      <c r="G40" s="63" t="s">
        <v>171</v>
      </c>
      <c r="H40" s="61" t="s">
        <v>171</v>
      </c>
      <c r="I40" s="61" t="s">
        <v>171</v>
      </c>
      <c r="J40" s="61" t="s">
        <v>171</v>
      </c>
      <c r="K40" s="61" t="s">
        <v>171</v>
      </c>
      <c r="L40" s="147" t="e">
        <f>_xll.qlMidSafe($H40,$I40)</f>
        <v>#NUM!</v>
      </c>
      <c r="M40" s="57"/>
      <c r="N40" s="156" t="e">
        <v>#NUM!</v>
      </c>
      <c r="O40" s="57"/>
      <c r="P40" s="159" t="str">
        <v>HKDFUT3MM0_Quote</v>
      </c>
      <c r="Q40" s="61" t="e">
        <v>#NUM!</v>
      </c>
      <c r="R40" s="147" t="e">
        <f>_xll.qlSimpleQuoteSetValue($P40,$Q40,Trigger)</f>
        <v>#NUM!</v>
      </c>
      <c r="S40" s="35"/>
      <c r="X40" s="225" t="e">
        <f t="shared" si="0"/>
        <v>#VALUE!</v>
      </c>
    </row>
    <row r="41" spans="1:24" x14ac:dyDescent="0.2">
      <c r="A41" s="59"/>
      <c r="B41" s="146">
        <v>36</v>
      </c>
      <c r="C41" s="60" t="b">
        <v>1</v>
      </c>
      <c r="D41" s="61" t="str">
        <v>U0</v>
      </c>
      <c r="E41" s="62">
        <v>44090</v>
      </c>
      <c r="F41" s="61" t="str">
        <v>HIRU0</v>
      </c>
      <c r="G41" s="63" t="s">
        <v>171</v>
      </c>
      <c r="H41" s="61" t="s">
        <v>171</v>
      </c>
      <c r="I41" s="61" t="s">
        <v>171</v>
      </c>
      <c r="J41" s="61" t="s">
        <v>171</v>
      </c>
      <c r="K41" s="61" t="s">
        <v>171</v>
      </c>
      <c r="L41" s="147" t="e">
        <f>_xll.qlMidSafe($H41,$I41)</f>
        <v>#NUM!</v>
      </c>
      <c r="M41" s="57"/>
      <c r="N41" s="156" t="e">
        <v>#NUM!</v>
      </c>
      <c r="O41" s="57"/>
      <c r="P41" s="159" t="str">
        <v>HKDFUT3MU0_Quote</v>
      </c>
      <c r="Q41" s="61" t="e">
        <v>#NUM!</v>
      </c>
      <c r="R41" s="147" t="e">
        <f>_xll.qlSimpleQuoteSetValue($P41,$Q41,Trigger)</f>
        <v>#NUM!</v>
      </c>
      <c r="S41" s="35"/>
      <c r="X41" s="225" t="e">
        <f t="shared" si="0"/>
        <v>#VALUE!</v>
      </c>
    </row>
    <row r="42" spans="1:24" x14ac:dyDescent="0.2">
      <c r="A42" s="59"/>
      <c r="B42" s="146">
        <v>37</v>
      </c>
      <c r="C42" s="60" t="b">
        <v>1</v>
      </c>
      <c r="D42" s="61" t="str">
        <v>Z0</v>
      </c>
      <c r="E42" s="62">
        <v>44181</v>
      </c>
      <c r="F42" s="61" t="str">
        <v>HIRZ0</v>
      </c>
      <c r="G42" s="63" t="s">
        <v>171</v>
      </c>
      <c r="H42" s="61" t="s">
        <v>171</v>
      </c>
      <c r="I42" s="61" t="s">
        <v>171</v>
      </c>
      <c r="J42" s="61" t="s">
        <v>171</v>
      </c>
      <c r="K42" s="61" t="s">
        <v>171</v>
      </c>
      <c r="L42" s="147" t="e">
        <f>_xll.qlMidSafe($H42,$I42)</f>
        <v>#NUM!</v>
      </c>
      <c r="M42" s="57"/>
      <c r="N42" s="156" t="e">
        <v>#NUM!</v>
      </c>
      <c r="O42" s="57"/>
      <c r="P42" s="159" t="str">
        <v>HKDFUT3MZ0_Quote</v>
      </c>
      <c r="Q42" s="61" t="e">
        <v>#NUM!</v>
      </c>
      <c r="R42" s="147" t="e">
        <f>_xll.qlSimpleQuoteSetValue($P42,$Q42,Trigger)</f>
        <v>#NUM!</v>
      </c>
      <c r="S42" s="35"/>
      <c r="X42" s="225" t="e">
        <f t="shared" si="0"/>
        <v>#VALUE!</v>
      </c>
    </row>
    <row r="43" spans="1:24" x14ac:dyDescent="0.2">
      <c r="A43" s="59"/>
      <c r="B43" s="146">
        <v>38</v>
      </c>
      <c r="C43" s="60" t="b">
        <v>1</v>
      </c>
      <c r="D43" s="61" t="str">
        <v>H1</v>
      </c>
      <c r="E43" s="62">
        <v>44272</v>
      </c>
      <c r="F43" s="61" t="str">
        <v>HIRH1</v>
      </c>
      <c r="G43" s="63" t="s">
        <v>171</v>
      </c>
      <c r="H43" s="61" t="s">
        <v>171</v>
      </c>
      <c r="I43" s="61" t="s">
        <v>171</v>
      </c>
      <c r="J43" s="61" t="s">
        <v>171</v>
      </c>
      <c r="K43" s="61" t="s">
        <v>171</v>
      </c>
      <c r="L43" s="147" t="e">
        <f>_xll.qlMidSafe($H43,$I43)</f>
        <v>#NUM!</v>
      </c>
      <c r="M43" s="57"/>
      <c r="N43" s="156" t="e">
        <v>#NUM!</v>
      </c>
      <c r="O43" s="57"/>
      <c r="P43" s="159" t="str">
        <v>HKDFUT3MH1_Quote</v>
      </c>
      <c r="Q43" s="61" t="e">
        <v>#NUM!</v>
      </c>
      <c r="R43" s="147" t="e">
        <f>_xll.qlSimpleQuoteSetValue($P43,$Q43,Trigger)</f>
        <v>#NUM!</v>
      </c>
      <c r="S43" s="35"/>
      <c r="X43" s="225" t="e">
        <f t="shared" si="0"/>
        <v>#VALUE!</v>
      </c>
    </row>
    <row r="44" spans="1:24" x14ac:dyDescent="0.2">
      <c r="A44" s="59"/>
      <c r="B44" s="146">
        <v>39</v>
      </c>
      <c r="C44" s="60" t="b">
        <v>1</v>
      </c>
      <c r="D44" s="61" t="str">
        <v>M1</v>
      </c>
      <c r="E44" s="62">
        <v>44363</v>
      </c>
      <c r="F44" s="61" t="str">
        <v>HIRM1</v>
      </c>
      <c r="G44" s="63" t="s">
        <v>171</v>
      </c>
      <c r="H44" s="61" t="s">
        <v>171</v>
      </c>
      <c r="I44" s="61" t="s">
        <v>171</v>
      </c>
      <c r="J44" s="61" t="s">
        <v>171</v>
      </c>
      <c r="K44" s="61" t="s">
        <v>171</v>
      </c>
      <c r="L44" s="147" t="e">
        <f>_xll.qlMidSafe($H44,$I44)</f>
        <v>#NUM!</v>
      </c>
      <c r="M44" s="57"/>
      <c r="N44" s="156" t="e">
        <v>#NUM!</v>
      </c>
      <c r="O44" s="57"/>
      <c r="P44" s="159" t="str">
        <v>HKDFUT3MM1_Quote</v>
      </c>
      <c r="Q44" s="61" t="e">
        <v>#NUM!</v>
      </c>
      <c r="R44" s="147" t="e">
        <f>_xll.qlSimpleQuoteSetValue($P44,$Q44,Trigger)</f>
        <v>#NUM!</v>
      </c>
      <c r="S44" s="35"/>
      <c r="X44" s="225" t="e">
        <f t="shared" si="0"/>
        <v>#VALUE!</v>
      </c>
    </row>
    <row r="45" spans="1:24" x14ac:dyDescent="0.2">
      <c r="A45" s="59"/>
      <c r="B45" s="146">
        <v>40</v>
      </c>
      <c r="C45" s="60" t="b">
        <v>1</v>
      </c>
      <c r="D45" s="61" t="str">
        <v>U1</v>
      </c>
      <c r="E45" s="62">
        <v>44454</v>
      </c>
      <c r="F45" s="61" t="str">
        <v>HIRU1</v>
      </c>
      <c r="G45" s="63" t="s">
        <v>171</v>
      </c>
      <c r="H45" s="61" t="s">
        <v>171</v>
      </c>
      <c r="I45" s="61" t="s">
        <v>171</v>
      </c>
      <c r="J45" s="61" t="s">
        <v>171</v>
      </c>
      <c r="K45" s="61" t="s">
        <v>171</v>
      </c>
      <c r="L45" s="147" t="e">
        <f>_xll.qlMidSafe($H45,$I45)</f>
        <v>#NUM!</v>
      </c>
      <c r="M45" s="57"/>
      <c r="N45" s="156" t="e">
        <v>#NUM!</v>
      </c>
      <c r="O45" s="57"/>
      <c r="P45" s="159" t="str">
        <v>HKDFUT3MU1_Quote</v>
      </c>
      <c r="Q45" s="61" t="e">
        <v>#NUM!</v>
      </c>
      <c r="R45" s="147" t="e">
        <f>_xll.qlSimpleQuoteSetValue($P45,$Q45,Trigger)</f>
        <v>#NUM!</v>
      </c>
      <c r="S45" s="35"/>
      <c r="X45" s="225" t="e">
        <f t="shared" si="0"/>
        <v>#VALUE!</v>
      </c>
    </row>
    <row r="46" spans="1:24" x14ac:dyDescent="0.2">
      <c r="A46" s="59"/>
      <c r="B46" s="146">
        <v>41</v>
      </c>
      <c r="C46" s="60" t="b">
        <v>1</v>
      </c>
      <c r="D46" s="61" t="str">
        <v>Z1</v>
      </c>
      <c r="E46" s="62">
        <v>44545</v>
      </c>
      <c r="F46" s="61" t="str">
        <v>HIRZ1</v>
      </c>
      <c r="G46" s="63" t="s">
        <v>171</v>
      </c>
      <c r="H46" s="61" t="s">
        <v>171</v>
      </c>
      <c r="I46" s="61" t="s">
        <v>171</v>
      </c>
      <c r="J46" s="61" t="s">
        <v>171</v>
      </c>
      <c r="K46" s="61" t="s">
        <v>171</v>
      </c>
      <c r="L46" s="147" t="e">
        <f>_xll.qlMidSafe($H46,$I46)</f>
        <v>#NUM!</v>
      </c>
      <c r="M46" s="57"/>
      <c r="N46" s="156" t="e">
        <v>#NUM!</v>
      </c>
      <c r="O46" s="57"/>
      <c r="P46" s="159" t="str">
        <v>HKDFUT3MZ1_Quote</v>
      </c>
      <c r="Q46" s="61" t="e">
        <v>#NUM!</v>
      </c>
      <c r="R46" s="147" t="e">
        <f>_xll.qlSimpleQuoteSetValue($P46,$Q46,Trigger)</f>
        <v>#NUM!</v>
      </c>
      <c r="S46" s="35"/>
      <c r="X46" s="225" t="e">
        <f t="shared" si="0"/>
        <v>#VALUE!</v>
      </c>
    </row>
    <row r="47" spans="1:24" x14ac:dyDescent="0.2">
      <c r="A47" s="59"/>
      <c r="B47" s="148">
        <v>42</v>
      </c>
      <c r="C47" s="149" t="b">
        <v>1</v>
      </c>
      <c r="D47" s="150" t="str">
        <v>H2</v>
      </c>
      <c r="E47" s="151">
        <v>44636</v>
      </c>
      <c r="F47" s="150" t="str">
        <v>HIRH2</v>
      </c>
      <c r="G47" s="152" t="s">
        <v>171</v>
      </c>
      <c r="H47" s="150" t="s">
        <v>171</v>
      </c>
      <c r="I47" s="150" t="s">
        <v>171</v>
      </c>
      <c r="J47" s="150" t="s">
        <v>171</v>
      </c>
      <c r="K47" s="150" t="s">
        <v>171</v>
      </c>
      <c r="L47" s="153" t="e">
        <f>_xll.qlMidSafe($H47,$I47)</f>
        <v>#NUM!</v>
      </c>
      <c r="M47" s="57"/>
      <c r="N47" s="157" t="e">
        <v>#NUM!</v>
      </c>
      <c r="O47" s="57"/>
      <c r="P47" s="160" t="str">
        <v>HKDFUT3MH2_Quote</v>
      </c>
      <c r="Q47" s="150" t="e">
        <v>#NUM!</v>
      </c>
      <c r="R47" s="153" t="e">
        <f>_xll.qlSimpleQuoteSetValue($P47,$Q47,Trigger)</f>
        <v>#NUM!</v>
      </c>
      <c r="S47" s="35"/>
      <c r="X47" s="225" t="e">
        <f t="shared" si="0"/>
        <v>#VALUE!</v>
      </c>
    </row>
    <row r="48" spans="1:24" ht="12" thickBot="1" x14ac:dyDescent="0.25">
      <c r="A48" s="64"/>
      <c r="B48" s="37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8"/>
    </row>
  </sheetData>
  <phoneticPr fontId="4" type="noConversion"/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X10"/>
  <sheetViews>
    <sheetView workbookViewId="0"/>
  </sheetViews>
  <sheetFormatPr defaultRowHeight="11.25" x14ac:dyDescent="0.2"/>
  <cols>
    <col min="1" max="1" width="2.85546875" style="29" customWidth="1"/>
    <col min="2" max="2" width="2.7109375" style="29" bestFit="1" customWidth="1"/>
    <col min="3" max="3" width="5.7109375" style="29" customWidth="1"/>
    <col min="4" max="4" width="6.140625" style="29" bestFit="1" customWidth="1"/>
    <col min="5" max="5" width="14.28515625" style="29" bestFit="1" customWidth="1"/>
    <col min="6" max="6" width="11.42578125" style="29" bestFit="1" customWidth="1"/>
    <col min="7" max="7" width="9" style="29" customWidth="1"/>
    <col min="8" max="10" width="6.5703125" style="29" bestFit="1" customWidth="1"/>
    <col min="11" max="11" width="9.85546875" style="29" customWidth="1"/>
    <col min="12" max="12" width="8" style="29" bestFit="1" customWidth="1"/>
    <col min="13" max="13" width="2.85546875" style="29" customWidth="1"/>
    <col min="14" max="14" width="6.5703125" style="29" customWidth="1"/>
    <col min="15" max="15" width="2.85546875" style="29" customWidth="1"/>
    <col min="16" max="16" width="18.7109375" style="29" bestFit="1" customWidth="1"/>
    <col min="17" max="17" width="7.7109375" style="29" bestFit="1" customWidth="1"/>
    <col min="18" max="18" width="7" style="29" bestFit="1" customWidth="1"/>
    <col min="19" max="20" width="2.85546875" style="29" customWidth="1"/>
    <col min="21" max="21" width="4.7109375" style="29" bestFit="1" customWidth="1"/>
    <col min="22" max="22" width="6" style="29" bestFit="1" customWidth="1"/>
    <col min="23" max="23" width="9.140625" style="29"/>
    <col min="24" max="24" width="7" style="29" bestFit="1" customWidth="1"/>
    <col min="25" max="16384" width="9.140625" style="29"/>
  </cols>
  <sheetData>
    <row r="1" spans="1:24" ht="12.75" customHeight="1" x14ac:dyDescent="0.2">
      <c r="A1" s="30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54"/>
      <c r="N1" s="54"/>
      <c r="O1" s="31"/>
      <c r="P1" s="31"/>
      <c r="Q1" s="31"/>
      <c r="R1" s="31"/>
      <c r="S1" s="55"/>
    </row>
    <row r="2" spans="1:24" ht="12.75" customHeight="1" x14ac:dyDescent="0.2">
      <c r="A2" s="33"/>
      <c r="B2" s="34"/>
      <c r="C2" s="56"/>
      <c r="D2" s="56"/>
      <c r="F2" s="110" t="s">
        <v>5</v>
      </c>
      <c r="G2" s="34"/>
      <c r="H2" s="34"/>
      <c r="I2" s="34"/>
      <c r="J2" s="34"/>
      <c r="K2" s="34"/>
      <c r="L2" s="34"/>
      <c r="M2" s="57"/>
      <c r="N2" s="57"/>
      <c r="O2" s="34"/>
      <c r="P2" s="112" t="s">
        <v>79</v>
      </c>
      <c r="Q2" s="111" t="s">
        <v>34</v>
      </c>
      <c r="R2" s="34"/>
      <c r="S2" s="58"/>
    </row>
    <row r="3" spans="1:24" ht="12.75" customHeight="1" x14ac:dyDescent="0.2">
      <c r="A3" s="33"/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57"/>
      <c r="N3" s="57"/>
      <c r="O3" s="34"/>
      <c r="Q3" s="34"/>
      <c r="R3" s="34"/>
      <c r="S3" s="58"/>
    </row>
    <row r="4" spans="1:24" ht="12.75" customHeight="1" x14ac:dyDescent="0.2">
      <c r="A4" s="33"/>
      <c r="B4" s="34"/>
      <c r="C4" s="34"/>
      <c r="D4" s="34"/>
      <c r="E4" s="239">
        <f>_xll.qlCalendarEndOfMonth("TARGET",_xll.qlCalendarAdvance("TARGET",_xll.qlSettingsEvaluationDate(Trigger),"2d"))</f>
        <v>41578</v>
      </c>
      <c r="F4" s="34"/>
      <c r="G4" s="34"/>
      <c r="H4" s="34"/>
      <c r="I4" s="34"/>
      <c r="J4" s="34"/>
      <c r="K4" s="34"/>
      <c r="L4" s="34"/>
      <c r="M4" s="57"/>
      <c r="N4" s="57"/>
      <c r="O4" s="34"/>
      <c r="P4" s="57" t="s">
        <v>154</v>
      </c>
      <c r="Q4" s="34"/>
      <c r="R4" s="28">
        <f>_xll.ohTrigger(R6:R9)</f>
        <v>12</v>
      </c>
      <c r="S4" s="58"/>
    </row>
    <row r="5" spans="1:24" ht="22.5" x14ac:dyDescent="0.2">
      <c r="A5" s="33"/>
      <c r="B5" s="133" t="s">
        <v>21</v>
      </c>
      <c r="C5" s="134" t="s">
        <v>32</v>
      </c>
      <c r="D5" s="134" t="s">
        <v>23</v>
      </c>
      <c r="E5" s="134" t="s">
        <v>35</v>
      </c>
      <c r="F5" s="135" t="e">
        <f ca="1">_xll.RData(F6:F9,G5:K5,,ReutersRtMode,,G6)</f>
        <v>#NAME?</v>
      </c>
      <c r="G5" s="134" t="s">
        <v>20</v>
      </c>
      <c r="H5" s="134" t="s">
        <v>0</v>
      </c>
      <c r="I5" s="134" t="s">
        <v>1</v>
      </c>
      <c r="J5" s="134" t="s">
        <v>25</v>
      </c>
      <c r="K5" s="134" t="s">
        <v>26</v>
      </c>
      <c r="L5" s="136" t="s">
        <v>128</v>
      </c>
      <c r="M5" s="57"/>
      <c r="N5" s="137" t="s">
        <v>105</v>
      </c>
      <c r="O5" s="57"/>
      <c r="P5" s="138" t="s">
        <v>31</v>
      </c>
      <c r="Q5" s="134" t="s">
        <v>17</v>
      </c>
      <c r="R5" s="139" t="s">
        <v>24</v>
      </c>
      <c r="S5" s="35"/>
      <c r="X5" s="222" t="s">
        <v>142</v>
      </c>
    </row>
    <row r="6" spans="1:24" ht="12.75" customHeight="1" x14ac:dyDescent="0.2">
      <c r="A6" s="59"/>
      <c r="B6" s="140">
        <v>1</v>
      </c>
      <c r="C6" s="141" t="b">
        <v>0</v>
      </c>
      <c r="D6" s="142" t="str">
        <f t="array" ref="D6:D9">_xll.qlIMMcode(FuturesDates)</f>
        <v>X3</v>
      </c>
      <c r="E6" s="143">
        <f t="array" ref="E6:E9">_xll.qlIMMNextDates(E4,$C6:$C9)</f>
        <v>41598</v>
      </c>
      <c r="F6" s="142" t="str">
        <f t="array" ref="F6:F9">Currency&amp;"6F"&amp;B6:B9&amp;"="&amp;VLOOKUP(Contributor,ContributorTable,2,FALSE)</f>
        <v>HKD6F1=ICAP</v>
      </c>
      <c r="G6" s="144" t="s">
        <v>171</v>
      </c>
      <c r="H6" s="142" t="s">
        <v>171</v>
      </c>
      <c r="I6" s="142" t="s">
        <v>171</v>
      </c>
      <c r="J6" s="142" t="s">
        <v>171</v>
      </c>
      <c r="K6" s="142" t="s">
        <v>171</v>
      </c>
      <c r="L6" s="145" t="e">
        <f>100-_xll.qlMidSafe($H6,$I6)</f>
        <v>#NUM!</v>
      </c>
      <c r="M6" s="57"/>
      <c r="N6" s="154" t="e">
        <v>#NUM!</v>
      </c>
      <c r="O6" s="57"/>
      <c r="P6" s="158" t="str">
        <f t="array" ref="P6:P9">Currency&amp;P4&amp;FuturesCodes&amp;$Q$2</f>
        <v>HKDIMMFRA6MX3_Quote</v>
      </c>
      <c r="Q6" s="142" t="e">
        <f t="array" ref="Q6:Q9">QuoteLive</f>
        <v>#NUM!</v>
      </c>
      <c r="R6" s="145" t="e">
        <f>_xll.qlSimpleQuoteSetValue($P6,$Q6,Trigger)</f>
        <v>#NUM!</v>
      </c>
      <c r="S6" s="35"/>
      <c r="X6" s="225" t="e">
        <f>(I6-H6)/100</f>
        <v>#VALUE!</v>
      </c>
    </row>
    <row r="7" spans="1:24" x14ac:dyDescent="0.2">
      <c r="A7" s="59"/>
      <c r="B7" s="146">
        <v>2</v>
      </c>
      <c r="C7" s="60" t="b">
        <v>0</v>
      </c>
      <c r="D7" s="61" t="str">
        <v>Z3</v>
      </c>
      <c r="E7" s="62">
        <v>41626</v>
      </c>
      <c r="F7" s="61" t="str">
        <v>HKD6F2=ICAP</v>
      </c>
      <c r="G7" s="63" t="s">
        <v>171</v>
      </c>
      <c r="H7" s="61" t="s">
        <v>171</v>
      </c>
      <c r="I7" s="61" t="s">
        <v>171</v>
      </c>
      <c r="J7" s="61" t="s">
        <v>171</v>
      </c>
      <c r="K7" s="61" t="s">
        <v>171</v>
      </c>
      <c r="L7" s="147" t="e">
        <f>100-_xll.qlMidSafe($H7,$I7)</f>
        <v>#NUM!</v>
      </c>
      <c r="M7" s="57"/>
      <c r="N7" s="155" t="e">
        <v>#NUM!</v>
      </c>
      <c r="O7" s="57"/>
      <c r="P7" s="159" t="str">
        <v>HKDIMMFRA6MZ3_Quote</v>
      </c>
      <c r="Q7" s="61" t="e">
        <v>#NUM!</v>
      </c>
      <c r="R7" s="147" t="e">
        <f>_xll.qlSimpleQuoteSetValue($P7,$Q7,Trigger)</f>
        <v>#NUM!</v>
      </c>
      <c r="S7" s="35"/>
      <c r="X7" s="225" t="e">
        <f>(I7-H7)/100</f>
        <v>#VALUE!</v>
      </c>
    </row>
    <row r="8" spans="1:24" x14ac:dyDescent="0.2">
      <c r="A8" s="59"/>
      <c r="B8" s="146">
        <v>3</v>
      </c>
      <c r="C8" s="60" t="b">
        <v>0</v>
      </c>
      <c r="D8" s="61" t="str">
        <v>F4</v>
      </c>
      <c r="E8" s="62">
        <v>41654</v>
      </c>
      <c r="F8" s="61" t="str">
        <v>HKD6F3=ICAP</v>
      </c>
      <c r="G8" s="63" t="s">
        <v>171</v>
      </c>
      <c r="H8" s="61" t="s">
        <v>171</v>
      </c>
      <c r="I8" s="61" t="s">
        <v>171</v>
      </c>
      <c r="J8" s="61" t="s">
        <v>171</v>
      </c>
      <c r="K8" s="61" t="s">
        <v>171</v>
      </c>
      <c r="L8" s="147" t="e">
        <f>100-_xll.qlMidSafe($H8,$I8)</f>
        <v>#NUM!</v>
      </c>
      <c r="M8" s="57"/>
      <c r="N8" s="155" t="e">
        <v>#NUM!</v>
      </c>
      <c r="O8" s="57"/>
      <c r="P8" s="159" t="str">
        <v>HKDIMMFRA6MF4_Quote</v>
      </c>
      <c r="Q8" s="61" t="e">
        <v>#NUM!</v>
      </c>
      <c r="R8" s="147" t="e">
        <f>_xll.qlSimpleQuoteSetValue($P8,$Q8,Trigger)</f>
        <v>#NUM!</v>
      </c>
      <c r="S8" s="35"/>
      <c r="X8" s="225" t="e">
        <f>(I8-H8)/100</f>
        <v>#VALUE!</v>
      </c>
    </row>
    <row r="9" spans="1:24" x14ac:dyDescent="0.2">
      <c r="A9" s="59"/>
      <c r="B9" s="148">
        <v>4</v>
      </c>
      <c r="C9" s="149" t="b">
        <v>0</v>
      </c>
      <c r="D9" s="150" t="str">
        <v>G4</v>
      </c>
      <c r="E9" s="151">
        <v>41689</v>
      </c>
      <c r="F9" s="150" t="str">
        <v>HKD6F4=ICAP</v>
      </c>
      <c r="G9" s="152" t="s">
        <v>171</v>
      </c>
      <c r="H9" s="150" t="s">
        <v>171</v>
      </c>
      <c r="I9" s="150" t="s">
        <v>171</v>
      </c>
      <c r="J9" s="150" t="s">
        <v>171</v>
      </c>
      <c r="K9" s="150" t="s">
        <v>171</v>
      </c>
      <c r="L9" s="153" t="e">
        <f>100-_xll.qlMidSafe($H9,$I9)</f>
        <v>#NUM!</v>
      </c>
      <c r="M9" s="57"/>
      <c r="N9" s="238" t="e">
        <v>#NUM!</v>
      </c>
      <c r="O9" s="57"/>
      <c r="P9" s="160" t="str">
        <v>HKDIMMFRA6MG4_Quote</v>
      </c>
      <c r="Q9" s="150" t="e">
        <v>#NUM!</v>
      </c>
      <c r="R9" s="153" t="e">
        <f>_xll.qlSimpleQuoteSetValue($P9,$Q9,Trigger)</f>
        <v>#NUM!</v>
      </c>
      <c r="S9" s="35"/>
      <c r="X9" s="225" t="e">
        <f>(I9-H9)/100</f>
        <v>#VALUE!</v>
      </c>
    </row>
    <row r="10" spans="1:24" ht="12" thickBot="1" x14ac:dyDescent="0.25">
      <c r="A10" s="64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8"/>
    </row>
  </sheetData>
  <phoneticPr fontId="4" type="noConversion"/>
  <dataValidations disablePrompts="1"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9"/>
  <sheetViews>
    <sheetView workbookViewId="0"/>
  </sheetViews>
  <sheetFormatPr defaultRowHeight="11.25" x14ac:dyDescent="0.2"/>
  <cols>
    <col min="1" max="1" width="4.28515625" style="29" customWidth="1"/>
    <col min="2" max="2" width="14.140625" style="29" customWidth="1"/>
    <col min="3" max="3" width="4.85546875" style="29" bestFit="1" customWidth="1"/>
    <col min="4" max="4" width="4.28515625" style="29" customWidth="1"/>
    <col min="5" max="5" width="11.7109375" style="29" bestFit="1" customWidth="1"/>
    <col min="6" max="6" width="7.42578125" style="29" bestFit="1" customWidth="1"/>
    <col min="7" max="7" width="4.28515625" style="29" customWidth="1"/>
    <col min="8" max="8" width="7.42578125" style="29" bestFit="1" customWidth="1"/>
    <col min="9" max="9" width="4.28515625" style="29" customWidth="1"/>
    <col min="10" max="10" width="23.42578125" style="29" bestFit="1" customWidth="1"/>
    <col min="11" max="11" width="7.85546875" style="29" bestFit="1" customWidth="1"/>
    <col min="12" max="12" width="7.42578125" style="29" bestFit="1" customWidth="1"/>
    <col min="13" max="13" width="4.28515625" style="29" customWidth="1"/>
    <col min="14" max="14" width="2.28515625" style="29" customWidth="1"/>
    <col min="15" max="15" width="4" style="29" bestFit="1" customWidth="1"/>
    <col min="16" max="16" width="3.140625" style="29" bestFit="1" customWidth="1"/>
    <col min="17" max="17" width="2.7109375" style="29" bestFit="1" customWidth="1"/>
    <col min="18" max="16384" width="9.140625" style="29"/>
  </cols>
  <sheetData>
    <row r="1" spans="1:17" x14ac:dyDescent="0.2">
      <c r="A1" s="30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2"/>
    </row>
    <row r="2" spans="1:17" x14ac:dyDescent="0.2">
      <c r="A2" s="33"/>
      <c r="B2" s="110" t="s">
        <v>5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5"/>
    </row>
    <row r="3" spans="1:17" x14ac:dyDescent="0.2">
      <c r="A3" s="33"/>
      <c r="B3" s="34"/>
      <c r="C3" s="34"/>
      <c r="D3" s="34"/>
      <c r="E3" s="34"/>
      <c r="F3" s="34"/>
      <c r="G3" s="34"/>
      <c r="H3" s="34"/>
      <c r="I3" s="34"/>
      <c r="J3" s="34"/>
      <c r="K3" s="34"/>
      <c r="L3" s="28">
        <f>_xll.ohTrigger(L5:L46)</f>
        <v>15</v>
      </c>
      <c r="M3" s="35"/>
      <c r="P3" s="29" t="s">
        <v>42</v>
      </c>
    </row>
    <row r="4" spans="1:17" ht="23.25" thickBot="1" x14ac:dyDescent="0.25">
      <c r="A4" s="33"/>
      <c r="B4" s="202" t="e">
        <f ca="1">_xll.RData(B5,C4,,ReutersRtMode,,C5)</f>
        <v>#NAME?</v>
      </c>
      <c r="C4" s="203" t="s">
        <v>0</v>
      </c>
      <c r="D4" s="39"/>
      <c r="E4" s="265" t="s">
        <v>73</v>
      </c>
      <c r="F4" s="266"/>
      <c r="G4" s="39"/>
      <c r="H4" s="87" t="s">
        <v>105</v>
      </c>
      <c r="I4" s="40"/>
      <c r="J4" s="202" t="s">
        <v>31</v>
      </c>
      <c r="K4" s="83" t="s">
        <v>17</v>
      </c>
      <c r="L4" s="172" t="s">
        <v>24</v>
      </c>
      <c r="M4" s="35"/>
    </row>
    <row r="5" spans="1:17" x14ac:dyDescent="0.2">
      <c r="A5" s="33"/>
      <c r="B5" s="198" t="str">
        <f>VLOOKUP(Currency,$O$5:$Q$9,2)&amp;P3&amp;VLOOKUP(Currency,$O$5:$Q$9,3)&amp;"ATM="&amp;VLOOKUP(Contributor,ContributorTable,2,FALSE)</f>
        <v>GB4Y3LATM=ICAP</v>
      </c>
      <c r="C5" s="199">
        <v>60.52</v>
      </c>
      <c r="D5" s="39"/>
      <c r="E5" s="204" t="s">
        <v>30</v>
      </c>
      <c r="F5" s="245">
        <f>C5/100*IF(ISNUMBER(Swap3M4Y),Swap3M4Y/100,Swap6M4Y/100)*0</f>
        <v>0</v>
      </c>
      <c r="G5" s="39"/>
      <c r="H5" s="246">
        <v>0</v>
      </c>
      <c r="I5" s="40"/>
      <c r="J5" s="206" t="str">
        <f>Currency&amp;"HW_Volatility_Quote"</f>
        <v>HKDHW_Volatility_Quote</v>
      </c>
      <c r="K5" s="244">
        <f t="array" ref="K5:K6">QuoteLive</f>
        <v>0</v>
      </c>
      <c r="L5" s="245">
        <f>_xll.qlSimpleQuoteSetValue(J5,ROUND(K5,6),Trigger)</f>
        <v>0</v>
      </c>
      <c r="M5" s="35"/>
      <c r="O5" s="116" t="s">
        <v>114</v>
      </c>
      <c r="P5" s="117" t="s">
        <v>126</v>
      </c>
      <c r="Q5" s="118" t="s">
        <v>119</v>
      </c>
    </row>
    <row r="6" spans="1:17" x14ac:dyDescent="0.2">
      <c r="A6" s="33"/>
      <c r="B6" s="200"/>
      <c r="C6" s="201"/>
      <c r="D6" s="39"/>
      <c r="E6" s="205" t="s">
        <v>74</v>
      </c>
      <c r="F6" s="247">
        <v>0.03</v>
      </c>
      <c r="G6" s="39"/>
      <c r="H6" s="248">
        <v>0.03</v>
      </c>
      <c r="I6" s="40"/>
      <c r="J6" s="200" t="str">
        <f>Currency&amp;"HW_MeanReversion_Quote"</f>
        <v>HKDHW_MeanReversion_Quote</v>
      </c>
      <c r="K6" s="249">
        <v>0.03</v>
      </c>
      <c r="L6" s="247">
        <f>_xll.qlSimpleQuoteSetValue(J6,ROUND(K6,6),Trigger)</f>
        <v>0</v>
      </c>
      <c r="M6" s="35"/>
      <c r="O6" s="65" t="s">
        <v>15</v>
      </c>
      <c r="P6" s="119" t="s">
        <v>123</v>
      </c>
      <c r="Q6" s="120" t="s">
        <v>119</v>
      </c>
    </row>
    <row r="7" spans="1:17" ht="12" thickBot="1" x14ac:dyDescent="0.25">
      <c r="A7" s="36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8"/>
      <c r="O7" s="65" t="s">
        <v>111</v>
      </c>
      <c r="P7" s="119" t="s">
        <v>127</v>
      </c>
      <c r="Q7" s="120" t="s">
        <v>117</v>
      </c>
    </row>
    <row r="8" spans="1:17" x14ac:dyDescent="0.2">
      <c r="O8" s="65" t="s">
        <v>113</v>
      </c>
      <c r="P8" s="119" t="s">
        <v>124</v>
      </c>
      <c r="Q8" s="120" t="s">
        <v>119</v>
      </c>
    </row>
    <row r="9" spans="1:17" ht="12" thickBot="1" x14ac:dyDescent="0.25">
      <c r="O9" s="67" t="s">
        <v>106</v>
      </c>
      <c r="P9" s="121" t="s">
        <v>125</v>
      </c>
      <c r="Q9" s="122" t="s">
        <v>117</v>
      </c>
    </row>
  </sheetData>
  <mergeCells count="1">
    <mergeCell ref="E4:F4"/>
  </mergeCells>
  <phoneticPr fontId="4" type="noConversion"/>
  <dataValidations disablePrompts="1" count="1">
    <dataValidation type="list" showInputMessage="1" showErrorMessage="1" sqref="B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X16"/>
  <sheetViews>
    <sheetView workbookViewId="0"/>
  </sheetViews>
  <sheetFormatPr defaultRowHeight="12.75" x14ac:dyDescent="0.2"/>
  <cols>
    <col min="1" max="1" width="5" customWidth="1"/>
    <col min="2" max="2" width="3.85546875" bestFit="1" customWidth="1"/>
    <col min="3" max="3" width="2.7109375" bestFit="1" customWidth="1"/>
    <col min="4" max="4" width="3.85546875" bestFit="1" customWidth="1"/>
    <col min="5" max="5" width="11.42578125" bestFit="1" customWidth="1"/>
    <col min="6" max="6" width="15.85546875" bestFit="1" customWidth="1"/>
    <col min="7" max="9" width="5.7109375" bestFit="1" customWidth="1"/>
    <col min="10" max="10" width="10" bestFit="1" customWidth="1"/>
    <col min="11" max="11" width="5.7109375" bestFit="1" customWidth="1"/>
    <col min="12" max="12" width="5" customWidth="1"/>
    <col min="13" max="13" width="5.7109375" bestFit="1" customWidth="1"/>
    <col min="14" max="14" width="5" customWidth="1"/>
    <col min="15" max="15" width="16.140625" bestFit="1" customWidth="1"/>
    <col min="16" max="17" width="7.7109375" bestFit="1" customWidth="1"/>
    <col min="18" max="18" width="5" customWidth="1"/>
    <col min="19" max="19" width="5.140625" customWidth="1"/>
    <col min="24" max="24" width="7" bestFit="1" customWidth="1"/>
  </cols>
  <sheetData>
    <row r="1" spans="1:24" ht="13.5" thickBot="1" x14ac:dyDescent="0.25">
      <c r="A1" s="27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4"/>
    </row>
    <row r="2" spans="1:24" ht="13.5" thickBot="1" x14ac:dyDescent="0.25">
      <c r="A2" s="5"/>
      <c r="B2" s="6"/>
      <c r="C2" s="6"/>
      <c r="D2" s="6"/>
      <c r="E2" s="6"/>
      <c r="F2" s="110" t="s">
        <v>10</v>
      </c>
      <c r="G2" s="6"/>
      <c r="H2" s="6"/>
      <c r="I2" s="6"/>
      <c r="J2" s="6"/>
      <c r="K2" s="7"/>
      <c r="L2" s="6"/>
      <c r="M2" s="6"/>
      <c r="N2" s="6"/>
      <c r="O2" s="24" t="s">
        <v>79</v>
      </c>
      <c r="P2" s="25" t="s">
        <v>34</v>
      </c>
      <c r="Q2" s="7"/>
      <c r="R2" s="8"/>
    </row>
    <row r="3" spans="1:24" x14ac:dyDescent="0.2">
      <c r="A3" s="9"/>
      <c r="B3" s="6"/>
      <c r="C3" s="7"/>
      <c r="D3" s="7"/>
      <c r="E3" s="7"/>
      <c r="F3" s="7"/>
      <c r="G3" s="7"/>
      <c r="H3" s="7"/>
      <c r="I3" s="7"/>
      <c r="J3" s="7"/>
      <c r="K3" s="7"/>
      <c r="L3" s="6"/>
      <c r="M3" s="6"/>
      <c r="N3" s="6"/>
      <c r="O3" s="7"/>
      <c r="P3" s="7"/>
      <c r="Q3" s="28">
        <f>_xll.ohTrigger(Q5:Q15)</f>
        <v>12</v>
      </c>
      <c r="R3" s="10"/>
    </row>
    <row r="4" spans="1:24" ht="22.5" x14ac:dyDescent="0.2">
      <c r="A4" s="9"/>
      <c r="B4" s="80"/>
      <c r="C4" s="81"/>
      <c r="D4" s="81"/>
      <c r="E4" s="81"/>
      <c r="F4" s="82" t="e">
        <f ca="1">_xll.RData(F5:F15,G4:J4,,ReutersRtMode,,G5)</f>
        <v>#NAME?</v>
      </c>
      <c r="G4" s="83" t="s">
        <v>0</v>
      </c>
      <c r="H4" s="83" t="s">
        <v>1</v>
      </c>
      <c r="I4" s="83" t="s">
        <v>25</v>
      </c>
      <c r="J4" s="83" t="s">
        <v>26</v>
      </c>
      <c r="K4" s="84" t="s">
        <v>128</v>
      </c>
      <c r="L4" s="6"/>
      <c r="M4" s="87" t="s">
        <v>105</v>
      </c>
      <c r="N4" s="6"/>
      <c r="O4" s="88" t="s">
        <v>31</v>
      </c>
      <c r="P4" s="89" t="s">
        <v>17</v>
      </c>
      <c r="Q4" s="90" t="s">
        <v>24</v>
      </c>
      <c r="R4" s="10"/>
      <c r="X4" s="222" t="s">
        <v>142</v>
      </c>
    </row>
    <row r="5" spans="1:24" x14ac:dyDescent="0.2">
      <c r="A5" s="9"/>
      <c r="B5" s="94" t="s">
        <v>88</v>
      </c>
      <c r="C5" s="43" t="s">
        <v>180</v>
      </c>
      <c r="D5" s="43"/>
      <c r="E5" s="26" t="str">
        <f t="shared" ref="E5:E15" si="0">Currency&amp;$C5&amp;$D5&amp;$B5</f>
        <v>HKDAM1H2M</v>
      </c>
      <c r="F5" s="26" t="str">
        <f t="array" ref="F5:F15">Instruments&amp;"="&amp;VLOOKUP(Contributor,ContributorTable,2,FALSE)</f>
        <v>HKDAM1H2M=PREA</v>
      </c>
      <c r="G5" s="53" t="s">
        <v>171</v>
      </c>
      <c r="H5" s="53" t="s">
        <v>171</v>
      </c>
      <c r="I5" s="53" t="s">
        <v>171</v>
      </c>
      <c r="J5" s="53" t="s">
        <v>171</v>
      </c>
      <c r="K5" s="231" t="e">
        <f>_xll.qlMidSafe($G5,$H5)</f>
        <v>#NUM!</v>
      </c>
      <c r="L5" s="6"/>
      <c r="M5" s="124" t="e">
        <v>#NUM!</v>
      </c>
      <c r="N5" s="6"/>
      <c r="O5" s="94" t="str">
        <f>$E5&amp;$P$2</f>
        <v>HKDAM1H2M_Quote</v>
      </c>
      <c r="P5" s="15" t="e">
        <f t="array" ref="P5:P15">QuoteLive</f>
        <v>#NUM!</v>
      </c>
      <c r="Q5" s="95" t="e">
        <f>_xll.qlSimpleQuoteSetValue($O5,$P5/100,Trigger)</f>
        <v>#NUM!</v>
      </c>
      <c r="R5" s="10"/>
      <c r="T5" s="220"/>
      <c r="X5" s="223" t="e">
        <f>(H5-K5)/50</f>
        <v>#VALUE!</v>
      </c>
    </row>
    <row r="6" spans="1:24" x14ac:dyDescent="0.2">
      <c r="A6" s="9"/>
      <c r="B6" s="94" t="s">
        <v>89</v>
      </c>
      <c r="C6" s="43" t="s">
        <v>180</v>
      </c>
      <c r="D6" s="43"/>
      <c r="E6" s="26" t="str">
        <f t="shared" si="0"/>
        <v>HKDAM1H3M</v>
      </c>
      <c r="F6" s="26" t="str">
        <v>HKDAM1H3M=PREA</v>
      </c>
      <c r="G6" s="53">
        <v>0.16</v>
      </c>
      <c r="H6" s="53">
        <v>0.26</v>
      </c>
      <c r="I6" s="53">
        <v>0</v>
      </c>
      <c r="J6" s="53">
        <v>0</v>
      </c>
      <c r="K6" s="231">
        <f>_xll.qlMidSafe($G6,$H6)</f>
        <v>0.21000000000000002</v>
      </c>
      <c r="L6" s="6"/>
      <c r="M6" s="124">
        <v>0.21000000000000002</v>
      </c>
      <c r="N6" s="6"/>
      <c r="O6" s="94" t="str">
        <f t="shared" ref="O6:O15" si="1">$E6&amp;$P$2</f>
        <v>HKDAM1H3M_Quote</v>
      </c>
      <c r="P6" s="15">
        <v>0.21000000000000002</v>
      </c>
      <c r="Q6" s="95">
        <f>_xll.qlSimpleQuoteSetValue($O6,$P6/100,Trigger)</f>
        <v>0</v>
      </c>
      <c r="R6" s="10"/>
      <c r="T6" s="220"/>
      <c r="X6" s="223">
        <f t="shared" ref="X6:X15" si="2">(H6-K6)/50</f>
        <v>9.999999999999998E-4</v>
      </c>
    </row>
    <row r="7" spans="1:24" x14ac:dyDescent="0.2">
      <c r="A7" s="9"/>
      <c r="B7" s="94" t="s">
        <v>90</v>
      </c>
      <c r="C7" s="43" t="s">
        <v>180</v>
      </c>
      <c r="D7" s="43"/>
      <c r="E7" s="26" t="str">
        <f t="shared" si="0"/>
        <v>HKDAM1H4M</v>
      </c>
      <c r="F7" s="26" t="str">
        <v>HKDAM1H4M=PREA</v>
      </c>
      <c r="G7" s="53" t="s">
        <v>171</v>
      </c>
      <c r="H7" s="53" t="s">
        <v>171</v>
      </c>
      <c r="I7" s="53" t="s">
        <v>171</v>
      </c>
      <c r="J7" s="53" t="s">
        <v>171</v>
      </c>
      <c r="K7" s="231" t="e">
        <f>_xll.qlMidSafe($G7,$H7)</f>
        <v>#NUM!</v>
      </c>
      <c r="L7" s="6"/>
      <c r="M7" s="124" t="e">
        <v>#NUM!</v>
      </c>
      <c r="N7" s="6"/>
      <c r="O7" s="94" t="str">
        <f t="shared" si="1"/>
        <v>HKDAM1H4M_Quote</v>
      </c>
      <c r="P7" s="15" t="e">
        <v>#NUM!</v>
      </c>
      <c r="Q7" s="95" t="e">
        <f>_xll.qlSimpleQuoteSetValue($O7,$P7/100,Trigger)</f>
        <v>#NUM!</v>
      </c>
      <c r="R7" s="10"/>
      <c r="T7" s="220"/>
      <c r="X7" s="223" t="e">
        <f t="shared" si="2"/>
        <v>#VALUE!</v>
      </c>
    </row>
    <row r="8" spans="1:24" x14ac:dyDescent="0.2">
      <c r="A8" s="9"/>
      <c r="B8" s="94" t="s">
        <v>91</v>
      </c>
      <c r="C8" s="43" t="s">
        <v>180</v>
      </c>
      <c r="D8" s="43"/>
      <c r="E8" s="26" t="str">
        <f t="shared" si="0"/>
        <v>HKDAM1H5M</v>
      </c>
      <c r="F8" s="26" t="str">
        <v>HKDAM1H5M=PREA</v>
      </c>
      <c r="G8" s="53" t="s">
        <v>171</v>
      </c>
      <c r="H8" s="53" t="s">
        <v>171</v>
      </c>
      <c r="I8" s="53" t="s">
        <v>171</v>
      </c>
      <c r="J8" s="53" t="s">
        <v>171</v>
      </c>
      <c r="K8" s="231" t="e">
        <f>_xll.qlMidSafe($G8,$H8)</f>
        <v>#NUM!</v>
      </c>
      <c r="L8" s="6"/>
      <c r="M8" s="124" t="e">
        <v>#NUM!</v>
      </c>
      <c r="N8" s="6"/>
      <c r="O8" s="94" t="str">
        <f t="shared" si="1"/>
        <v>HKDAM1H5M_Quote</v>
      </c>
      <c r="P8" s="15" t="e">
        <v>#NUM!</v>
      </c>
      <c r="Q8" s="95" t="e">
        <f>_xll.qlSimpleQuoteSetValue($O8,$P8/100,Trigger)</f>
        <v>#NUM!</v>
      </c>
      <c r="R8" s="10"/>
      <c r="T8" s="220"/>
      <c r="X8" s="223" t="e">
        <f t="shared" si="2"/>
        <v>#VALUE!</v>
      </c>
    </row>
    <row r="9" spans="1:24" x14ac:dyDescent="0.2">
      <c r="A9" s="9"/>
      <c r="B9" s="94" t="s">
        <v>92</v>
      </c>
      <c r="C9" s="43" t="s">
        <v>180</v>
      </c>
      <c r="D9" s="43"/>
      <c r="E9" s="26" t="str">
        <f t="shared" si="0"/>
        <v>HKDAM1H6M</v>
      </c>
      <c r="F9" s="26" t="str">
        <v>HKDAM1H6M=PREA</v>
      </c>
      <c r="G9" s="53">
        <v>0.19</v>
      </c>
      <c r="H9" s="53">
        <v>0.28999999999999998</v>
      </c>
      <c r="I9" s="53">
        <v>0</v>
      </c>
      <c r="J9" s="53">
        <v>0</v>
      </c>
      <c r="K9" s="231">
        <f>_xll.qlMidSafe($G9,$H9)</f>
        <v>0.24</v>
      </c>
      <c r="L9" s="6"/>
      <c r="M9" s="124">
        <v>0.24</v>
      </c>
      <c r="N9" s="6"/>
      <c r="O9" s="94" t="str">
        <f t="shared" si="1"/>
        <v>HKDAM1H6M_Quote</v>
      </c>
      <c r="P9" s="15">
        <v>0.24</v>
      </c>
      <c r="Q9" s="95">
        <f>_xll.qlSimpleQuoteSetValue($O9,$P9/100,Trigger)</f>
        <v>0</v>
      </c>
      <c r="R9" s="10"/>
      <c r="T9" s="220"/>
      <c r="X9" s="223">
        <f t="shared" si="2"/>
        <v>9.999999999999998E-4</v>
      </c>
    </row>
    <row r="10" spans="1:24" x14ac:dyDescent="0.2">
      <c r="A10" s="9"/>
      <c r="B10" s="94" t="s">
        <v>93</v>
      </c>
      <c r="C10" s="43" t="s">
        <v>180</v>
      </c>
      <c r="D10" s="43"/>
      <c r="E10" s="26" t="str">
        <f t="shared" si="0"/>
        <v>HKDAM1H7M</v>
      </c>
      <c r="F10" s="26" t="str">
        <v>HKDAM1H7M=PREA</v>
      </c>
      <c r="G10" s="53" t="s">
        <v>171</v>
      </c>
      <c r="H10" s="53" t="s">
        <v>171</v>
      </c>
      <c r="I10" s="53" t="s">
        <v>171</v>
      </c>
      <c r="J10" s="53" t="s">
        <v>171</v>
      </c>
      <c r="K10" s="231" t="e">
        <f>_xll.qlMidSafe($G10,$H10)</f>
        <v>#NUM!</v>
      </c>
      <c r="L10" s="6"/>
      <c r="M10" s="124" t="e">
        <v>#NUM!</v>
      </c>
      <c r="N10" s="6"/>
      <c r="O10" s="94" t="str">
        <f t="shared" si="1"/>
        <v>HKDAM1H7M_Quote</v>
      </c>
      <c r="P10" s="15" t="e">
        <v>#NUM!</v>
      </c>
      <c r="Q10" s="95" t="e">
        <f>_xll.qlSimpleQuoteSetValue($O10,$P10/100,Trigger)</f>
        <v>#NUM!</v>
      </c>
      <c r="R10" s="10"/>
      <c r="T10" s="220"/>
      <c r="X10" s="223" t="e">
        <f t="shared" si="2"/>
        <v>#VALUE!</v>
      </c>
    </row>
    <row r="11" spans="1:24" x14ac:dyDescent="0.2">
      <c r="A11" s="9"/>
      <c r="B11" s="94" t="s">
        <v>94</v>
      </c>
      <c r="C11" s="43" t="s">
        <v>180</v>
      </c>
      <c r="D11" s="43"/>
      <c r="E11" s="26" t="str">
        <f t="shared" si="0"/>
        <v>HKDAM1H8M</v>
      </c>
      <c r="F11" s="26" t="str">
        <v>HKDAM1H8M=PREA</v>
      </c>
      <c r="G11" s="53" t="s">
        <v>171</v>
      </c>
      <c r="H11" s="53" t="s">
        <v>171</v>
      </c>
      <c r="I11" s="53" t="s">
        <v>171</v>
      </c>
      <c r="J11" s="53" t="s">
        <v>171</v>
      </c>
      <c r="K11" s="231" t="e">
        <f>_xll.qlMidSafe($G11,$H11)</f>
        <v>#NUM!</v>
      </c>
      <c r="L11" s="6"/>
      <c r="M11" s="124" t="e">
        <v>#NUM!</v>
      </c>
      <c r="N11" s="6"/>
      <c r="O11" s="94" t="str">
        <f t="shared" si="1"/>
        <v>HKDAM1H8M_Quote</v>
      </c>
      <c r="P11" s="15" t="e">
        <v>#NUM!</v>
      </c>
      <c r="Q11" s="95" t="e">
        <f>_xll.qlSimpleQuoteSetValue($O11,$P11/100,Trigger)</f>
        <v>#NUM!</v>
      </c>
      <c r="R11" s="10"/>
      <c r="T11" s="220"/>
      <c r="X11" s="223" t="e">
        <f t="shared" si="2"/>
        <v>#VALUE!</v>
      </c>
    </row>
    <row r="12" spans="1:24" x14ac:dyDescent="0.2">
      <c r="A12" s="9"/>
      <c r="B12" s="94" t="s">
        <v>95</v>
      </c>
      <c r="C12" s="43" t="s">
        <v>180</v>
      </c>
      <c r="D12" s="43"/>
      <c r="E12" s="26" t="str">
        <f t="shared" si="0"/>
        <v>HKDAM1H9M</v>
      </c>
      <c r="F12" s="26" t="str">
        <v>HKDAM1H9M=PREA</v>
      </c>
      <c r="G12" s="53">
        <v>0.21</v>
      </c>
      <c r="H12" s="53">
        <v>0.31</v>
      </c>
      <c r="I12" s="53">
        <v>0</v>
      </c>
      <c r="J12" s="53">
        <v>0</v>
      </c>
      <c r="K12" s="231">
        <f>_xll.qlMidSafe($G12,$H12)</f>
        <v>0.26</v>
      </c>
      <c r="L12" s="6"/>
      <c r="M12" s="124">
        <v>0.26</v>
      </c>
      <c r="N12" s="6"/>
      <c r="O12" s="94" t="str">
        <f t="shared" si="1"/>
        <v>HKDAM1H9M_Quote</v>
      </c>
      <c r="P12" s="15">
        <v>0.26</v>
      </c>
      <c r="Q12" s="95">
        <f>_xll.qlSimpleQuoteSetValue($O12,$P12/100,Trigger)</f>
        <v>0</v>
      </c>
      <c r="R12" s="10"/>
      <c r="T12" s="220"/>
      <c r="X12" s="223">
        <f t="shared" si="2"/>
        <v>9.999999999999998E-4</v>
      </c>
    </row>
    <row r="13" spans="1:24" x14ac:dyDescent="0.2">
      <c r="A13" s="9"/>
      <c r="B13" s="94" t="s">
        <v>96</v>
      </c>
      <c r="C13" s="43" t="s">
        <v>180</v>
      </c>
      <c r="D13" s="43"/>
      <c r="E13" s="26" t="str">
        <f t="shared" si="0"/>
        <v>HKDAM1H10M</v>
      </c>
      <c r="F13" s="26" t="str">
        <v>HKDAM1H10M=PREA</v>
      </c>
      <c r="G13" s="53" t="s">
        <v>171</v>
      </c>
      <c r="H13" s="53" t="s">
        <v>171</v>
      </c>
      <c r="I13" s="53" t="s">
        <v>171</v>
      </c>
      <c r="J13" s="53" t="s">
        <v>171</v>
      </c>
      <c r="K13" s="231" t="e">
        <f>_xll.qlMidSafe($G13,$H13)</f>
        <v>#NUM!</v>
      </c>
      <c r="L13" s="6"/>
      <c r="M13" s="124" t="e">
        <v>#NUM!</v>
      </c>
      <c r="N13" s="6"/>
      <c r="O13" s="94" t="str">
        <f t="shared" si="1"/>
        <v>HKDAM1H10M_Quote</v>
      </c>
      <c r="P13" s="15" t="e">
        <v>#NUM!</v>
      </c>
      <c r="Q13" s="95" t="e">
        <f>_xll.qlSimpleQuoteSetValue($O13,$P13/100,Trigger)</f>
        <v>#NUM!</v>
      </c>
      <c r="R13" s="10"/>
      <c r="T13" s="220"/>
      <c r="X13" s="223" t="e">
        <f t="shared" si="2"/>
        <v>#VALUE!</v>
      </c>
    </row>
    <row r="14" spans="1:24" x14ac:dyDescent="0.2">
      <c r="A14" s="9"/>
      <c r="B14" s="94" t="s">
        <v>97</v>
      </c>
      <c r="C14" s="43" t="s">
        <v>180</v>
      </c>
      <c r="D14" s="43"/>
      <c r="E14" s="26" t="str">
        <f t="shared" si="0"/>
        <v>HKDAM1H11M</v>
      </c>
      <c r="F14" s="26" t="str">
        <v>HKDAM1H11M=PREA</v>
      </c>
      <c r="G14" s="53" t="s">
        <v>171</v>
      </c>
      <c r="H14" s="53" t="s">
        <v>171</v>
      </c>
      <c r="I14" s="53" t="s">
        <v>171</v>
      </c>
      <c r="J14" s="53" t="s">
        <v>171</v>
      </c>
      <c r="K14" s="231" t="e">
        <f>_xll.qlMidSafe($G14,$H14)</f>
        <v>#NUM!</v>
      </c>
      <c r="L14" s="6"/>
      <c r="M14" s="124" t="e">
        <v>#NUM!</v>
      </c>
      <c r="N14" s="6"/>
      <c r="O14" s="94" t="str">
        <f t="shared" si="1"/>
        <v>HKDAM1H11M_Quote</v>
      </c>
      <c r="P14" s="15" t="e">
        <v>#NUM!</v>
      </c>
      <c r="Q14" s="95" t="e">
        <f>_xll.qlSimpleQuoteSetValue($O14,$P14/100,Trigger)</f>
        <v>#NUM!</v>
      </c>
      <c r="R14" s="10"/>
      <c r="T14" s="220"/>
      <c r="X14" s="223" t="e">
        <f t="shared" si="2"/>
        <v>#VALUE!</v>
      </c>
    </row>
    <row r="15" spans="1:24" x14ac:dyDescent="0.2">
      <c r="A15" s="9"/>
      <c r="B15" s="96" t="s">
        <v>36</v>
      </c>
      <c r="C15" s="77" t="s">
        <v>180</v>
      </c>
      <c r="D15" s="77"/>
      <c r="E15" s="107" t="str">
        <f t="shared" si="0"/>
        <v>HKDAM1H1Y</v>
      </c>
      <c r="F15" s="107" t="str">
        <v>HKDAM1H1Y=PREA</v>
      </c>
      <c r="G15" s="166">
        <v>0.23</v>
      </c>
      <c r="H15" s="166">
        <v>0.33</v>
      </c>
      <c r="I15" s="166">
        <v>0</v>
      </c>
      <c r="J15" s="166">
        <v>0</v>
      </c>
      <c r="K15" s="232">
        <f>_xll.qlMidSafe($G15,$H15)</f>
        <v>0.28000000000000003</v>
      </c>
      <c r="L15" s="6"/>
      <c r="M15" s="125">
        <v>0.28000000000000003</v>
      </c>
      <c r="N15" s="6"/>
      <c r="O15" s="96" t="str">
        <f t="shared" si="1"/>
        <v>HKDAM1H1Y_Quote</v>
      </c>
      <c r="P15" s="78">
        <v>0.28000000000000003</v>
      </c>
      <c r="Q15" s="97">
        <f>_xll.qlSimpleQuoteSetValue($O15,$P15/100,Trigger)</f>
        <v>0</v>
      </c>
      <c r="R15" s="10"/>
      <c r="T15" s="220"/>
      <c r="X15" s="223">
        <f t="shared" si="2"/>
        <v>9.999999999999998E-4</v>
      </c>
    </row>
    <row r="16" spans="1:24" ht="13.5" thickBot="1" x14ac:dyDescent="0.25">
      <c r="A16" s="11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4"/>
    </row>
  </sheetData>
  <phoneticPr fontId="4" type="noConversion"/>
  <dataValidations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X12"/>
  <sheetViews>
    <sheetView workbookViewId="0"/>
  </sheetViews>
  <sheetFormatPr defaultRowHeight="12.75" x14ac:dyDescent="0.2"/>
  <cols>
    <col min="1" max="1" width="5" customWidth="1"/>
    <col min="2" max="2" width="3.85546875" bestFit="1" customWidth="1"/>
    <col min="3" max="3" width="2.85546875" bestFit="1" customWidth="1"/>
    <col min="4" max="4" width="2.7109375" bestFit="1" customWidth="1"/>
    <col min="5" max="5" width="7.5703125" bestFit="1" customWidth="1"/>
    <col min="6" max="6" width="11.7109375" bestFit="1" customWidth="1"/>
    <col min="7" max="9" width="5.7109375" bestFit="1" customWidth="1"/>
    <col min="10" max="10" width="10" bestFit="1" customWidth="1"/>
    <col min="11" max="11" width="5.7109375" bestFit="1" customWidth="1"/>
    <col min="12" max="12" width="5" customWidth="1"/>
    <col min="13" max="13" width="5.7109375" bestFit="1" customWidth="1"/>
    <col min="14" max="14" width="5" customWidth="1"/>
    <col min="15" max="15" width="12.5703125" bestFit="1" customWidth="1"/>
    <col min="16" max="17" width="7.7109375" bestFit="1" customWidth="1"/>
    <col min="18" max="18" width="5" customWidth="1"/>
    <col min="19" max="19" width="5.140625" customWidth="1"/>
    <col min="24" max="24" width="7" bestFit="1" customWidth="1"/>
  </cols>
  <sheetData>
    <row r="1" spans="1:24" ht="13.5" thickBot="1" x14ac:dyDescent="0.25">
      <c r="A1" s="27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4"/>
    </row>
    <row r="2" spans="1:24" ht="13.5" thickBot="1" x14ac:dyDescent="0.25">
      <c r="A2" s="5"/>
      <c r="B2" s="7"/>
      <c r="C2" s="6"/>
      <c r="D2" s="6"/>
      <c r="E2" s="6"/>
      <c r="F2" s="110" t="s">
        <v>2</v>
      </c>
      <c r="G2" s="6"/>
      <c r="H2" s="6"/>
      <c r="I2" s="6"/>
      <c r="J2" s="6"/>
      <c r="K2" s="7"/>
      <c r="L2" s="6"/>
      <c r="M2" s="6"/>
      <c r="N2" s="6"/>
      <c r="O2" s="24" t="s">
        <v>79</v>
      </c>
      <c r="P2" s="25" t="s">
        <v>34</v>
      </c>
      <c r="Q2" s="7"/>
      <c r="R2" s="8"/>
    </row>
    <row r="3" spans="1:24" x14ac:dyDescent="0.2">
      <c r="A3" s="9"/>
      <c r="B3" s="6"/>
      <c r="C3" s="7"/>
      <c r="D3" s="7"/>
      <c r="E3" s="7"/>
      <c r="F3" s="7"/>
      <c r="G3" s="7"/>
      <c r="H3" s="7"/>
      <c r="I3" s="7"/>
      <c r="J3" s="7"/>
      <c r="K3" s="7"/>
      <c r="L3" s="6"/>
      <c r="M3" s="6"/>
      <c r="N3" s="6"/>
      <c r="O3" s="7"/>
      <c r="P3" s="7"/>
      <c r="Q3" s="28">
        <f>_xll.ohTrigger(Q5:Q11)</f>
        <v>12</v>
      </c>
      <c r="R3" s="10"/>
    </row>
    <row r="4" spans="1:24" ht="22.5" x14ac:dyDescent="0.2">
      <c r="A4" s="9"/>
      <c r="B4" s="80"/>
      <c r="C4" s="81"/>
      <c r="D4" s="81"/>
      <c r="E4" s="81"/>
      <c r="F4" s="82" t="e">
        <f ca="1">_xll.RData(F5:F11,G4:J4,,ReutersRtMode,,G5)</f>
        <v>#NAME?</v>
      </c>
      <c r="G4" s="83" t="s">
        <v>0</v>
      </c>
      <c r="H4" s="83" t="s">
        <v>1</v>
      </c>
      <c r="I4" s="83" t="s">
        <v>25</v>
      </c>
      <c r="J4" s="83" t="s">
        <v>26</v>
      </c>
      <c r="K4" s="84" t="s">
        <v>128</v>
      </c>
      <c r="L4" s="6"/>
      <c r="M4" s="87" t="s">
        <v>105</v>
      </c>
      <c r="N4" s="6"/>
      <c r="O4" s="88" t="s">
        <v>31</v>
      </c>
      <c r="P4" s="89" t="s">
        <v>17</v>
      </c>
      <c r="Q4" s="90" t="s">
        <v>24</v>
      </c>
      <c r="R4" s="10"/>
      <c r="X4" s="222" t="s">
        <v>142</v>
      </c>
    </row>
    <row r="5" spans="1:24" x14ac:dyDescent="0.2">
      <c r="A5" s="9"/>
      <c r="B5" s="94"/>
      <c r="C5" s="43" t="s">
        <v>80</v>
      </c>
      <c r="D5" s="43">
        <v>12</v>
      </c>
      <c r="E5" s="26" t="str">
        <f t="shared" ref="E5:E11" si="0">Currency&amp;$C5&amp;$D5&amp;$B5</f>
        <v>HKD1S12</v>
      </c>
      <c r="F5" s="26" t="str">
        <f t="array" ref="F5:F11">Instruments&amp;"="&amp;VLOOKUP(Contributor,ContributorTable,2,FALSE)</f>
        <v>HKD1S12=</v>
      </c>
      <c r="G5" s="53" t="s">
        <v>171</v>
      </c>
      <c r="H5" s="53" t="s">
        <v>171</v>
      </c>
      <c r="I5" s="53" t="s">
        <v>171</v>
      </c>
      <c r="J5" s="53" t="s">
        <v>171</v>
      </c>
      <c r="K5" s="231" t="e">
        <f>_xll.qlMidSafe($G5,$H5)</f>
        <v>#NUM!</v>
      </c>
      <c r="L5" s="6"/>
      <c r="M5" s="124" t="e">
        <v>#NUM!</v>
      </c>
      <c r="N5" s="6"/>
      <c r="O5" s="94" t="str">
        <f>$E5&amp;$P$2</f>
        <v>HKD1S12_Quote</v>
      </c>
      <c r="P5" s="15" t="e">
        <f t="array" ref="P5:P11">QuoteLive</f>
        <v>#NUM!</v>
      </c>
      <c r="Q5" s="95" t="e">
        <f>_xll.qlSimpleQuoteSetValue($O5,$P5/100,Trigger)</f>
        <v>#NUM!</v>
      </c>
      <c r="R5" s="10"/>
      <c r="X5" s="223" t="e">
        <f>(H5-K5)/50</f>
        <v>#VALUE!</v>
      </c>
    </row>
    <row r="6" spans="1:24" x14ac:dyDescent="0.2">
      <c r="A6" s="9"/>
      <c r="B6" s="94"/>
      <c r="C6" s="43" t="s">
        <v>81</v>
      </c>
      <c r="D6" s="43">
        <v>12</v>
      </c>
      <c r="E6" s="26" t="str">
        <f t="shared" si="0"/>
        <v>HKD2S12</v>
      </c>
      <c r="F6" s="26" t="str">
        <v>HKD2S12=</v>
      </c>
      <c r="G6" s="53" t="s">
        <v>171</v>
      </c>
      <c r="H6" s="53" t="s">
        <v>171</v>
      </c>
      <c r="I6" s="53" t="s">
        <v>171</v>
      </c>
      <c r="J6" s="53" t="s">
        <v>171</v>
      </c>
      <c r="K6" s="231" t="e">
        <f>_xll.qlMidSafe($G6,$H6)</f>
        <v>#NUM!</v>
      </c>
      <c r="L6" s="6"/>
      <c r="M6" s="124" t="e">
        <v>#NUM!</v>
      </c>
      <c r="N6" s="6"/>
      <c r="O6" s="94" t="str">
        <f t="shared" ref="O6:O11" si="1">$E6&amp;$P$2</f>
        <v>HKD2S12_Quote</v>
      </c>
      <c r="P6" s="15" t="e">
        <v>#NUM!</v>
      </c>
      <c r="Q6" s="95" t="e">
        <f>_xll.qlSimpleQuoteSetValue($O6,$P6/100,Trigger)</f>
        <v>#NUM!</v>
      </c>
      <c r="R6" s="10"/>
      <c r="X6" s="223" t="e">
        <f t="shared" ref="X6:X11" si="2">(H6-K6)/50</f>
        <v>#VALUE!</v>
      </c>
    </row>
    <row r="7" spans="1:24" x14ac:dyDescent="0.2">
      <c r="A7" s="9"/>
      <c r="B7" s="94"/>
      <c r="C7" s="43" t="s">
        <v>82</v>
      </c>
      <c r="D7" s="43">
        <v>12</v>
      </c>
      <c r="E7" s="26" t="str">
        <f t="shared" si="0"/>
        <v>HKD3S12</v>
      </c>
      <c r="F7" s="26" t="str">
        <v>HKD3S12=</v>
      </c>
      <c r="G7" s="53" t="s">
        <v>171</v>
      </c>
      <c r="H7" s="53" t="s">
        <v>171</v>
      </c>
      <c r="I7" s="53" t="s">
        <v>171</v>
      </c>
      <c r="J7" s="53" t="s">
        <v>171</v>
      </c>
      <c r="K7" s="231" t="e">
        <f>_xll.qlMidSafe($G7,$H7)</f>
        <v>#NUM!</v>
      </c>
      <c r="L7" s="6"/>
      <c r="M7" s="124" t="e">
        <v>#NUM!</v>
      </c>
      <c r="N7" s="6"/>
      <c r="O7" s="94" t="str">
        <f t="shared" si="1"/>
        <v>HKD3S12_Quote</v>
      </c>
      <c r="P7" s="15" t="e">
        <v>#NUM!</v>
      </c>
      <c r="Q7" s="95" t="e">
        <f>_xll.qlSimpleQuoteSetValue($O7,$P7/100,Trigger)</f>
        <v>#NUM!</v>
      </c>
      <c r="R7" s="10"/>
      <c r="X7" s="223" t="e">
        <f t="shared" si="2"/>
        <v>#VALUE!</v>
      </c>
    </row>
    <row r="8" spans="1:24" x14ac:dyDescent="0.2">
      <c r="A8" s="9"/>
      <c r="B8" s="94"/>
      <c r="C8" s="43" t="s">
        <v>83</v>
      </c>
      <c r="D8" s="43">
        <v>12</v>
      </c>
      <c r="E8" s="26" t="str">
        <f t="shared" si="0"/>
        <v>HKD4S12</v>
      </c>
      <c r="F8" s="26" t="str">
        <v>HKD4S12=</v>
      </c>
      <c r="G8" s="53" t="s">
        <v>171</v>
      </c>
      <c r="H8" s="53" t="s">
        <v>171</v>
      </c>
      <c r="I8" s="53" t="s">
        <v>171</v>
      </c>
      <c r="J8" s="53" t="s">
        <v>171</v>
      </c>
      <c r="K8" s="231" t="e">
        <f>_xll.qlMidSafe($G8,$H8)</f>
        <v>#NUM!</v>
      </c>
      <c r="L8" s="6"/>
      <c r="M8" s="124" t="e">
        <v>#NUM!</v>
      </c>
      <c r="N8" s="6"/>
      <c r="O8" s="94" t="str">
        <f t="shared" si="1"/>
        <v>HKD4S12_Quote</v>
      </c>
      <c r="P8" s="15" t="e">
        <v>#NUM!</v>
      </c>
      <c r="Q8" s="95" t="e">
        <f>_xll.qlSimpleQuoteSetValue($O8,$P8/100,Trigger)</f>
        <v>#NUM!</v>
      </c>
      <c r="R8" s="10"/>
      <c r="X8" s="223" t="e">
        <f t="shared" si="2"/>
        <v>#VALUE!</v>
      </c>
    </row>
    <row r="9" spans="1:24" x14ac:dyDescent="0.2">
      <c r="A9" s="9"/>
      <c r="B9" s="94"/>
      <c r="C9" s="43" t="s">
        <v>80</v>
      </c>
      <c r="D9" s="43">
        <v>24</v>
      </c>
      <c r="E9" s="26" t="str">
        <f t="shared" si="0"/>
        <v>HKD1S24</v>
      </c>
      <c r="F9" s="26" t="str">
        <v>HKD1S24=</v>
      </c>
      <c r="G9" s="53" t="s">
        <v>171</v>
      </c>
      <c r="H9" s="53" t="s">
        <v>171</v>
      </c>
      <c r="I9" s="53" t="s">
        <v>171</v>
      </c>
      <c r="J9" s="53" t="s">
        <v>171</v>
      </c>
      <c r="K9" s="231" t="e">
        <f>_xll.qlMidSafe($G9,$H9)</f>
        <v>#NUM!</v>
      </c>
      <c r="L9" s="6"/>
      <c r="M9" s="124" t="e">
        <v>#NUM!</v>
      </c>
      <c r="N9" s="6"/>
      <c r="O9" s="94" t="str">
        <f t="shared" si="1"/>
        <v>HKD1S24_Quote</v>
      </c>
      <c r="P9" s="15" t="e">
        <v>#NUM!</v>
      </c>
      <c r="Q9" s="95" t="e">
        <f>_xll.qlSimpleQuoteSetValue($O9,$P9/100,Trigger)</f>
        <v>#NUM!</v>
      </c>
      <c r="R9" s="10"/>
      <c r="X9" s="223" t="e">
        <f t="shared" si="2"/>
        <v>#VALUE!</v>
      </c>
    </row>
    <row r="10" spans="1:24" x14ac:dyDescent="0.2">
      <c r="A10" s="9"/>
      <c r="B10" s="94"/>
      <c r="C10" s="43" t="s">
        <v>81</v>
      </c>
      <c r="D10" s="43">
        <v>24</v>
      </c>
      <c r="E10" s="26" t="str">
        <f t="shared" si="0"/>
        <v>HKD2S24</v>
      </c>
      <c r="F10" s="26" t="str">
        <v>HKD2S24=</v>
      </c>
      <c r="G10" s="53" t="s">
        <v>171</v>
      </c>
      <c r="H10" s="53" t="s">
        <v>171</v>
      </c>
      <c r="I10" s="53" t="s">
        <v>171</v>
      </c>
      <c r="J10" s="53" t="s">
        <v>171</v>
      </c>
      <c r="K10" s="231" t="e">
        <f>_xll.qlMidSafe($G10,$H10)</f>
        <v>#NUM!</v>
      </c>
      <c r="L10" s="6"/>
      <c r="M10" s="124" t="e">
        <v>#NUM!</v>
      </c>
      <c r="N10" s="6"/>
      <c r="O10" s="94" t="str">
        <f t="shared" si="1"/>
        <v>HKD2S24_Quote</v>
      </c>
      <c r="P10" s="15" t="e">
        <v>#NUM!</v>
      </c>
      <c r="Q10" s="95" t="e">
        <f>_xll.qlSimpleQuoteSetValue($O10,$P10/100,Trigger)</f>
        <v>#NUM!</v>
      </c>
      <c r="R10" s="10"/>
      <c r="X10" s="223" t="e">
        <f t="shared" si="2"/>
        <v>#VALUE!</v>
      </c>
    </row>
    <row r="11" spans="1:24" x14ac:dyDescent="0.2">
      <c r="A11" s="9"/>
      <c r="B11" s="96"/>
      <c r="C11" s="77" t="s">
        <v>80</v>
      </c>
      <c r="D11" s="77">
        <v>36</v>
      </c>
      <c r="E11" s="107" t="str">
        <f t="shared" si="0"/>
        <v>HKD1S36</v>
      </c>
      <c r="F11" s="107" t="str">
        <v>HKD1S36=</v>
      </c>
      <c r="G11" s="166" t="s">
        <v>171</v>
      </c>
      <c r="H11" s="166" t="s">
        <v>171</v>
      </c>
      <c r="I11" s="166" t="s">
        <v>171</v>
      </c>
      <c r="J11" s="166" t="s">
        <v>171</v>
      </c>
      <c r="K11" s="232" t="e">
        <f>_xll.qlMidSafe($G11,$H11)</f>
        <v>#NUM!</v>
      </c>
      <c r="L11" s="6"/>
      <c r="M11" s="125" t="e">
        <v>#NUM!</v>
      </c>
      <c r="N11" s="6"/>
      <c r="O11" s="96" t="str">
        <f t="shared" si="1"/>
        <v>HKD1S36_Quote</v>
      </c>
      <c r="P11" s="78" t="e">
        <v>#NUM!</v>
      </c>
      <c r="Q11" s="97" t="e">
        <f>_xll.qlSimpleQuoteSetValue($O11,$P11/100,Trigger)</f>
        <v>#NUM!</v>
      </c>
      <c r="R11" s="10"/>
      <c r="X11" s="223" t="e">
        <f t="shared" si="2"/>
        <v>#VALUE!</v>
      </c>
    </row>
    <row r="12" spans="1:24" ht="13.5" thickBot="1" x14ac:dyDescent="0.25">
      <c r="A12" s="11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4"/>
    </row>
  </sheetData>
  <phoneticPr fontId="4" type="noConversion"/>
  <dataValidations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X44"/>
  <sheetViews>
    <sheetView workbookViewId="0"/>
  </sheetViews>
  <sheetFormatPr defaultRowHeight="11.25" x14ac:dyDescent="0.2"/>
  <cols>
    <col min="1" max="1" width="5" style="44" customWidth="1"/>
    <col min="2" max="2" width="3.85546875" style="44" bestFit="1" customWidth="1"/>
    <col min="3" max="3" width="3.28515625" style="44" bestFit="1" customWidth="1"/>
    <col min="4" max="4" width="2.7109375" style="44" bestFit="1" customWidth="1"/>
    <col min="5" max="5" width="10.85546875" style="44" bestFit="1" customWidth="1"/>
    <col min="6" max="6" width="15.140625" style="44" bestFit="1" customWidth="1"/>
    <col min="7" max="9" width="5.7109375" style="44" bestFit="1" customWidth="1"/>
    <col min="10" max="10" width="10" style="44" bestFit="1" customWidth="1"/>
    <col min="11" max="11" width="5.7109375" style="44" bestFit="1" customWidth="1"/>
    <col min="12" max="12" width="5" style="44" customWidth="1"/>
    <col min="13" max="13" width="5.7109375" style="44" bestFit="1" customWidth="1"/>
    <col min="14" max="14" width="5" style="44" customWidth="1"/>
    <col min="15" max="15" width="16" style="44" bestFit="1" customWidth="1"/>
    <col min="16" max="17" width="7.7109375" style="44" bestFit="1" customWidth="1"/>
    <col min="18" max="18" width="5" style="44" customWidth="1"/>
    <col min="19" max="19" width="5.140625" style="44" customWidth="1"/>
    <col min="20" max="20" width="4" style="44" bestFit="1" customWidth="1"/>
    <col min="21" max="21" width="3.28515625" style="44" bestFit="1" customWidth="1"/>
    <col min="22" max="22" width="2.7109375" style="44" bestFit="1" customWidth="1"/>
    <col min="23" max="23" width="9.140625" style="44"/>
    <col min="24" max="24" width="7.140625" style="44" bestFit="1" customWidth="1"/>
    <col min="25" max="16384" width="9.140625" style="44"/>
  </cols>
  <sheetData>
    <row r="1" spans="1:24" ht="12" thickBot="1" x14ac:dyDescent="0.25">
      <c r="A1" s="27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4"/>
    </row>
    <row r="2" spans="1:24" ht="15" customHeight="1" thickBot="1" x14ac:dyDescent="0.25">
      <c r="A2" s="5"/>
      <c r="B2" s="7"/>
      <c r="C2" s="6"/>
      <c r="D2" s="6"/>
      <c r="E2" s="6"/>
      <c r="F2" s="110" t="s">
        <v>10</v>
      </c>
      <c r="G2" s="6"/>
      <c r="H2" s="6"/>
      <c r="I2" s="6"/>
      <c r="J2" s="6"/>
      <c r="K2" s="7"/>
      <c r="L2" s="6"/>
      <c r="M2" s="6"/>
      <c r="N2" s="6"/>
      <c r="O2" s="46" t="s">
        <v>79</v>
      </c>
      <c r="P2" s="47" t="s">
        <v>34</v>
      </c>
      <c r="Q2" s="7"/>
      <c r="R2" s="8"/>
    </row>
    <row r="3" spans="1:24" x14ac:dyDescent="0.2">
      <c r="A3" s="9"/>
      <c r="B3" s="6"/>
      <c r="C3" s="7"/>
      <c r="D3" s="7"/>
      <c r="E3" s="7"/>
      <c r="F3" s="7"/>
      <c r="G3" s="7"/>
      <c r="H3" s="7"/>
      <c r="I3" s="7"/>
      <c r="J3" s="7"/>
      <c r="K3" s="7"/>
      <c r="L3" s="6"/>
      <c r="M3" s="6"/>
      <c r="N3" s="6"/>
      <c r="O3" s="7"/>
      <c r="P3" s="7"/>
      <c r="Q3" s="48">
        <f>_xll.ohTrigger(Q5:Q42)</f>
        <v>12</v>
      </c>
      <c r="R3" s="10"/>
    </row>
    <row r="4" spans="1:24" ht="23.25" thickBot="1" x14ac:dyDescent="0.25">
      <c r="A4" s="9"/>
      <c r="B4" s="80"/>
      <c r="C4" s="81"/>
      <c r="D4" s="81"/>
      <c r="E4" s="81"/>
      <c r="F4" s="82" t="e">
        <f ca="1">_xll.RData(F5:F42,G4:J4,,ReutersRtMode,,G5)</f>
        <v>#NAME?</v>
      </c>
      <c r="G4" s="83" t="s">
        <v>0</v>
      </c>
      <c r="H4" s="83" t="s">
        <v>1</v>
      </c>
      <c r="I4" s="83" t="s">
        <v>25</v>
      </c>
      <c r="J4" s="83" t="s">
        <v>26</v>
      </c>
      <c r="K4" s="84" t="s">
        <v>128</v>
      </c>
      <c r="L4" s="6"/>
      <c r="M4" s="87" t="s">
        <v>105</v>
      </c>
      <c r="N4" s="6"/>
      <c r="O4" s="88" t="s">
        <v>31</v>
      </c>
      <c r="P4" s="89" t="s">
        <v>17</v>
      </c>
      <c r="Q4" s="90" t="s">
        <v>24</v>
      </c>
      <c r="R4" s="10"/>
      <c r="X4" s="222" t="s">
        <v>142</v>
      </c>
    </row>
    <row r="5" spans="1:24" x14ac:dyDescent="0.2">
      <c r="A5" s="9"/>
      <c r="B5" s="226" t="s">
        <v>92</v>
      </c>
      <c r="C5" s="43" t="str">
        <f t="array" ref="C5:C42">VLOOKUP(Currency,Conventions,2)</f>
        <v>QM</v>
      </c>
      <c r="D5" s="43" t="str">
        <f t="array" ref="D5:D42">VLOOKUP(Currency,Conventions,3)</f>
        <v>3H</v>
      </c>
      <c r="E5" s="43" t="str">
        <f t="shared" ref="E5:E42" si="0">Currency&amp;$C5&amp;$D5&amp;$B5</f>
        <v>HKDQM3H6M</v>
      </c>
      <c r="F5" s="43" t="str">
        <f t="array" ref="F5:F42">Instruments&amp;"="&amp;VLOOKUP(Contributor,ContributorTable,2,FALSE)</f>
        <v>HKDQM3H6M=PREA</v>
      </c>
      <c r="G5" s="53">
        <v>0.35</v>
      </c>
      <c r="H5" s="53">
        <v>0.45</v>
      </c>
      <c r="I5" s="53">
        <v>0</v>
      </c>
      <c r="J5" s="53">
        <v>0</v>
      </c>
      <c r="K5" s="75">
        <f>_xll.qlMidSafe($G5,$H5)</f>
        <v>0.4</v>
      </c>
      <c r="L5" s="6"/>
      <c r="M5" s="85">
        <v>0.4</v>
      </c>
      <c r="N5" s="6"/>
      <c r="O5" s="94" t="str">
        <f t="shared" ref="O5:O10" si="1">$E5&amp;$P$2</f>
        <v>HKDQM3H6M_Quote</v>
      </c>
      <c r="P5" s="15">
        <f t="array" ref="P5:P42">QuoteLive</f>
        <v>0.4</v>
      </c>
      <c r="Q5" s="95">
        <f>_xll.qlSimpleQuoteSetValue($O5,$P5/100,Trigger)</f>
        <v>0</v>
      </c>
      <c r="R5" s="10"/>
      <c r="T5" s="195" t="s">
        <v>114</v>
      </c>
      <c r="U5" s="196" t="s">
        <v>18</v>
      </c>
      <c r="V5" s="197" t="s">
        <v>117</v>
      </c>
      <c r="X5" s="223">
        <f>(H5-K5)/50</f>
        <v>9.999999999999998E-4</v>
      </c>
    </row>
    <row r="6" spans="1:24" x14ac:dyDescent="0.2">
      <c r="A6" s="9"/>
      <c r="B6" s="226" t="s">
        <v>36</v>
      </c>
      <c r="C6" s="43" t="str">
        <v>QM</v>
      </c>
      <c r="D6" s="43" t="str">
        <v>3H</v>
      </c>
      <c r="E6" s="43" t="str">
        <f t="shared" si="0"/>
        <v>HKDQM3H1Y</v>
      </c>
      <c r="F6" s="43" t="str">
        <v>HKDQM3H1Y=PREA</v>
      </c>
      <c r="G6" s="53">
        <v>0.39</v>
      </c>
      <c r="H6" s="53">
        <v>0.49</v>
      </c>
      <c r="I6" s="53">
        <v>0</v>
      </c>
      <c r="J6" s="53">
        <v>0</v>
      </c>
      <c r="K6" s="75">
        <f>_xll.qlMidSafe($G6,$H6)</f>
        <v>0.44</v>
      </c>
      <c r="L6" s="6"/>
      <c r="M6" s="85">
        <v>0.44</v>
      </c>
      <c r="N6" s="6"/>
      <c r="O6" s="94" t="str">
        <f t="shared" si="1"/>
        <v>HKDQM3H1Y_Quote</v>
      </c>
      <c r="P6" s="15">
        <v>0.44</v>
      </c>
      <c r="Q6" s="95">
        <f>_xll.qlSimpleQuoteSetValue($O6,$P6/100,Trigger)</f>
        <v>0</v>
      </c>
      <c r="R6" s="10"/>
      <c r="T6" s="72" t="s">
        <v>15</v>
      </c>
      <c r="U6" s="100" t="s">
        <v>18</v>
      </c>
      <c r="V6" s="101" t="s">
        <v>29</v>
      </c>
      <c r="X6" s="223">
        <f t="shared" ref="X6:X42" si="2">(H6-K6)/50</f>
        <v>9.999999999999998E-4</v>
      </c>
    </row>
    <row r="7" spans="1:24" x14ac:dyDescent="0.2">
      <c r="A7" s="9"/>
      <c r="B7" s="226" t="s">
        <v>37</v>
      </c>
      <c r="C7" s="43" t="str">
        <v>QM</v>
      </c>
      <c r="D7" s="43" t="str">
        <v>3H</v>
      </c>
      <c r="E7" s="43" t="str">
        <f t="shared" si="0"/>
        <v>HKDQM3H15M</v>
      </c>
      <c r="F7" s="43" t="str">
        <v>HKDQM3H15M=PREA</v>
      </c>
      <c r="G7" s="53" t="s">
        <v>171</v>
      </c>
      <c r="H7" s="53" t="s">
        <v>171</v>
      </c>
      <c r="I7" s="53" t="s">
        <v>171</v>
      </c>
      <c r="J7" s="53" t="s">
        <v>171</v>
      </c>
      <c r="K7" s="75" t="e">
        <f>_xll.qlMidSafe($G7,$H7)</f>
        <v>#NUM!</v>
      </c>
      <c r="L7" s="6"/>
      <c r="M7" s="85" t="e">
        <v>#NUM!</v>
      </c>
      <c r="N7" s="6"/>
      <c r="O7" s="94" t="str">
        <f t="shared" si="1"/>
        <v>HKDQM3H15M_Quote</v>
      </c>
      <c r="P7" s="15" t="e">
        <v>#NUM!</v>
      </c>
      <c r="Q7" s="95" t="e">
        <f>_xll.qlSimpleQuoteSetValue($O7,$P7/100,Trigger)</f>
        <v>#NUM!</v>
      </c>
      <c r="R7" s="10"/>
      <c r="T7" s="72" t="s">
        <v>111</v>
      </c>
      <c r="U7" s="100" t="s">
        <v>116</v>
      </c>
      <c r="V7" s="101" t="s">
        <v>117</v>
      </c>
      <c r="X7" s="223" t="e">
        <f t="shared" si="2"/>
        <v>#VALUE!</v>
      </c>
    </row>
    <row r="8" spans="1:24" x14ac:dyDescent="0.2">
      <c r="A8" s="9"/>
      <c r="B8" s="226" t="s">
        <v>38</v>
      </c>
      <c r="C8" s="43" t="str">
        <v>QM</v>
      </c>
      <c r="D8" s="43" t="str">
        <v>3H</v>
      </c>
      <c r="E8" s="43" t="str">
        <f t="shared" si="0"/>
        <v>HKDQM3H18M</v>
      </c>
      <c r="F8" s="43" t="str">
        <v>HKDQM3H18M=PREA</v>
      </c>
      <c r="G8" s="53">
        <v>0.43</v>
      </c>
      <c r="H8" s="53">
        <v>0.53</v>
      </c>
      <c r="I8" s="53">
        <v>0</v>
      </c>
      <c r="J8" s="53">
        <v>0</v>
      </c>
      <c r="K8" s="75">
        <f>_xll.qlMidSafe($G8,$H8)</f>
        <v>0.48</v>
      </c>
      <c r="L8" s="6"/>
      <c r="M8" s="85">
        <v>0.48</v>
      </c>
      <c r="N8" s="6"/>
      <c r="O8" s="94" t="str">
        <f t="shared" si="1"/>
        <v>HKDQM3H18M_Quote</v>
      </c>
      <c r="P8" s="15">
        <v>0.48</v>
      </c>
      <c r="Q8" s="95">
        <f>_xll.qlSimpleQuoteSetValue($O8,$P8/100,Trigger)</f>
        <v>0</v>
      </c>
      <c r="R8" s="10"/>
      <c r="T8" s="72" t="s">
        <v>144</v>
      </c>
      <c r="U8" s="100" t="s">
        <v>145</v>
      </c>
      <c r="V8" s="101" t="s">
        <v>146</v>
      </c>
      <c r="X8" s="223">
        <f t="shared" si="2"/>
        <v>1.0000000000000009E-3</v>
      </c>
    </row>
    <row r="9" spans="1:24" x14ac:dyDescent="0.2">
      <c r="A9" s="9"/>
      <c r="B9" s="226" t="s">
        <v>39</v>
      </c>
      <c r="C9" s="43" t="str">
        <v>QM</v>
      </c>
      <c r="D9" s="43" t="str">
        <v>3H</v>
      </c>
      <c r="E9" s="43" t="str">
        <f t="shared" si="0"/>
        <v>HKDQM3H21M</v>
      </c>
      <c r="F9" s="43" t="str">
        <v>HKDQM3H21M=PREA</v>
      </c>
      <c r="G9" s="53" t="s">
        <v>171</v>
      </c>
      <c r="H9" s="53" t="s">
        <v>171</v>
      </c>
      <c r="I9" s="53" t="s">
        <v>171</v>
      </c>
      <c r="J9" s="53" t="s">
        <v>171</v>
      </c>
      <c r="K9" s="75" t="e">
        <f>_xll.qlMidSafe($G9,$H9)</f>
        <v>#NUM!</v>
      </c>
      <c r="L9" s="6"/>
      <c r="M9" s="85" t="e">
        <v>#NUM!</v>
      </c>
      <c r="N9" s="6"/>
      <c r="O9" s="94" t="str">
        <f t="shared" si="1"/>
        <v>HKDQM3H21M_Quote</v>
      </c>
      <c r="P9" s="15" t="e">
        <v>#NUM!</v>
      </c>
      <c r="Q9" s="95" t="e">
        <f>_xll.qlSimpleQuoteSetValue($O9,$P9/100,Trigger)</f>
        <v>#NUM!</v>
      </c>
      <c r="R9" s="10"/>
      <c r="T9" s="72" t="s">
        <v>113</v>
      </c>
      <c r="U9" s="100" t="s">
        <v>118</v>
      </c>
      <c r="V9" s="101" t="s">
        <v>117</v>
      </c>
      <c r="X9" s="223" t="e">
        <f t="shared" si="2"/>
        <v>#VALUE!</v>
      </c>
    </row>
    <row r="10" spans="1:24" ht="12" thickBot="1" x14ac:dyDescent="0.25">
      <c r="A10" s="9"/>
      <c r="B10" s="226" t="s">
        <v>40</v>
      </c>
      <c r="C10" s="43" t="str">
        <v>QM</v>
      </c>
      <c r="D10" s="43" t="str">
        <v>3H</v>
      </c>
      <c r="E10" s="43" t="str">
        <f t="shared" si="0"/>
        <v>HKDQM3H2Y</v>
      </c>
      <c r="F10" s="43" t="str">
        <v>HKDQM3H2Y=PREA</v>
      </c>
      <c r="G10" s="53">
        <v>0.49</v>
      </c>
      <c r="H10" s="53">
        <v>0.59</v>
      </c>
      <c r="I10" s="53">
        <v>0</v>
      </c>
      <c r="J10" s="53">
        <v>0</v>
      </c>
      <c r="K10" s="75">
        <f>_xll.qlMidSafe($G10,$H10)</f>
        <v>0.54</v>
      </c>
      <c r="L10" s="6"/>
      <c r="M10" s="85">
        <v>0.54</v>
      </c>
      <c r="N10" s="6"/>
      <c r="O10" s="94" t="str">
        <f t="shared" si="1"/>
        <v>HKDQM3H2Y_Quote</v>
      </c>
      <c r="P10" s="15">
        <v>0.54</v>
      </c>
      <c r="Q10" s="95">
        <f>_xll.qlSimpleQuoteSetValue($O10,$P10/100,Trigger)</f>
        <v>0</v>
      </c>
      <c r="R10" s="10"/>
      <c r="T10" s="73" t="s">
        <v>106</v>
      </c>
      <c r="U10" s="102" t="s">
        <v>116</v>
      </c>
      <c r="V10" s="103" t="s">
        <v>117</v>
      </c>
      <c r="X10" s="223">
        <f t="shared" si="2"/>
        <v>9.9999999999999872E-4</v>
      </c>
    </row>
    <row r="11" spans="1:24" x14ac:dyDescent="0.2">
      <c r="A11" s="9"/>
      <c r="B11" s="226" t="s">
        <v>41</v>
      </c>
      <c r="C11" s="227" t="str">
        <v>QM</v>
      </c>
      <c r="D11" s="227" t="str">
        <v>3H</v>
      </c>
      <c r="E11" s="43" t="str">
        <f t="shared" si="0"/>
        <v>HKDQM3H3Y</v>
      </c>
      <c r="F11" s="43" t="str">
        <v>HKDQM3H3Y=PREA</v>
      </c>
      <c r="G11" s="53">
        <v>0.72</v>
      </c>
      <c r="H11" s="53">
        <v>0.82</v>
      </c>
      <c r="I11" s="53">
        <v>0</v>
      </c>
      <c r="J11" s="53">
        <v>0</v>
      </c>
      <c r="K11" s="75">
        <f>_xll.qlMidSafe($G11,$H11)</f>
        <v>0.77</v>
      </c>
      <c r="L11" s="6"/>
      <c r="M11" s="85">
        <v>0.77</v>
      </c>
      <c r="N11" s="6"/>
      <c r="O11" s="94" t="str">
        <f t="shared" ref="O11:O42" si="3">$E11&amp;$P$2</f>
        <v>HKDQM3H3Y_Quote</v>
      </c>
      <c r="P11" s="15">
        <v>0.77</v>
      </c>
      <c r="Q11" s="95">
        <f>_xll.qlSimpleQuoteSetValue($O11,$P11/100,Trigger)</f>
        <v>0</v>
      </c>
      <c r="R11" s="10"/>
      <c r="X11" s="223">
        <f t="shared" si="2"/>
        <v>9.9999999999999872E-4</v>
      </c>
    </row>
    <row r="12" spans="1:24" x14ac:dyDescent="0.2">
      <c r="A12" s="9"/>
      <c r="B12" s="226" t="s">
        <v>42</v>
      </c>
      <c r="C12" s="227" t="str">
        <v>QM</v>
      </c>
      <c r="D12" s="227" t="str">
        <v>3H</v>
      </c>
      <c r="E12" s="43" t="str">
        <f t="shared" si="0"/>
        <v>HKDQM3H4Y</v>
      </c>
      <c r="F12" s="43" t="str">
        <v>HKDQM3H4Y=PREA</v>
      </c>
      <c r="G12" s="53">
        <v>1.04</v>
      </c>
      <c r="H12" s="53">
        <v>1.1399999999999999</v>
      </c>
      <c r="I12" s="53">
        <v>0</v>
      </c>
      <c r="J12" s="53">
        <v>0</v>
      </c>
      <c r="K12" s="75">
        <f>_xll.qlMidSafe($G12,$H12)</f>
        <v>1.0899999999999999</v>
      </c>
      <c r="L12" s="6"/>
      <c r="M12" s="85">
        <v>1.0899999999999999</v>
      </c>
      <c r="N12" s="6"/>
      <c r="O12" s="94" t="str">
        <f t="shared" si="3"/>
        <v>HKDQM3H4Y_Quote</v>
      </c>
      <c r="P12" s="15">
        <v>1.0899999999999999</v>
      </c>
      <c r="Q12" s="95">
        <f>_xll.qlSimpleQuoteSetValue($O12,$P12/100,Trigger)</f>
        <v>0</v>
      </c>
      <c r="R12" s="10"/>
      <c r="X12" s="223">
        <f t="shared" si="2"/>
        <v>1.0000000000000009E-3</v>
      </c>
    </row>
    <row r="13" spans="1:24" x14ac:dyDescent="0.2">
      <c r="A13" s="9"/>
      <c r="B13" s="226" t="s">
        <v>43</v>
      </c>
      <c r="C13" s="227" t="str">
        <v>QM</v>
      </c>
      <c r="D13" s="227" t="str">
        <v>3H</v>
      </c>
      <c r="E13" s="43" t="str">
        <f t="shared" si="0"/>
        <v>HKDQM3H5Y</v>
      </c>
      <c r="F13" s="43" t="str">
        <v>HKDQM3H5Y=PREA</v>
      </c>
      <c r="G13" s="53">
        <v>1.36</v>
      </c>
      <c r="H13" s="53">
        <v>1.46</v>
      </c>
      <c r="I13" s="53">
        <v>0</v>
      </c>
      <c r="J13" s="53">
        <v>0</v>
      </c>
      <c r="K13" s="75">
        <f>_xll.qlMidSafe($G13,$H13)</f>
        <v>1.4100000000000001</v>
      </c>
      <c r="L13" s="6"/>
      <c r="M13" s="85">
        <v>1.4100000000000001</v>
      </c>
      <c r="N13" s="6"/>
      <c r="O13" s="94" t="str">
        <f t="shared" si="3"/>
        <v>HKDQM3H5Y_Quote</v>
      </c>
      <c r="P13" s="15">
        <v>1.4100000000000001</v>
      </c>
      <c r="Q13" s="95">
        <f>_xll.qlSimpleQuoteSetValue($O13,$P13/100,Trigger)</f>
        <v>0</v>
      </c>
      <c r="R13" s="10"/>
      <c r="X13" s="223">
        <f t="shared" si="2"/>
        <v>9.9999999999999655E-4</v>
      </c>
    </row>
    <row r="14" spans="1:24" x14ac:dyDescent="0.2">
      <c r="A14" s="9"/>
      <c r="B14" s="226" t="s">
        <v>44</v>
      </c>
      <c r="C14" s="227" t="str">
        <v>QM</v>
      </c>
      <c r="D14" s="227" t="str">
        <v>3H</v>
      </c>
      <c r="E14" s="43" t="str">
        <f t="shared" si="0"/>
        <v>HKDQM3H6Y</v>
      </c>
      <c r="F14" s="43" t="str">
        <v>HKDQM3H6Y=PREA</v>
      </c>
      <c r="G14" s="53" t="s">
        <v>171</v>
      </c>
      <c r="H14" s="53" t="s">
        <v>171</v>
      </c>
      <c r="I14" s="53" t="s">
        <v>171</v>
      </c>
      <c r="J14" s="53" t="s">
        <v>171</v>
      </c>
      <c r="K14" s="75" t="e">
        <f>_xll.qlMidSafe($G14,$H14)</f>
        <v>#NUM!</v>
      </c>
      <c r="L14" s="6"/>
      <c r="M14" s="85" t="e">
        <v>#NUM!</v>
      </c>
      <c r="N14" s="6"/>
      <c r="O14" s="94" t="str">
        <f t="shared" si="3"/>
        <v>HKDQM3H6Y_Quote</v>
      </c>
      <c r="P14" s="15" t="e">
        <v>#NUM!</v>
      </c>
      <c r="Q14" s="95" t="e">
        <f>_xll.qlSimpleQuoteSetValue($O14,$P14/100,Trigger)</f>
        <v>#NUM!</v>
      </c>
      <c r="R14" s="10"/>
      <c r="X14" s="223" t="e">
        <f t="shared" si="2"/>
        <v>#VALUE!</v>
      </c>
    </row>
    <row r="15" spans="1:24" x14ac:dyDescent="0.2">
      <c r="A15" s="9"/>
      <c r="B15" s="226" t="s">
        <v>45</v>
      </c>
      <c r="C15" s="227" t="str">
        <v>QM</v>
      </c>
      <c r="D15" s="227" t="str">
        <v>3H</v>
      </c>
      <c r="E15" s="43" t="str">
        <f t="shared" si="0"/>
        <v>HKDQM3H7Y</v>
      </c>
      <c r="F15" s="43" t="str">
        <v>HKDQM3H7Y=PREA</v>
      </c>
      <c r="G15" s="53">
        <v>1.9</v>
      </c>
      <c r="H15" s="53">
        <v>2</v>
      </c>
      <c r="I15" s="53">
        <v>0</v>
      </c>
      <c r="J15" s="53">
        <v>0</v>
      </c>
      <c r="K15" s="75">
        <f>_xll.qlMidSafe($G15,$H15)</f>
        <v>1.95</v>
      </c>
      <c r="L15" s="6"/>
      <c r="M15" s="85">
        <v>1.95</v>
      </c>
      <c r="N15" s="6"/>
      <c r="O15" s="94" t="str">
        <f t="shared" si="3"/>
        <v>HKDQM3H7Y_Quote</v>
      </c>
      <c r="P15" s="15">
        <v>1.95</v>
      </c>
      <c r="Q15" s="95">
        <f>_xll.qlSimpleQuoteSetValue($O15,$P15/100,Trigger)</f>
        <v>0</v>
      </c>
      <c r="R15" s="10"/>
      <c r="X15" s="223">
        <f t="shared" si="2"/>
        <v>1.0000000000000009E-3</v>
      </c>
    </row>
    <row r="16" spans="1:24" x14ac:dyDescent="0.2">
      <c r="A16" s="9"/>
      <c r="B16" s="226" t="s">
        <v>46</v>
      </c>
      <c r="C16" s="227" t="str">
        <v>QM</v>
      </c>
      <c r="D16" s="227" t="str">
        <v>3H</v>
      </c>
      <c r="E16" s="43" t="str">
        <f t="shared" si="0"/>
        <v>HKDQM3H8Y</v>
      </c>
      <c r="F16" s="43" t="str">
        <v>HKDQM3H8Y=PREA</v>
      </c>
      <c r="G16" s="53" t="s">
        <v>171</v>
      </c>
      <c r="H16" s="53" t="s">
        <v>171</v>
      </c>
      <c r="I16" s="53" t="s">
        <v>171</v>
      </c>
      <c r="J16" s="53" t="s">
        <v>171</v>
      </c>
      <c r="K16" s="75" t="e">
        <f>_xll.qlMidSafe($G16,$H16)</f>
        <v>#NUM!</v>
      </c>
      <c r="L16" s="6"/>
      <c r="M16" s="85" t="e">
        <v>#NUM!</v>
      </c>
      <c r="N16" s="6"/>
      <c r="O16" s="94" t="str">
        <f t="shared" si="3"/>
        <v>HKDQM3H8Y_Quote</v>
      </c>
      <c r="P16" s="15" t="e">
        <v>#NUM!</v>
      </c>
      <c r="Q16" s="95" t="e">
        <f>_xll.qlSimpleQuoteSetValue($O16,$P16/100,Trigger)</f>
        <v>#NUM!</v>
      </c>
      <c r="R16" s="10"/>
      <c r="X16" s="223" t="e">
        <f t="shared" si="2"/>
        <v>#VALUE!</v>
      </c>
    </row>
    <row r="17" spans="1:24" x14ac:dyDescent="0.2">
      <c r="A17" s="9"/>
      <c r="B17" s="226" t="s">
        <v>47</v>
      </c>
      <c r="C17" s="227" t="str">
        <v>QM</v>
      </c>
      <c r="D17" s="227" t="str">
        <v>3H</v>
      </c>
      <c r="E17" s="43" t="str">
        <f t="shared" si="0"/>
        <v>HKDQM3H9Y</v>
      </c>
      <c r="F17" s="43" t="str">
        <v>HKDQM3H9Y=PREA</v>
      </c>
      <c r="G17" s="53" t="s">
        <v>171</v>
      </c>
      <c r="H17" s="53" t="s">
        <v>171</v>
      </c>
      <c r="I17" s="53" t="s">
        <v>171</v>
      </c>
      <c r="J17" s="53" t="s">
        <v>171</v>
      </c>
      <c r="K17" s="75" t="e">
        <f>_xll.qlMidSafe($G17,$H17)</f>
        <v>#NUM!</v>
      </c>
      <c r="L17" s="6"/>
      <c r="M17" s="85" t="e">
        <v>#NUM!</v>
      </c>
      <c r="N17" s="6"/>
      <c r="O17" s="94" t="str">
        <f t="shared" si="3"/>
        <v>HKDQM3H9Y_Quote</v>
      </c>
      <c r="P17" s="15" t="e">
        <v>#NUM!</v>
      </c>
      <c r="Q17" s="95" t="e">
        <f>_xll.qlSimpleQuoteSetValue($O17,$P17/100,Trigger)</f>
        <v>#NUM!</v>
      </c>
      <c r="R17" s="10"/>
      <c r="X17" s="223" t="e">
        <f t="shared" si="2"/>
        <v>#VALUE!</v>
      </c>
    </row>
    <row r="18" spans="1:24" x14ac:dyDescent="0.2">
      <c r="A18" s="9"/>
      <c r="B18" s="226" t="s">
        <v>48</v>
      </c>
      <c r="C18" s="227" t="str">
        <v>QM</v>
      </c>
      <c r="D18" s="227" t="str">
        <v>3H</v>
      </c>
      <c r="E18" s="43" t="str">
        <f t="shared" si="0"/>
        <v>HKDQM3H10Y</v>
      </c>
      <c r="F18" s="43" t="str">
        <v>HKDQM3H10Y=PREA</v>
      </c>
      <c r="G18" s="53">
        <v>2.4</v>
      </c>
      <c r="H18" s="53">
        <v>2.5</v>
      </c>
      <c r="I18" s="53">
        <v>0</v>
      </c>
      <c r="J18" s="53">
        <v>0</v>
      </c>
      <c r="K18" s="75">
        <f>_xll.qlMidSafe($G18,$H18)</f>
        <v>2.4500000000000002</v>
      </c>
      <c r="L18" s="6"/>
      <c r="M18" s="85">
        <v>2.4500000000000002</v>
      </c>
      <c r="N18" s="6"/>
      <c r="O18" s="94" t="str">
        <f t="shared" si="3"/>
        <v>HKDQM3H10Y_Quote</v>
      </c>
      <c r="P18" s="15">
        <v>2.4500000000000002</v>
      </c>
      <c r="Q18" s="95">
        <f>_xll.qlSimpleQuoteSetValue($O18,$P18/100,Trigger)</f>
        <v>0</v>
      </c>
      <c r="R18" s="10"/>
      <c r="X18" s="223">
        <f t="shared" si="2"/>
        <v>9.9999999999999655E-4</v>
      </c>
    </row>
    <row r="19" spans="1:24" x14ac:dyDescent="0.2">
      <c r="A19" s="9"/>
      <c r="B19" s="226" t="s">
        <v>49</v>
      </c>
      <c r="C19" s="227" t="str">
        <v>QM</v>
      </c>
      <c r="D19" s="227" t="str">
        <v>3H</v>
      </c>
      <c r="E19" s="43" t="str">
        <f t="shared" si="0"/>
        <v>HKDQM3H11Y</v>
      </c>
      <c r="F19" s="43" t="str">
        <v>HKDQM3H11Y=PREA</v>
      </c>
      <c r="G19" s="53" t="s">
        <v>171</v>
      </c>
      <c r="H19" s="53" t="s">
        <v>171</v>
      </c>
      <c r="I19" s="53" t="s">
        <v>171</v>
      </c>
      <c r="J19" s="53" t="s">
        <v>171</v>
      </c>
      <c r="K19" s="75" t="e">
        <f>_xll.qlMidSafe($G19,$H19)</f>
        <v>#NUM!</v>
      </c>
      <c r="L19" s="6"/>
      <c r="M19" s="85" t="e">
        <v>#NUM!</v>
      </c>
      <c r="N19" s="6"/>
      <c r="O19" s="94" t="str">
        <f t="shared" si="3"/>
        <v>HKDQM3H11Y_Quote</v>
      </c>
      <c r="P19" s="15" t="e">
        <v>#NUM!</v>
      </c>
      <c r="Q19" s="95" t="e">
        <f>_xll.qlSimpleQuoteSetValue($O19,$P19/100,Trigger)</f>
        <v>#NUM!</v>
      </c>
      <c r="R19" s="10"/>
      <c r="X19" s="223" t="e">
        <f t="shared" si="2"/>
        <v>#VALUE!</v>
      </c>
    </row>
    <row r="20" spans="1:24" x14ac:dyDescent="0.2">
      <c r="A20" s="9"/>
      <c r="B20" s="226" t="s">
        <v>50</v>
      </c>
      <c r="C20" s="227" t="str">
        <v>QM</v>
      </c>
      <c r="D20" s="227" t="str">
        <v>3H</v>
      </c>
      <c r="E20" s="43" t="str">
        <f t="shared" si="0"/>
        <v>HKDQM3H12Y</v>
      </c>
      <c r="F20" s="43" t="str">
        <v>HKDQM3H12Y=PREA</v>
      </c>
      <c r="G20" s="53">
        <v>2.56</v>
      </c>
      <c r="H20" s="53">
        <v>2.66</v>
      </c>
      <c r="I20" s="53">
        <v>0</v>
      </c>
      <c r="J20" s="53">
        <v>0</v>
      </c>
      <c r="K20" s="75">
        <f>_xll.qlMidSafe($G20,$H20)</f>
        <v>2.6100000000000003</v>
      </c>
      <c r="L20" s="6"/>
      <c r="M20" s="85">
        <v>2.6100000000000003</v>
      </c>
      <c r="N20" s="6"/>
      <c r="O20" s="94" t="str">
        <f t="shared" si="3"/>
        <v>HKDQM3H12Y_Quote</v>
      </c>
      <c r="P20" s="15">
        <v>2.6100000000000003</v>
      </c>
      <c r="Q20" s="95">
        <f>_xll.qlSimpleQuoteSetValue($O20,$P20/100,Trigger)</f>
        <v>0</v>
      </c>
      <c r="R20" s="10"/>
      <c r="X20" s="223">
        <f t="shared" si="2"/>
        <v>9.9999999999999655E-4</v>
      </c>
    </row>
    <row r="21" spans="1:24" x14ac:dyDescent="0.2">
      <c r="A21" s="9"/>
      <c r="B21" s="226" t="s">
        <v>51</v>
      </c>
      <c r="C21" s="227" t="str">
        <v>QM</v>
      </c>
      <c r="D21" s="227" t="str">
        <v>3H</v>
      </c>
      <c r="E21" s="43" t="str">
        <f t="shared" si="0"/>
        <v>HKDQM3H13Y</v>
      </c>
      <c r="F21" s="43" t="str">
        <v>HKDQM3H13Y=PREA</v>
      </c>
      <c r="G21" s="53" t="s">
        <v>171</v>
      </c>
      <c r="H21" s="53" t="s">
        <v>171</v>
      </c>
      <c r="I21" s="53" t="s">
        <v>171</v>
      </c>
      <c r="J21" s="53" t="s">
        <v>171</v>
      </c>
      <c r="K21" s="75" t="e">
        <f>_xll.qlMidSafe($G21,$H21)</f>
        <v>#NUM!</v>
      </c>
      <c r="L21" s="6"/>
      <c r="M21" s="85" t="e">
        <v>#NUM!</v>
      </c>
      <c r="N21" s="6"/>
      <c r="O21" s="94" t="str">
        <f t="shared" si="3"/>
        <v>HKDQM3H13Y_Quote</v>
      </c>
      <c r="P21" s="15" t="e">
        <v>#NUM!</v>
      </c>
      <c r="Q21" s="95" t="e">
        <f>_xll.qlSimpleQuoteSetValue($O21,$P21/100,Trigger)</f>
        <v>#NUM!</v>
      </c>
      <c r="R21" s="10"/>
      <c r="X21" s="223" t="e">
        <f t="shared" si="2"/>
        <v>#VALUE!</v>
      </c>
    </row>
    <row r="22" spans="1:24" x14ac:dyDescent="0.2">
      <c r="A22" s="9"/>
      <c r="B22" s="226" t="s">
        <v>52</v>
      </c>
      <c r="C22" s="227" t="str">
        <v>QM</v>
      </c>
      <c r="D22" s="227" t="str">
        <v>3H</v>
      </c>
      <c r="E22" s="43" t="str">
        <f t="shared" si="0"/>
        <v>HKDQM3H14Y</v>
      </c>
      <c r="F22" s="43" t="str">
        <v>HKDQM3H14Y=PREA</v>
      </c>
      <c r="G22" s="53" t="s">
        <v>171</v>
      </c>
      <c r="H22" s="53" t="s">
        <v>171</v>
      </c>
      <c r="I22" s="53" t="s">
        <v>171</v>
      </c>
      <c r="J22" s="53" t="s">
        <v>171</v>
      </c>
      <c r="K22" s="75" t="e">
        <f>_xll.qlMidSafe($G22,$H22)</f>
        <v>#NUM!</v>
      </c>
      <c r="L22" s="6"/>
      <c r="M22" s="85" t="e">
        <v>#NUM!</v>
      </c>
      <c r="N22" s="6"/>
      <c r="O22" s="94" t="str">
        <f t="shared" si="3"/>
        <v>HKDQM3H14Y_Quote</v>
      </c>
      <c r="P22" s="15" t="e">
        <v>#NUM!</v>
      </c>
      <c r="Q22" s="95" t="e">
        <f>_xll.qlSimpleQuoteSetValue($O22,$P22/100,Trigger)</f>
        <v>#NUM!</v>
      </c>
      <c r="R22" s="10"/>
      <c r="X22" s="223" t="e">
        <f t="shared" si="2"/>
        <v>#VALUE!</v>
      </c>
    </row>
    <row r="23" spans="1:24" x14ac:dyDescent="0.2">
      <c r="A23" s="9"/>
      <c r="B23" s="226" t="s">
        <v>53</v>
      </c>
      <c r="C23" s="227" t="str">
        <v>QM</v>
      </c>
      <c r="D23" s="227" t="str">
        <v>3H</v>
      </c>
      <c r="E23" s="43" t="str">
        <f t="shared" si="0"/>
        <v>HKDQM3H15Y</v>
      </c>
      <c r="F23" s="43" t="str">
        <v>HKDQM3H15Y=PREA</v>
      </c>
      <c r="G23" s="53">
        <v>2.67</v>
      </c>
      <c r="H23" s="53">
        <v>2.77</v>
      </c>
      <c r="I23" s="53">
        <v>0</v>
      </c>
      <c r="J23" s="53">
        <v>0</v>
      </c>
      <c r="K23" s="75">
        <f>_xll.qlMidSafe($G23,$H23)</f>
        <v>2.7199999999999998</v>
      </c>
      <c r="L23" s="6"/>
      <c r="M23" s="85">
        <v>2.7199999999999998</v>
      </c>
      <c r="N23" s="6"/>
      <c r="O23" s="94" t="str">
        <f t="shared" si="3"/>
        <v>HKDQM3H15Y_Quote</v>
      </c>
      <c r="P23" s="15">
        <v>2.7199999999999998</v>
      </c>
      <c r="Q23" s="95">
        <f>_xll.qlSimpleQuoteSetValue($O23,$P23/100,Trigger)</f>
        <v>0</v>
      </c>
      <c r="R23" s="10"/>
      <c r="X23" s="223">
        <f t="shared" si="2"/>
        <v>1.0000000000000052E-3</v>
      </c>
    </row>
    <row r="24" spans="1:24" x14ac:dyDescent="0.2">
      <c r="A24" s="9"/>
      <c r="B24" s="226" t="s">
        <v>54</v>
      </c>
      <c r="C24" s="227" t="str">
        <v>QM</v>
      </c>
      <c r="D24" s="227" t="str">
        <v>3H</v>
      </c>
      <c r="E24" s="43" t="str">
        <f t="shared" si="0"/>
        <v>HKDQM3H16Y</v>
      </c>
      <c r="F24" s="43" t="str">
        <v>HKDQM3H16Y=PREA</v>
      </c>
      <c r="G24" s="53" t="s">
        <v>171</v>
      </c>
      <c r="H24" s="53" t="s">
        <v>171</v>
      </c>
      <c r="I24" s="53" t="s">
        <v>171</v>
      </c>
      <c r="J24" s="53" t="s">
        <v>171</v>
      </c>
      <c r="K24" s="75" t="e">
        <f>_xll.qlMidSafe($G24,$H24)</f>
        <v>#NUM!</v>
      </c>
      <c r="L24" s="6"/>
      <c r="M24" s="85" t="e">
        <v>#NUM!</v>
      </c>
      <c r="N24" s="6"/>
      <c r="O24" s="94" t="str">
        <f t="shared" si="3"/>
        <v>HKDQM3H16Y_Quote</v>
      </c>
      <c r="P24" s="15" t="e">
        <v>#NUM!</v>
      </c>
      <c r="Q24" s="95" t="e">
        <f>_xll.qlSimpleQuoteSetValue($O24,$P24/100,Trigger)</f>
        <v>#NUM!</v>
      </c>
      <c r="R24" s="10"/>
      <c r="X24" s="223" t="e">
        <f t="shared" si="2"/>
        <v>#VALUE!</v>
      </c>
    </row>
    <row r="25" spans="1:24" x14ac:dyDescent="0.2">
      <c r="A25" s="9"/>
      <c r="B25" s="226" t="s">
        <v>55</v>
      </c>
      <c r="C25" s="227" t="str">
        <v>QM</v>
      </c>
      <c r="D25" s="227" t="str">
        <v>3H</v>
      </c>
      <c r="E25" s="43" t="str">
        <f t="shared" si="0"/>
        <v>HKDQM3H17Y</v>
      </c>
      <c r="F25" s="43" t="str">
        <v>HKDQM3H17Y=PREA</v>
      </c>
      <c r="G25" s="53" t="s">
        <v>171</v>
      </c>
      <c r="H25" s="53" t="s">
        <v>171</v>
      </c>
      <c r="I25" s="53" t="s">
        <v>171</v>
      </c>
      <c r="J25" s="53" t="s">
        <v>171</v>
      </c>
      <c r="K25" s="75" t="e">
        <f>_xll.qlMidSafe($G25,$H25)</f>
        <v>#NUM!</v>
      </c>
      <c r="L25" s="6"/>
      <c r="M25" s="85" t="e">
        <v>#NUM!</v>
      </c>
      <c r="N25" s="6"/>
      <c r="O25" s="94" t="str">
        <f t="shared" si="3"/>
        <v>HKDQM3H17Y_Quote</v>
      </c>
      <c r="P25" s="15" t="e">
        <v>#NUM!</v>
      </c>
      <c r="Q25" s="95" t="e">
        <f>_xll.qlSimpleQuoteSetValue($O25,$P25/100,Trigger)</f>
        <v>#NUM!</v>
      </c>
      <c r="R25" s="10"/>
      <c r="X25" s="223" t="e">
        <f t="shared" si="2"/>
        <v>#VALUE!</v>
      </c>
    </row>
    <row r="26" spans="1:24" x14ac:dyDescent="0.2">
      <c r="A26" s="9"/>
      <c r="B26" s="226" t="s">
        <v>56</v>
      </c>
      <c r="C26" s="227" t="str">
        <v>QM</v>
      </c>
      <c r="D26" s="227" t="str">
        <v>3H</v>
      </c>
      <c r="E26" s="43" t="str">
        <f t="shared" si="0"/>
        <v>HKDQM3H18Y</v>
      </c>
      <c r="F26" s="43" t="str">
        <v>HKDQM3H18Y=PREA</v>
      </c>
      <c r="G26" s="53" t="s">
        <v>171</v>
      </c>
      <c r="H26" s="53" t="s">
        <v>171</v>
      </c>
      <c r="I26" s="53" t="s">
        <v>171</v>
      </c>
      <c r="J26" s="53" t="s">
        <v>171</v>
      </c>
      <c r="K26" s="75" t="e">
        <f>_xll.qlMidSafe($G26,$H26)</f>
        <v>#NUM!</v>
      </c>
      <c r="L26" s="6"/>
      <c r="M26" s="85" t="e">
        <v>#NUM!</v>
      </c>
      <c r="N26" s="6"/>
      <c r="O26" s="94" t="str">
        <f t="shared" si="3"/>
        <v>HKDQM3H18Y_Quote</v>
      </c>
      <c r="P26" s="15" t="e">
        <v>#NUM!</v>
      </c>
      <c r="Q26" s="95" t="e">
        <f>_xll.qlSimpleQuoteSetValue($O26,$P26/100,Trigger)</f>
        <v>#NUM!</v>
      </c>
      <c r="R26" s="10"/>
      <c r="X26" s="223" t="e">
        <f t="shared" si="2"/>
        <v>#VALUE!</v>
      </c>
    </row>
    <row r="27" spans="1:24" x14ac:dyDescent="0.2">
      <c r="A27" s="9"/>
      <c r="B27" s="226" t="s">
        <v>57</v>
      </c>
      <c r="C27" s="227" t="str">
        <v>QM</v>
      </c>
      <c r="D27" s="227" t="str">
        <v>3H</v>
      </c>
      <c r="E27" s="43" t="str">
        <f t="shared" si="0"/>
        <v>HKDQM3H19Y</v>
      </c>
      <c r="F27" s="43" t="str">
        <v>HKDQM3H19Y=PREA</v>
      </c>
      <c r="G27" s="53" t="s">
        <v>171</v>
      </c>
      <c r="H27" s="53" t="s">
        <v>171</v>
      </c>
      <c r="I27" s="53" t="s">
        <v>171</v>
      </c>
      <c r="J27" s="53" t="s">
        <v>171</v>
      </c>
      <c r="K27" s="75" t="e">
        <f>_xll.qlMidSafe($G27,$H27)</f>
        <v>#NUM!</v>
      </c>
      <c r="L27" s="6"/>
      <c r="M27" s="85" t="e">
        <v>#NUM!</v>
      </c>
      <c r="N27" s="6"/>
      <c r="O27" s="94" t="str">
        <f t="shared" si="3"/>
        <v>HKDQM3H19Y_Quote</v>
      </c>
      <c r="P27" s="15" t="e">
        <v>#NUM!</v>
      </c>
      <c r="Q27" s="95" t="e">
        <f>_xll.qlSimpleQuoteSetValue($O27,$P27/100,Trigger)</f>
        <v>#NUM!</v>
      </c>
      <c r="R27" s="10"/>
      <c r="X27" s="223" t="e">
        <f t="shared" si="2"/>
        <v>#VALUE!</v>
      </c>
    </row>
    <row r="28" spans="1:24" x14ac:dyDescent="0.2">
      <c r="A28" s="9"/>
      <c r="B28" s="226" t="s">
        <v>58</v>
      </c>
      <c r="C28" s="227" t="str">
        <v>QM</v>
      </c>
      <c r="D28" s="227" t="str">
        <v>3H</v>
      </c>
      <c r="E28" s="43" t="str">
        <f t="shared" si="0"/>
        <v>HKDQM3H20Y</v>
      </c>
      <c r="F28" s="43" t="str">
        <v>HKDQM3H20Y=PREA</v>
      </c>
      <c r="G28" s="53" t="s">
        <v>171</v>
      </c>
      <c r="H28" s="53" t="s">
        <v>171</v>
      </c>
      <c r="I28" s="53" t="s">
        <v>171</v>
      </c>
      <c r="J28" s="53" t="s">
        <v>171</v>
      </c>
      <c r="K28" s="75" t="e">
        <f>_xll.qlMidSafe($G28,$H28)</f>
        <v>#NUM!</v>
      </c>
      <c r="L28" s="6"/>
      <c r="M28" s="85" t="e">
        <v>#NUM!</v>
      </c>
      <c r="N28" s="6"/>
      <c r="O28" s="94" t="str">
        <f t="shared" si="3"/>
        <v>HKDQM3H20Y_Quote</v>
      </c>
      <c r="P28" s="15" t="e">
        <v>#NUM!</v>
      </c>
      <c r="Q28" s="95" t="e">
        <f>_xll.qlSimpleQuoteSetValue($O28,$P28/100,Trigger)</f>
        <v>#NUM!</v>
      </c>
      <c r="R28" s="10"/>
      <c r="X28" s="223" t="e">
        <f t="shared" si="2"/>
        <v>#VALUE!</v>
      </c>
    </row>
    <row r="29" spans="1:24" x14ac:dyDescent="0.2">
      <c r="A29" s="9"/>
      <c r="B29" s="226" t="s">
        <v>59</v>
      </c>
      <c r="C29" s="228" t="str">
        <v>QM</v>
      </c>
      <c r="D29" s="228" t="str">
        <v>3H</v>
      </c>
      <c r="E29" s="43" t="str">
        <f t="shared" si="0"/>
        <v>HKDQM3H21Y</v>
      </c>
      <c r="F29" s="43" t="str">
        <v>HKDQM3H21Y=PREA</v>
      </c>
      <c r="G29" s="53" t="s">
        <v>171</v>
      </c>
      <c r="H29" s="53" t="s">
        <v>171</v>
      </c>
      <c r="I29" s="53" t="s">
        <v>171</v>
      </c>
      <c r="J29" s="53" t="s">
        <v>171</v>
      </c>
      <c r="K29" s="75" t="e">
        <f>_xll.qlMidSafe($G29,$H29)</f>
        <v>#NUM!</v>
      </c>
      <c r="L29" s="6"/>
      <c r="M29" s="85" t="e">
        <v>#NUM!</v>
      </c>
      <c r="N29" s="6"/>
      <c r="O29" s="94" t="str">
        <f t="shared" si="3"/>
        <v>HKDQM3H21Y_Quote</v>
      </c>
      <c r="P29" s="15" t="e">
        <v>#NUM!</v>
      </c>
      <c r="Q29" s="95" t="e">
        <f>_xll.qlSimpleQuoteSetValue($O29,$P29/100,Trigger)</f>
        <v>#NUM!</v>
      </c>
      <c r="R29" s="10"/>
      <c r="X29" s="223" t="e">
        <f t="shared" si="2"/>
        <v>#VALUE!</v>
      </c>
    </row>
    <row r="30" spans="1:24" x14ac:dyDescent="0.2">
      <c r="A30" s="9"/>
      <c r="B30" s="226" t="s">
        <v>60</v>
      </c>
      <c r="C30" s="227" t="str">
        <v>QM</v>
      </c>
      <c r="D30" s="227" t="str">
        <v>3H</v>
      </c>
      <c r="E30" s="43" t="str">
        <f t="shared" si="0"/>
        <v>HKDQM3H22Y</v>
      </c>
      <c r="F30" s="43" t="str">
        <v>HKDQM3H22Y=PREA</v>
      </c>
      <c r="G30" s="53" t="s">
        <v>171</v>
      </c>
      <c r="H30" s="53" t="s">
        <v>171</v>
      </c>
      <c r="I30" s="53" t="s">
        <v>171</v>
      </c>
      <c r="J30" s="53" t="s">
        <v>171</v>
      </c>
      <c r="K30" s="75" t="e">
        <f>_xll.qlMidSafe($G30,$H30)</f>
        <v>#NUM!</v>
      </c>
      <c r="L30" s="6"/>
      <c r="M30" s="85" t="e">
        <v>#NUM!</v>
      </c>
      <c r="N30" s="6"/>
      <c r="O30" s="94" t="str">
        <f t="shared" si="3"/>
        <v>HKDQM3H22Y_Quote</v>
      </c>
      <c r="P30" s="15" t="e">
        <v>#NUM!</v>
      </c>
      <c r="Q30" s="95" t="e">
        <f>_xll.qlSimpleQuoteSetValue($O30,$P30/100,Trigger)</f>
        <v>#NUM!</v>
      </c>
      <c r="R30" s="10"/>
      <c r="X30" s="223" t="e">
        <f t="shared" si="2"/>
        <v>#VALUE!</v>
      </c>
    </row>
    <row r="31" spans="1:24" x14ac:dyDescent="0.2">
      <c r="A31" s="9"/>
      <c r="B31" s="226" t="s">
        <v>61</v>
      </c>
      <c r="C31" s="227" t="str">
        <v>QM</v>
      </c>
      <c r="D31" s="227" t="str">
        <v>3H</v>
      </c>
      <c r="E31" s="43" t="str">
        <f t="shared" si="0"/>
        <v>HKDQM3H23Y</v>
      </c>
      <c r="F31" s="43" t="str">
        <v>HKDQM3H23Y=PREA</v>
      </c>
      <c r="G31" s="53" t="s">
        <v>171</v>
      </c>
      <c r="H31" s="53" t="s">
        <v>171</v>
      </c>
      <c r="I31" s="53" t="s">
        <v>171</v>
      </c>
      <c r="J31" s="53" t="s">
        <v>171</v>
      </c>
      <c r="K31" s="75" t="e">
        <f>_xll.qlMidSafe($G31,$H31)</f>
        <v>#NUM!</v>
      </c>
      <c r="L31" s="6"/>
      <c r="M31" s="85" t="e">
        <v>#NUM!</v>
      </c>
      <c r="N31" s="6"/>
      <c r="O31" s="94" t="str">
        <f t="shared" si="3"/>
        <v>HKDQM3H23Y_Quote</v>
      </c>
      <c r="P31" s="15" t="e">
        <v>#NUM!</v>
      </c>
      <c r="Q31" s="95" t="e">
        <f>_xll.qlSimpleQuoteSetValue($O31,$P31/100,Trigger)</f>
        <v>#NUM!</v>
      </c>
      <c r="R31" s="10"/>
      <c r="X31" s="223" t="e">
        <f t="shared" si="2"/>
        <v>#VALUE!</v>
      </c>
    </row>
    <row r="32" spans="1:24" x14ac:dyDescent="0.2">
      <c r="A32" s="9"/>
      <c r="B32" s="226" t="s">
        <v>62</v>
      </c>
      <c r="C32" s="227" t="str">
        <v>QM</v>
      </c>
      <c r="D32" s="227" t="str">
        <v>3H</v>
      </c>
      <c r="E32" s="43" t="str">
        <f t="shared" si="0"/>
        <v>HKDQM3H24Y</v>
      </c>
      <c r="F32" s="43" t="str">
        <v>HKDQM3H24Y=PREA</v>
      </c>
      <c r="G32" s="53" t="s">
        <v>171</v>
      </c>
      <c r="H32" s="53" t="s">
        <v>171</v>
      </c>
      <c r="I32" s="53" t="s">
        <v>171</v>
      </c>
      <c r="J32" s="53" t="s">
        <v>171</v>
      </c>
      <c r="K32" s="75" t="e">
        <f>_xll.qlMidSafe($G32,$H32)</f>
        <v>#NUM!</v>
      </c>
      <c r="L32" s="6"/>
      <c r="M32" s="85" t="e">
        <v>#NUM!</v>
      </c>
      <c r="N32" s="6"/>
      <c r="O32" s="94" t="str">
        <f t="shared" si="3"/>
        <v>HKDQM3H24Y_Quote</v>
      </c>
      <c r="P32" s="15" t="e">
        <v>#NUM!</v>
      </c>
      <c r="Q32" s="95" t="e">
        <f>_xll.qlSimpleQuoteSetValue($O32,$P32/100,Trigger)</f>
        <v>#NUM!</v>
      </c>
      <c r="R32" s="10"/>
      <c r="X32" s="223" t="e">
        <f t="shared" si="2"/>
        <v>#VALUE!</v>
      </c>
    </row>
    <row r="33" spans="1:24" x14ac:dyDescent="0.2">
      <c r="A33" s="9"/>
      <c r="B33" s="226" t="s">
        <v>63</v>
      </c>
      <c r="C33" s="227" t="str">
        <v>QM</v>
      </c>
      <c r="D33" s="227" t="str">
        <v>3H</v>
      </c>
      <c r="E33" s="43" t="str">
        <f t="shared" si="0"/>
        <v>HKDQM3H25Y</v>
      </c>
      <c r="F33" s="43" t="str">
        <v>HKDQM3H25Y=PREA</v>
      </c>
      <c r="G33" s="53" t="s">
        <v>171</v>
      </c>
      <c r="H33" s="53" t="s">
        <v>171</v>
      </c>
      <c r="I33" s="53" t="s">
        <v>171</v>
      </c>
      <c r="J33" s="53" t="s">
        <v>171</v>
      </c>
      <c r="K33" s="75" t="e">
        <f>_xll.qlMidSafe($G33,$H33)</f>
        <v>#NUM!</v>
      </c>
      <c r="L33" s="6"/>
      <c r="M33" s="85" t="e">
        <v>#NUM!</v>
      </c>
      <c r="N33" s="6"/>
      <c r="O33" s="94" t="str">
        <f t="shared" si="3"/>
        <v>HKDQM3H25Y_Quote</v>
      </c>
      <c r="P33" s="15" t="e">
        <v>#NUM!</v>
      </c>
      <c r="Q33" s="95" t="e">
        <f>_xll.qlSimpleQuoteSetValue($O33,$P33/100,Trigger)</f>
        <v>#NUM!</v>
      </c>
      <c r="R33" s="10"/>
      <c r="X33" s="223" t="e">
        <f t="shared" si="2"/>
        <v>#VALUE!</v>
      </c>
    </row>
    <row r="34" spans="1:24" x14ac:dyDescent="0.2">
      <c r="A34" s="9"/>
      <c r="B34" s="226" t="s">
        <v>64</v>
      </c>
      <c r="C34" s="227" t="str">
        <v>QM</v>
      </c>
      <c r="D34" s="227" t="str">
        <v>3H</v>
      </c>
      <c r="E34" s="43" t="str">
        <f t="shared" si="0"/>
        <v>HKDQM3H26Y</v>
      </c>
      <c r="F34" s="43" t="str">
        <v>HKDQM3H26Y=PREA</v>
      </c>
      <c r="G34" s="53" t="s">
        <v>171</v>
      </c>
      <c r="H34" s="53" t="s">
        <v>171</v>
      </c>
      <c r="I34" s="53" t="s">
        <v>171</v>
      </c>
      <c r="J34" s="53" t="s">
        <v>171</v>
      </c>
      <c r="K34" s="75" t="e">
        <f>_xll.qlMidSafe($G34,$H34)</f>
        <v>#NUM!</v>
      </c>
      <c r="L34" s="6"/>
      <c r="M34" s="85" t="e">
        <v>#NUM!</v>
      </c>
      <c r="N34" s="6"/>
      <c r="O34" s="94" t="str">
        <f t="shared" si="3"/>
        <v>HKDQM3H26Y_Quote</v>
      </c>
      <c r="P34" s="15" t="e">
        <v>#NUM!</v>
      </c>
      <c r="Q34" s="95" t="e">
        <f>_xll.qlSimpleQuoteSetValue($O34,$P34/100,Trigger)</f>
        <v>#NUM!</v>
      </c>
      <c r="R34" s="10"/>
      <c r="X34" s="223" t="e">
        <f t="shared" si="2"/>
        <v>#VALUE!</v>
      </c>
    </row>
    <row r="35" spans="1:24" x14ac:dyDescent="0.2">
      <c r="A35" s="9"/>
      <c r="B35" s="226" t="s">
        <v>65</v>
      </c>
      <c r="C35" s="227" t="str">
        <v>QM</v>
      </c>
      <c r="D35" s="227" t="str">
        <v>3H</v>
      </c>
      <c r="E35" s="43" t="str">
        <f t="shared" si="0"/>
        <v>HKDQM3H27Y</v>
      </c>
      <c r="F35" s="43" t="str">
        <v>HKDQM3H27Y=PREA</v>
      </c>
      <c r="G35" s="53" t="s">
        <v>171</v>
      </c>
      <c r="H35" s="53" t="s">
        <v>171</v>
      </c>
      <c r="I35" s="53" t="s">
        <v>171</v>
      </c>
      <c r="J35" s="53" t="s">
        <v>171</v>
      </c>
      <c r="K35" s="75" t="e">
        <f>_xll.qlMidSafe($G35,$H35)</f>
        <v>#NUM!</v>
      </c>
      <c r="L35" s="6"/>
      <c r="M35" s="85" t="e">
        <v>#NUM!</v>
      </c>
      <c r="N35" s="6"/>
      <c r="O35" s="94" t="str">
        <f t="shared" si="3"/>
        <v>HKDQM3H27Y_Quote</v>
      </c>
      <c r="P35" s="15" t="e">
        <v>#NUM!</v>
      </c>
      <c r="Q35" s="95" t="e">
        <f>_xll.qlSimpleQuoteSetValue($O35,$P35/100,Trigger)</f>
        <v>#NUM!</v>
      </c>
      <c r="R35" s="10"/>
      <c r="X35" s="223" t="e">
        <f t="shared" si="2"/>
        <v>#VALUE!</v>
      </c>
    </row>
    <row r="36" spans="1:24" x14ac:dyDescent="0.2">
      <c r="A36" s="9"/>
      <c r="B36" s="226" t="s">
        <v>66</v>
      </c>
      <c r="C36" s="227" t="str">
        <v>QM</v>
      </c>
      <c r="D36" s="227" t="str">
        <v>3H</v>
      </c>
      <c r="E36" s="43" t="str">
        <f t="shared" si="0"/>
        <v>HKDQM3H28Y</v>
      </c>
      <c r="F36" s="43" t="str">
        <v>HKDQM3H28Y=PREA</v>
      </c>
      <c r="G36" s="53" t="s">
        <v>171</v>
      </c>
      <c r="H36" s="53" t="s">
        <v>171</v>
      </c>
      <c r="I36" s="53" t="s">
        <v>171</v>
      </c>
      <c r="J36" s="53" t="s">
        <v>171</v>
      </c>
      <c r="K36" s="75" t="e">
        <f>_xll.qlMidSafe($G36,$H36)</f>
        <v>#NUM!</v>
      </c>
      <c r="L36" s="6"/>
      <c r="M36" s="85" t="e">
        <v>#NUM!</v>
      </c>
      <c r="N36" s="6"/>
      <c r="O36" s="94" t="str">
        <f t="shared" si="3"/>
        <v>HKDQM3H28Y_Quote</v>
      </c>
      <c r="P36" s="15" t="e">
        <v>#NUM!</v>
      </c>
      <c r="Q36" s="95" t="e">
        <f>_xll.qlSimpleQuoteSetValue($O36,$P36/100,Trigger)</f>
        <v>#NUM!</v>
      </c>
      <c r="R36" s="10"/>
      <c r="X36" s="223" t="e">
        <f t="shared" si="2"/>
        <v>#VALUE!</v>
      </c>
    </row>
    <row r="37" spans="1:24" x14ac:dyDescent="0.2">
      <c r="A37" s="9"/>
      <c r="B37" s="226" t="s">
        <v>67</v>
      </c>
      <c r="C37" s="227" t="str">
        <v>QM</v>
      </c>
      <c r="D37" s="227" t="str">
        <v>3H</v>
      </c>
      <c r="E37" s="43" t="str">
        <f t="shared" si="0"/>
        <v>HKDQM3H29Y</v>
      </c>
      <c r="F37" s="43" t="str">
        <v>HKDQM3H29Y=PREA</v>
      </c>
      <c r="G37" s="53" t="s">
        <v>171</v>
      </c>
      <c r="H37" s="53" t="s">
        <v>171</v>
      </c>
      <c r="I37" s="53" t="s">
        <v>171</v>
      </c>
      <c r="J37" s="53" t="s">
        <v>171</v>
      </c>
      <c r="K37" s="75" t="e">
        <f>_xll.qlMidSafe($G37,$H37)</f>
        <v>#NUM!</v>
      </c>
      <c r="L37" s="6"/>
      <c r="M37" s="85" t="e">
        <v>#NUM!</v>
      </c>
      <c r="N37" s="6"/>
      <c r="O37" s="94" t="str">
        <f t="shared" si="3"/>
        <v>HKDQM3H29Y_Quote</v>
      </c>
      <c r="P37" s="15" t="e">
        <v>#NUM!</v>
      </c>
      <c r="Q37" s="95" t="e">
        <f>_xll.qlSimpleQuoteSetValue($O37,$P37/100,Trigger)</f>
        <v>#NUM!</v>
      </c>
      <c r="R37" s="10"/>
      <c r="X37" s="223" t="e">
        <f t="shared" si="2"/>
        <v>#VALUE!</v>
      </c>
    </row>
    <row r="38" spans="1:24" x14ac:dyDescent="0.2">
      <c r="A38" s="9"/>
      <c r="B38" s="226" t="s">
        <v>68</v>
      </c>
      <c r="C38" s="227" t="str">
        <v>QM</v>
      </c>
      <c r="D38" s="227" t="str">
        <v>3H</v>
      </c>
      <c r="E38" s="43" t="str">
        <f t="shared" si="0"/>
        <v>HKDQM3H30Y</v>
      </c>
      <c r="F38" s="43" t="str">
        <v>HKDQM3H30Y=PREA</v>
      </c>
      <c r="G38" s="53" t="s">
        <v>171</v>
      </c>
      <c r="H38" s="53" t="s">
        <v>171</v>
      </c>
      <c r="I38" s="53" t="s">
        <v>171</v>
      </c>
      <c r="J38" s="53" t="s">
        <v>171</v>
      </c>
      <c r="K38" s="75" t="e">
        <f>_xll.qlMidSafe($G38,$H38)</f>
        <v>#NUM!</v>
      </c>
      <c r="L38" s="6"/>
      <c r="M38" s="85" t="e">
        <v>#NUM!</v>
      </c>
      <c r="N38" s="6"/>
      <c r="O38" s="94" t="str">
        <f t="shared" si="3"/>
        <v>HKDQM3H30Y_Quote</v>
      </c>
      <c r="P38" s="15" t="e">
        <v>#NUM!</v>
      </c>
      <c r="Q38" s="95" t="e">
        <f>_xll.qlSimpleQuoteSetValue($O38,$P38/100,Trigger)</f>
        <v>#NUM!</v>
      </c>
      <c r="R38" s="10"/>
      <c r="X38" s="223" t="e">
        <f t="shared" si="2"/>
        <v>#VALUE!</v>
      </c>
    </row>
    <row r="39" spans="1:24" x14ac:dyDescent="0.2">
      <c r="A39" s="9"/>
      <c r="B39" s="226" t="s">
        <v>69</v>
      </c>
      <c r="C39" s="227" t="str">
        <v>QM</v>
      </c>
      <c r="D39" s="227" t="str">
        <v>3H</v>
      </c>
      <c r="E39" s="43" t="str">
        <f t="shared" si="0"/>
        <v>HKDQM3H35Y</v>
      </c>
      <c r="F39" s="43" t="str">
        <v>HKDQM3H35Y=PREA</v>
      </c>
      <c r="G39" s="53" t="s">
        <v>171</v>
      </c>
      <c r="H39" s="53" t="s">
        <v>171</v>
      </c>
      <c r="I39" s="53" t="s">
        <v>171</v>
      </c>
      <c r="J39" s="53" t="s">
        <v>171</v>
      </c>
      <c r="K39" s="75" t="e">
        <f>_xll.qlMidSafe($G39,$H39)</f>
        <v>#NUM!</v>
      </c>
      <c r="L39" s="6"/>
      <c r="M39" s="85" t="e">
        <v>#NUM!</v>
      </c>
      <c r="N39" s="6"/>
      <c r="O39" s="94" t="str">
        <f t="shared" si="3"/>
        <v>HKDQM3H35Y_Quote</v>
      </c>
      <c r="P39" s="15" t="e">
        <v>#NUM!</v>
      </c>
      <c r="Q39" s="95" t="e">
        <f>_xll.qlSimpleQuoteSetValue($O39,$P39/100,Trigger)</f>
        <v>#NUM!</v>
      </c>
      <c r="R39" s="10"/>
      <c r="X39" s="223" t="e">
        <f t="shared" si="2"/>
        <v>#VALUE!</v>
      </c>
    </row>
    <row r="40" spans="1:24" x14ac:dyDescent="0.2">
      <c r="A40" s="9"/>
      <c r="B40" s="226" t="s">
        <v>70</v>
      </c>
      <c r="C40" s="227" t="str">
        <v>QM</v>
      </c>
      <c r="D40" s="227" t="str">
        <v>3H</v>
      </c>
      <c r="E40" s="43" t="str">
        <f t="shared" si="0"/>
        <v>HKDQM3H40Y</v>
      </c>
      <c r="F40" s="43" t="str">
        <v>HKDQM3H40Y=PREA</v>
      </c>
      <c r="G40" s="53" t="s">
        <v>171</v>
      </c>
      <c r="H40" s="53" t="s">
        <v>171</v>
      </c>
      <c r="I40" s="53" t="s">
        <v>171</v>
      </c>
      <c r="J40" s="53" t="s">
        <v>171</v>
      </c>
      <c r="K40" s="75" t="e">
        <f>_xll.qlMidSafe($G40,$H40)</f>
        <v>#NUM!</v>
      </c>
      <c r="L40" s="6"/>
      <c r="M40" s="85" t="e">
        <v>#NUM!</v>
      </c>
      <c r="N40" s="6"/>
      <c r="O40" s="94" t="str">
        <f t="shared" si="3"/>
        <v>HKDQM3H40Y_Quote</v>
      </c>
      <c r="P40" s="15" t="e">
        <v>#NUM!</v>
      </c>
      <c r="Q40" s="95" t="e">
        <f>_xll.qlSimpleQuoteSetValue($O40,$P40/100,Trigger)</f>
        <v>#NUM!</v>
      </c>
      <c r="R40" s="10"/>
      <c r="X40" s="223" t="e">
        <f t="shared" si="2"/>
        <v>#VALUE!</v>
      </c>
    </row>
    <row r="41" spans="1:24" x14ac:dyDescent="0.2">
      <c r="A41" s="9"/>
      <c r="B41" s="226" t="s">
        <v>71</v>
      </c>
      <c r="C41" s="227" t="str">
        <v>QM</v>
      </c>
      <c r="D41" s="227" t="str">
        <v>3H</v>
      </c>
      <c r="E41" s="43" t="str">
        <f t="shared" si="0"/>
        <v>HKDQM3H50Y</v>
      </c>
      <c r="F41" s="43" t="str">
        <v>HKDQM3H50Y=PREA</v>
      </c>
      <c r="G41" s="53" t="s">
        <v>171</v>
      </c>
      <c r="H41" s="53" t="s">
        <v>171</v>
      </c>
      <c r="I41" s="53" t="s">
        <v>171</v>
      </c>
      <c r="J41" s="53" t="s">
        <v>171</v>
      </c>
      <c r="K41" s="75" t="e">
        <f>_xll.qlMidSafe($G41,$H41)</f>
        <v>#NUM!</v>
      </c>
      <c r="L41" s="6"/>
      <c r="M41" s="85" t="e">
        <v>#NUM!</v>
      </c>
      <c r="N41" s="6"/>
      <c r="O41" s="94" t="str">
        <f t="shared" si="3"/>
        <v>HKDQM3H50Y_Quote</v>
      </c>
      <c r="P41" s="15" t="e">
        <v>#NUM!</v>
      </c>
      <c r="Q41" s="95" t="e">
        <f>_xll.qlSimpleQuoteSetValue($O41,$P41/100,Trigger)</f>
        <v>#NUM!</v>
      </c>
      <c r="R41" s="10"/>
      <c r="X41" s="223" t="e">
        <f t="shared" si="2"/>
        <v>#VALUE!</v>
      </c>
    </row>
    <row r="42" spans="1:24" x14ac:dyDescent="0.2">
      <c r="A42" s="9"/>
      <c r="B42" s="229" t="s">
        <v>72</v>
      </c>
      <c r="C42" s="230" t="str">
        <v>QM</v>
      </c>
      <c r="D42" s="230" t="str">
        <v>3H</v>
      </c>
      <c r="E42" s="77" t="str">
        <f t="shared" si="0"/>
        <v>HKDQM3H60Y</v>
      </c>
      <c r="F42" s="77" t="str">
        <v>HKDQM3H60Y=PREA</v>
      </c>
      <c r="G42" s="166" t="s">
        <v>171</v>
      </c>
      <c r="H42" s="166" t="s">
        <v>171</v>
      </c>
      <c r="I42" s="166" t="s">
        <v>171</v>
      </c>
      <c r="J42" s="166" t="s">
        <v>171</v>
      </c>
      <c r="K42" s="79" t="e">
        <f>_xll.qlMidSafe($G42,$H42)</f>
        <v>#NUM!</v>
      </c>
      <c r="L42" s="6"/>
      <c r="M42" s="86" t="e">
        <v>#NUM!</v>
      </c>
      <c r="N42" s="6"/>
      <c r="O42" s="96" t="str">
        <f t="shared" si="3"/>
        <v>HKDQM3H60Y_Quote</v>
      </c>
      <c r="P42" s="78" t="e">
        <v>#NUM!</v>
      </c>
      <c r="Q42" s="97" t="e">
        <f>_xll.qlSimpleQuoteSetValue($O42,$P42/100,Trigger)</f>
        <v>#NUM!</v>
      </c>
      <c r="R42" s="10"/>
      <c r="X42" s="223" t="e">
        <f t="shared" si="2"/>
        <v>#VALUE!</v>
      </c>
    </row>
    <row r="43" spans="1:24" ht="12" thickBot="1" x14ac:dyDescent="0.25">
      <c r="A43" s="98"/>
      <c r="B43" s="99"/>
      <c r="C43" s="12"/>
      <c r="D43" s="12"/>
      <c r="E43" s="12"/>
      <c r="F43" s="12"/>
      <c r="G43" s="12"/>
      <c r="H43" s="12"/>
      <c r="I43" s="12"/>
      <c r="J43" s="12"/>
      <c r="K43" s="12"/>
      <c r="L43" s="99"/>
      <c r="M43" s="99"/>
      <c r="N43" s="99"/>
      <c r="O43" s="99"/>
      <c r="P43" s="99"/>
      <c r="Q43" s="99"/>
      <c r="R43" s="14"/>
    </row>
    <row r="44" spans="1:24" ht="12.75" x14ac:dyDescent="0.2">
      <c r="Q44"/>
    </row>
  </sheetData>
  <phoneticPr fontId="4" type="noConversion"/>
  <dataValidations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43"/>
  <sheetViews>
    <sheetView workbookViewId="0">
      <selection activeCell="F2" sqref="F2"/>
    </sheetView>
  </sheetViews>
  <sheetFormatPr defaultRowHeight="11.25" x14ac:dyDescent="0.2"/>
  <cols>
    <col min="1" max="1" width="2.85546875" style="44" customWidth="1"/>
    <col min="2" max="2" width="3.85546875" style="44" bestFit="1" customWidth="1"/>
    <col min="3" max="3" width="3.140625" style="44" bestFit="1" customWidth="1"/>
    <col min="4" max="4" width="2.7109375" style="44" bestFit="1" customWidth="1"/>
    <col min="5" max="5" width="10.5703125" style="44" bestFit="1" customWidth="1"/>
    <col min="6" max="6" width="14.85546875" style="44" bestFit="1" customWidth="1"/>
    <col min="7" max="8" width="7.42578125" style="44" customWidth="1"/>
    <col min="9" max="9" width="5.7109375" style="44" bestFit="1" customWidth="1"/>
    <col min="10" max="10" width="10" style="44" bestFit="1" customWidth="1"/>
    <col min="11" max="11" width="5.7109375" style="44" bestFit="1" customWidth="1"/>
    <col min="12" max="12" width="5" style="44" customWidth="1"/>
    <col min="13" max="13" width="5.7109375" style="44" bestFit="1" customWidth="1"/>
    <col min="14" max="14" width="5" style="44" customWidth="1"/>
    <col min="15" max="15" width="16" style="44" bestFit="1" customWidth="1"/>
    <col min="16" max="17" width="7.7109375" style="44" bestFit="1" customWidth="1"/>
    <col min="18" max="18" width="5" style="44" customWidth="1"/>
    <col min="19" max="19" width="5.140625" style="44" customWidth="1"/>
    <col min="20" max="20" width="4" style="44" bestFit="1" customWidth="1"/>
    <col min="21" max="21" width="3.28515625" style="44" bestFit="1" customWidth="1"/>
    <col min="22" max="22" width="2.7109375" style="44" bestFit="1" customWidth="1"/>
    <col min="23" max="23" width="9.140625" style="44"/>
    <col min="24" max="24" width="7.140625" style="44" bestFit="1" customWidth="1"/>
    <col min="25" max="16384" width="9.140625" style="44"/>
  </cols>
  <sheetData>
    <row r="1" spans="1:24" ht="12" thickBot="1" x14ac:dyDescent="0.25">
      <c r="A1" s="27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4"/>
    </row>
    <row r="2" spans="1:24" ht="12" thickBot="1" x14ac:dyDescent="0.25">
      <c r="A2" s="5"/>
      <c r="B2" s="7"/>
      <c r="C2" s="45"/>
      <c r="D2" s="45"/>
      <c r="E2" s="45"/>
      <c r="F2" s="110" t="s">
        <v>2</v>
      </c>
      <c r="G2" s="6"/>
      <c r="H2" s="6"/>
      <c r="I2" s="6"/>
      <c r="J2" s="6"/>
      <c r="K2" s="7"/>
      <c r="L2" s="6"/>
      <c r="M2" s="6"/>
      <c r="N2" s="6"/>
      <c r="O2" s="46" t="s">
        <v>79</v>
      </c>
      <c r="P2" s="47" t="s">
        <v>34</v>
      </c>
      <c r="Q2" s="7"/>
      <c r="R2" s="8"/>
    </row>
    <row r="3" spans="1:24" x14ac:dyDescent="0.2">
      <c r="A3" s="9"/>
      <c r="B3" s="6"/>
      <c r="C3" s="7"/>
      <c r="D3" s="7"/>
      <c r="E3" s="7"/>
      <c r="F3" s="7"/>
      <c r="G3" s="7"/>
      <c r="H3" s="7"/>
      <c r="I3" s="7"/>
      <c r="J3" s="7"/>
      <c r="K3" s="7"/>
      <c r="L3" s="6"/>
      <c r="M3" s="6"/>
      <c r="N3" s="6"/>
      <c r="O3" s="7"/>
      <c r="P3" s="7"/>
      <c r="Q3" s="28">
        <f>_xll.ohTrigger(Q5:Q42)</f>
        <v>12</v>
      </c>
      <c r="R3" s="10"/>
    </row>
    <row r="4" spans="1:24" ht="23.25" thickBot="1" x14ac:dyDescent="0.25">
      <c r="A4" s="9"/>
      <c r="B4" s="123"/>
      <c r="C4" s="81"/>
      <c r="D4" s="81"/>
      <c r="E4" s="81"/>
      <c r="F4" s="82" t="e">
        <f ca="1">_xll.RData(F5:F42,G4:J4,,ReutersRtMode,,G5)</f>
        <v>#NAME?</v>
      </c>
      <c r="G4" s="83" t="s">
        <v>0</v>
      </c>
      <c r="H4" s="83" t="s">
        <v>1</v>
      </c>
      <c r="I4" s="83" t="s">
        <v>25</v>
      </c>
      <c r="J4" s="83" t="s">
        <v>26</v>
      </c>
      <c r="K4" s="84" t="s">
        <v>128</v>
      </c>
      <c r="L4" s="6"/>
      <c r="M4" s="87" t="s">
        <v>105</v>
      </c>
      <c r="N4" s="6"/>
      <c r="O4" s="88" t="s">
        <v>31</v>
      </c>
      <c r="P4" s="89" t="s">
        <v>17</v>
      </c>
      <c r="Q4" s="90" t="s">
        <v>24</v>
      </c>
      <c r="R4" s="10"/>
      <c r="X4" s="222" t="s">
        <v>142</v>
      </c>
    </row>
    <row r="5" spans="1:24" x14ac:dyDescent="0.2">
      <c r="A5" s="9"/>
      <c r="B5" s="226" t="s">
        <v>92</v>
      </c>
      <c r="C5" s="43" t="str">
        <f t="array" ref="C5:C42">VLOOKUP(Currency,Conventions,2)</f>
        <v>AM</v>
      </c>
      <c r="D5" s="43" t="str">
        <f t="array" ref="D5:D42">VLOOKUP(Currency,Conventions,3)</f>
        <v>6H</v>
      </c>
      <c r="E5" s="26" t="str">
        <f t="shared" ref="E5:E42" si="0">Currency&amp;$C5&amp;$D5&amp;$B5</f>
        <v>HKDAM6H6M</v>
      </c>
      <c r="F5" s="26" t="str">
        <f t="array" ref="F5:F42">Instruments&amp;"="&amp;VLOOKUP(Contributor,ContributorTable,2,FALSE)</f>
        <v>HKDAM6H6M=</v>
      </c>
      <c r="G5" s="53" t="s">
        <v>171</v>
      </c>
      <c r="H5" s="53" t="s">
        <v>171</v>
      </c>
      <c r="I5" s="53" t="s">
        <v>171</v>
      </c>
      <c r="J5" s="53" t="s">
        <v>171</v>
      </c>
      <c r="K5" s="231" t="e">
        <f>_xll.qlMidSafe($G5,$H5)</f>
        <v>#NUM!</v>
      </c>
      <c r="L5" s="6"/>
      <c r="M5" s="85" t="e">
        <v>#NUM!</v>
      </c>
      <c r="N5" s="6"/>
      <c r="O5" s="94" t="str">
        <f>$E5&amp;$P$2</f>
        <v>HKDAM6H6M_Quote</v>
      </c>
      <c r="P5" s="15" t="e">
        <f t="array" ref="P5:P42">QuoteLive</f>
        <v>#NUM!</v>
      </c>
      <c r="Q5" s="95" t="e">
        <f>_xll.qlSimpleQuoteSetValue($O5,$P5/100,Trigger)</f>
        <v>#NUM!</v>
      </c>
      <c r="R5" s="10"/>
      <c r="T5" s="195" t="s">
        <v>114</v>
      </c>
      <c r="U5" s="196" t="s">
        <v>18</v>
      </c>
      <c r="V5" s="197" t="s">
        <v>119</v>
      </c>
      <c r="X5" s="223" t="e">
        <f>(H5-K5)/50</f>
        <v>#VALUE!</v>
      </c>
    </row>
    <row r="6" spans="1:24" x14ac:dyDescent="0.2">
      <c r="A6" s="9"/>
      <c r="B6" s="226" t="s">
        <v>36</v>
      </c>
      <c r="C6" s="43" t="str">
        <v>AM</v>
      </c>
      <c r="D6" s="43" t="str">
        <v>6H</v>
      </c>
      <c r="E6" s="26" t="str">
        <f t="shared" si="0"/>
        <v>HKDAM6H1Y</v>
      </c>
      <c r="F6" s="26" t="str">
        <v>HKDAM6H1Y=</v>
      </c>
      <c r="G6" s="53" t="s">
        <v>171</v>
      </c>
      <c r="H6" s="53" t="s">
        <v>171</v>
      </c>
      <c r="I6" s="53" t="s">
        <v>171</v>
      </c>
      <c r="J6" s="53" t="s">
        <v>171</v>
      </c>
      <c r="K6" s="231" t="e">
        <f>_xll.qlMidSafe($G6,$H6)</f>
        <v>#NUM!</v>
      </c>
      <c r="L6" s="6"/>
      <c r="M6" s="85" t="e">
        <v>#NUM!</v>
      </c>
      <c r="N6" s="6"/>
      <c r="O6" s="94" t="str">
        <f>$E6&amp;$P$2</f>
        <v>HKDAM6H1Y_Quote</v>
      </c>
      <c r="P6" s="15" t="e">
        <v>#NUM!</v>
      </c>
      <c r="Q6" s="95" t="e">
        <f>_xll.qlSimpleQuoteSetValue($O6,$P6/100,Trigger)</f>
        <v>#NUM!</v>
      </c>
      <c r="R6" s="10"/>
      <c r="T6" s="72" t="s">
        <v>15</v>
      </c>
      <c r="U6" s="100" t="s">
        <v>18</v>
      </c>
      <c r="V6" s="101" t="s">
        <v>19</v>
      </c>
      <c r="X6" s="223" t="e">
        <f t="shared" ref="X6:X42" si="1">(H6-K6)/50</f>
        <v>#VALUE!</v>
      </c>
    </row>
    <row r="7" spans="1:24" x14ac:dyDescent="0.2">
      <c r="A7" s="9"/>
      <c r="B7" s="226" t="s">
        <v>37</v>
      </c>
      <c r="C7" s="43" t="str">
        <v>AM</v>
      </c>
      <c r="D7" s="43" t="str">
        <v>6H</v>
      </c>
      <c r="E7" s="26" t="str">
        <f t="shared" si="0"/>
        <v>HKDAM6H15M</v>
      </c>
      <c r="F7" s="26" t="str">
        <v>HKDAM6H15M=</v>
      </c>
      <c r="G7" s="53" t="s">
        <v>171</v>
      </c>
      <c r="H7" s="53" t="s">
        <v>171</v>
      </c>
      <c r="I7" s="53" t="s">
        <v>171</v>
      </c>
      <c r="J7" s="53" t="s">
        <v>171</v>
      </c>
      <c r="K7" s="231" t="e">
        <f>_xll.qlMidEquivalent($G7,$H7,$I7,$J7)</f>
        <v>#NUM!</v>
      </c>
      <c r="L7" s="6"/>
      <c r="M7" s="85" t="e">
        <v>#NUM!</v>
      </c>
      <c r="N7" s="6"/>
      <c r="O7" s="94" t="str">
        <f t="shared" ref="O7:O42" si="2">$E7&amp;$P$2</f>
        <v>HKDAM6H15M_Quote</v>
      </c>
      <c r="P7" s="15" t="e">
        <v>#NUM!</v>
      </c>
      <c r="Q7" s="95" t="e">
        <f>_xll.qlSimpleQuoteSetValue($O7,$P7/100,Trigger)</f>
        <v>#NUM!</v>
      </c>
      <c r="R7" s="10"/>
      <c r="T7" s="72" t="s">
        <v>144</v>
      </c>
      <c r="U7" s="100" t="s">
        <v>116</v>
      </c>
      <c r="V7" s="101" t="s">
        <v>192</v>
      </c>
      <c r="W7" s="71"/>
      <c r="X7" s="223" t="e">
        <f t="shared" si="1"/>
        <v>#VALUE!</v>
      </c>
    </row>
    <row r="8" spans="1:24" x14ac:dyDescent="0.2">
      <c r="A8" s="9"/>
      <c r="B8" s="226" t="s">
        <v>38</v>
      </c>
      <c r="C8" s="43" t="str">
        <v>AM</v>
      </c>
      <c r="D8" s="43" t="str">
        <v>6H</v>
      </c>
      <c r="E8" s="26" t="str">
        <f t="shared" si="0"/>
        <v>HKDAM6H18M</v>
      </c>
      <c r="F8" s="26" t="str">
        <v>HKDAM6H18M=</v>
      </c>
      <c r="G8" s="53" t="s">
        <v>171</v>
      </c>
      <c r="H8" s="53" t="s">
        <v>171</v>
      </c>
      <c r="I8" s="53" t="s">
        <v>171</v>
      </c>
      <c r="J8" s="53" t="s">
        <v>171</v>
      </c>
      <c r="K8" s="231" t="e">
        <f>_xll.qlMidEquivalent($G8,$H8,$I8,$J8)</f>
        <v>#NUM!</v>
      </c>
      <c r="L8" s="6"/>
      <c r="M8" s="85" t="e">
        <v>#NUM!</v>
      </c>
      <c r="N8" s="6"/>
      <c r="O8" s="94" t="str">
        <f t="shared" si="2"/>
        <v>HKDAM6H18M_Quote</v>
      </c>
      <c r="P8" s="15" t="e">
        <v>#NUM!</v>
      </c>
      <c r="Q8" s="95" t="e">
        <f>_xll.qlSimpleQuoteSetValue($O8,$P8/100,Trigger)</f>
        <v>#NUM!</v>
      </c>
      <c r="R8" s="10"/>
      <c r="T8" s="72" t="s">
        <v>111</v>
      </c>
      <c r="U8" s="100" t="s">
        <v>118</v>
      </c>
      <c r="V8" s="101" t="s">
        <v>119</v>
      </c>
      <c r="W8" s="71"/>
      <c r="X8" s="223" t="e">
        <f t="shared" si="1"/>
        <v>#VALUE!</v>
      </c>
    </row>
    <row r="9" spans="1:24" x14ac:dyDescent="0.2">
      <c r="A9" s="9"/>
      <c r="B9" s="226" t="s">
        <v>39</v>
      </c>
      <c r="C9" s="43" t="str">
        <v>AM</v>
      </c>
      <c r="D9" s="43" t="str">
        <v>6H</v>
      </c>
      <c r="E9" s="26" t="str">
        <f t="shared" si="0"/>
        <v>HKDAM6H21M</v>
      </c>
      <c r="F9" s="26" t="str">
        <v>HKDAM6H21M=</v>
      </c>
      <c r="G9" s="53" t="s">
        <v>171</v>
      </c>
      <c r="H9" s="53" t="s">
        <v>171</v>
      </c>
      <c r="I9" s="53" t="s">
        <v>171</v>
      </c>
      <c r="J9" s="53" t="s">
        <v>171</v>
      </c>
      <c r="K9" s="231" t="e">
        <f>_xll.qlMidEquivalent($G9,$H9,$I9,$J9)</f>
        <v>#NUM!</v>
      </c>
      <c r="L9" s="6"/>
      <c r="M9" s="85" t="e">
        <v>#NUM!</v>
      </c>
      <c r="N9" s="6"/>
      <c r="O9" s="94" t="str">
        <f t="shared" si="2"/>
        <v>HKDAM6H21M_Quote</v>
      </c>
      <c r="P9" s="15" t="e">
        <v>#NUM!</v>
      </c>
      <c r="Q9" s="95" t="e">
        <f>_xll.qlSimpleQuoteSetValue($O9,$P9/100,Trigger)</f>
        <v>#NUM!</v>
      </c>
      <c r="R9" s="10"/>
      <c r="T9" s="72" t="s">
        <v>113</v>
      </c>
      <c r="U9" s="100" t="s">
        <v>118</v>
      </c>
      <c r="V9" s="101" t="s">
        <v>119</v>
      </c>
      <c r="X9" s="223" t="e">
        <f t="shared" si="1"/>
        <v>#VALUE!</v>
      </c>
    </row>
    <row r="10" spans="1:24" ht="12" thickBot="1" x14ac:dyDescent="0.25">
      <c r="A10" s="9"/>
      <c r="B10" s="226" t="s">
        <v>40</v>
      </c>
      <c r="C10" s="43" t="str">
        <v>AM</v>
      </c>
      <c r="D10" s="43" t="str">
        <v>6H</v>
      </c>
      <c r="E10" s="26" t="str">
        <f t="shared" si="0"/>
        <v>HKDAM6H2Y</v>
      </c>
      <c r="F10" s="26" t="str">
        <v>HKDAM6H2Y=</v>
      </c>
      <c r="G10" s="53" t="s">
        <v>171</v>
      </c>
      <c r="H10" s="53" t="s">
        <v>171</v>
      </c>
      <c r="I10" s="53" t="s">
        <v>171</v>
      </c>
      <c r="J10" s="53" t="s">
        <v>171</v>
      </c>
      <c r="K10" s="231" t="e">
        <f>_xll.qlMidEquivalent($G10,$H10,$I10,$J10)</f>
        <v>#NUM!</v>
      </c>
      <c r="L10" s="6"/>
      <c r="M10" s="85" t="e">
        <v>#NUM!</v>
      </c>
      <c r="N10" s="6"/>
      <c r="O10" s="94" t="str">
        <f t="shared" si="2"/>
        <v>HKDAM6H2Y_Quote</v>
      </c>
      <c r="P10" s="15" t="e">
        <v>#NUM!</v>
      </c>
      <c r="Q10" s="95" t="e">
        <f>_xll.qlSimpleQuoteSetValue($O10,$P10/100,Trigger)</f>
        <v>#NUM!</v>
      </c>
      <c r="R10" s="10"/>
      <c r="T10" s="73" t="s">
        <v>106</v>
      </c>
      <c r="U10" s="102" t="s">
        <v>116</v>
      </c>
      <c r="V10" s="103" t="s">
        <v>119</v>
      </c>
      <c r="X10" s="223" t="e">
        <f t="shared" si="1"/>
        <v>#VALUE!</v>
      </c>
    </row>
    <row r="11" spans="1:24" x14ac:dyDescent="0.2">
      <c r="A11" s="9"/>
      <c r="B11" s="226" t="s">
        <v>41</v>
      </c>
      <c r="C11" s="43" t="str">
        <v>AM</v>
      </c>
      <c r="D11" s="43" t="str">
        <v>6H</v>
      </c>
      <c r="E11" s="26" t="str">
        <f t="shared" si="0"/>
        <v>HKDAM6H3Y</v>
      </c>
      <c r="F11" s="26" t="str">
        <v>HKDAM6H3Y=</v>
      </c>
      <c r="G11" s="53" t="s">
        <v>171</v>
      </c>
      <c r="H11" s="53" t="s">
        <v>171</v>
      </c>
      <c r="I11" s="53" t="s">
        <v>171</v>
      </c>
      <c r="J11" s="53" t="s">
        <v>171</v>
      </c>
      <c r="K11" s="231" t="e">
        <f>_xll.qlMidEquivalent($G11,$H11,$I11,$J11)</f>
        <v>#NUM!</v>
      </c>
      <c r="L11" s="6"/>
      <c r="M11" s="85" t="e">
        <v>#NUM!</v>
      </c>
      <c r="N11" s="6"/>
      <c r="O11" s="94" t="str">
        <f t="shared" si="2"/>
        <v>HKDAM6H3Y_Quote</v>
      </c>
      <c r="P11" s="15" t="e">
        <v>#NUM!</v>
      </c>
      <c r="Q11" s="95" t="e">
        <f>_xll.qlSimpleQuoteSetValue($O11,$P11/100,Trigger)</f>
        <v>#NUM!</v>
      </c>
      <c r="R11" s="10"/>
      <c r="X11" s="223" t="e">
        <f t="shared" si="1"/>
        <v>#VALUE!</v>
      </c>
    </row>
    <row r="12" spans="1:24" x14ac:dyDescent="0.2">
      <c r="A12" s="9"/>
      <c r="B12" s="226" t="s">
        <v>42</v>
      </c>
      <c r="C12" s="43" t="str">
        <v>AM</v>
      </c>
      <c r="D12" s="43" t="str">
        <v>6H</v>
      </c>
      <c r="E12" s="26" t="str">
        <f t="shared" si="0"/>
        <v>HKDAM6H4Y</v>
      </c>
      <c r="F12" s="26" t="str">
        <v>HKDAM6H4Y=</v>
      </c>
      <c r="G12" s="53" t="s">
        <v>171</v>
      </c>
      <c r="H12" s="53" t="s">
        <v>171</v>
      </c>
      <c r="I12" s="53" t="s">
        <v>171</v>
      </c>
      <c r="J12" s="53" t="s">
        <v>171</v>
      </c>
      <c r="K12" s="231" t="e">
        <f>_xll.qlMidEquivalent($G12,$H12,$I12,$J12)</f>
        <v>#NUM!</v>
      </c>
      <c r="L12" s="6"/>
      <c r="M12" s="85" t="e">
        <v>#NUM!</v>
      </c>
      <c r="N12" s="6"/>
      <c r="O12" s="94" t="str">
        <f t="shared" si="2"/>
        <v>HKDAM6H4Y_Quote</v>
      </c>
      <c r="P12" s="15" t="e">
        <v>#NUM!</v>
      </c>
      <c r="Q12" s="95" t="e">
        <f>_xll.qlSimpleQuoteSetValue($O12,$P12/100,Trigger)</f>
        <v>#NUM!</v>
      </c>
      <c r="R12" s="10"/>
      <c r="X12" s="223" t="e">
        <f t="shared" si="1"/>
        <v>#VALUE!</v>
      </c>
    </row>
    <row r="13" spans="1:24" x14ac:dyDescent="0.2">
      <c r="A13" s="9"/>
      <c r="B13" s="226" t="s">
        <v>43</v>
      </c>
      <c r="C13" s="43" t="str">
        <v>AM</v>
      </c>
      <c r="D13" s="43" t="str">
        <v>6H</v>
      </c>
      <c r="E13" s="26" t="str">
        <f t="shared" si="0"/>
        <v>HKDAM6H5Y</v>
      </c>
      <c r="F13" s="26" t="str">
        <v>HKDAM6H5Y=</v>
      </c>
      <c r="G13" s="53" t="s">
        <v>171</v>
      </c>
      <c r="H13" s="53" t="s">
        <v>171</v>
      </c>
      <c r="I13" s="53" t="s">
        <v>171</v>
      </c>
      <c r="J13" s="53" t="s">
        <v>171</v>
      </c>
      <c r="K13" s="231" t="e">
        <f>_xll.qlMidEquivalent($G13,$H13,$I13,$J13)</f>
        <v>#NUM!</v>
      </c>
      <c r="L13" s="6"/>
      <c r="M13" s="85" t="e">
        <v>#NUM!</v>
      </c>
      <c r="N13" s="6"/>
      <c r="O13" s="94" t="str">
        <f t="shared" si="2"/>
        <v>HKDAM6H5Y_Quote</v>
      </c>
      <c r="P13" s="15" t="e">
        <v>#NUM!</v>
      </c>
      <c r="Q13" s="95" t="e">
        <f>_xll.qlSimpleQuoteSetValue($O13,$P13/100,Trigger)</f>
        <v>#NUM!</v>
      </c>
      <c r="R13" s="10"/>
      <c r="X13" s="223" t="e">
        <f t="shared" si="1"/>
        <v>#VALUE!</v>
      </c>
    </row>
    <row r="14" spans="1:24" x14ac:dyDescent="0.2">
      <c r="A14" s="9"/>
      <c r="B14" s="226" t="s">
        <v>44</v>
      </c>
      <c r="C14" s="43" t="str">
        <v>AM</v>
      </c>
      <c r="D14" s="43" t="str">
        <v>6H</v>
      </c>
      <c r="E14" s="26" t="str">
        <f t="shared" si="0"/>
        <v>HKDAM6H6Y</v>
      </c>
      <c r="F14" s="26" t="str">
        <v>HKDAM6H6Y=</v>
      </c>
      <c r="G14" s="53" t="s">
        <v>171</v>
      </c>
      <c r="H14" s="53" t="s">
        <v>171</v>
      </c>
      <c r="I14" s="53" t="s">
        <v>171</v>
      </c>
      <c r="J14" s="53" t="s">
        <v>171</v>
      </c>
      <c r="K14" s="231" t="e">
        <f>_xll.qlMidEquivalent($G14,$H14,$I14,$J14)</f>
        <v>#NUM!</v>
      </c>
      <c r="L14" s="6"/>
      <c r="M14" s="85" t="e">
        <v>#NUM!</v>
      </c>
      <c r="N14" s="6"/>
      <c r="O14" s="94" t="str">
        <f t="shared" si="2"/>
        <v>HKDAM6H6Y_Quote</v>
      </c>
      <c r="P14" s="15" t="e">
        <v>#NUM!</v>
      </c>
      <c r="Q14" s="95" t="e">
        <f>_xll.qlSimpleQuoteSetValue($O14,$P14/100,Trigger)</f>
        <v>#NUM!</v>
      </c>
      <c r="R14" s="10"/>
      <c r="X14" s="223" t="e">
        <f t="shared" si="1"/>
        <v>#VALUE!</v>
      </c>
    </row>
    <row r="15" spans="1:24" x14ac:dyDescent="0.2">
      <c r="A15" s="9"/>
      <c r="B15" s="226" t="s">
        <v>45</v>
      </c>
      <c r="C15" s="43" t="str">
        <v>AM</v>
      </c>
      <c r="D15" s="43" t="str">
        <v>6H</v>
      </c>
      <c r="E15" s="26" t="str">
        <f t="shared" si="0"/>
        <v>HKDAM6H7Y</v>
      </c>
      <c r="F15" s="26" t="str">
        <v>HKDAM6H7Y=</v>
      </c>
      <c r="G15" s="53" t="s">
        <v>171</v>
      </c>
      <c r="H15" s="53" t="s">
        <v>171</v>
      </c>
      <c r="I15" s="53" t="s">
        <v>171</v>
      </c>
      <c r="J15" s="53" t="s">
        <v>171</v>
      </c>
      <c r="K15" s="231" t="e">
        <f>_xll.qlMidEquivalent($G15,$H15,$I15,$J15)</f>
        <v>#NUM!</v>
      </c>
      <c r="L15" s="6"/>
      <c r="M15" s="85" t="e">
        <v>#NUM!</v>
      </c>
      <c r="N15" s="6"/>
      <c r="O15" s="94" t="str">
        <f t="shared" si="2"/>
        <v>HKDAM6H7Y_Quote</v>
      </c>
      <c r="P15" s="15" t="e">
        <v>#NUM!</v>
      </c>
      <c r="Q15" s="95" t="e">
        <f>_xll.qlSimpleQuoteSetValue($O15,$P15/100,Trigger)</f>
        <v>#NUM!</v>
      </c>
      <c r="R15" s="10"/>
      <c r="X15" s="223" t="e">
        <f t="shared" si="1"/>
        <v>#VALUE!</v>
      </c>
    </row>
    <row r="16" spans="1:24" x14ac:dyDescent="0.2">
      <c r="A16" s="9"/>
      <c r="B16" s="226" t="s">
        <v>46</v>
      </c>
      <c r="C16" s="43" t="str">
        <v>AM</v>
      </c>
      <c r="D16" s="43" t="str">
        <v>6H</v>
      </c>
      <c r="E16" s="26" t="str">
        <f t="shared" si="0"/>
        <v>HKDAM6H8Y</v>
      </c>
      <c r="F16" s="26" t="str">
        <v>HKDAM6H8Y=</v>
      </c>
      <c r="G16" s="53" t="s">
        <v>171</v>
      </c>
      <c r="H16" s="53" t="s">
        <v>171</v>
      </c>
      <c r="I16" s="53" t="s">
        <v>171</v>
      </c>
      <c r="J16" s="53" t="s">
        <v>171</v>
      </c>
      <c r="K16" s="231" t="e">
        <f>_xll.qlMidEquivalent($G16,$H16,$I16,$J16)</f>
        <v>#NUM!</v>
      </c>
      <c r="L16" s="6"/>
      <c r="M16" s="85" t="e">
        <v>#NUM!</v>
      </c>
      <c r="N16" s="6"/>
      <c r="O16" s="94" t="str">
        <f t="shared" si="2"/>
        <v>HKDAM6H8Y_Quote</v>
      </c>
      <c r="P16" s="15" t="e">
        <v>#NUM!</v>
      </c>
      <c r="Q16" s="95" t="e">
        <f>_xll.qlSimpleQuoteSetValue($O16,$P16/100,Trigger)</f>
        <v>#NUM!</v>
      </c>
      <c r="R16" s="10"/>
      <c r="X16" s="223" t="e">
        <f t="shared" si="1"/>
        <v>#VALUE!</v>
      </c>
    </row>
    <row r="17" spans="1:24" x14ac:dyDescent="0.2">
      <c r="A17" s="9"/>
      <c r="B17" s="226" t="s">
        <v>47</v>
      </c>
      <c r="C17" s="43" t="str">
        <v>AM</v>
      </c>
      <c r="D17" s="43" t="str">
        <v>6H</v>
      </c>
      <c r="E17" s="26" t="str">
        <f t="shared" si="0"/>
        <v>HKDAM6H9Y</v>
      </c>
      <c r="F17" s="26" t="str">
        <v>HKDAM6H9Y=</v>
      </c>
      <c r="G17" s="53" t="s">
        <v>171</v>
      </c>
      <c r="H17" s="53" t="s">
        <v>171</v>
      </c>
      <c r="I17" s="53" t="s">
        <v>171</v>
      </c>
      <c r="J17" s="53" t="s">
        <v>171</v>
      </c>
      <c r="K17" s="231" t="e">
        <f>_xll.qlMidEquivalent($G17,$H17,$I17,$J17)</f>
        <v>#NUM!</v>
      </c>
      <c r="L17" s="6"/>
      <c r="M17" s="85" t="e">
        <v>#NUM!</v>
      </c>
      <c r="N17" s="6"/>
      <c r="O17" s="94" t="str">
        <f t="shared" si="2"/>
        <v>HKDAM6H9Y_Quote</v>
      </c>
      <c r="P17" s="15" t="e">
        <v>#NUM!</v>
      </c>
      <c r="Q17" s="95" t="e">
        <f>_xll.qlSimpleQuoteSetValue($O17,$P17/100,Trigger)</f>
        <v>#NUM!</v>
      </c>
      <c r="R17" s="10"/>
      <c r="X17" s="223" t="e">
        <f t="shared" si="1"/>
        <v>#VALUE!</v>
      </c>
    </row>
    <row r="18" spans="1:24" x14ac:dyDescent="0.2">
      <c r="A18" s="9"/>
      <c r="B18" s="226" t="s">
        <v>48</v>
      </c>
      <c r="C18" s="43" t="str">
        <v>AM</v>
      </c>
      <c r="D18" s="43" t="str">
        <v>6H</v>
      </c>
      <c r="E18" s="26" t="str">
        <f t="shared" si="0"/>
        <v>HKDAM6H10Y</v>
      </c>
      <c r="F18" s="26" t="str">
        <v>HKDAM6H10Y=</v>
      </c>
      <c r="G18" s="53" t="s">
        <v>171</v>
      </c>
      <c r="H18" s="53" t="s">
        <v>171</v>
      </c>
      <c r="I18" s="53" t="s">
        <v>171</v>
      </c>
      <c r="J18" s="53" t="s">
        <v>171</v>
      </c>
      <c r="K18" s="231" t="e">
        <f>_xll.qlMidEquivalent($G18,$H18,$I18,$J18)</f>
        <v>#NUM!</v>
      </c>
      <c r="L18" s="6"/>
      <c r="M18" s="85" t="e">
        <v>#NUM!</v>
      </c>
      <c r="N18" s="6"/>
      <c r="O18" s="94" t="str">
        <f t="shared" si="2"/>
        <v>HKDAM6H10Y_Quote</v>
      </c>
      <c r="P18" s="15" t="e">
        <v>#NUM!</v>
      </c>
      <c r="Q18" s="95" t="e">
        <f>_xll.qlSimpleQuoteSetValue($O18,$P18/100,Trigger)</f>
        <v>#NUM!</v>
      </c>
      <c r="R18" s="10"/>
      <c r="X18" s="223" t="e">
        <f t="shared" si="1"/>
        <v>#VALUE!</v>
      </c>
    </row>
    <row r="19" spans="1:24" x14ac:dyDescent="0.2">
      <c r="A19" s="9"/>
      <c r="B19" s="226" t="s">
        <v>49</v>
      </c>
      <c r="C19" s="43" t="str">
        <v>AM</v>
      </c>
      <c r="D19" s="43" t="str">
        <v>6H</v>
      </c>
      <c r="E19" s="26" t="str">
        <f t="shared" si="0"/>
        <v>HKDAM6H11Y</v>
      </c>
      <c r="F19" s="26" t="str">
        <v>HKDAM6H11Y=</v>
      </c>
      <c r="G19" s="53" t="s">
        <v>171</v>
      </c>
      <c r="H19" s="53" t="s">
        <v>171</v>
      </c>
      <c r="I19" s="53" t="s">
        <v>171</v>
      </c>
      <c r="J19" s="53" t="s">
        <v>171</v>
      </c>
      <c r="K19" s="231" t="e">
        <f>_xll.qlMidEquivalent($G19,$H19,$I19,$J19)</f>
        <v>#NUM!</v>
      </c>
      <c r="L19" s="6"/>
      <c r="M19" s="85" t="e">
        <v>#NUM!</v>
      </c>
      <c r="N19" s="6"/>
      <c r="O19" s="94" t="str">
        <f t="shared" si="2"/>
        <v>HKDAM6H11Y_Quote</v>
      </c>
      <c r="P19" s="15" t="e">
        <v>#NUM!</v>
      </c>
      <c r="Q19" s="95" t="e">
        <f>_xll.qlSimpleQuoteSetValue($O19,$P19/100,Trigger)</f>
        <v>#NUM!</v>
      </c>
      <c r="R19" s="10"/>
      <c r="X19" s="223" t="e">
        <f t="shared" si="1"/>
        <v>#VALUE!</v>
      </c>
    </row>
    <row r="20" spans="1:24" x14ac:dyDescent="0.2">
      <c r="A20" s="9"/>
      <c r="B20" s="226" t="s">
        <v>50</v>
      </c>
      <c r="C20" s="43" t="str">
        <v>AM</v>
      </c>
      <c r="D20" s="43" t="str">
        <v>6H</v>
      </c>
      <c r="E20" s="26" t="str">
        <f t="shared" si="0"/>
        <v>HKDAM6H12Y</v>
      </c>
      <c r="F20" s="26" t="str">
        <v>HKDAM6H12Y=</v>
      </c>
      <c r="G20" s="53" t="s">
        <v>171</v>
      </c>
      <c r="H20" s="53" t="s">
        <v>171</v>
      </c>
      <c r="I20" s="53" t="s">
        <v>171</v>
      </c>
      <c r="J20" s="53" t="s">
        <v>171</v>
      </c>
      <c r="K20" s="231" t="e">
        <f>_xll.qlMidEquivalent($G20,$H20,$I20,$J20)</f>
        <v>#NUM!</v>
      </c>
      <c r="L20" s="6"/>
      <c r="M20" s="85" t="e">
        <v>#NUM!</v>
      </c>
      <c r="N20" s="6"/>
      <c r="O20" s="94" t="str">
        <f t="shared" si="2"/>
        <v>HKDAM6H12Y_Quote</v>
      </c>
      <c r="P20" s="15" t="e">
        <v>#NUM!</v>
      </c>
      <c r="Q20" s="95" t="e">
        <f>_xll.qlSimpleQuoteSetValue($O20,$P20/100,Trigger)</f>
        <v>#NUM!</v>
      </c>
      <c r="R20" s="10"/>
      <c r="X20" s="223" t="e">
        <f t="shared" si="1"/>
        <v>#VALUE!</v>
      </c>
    </row>
    <row r="21" spans="1:24" x14ac:dyDescent="0.2">
      <c r="A21" s="9"/>
      <c r="B21" s="226" t="s">
        <v>51</v>
      </c>
      <c r="C21" s="43" t="str">
        <v>AM</v>
      </c>
      <c r="D21" s="43" t="str">
        <v>6H</v>
      </c>
      <c r="E21" s="26" t="str">
        <f t="shared" si="0"/>
        <v>HKDAM6H13Y</v>
      </c>
      <c r="F21" s="26" t="str">
        <v>HKDAM6H13Y=</v>
      </c>
      <c r="G21" s="53" t="s">
        <v>171</v>
      </c>
      <c r="H21" s="53" t="s">
        <v>171</v>
      </c>
      <c r="I21" s="53" t="s">
        <v>171</v>
      </c>
      <c r="J21" s="53" t="s">
        <v>171</v>
      </c>
      <c r="K21" s="231" t="e">
        <f>_xll.qlMidEquivalent($G21,$H21,$I21,$J21)</f>
        <v>#NUM!</v>
      </c>
      <c r="L21" s="6"/>
      <c r="M21" s="85" t="e">
        <v>#NUM!</v>
      </c>
      <c r="N21" s="6"/>
      <c r="O21" s="94" t="str">
        <f t="shared" si="2"/>
        <v>HKDAM6H13Y_Quote</v>
      </c>
      <c r="P21" s="15" t="e">
        <v>#NUM!</v>
      </c>
      <c r="Q21" s="95" t="e">
        <f>_xll.qlSimpleQuoteSetValue($O21,$P21/100,Trigger)</f>
        <v>#NUM!</v>
      </c>
      <c r="R21" s="10"/>
      <c r="X21" s="223" t="e">
        <f t="shared" si="1"/>
        <v>#VALUE!</v>
      </c>
    </row>
    <row r="22" spans="1:24" x14ac:dyDescent="0.2">
      <c r="A22" s="9"/>
      <c r="B22" s="226" t="s">
        <v>52</v>
      </c>
      <c r="C22" s="43" t="str">
        <v>AM</v>
      </c>
      <c r="D22" s="43" t="str">
        <v>6H</v>
      </c>
      <c r="E22" s="26" t="str">
        <f t="shared" si="0"/>
        <v>HKDAM6H14Y</v>
      </c>
      <c r="F22" s="26" t="str">
        <v>HKDAM6H14Y=</v>
      </c>
      <c r="G22" s="53" t="s">
        <v>171</v>
      </c>
      <c r="H22" s="53" t="s">
        <v>171</v>
      </c>
      <c r="I22" s="53" t="s">
        <v>171</v>
      </c>
      <c r="J22" s="53" t="s">
        <v>171</v>
      </c>
      <c r="K22" s="231" t="e">
        <f>_xll.qlMidEquivalent($G22,$H22,$I22,$J22)</f>
        <v>#NUM!</v>
      </c>
      <c r="L22" s="6"/>
      <c r="M22" s="85" t="e">
        <v>#NUM!</v>
      </c>
      <c r="N22" s="6"/>
      <c r="O22" s="94" t="str">
        <f t="shared" si="2"/>
        <v>HKDAM6H14Y_Quote</v>
      </c>
      <c r="P22" s="15" t="e">
        <v>#NUM!</v>
      </c>
      <c r="Q22" s="95" t="e">
        <f>_xll.qlSimpleQuoteSetValue($O22,$P22/100,Trigger)</f>
        <v>#NUM!</v>
      </c>
      <c r="R22" s="10"/>
      <c r="X22" s="223" t="e">
        <f t="shared" si="1"/>
        <v>#VALUE!</v>
      </c>
    </row>
    <row r="23" spans="1:24" x14ac:dyDescent="0.2">
      <c r="A23" s="9"/>
      <c r="B23" s="226" t="s">
        <v>53</v>
      </c>
      <c r="C23" s="43" t="str">
        <v>AM</v>
      </c>
      <c r="D23" s="43" t="str">
        <v>6H</v>
      </c>
      <c r="E23" s="26" t="str">
        <f t="shared" si="0"/>
        <v>HKDAM6H15Y</v>
      </c>
      <c r="F23" s="26" t="str">
        <v>HKDAM6H15Y=</v>
      </c>
      <c r="G23" s="53" t="s">
        <v>171</v>
      </c>
      <c r="H23" s="53" t="s">
        <v>171</v>
      </c>
      <c r="I23" s="53" t="s">
        <v>171</v>
      </c>
      <c r="J23" s="53" t="s">
        <v>171</v>
      </c>
      <c r="K23" s="231" t="e">
        <f>_xll.qlMidEquivalent($G23,$H23,$I23,$J23)</f>
        <v>#NUM!</v>
      </c>
      <c r="L23" s="6"/>
      <c r="M23" s="85" t="e">
        <v>#NUM!</v>
      </c>
      <c r="N23" s="6"/>
      <c r="O23" s="94" t="str">
        <f t="shared" si="2"/>
        <v>HKDAM6H15Y_Quote</v>
      </c>
      <c r="P23" s="15" t="e">
        <v>#NUM!</v>
      </c>
      <c r="Q23" s="95" t="e">
        <f>_xll.qlSimpleQuoteSetValue($O23,$P23/100,Trigger)</f>
        <v>#NUM!</v>
      </c>
      <c r="R23" s="10"/>
      <c r="X23" s="223" t="e">
        <f t="shared" si="1"/>
        <v>#VALUE!</v>
      </c>
    </row>
    <row r="24" spans="1:24" x14ac:dyDescent="0.2">
      <c r="A24" s="9"/>
      <c r="B24" s="226" t="s">
        <v>54</v>
      </c>
      <c r="C24" s="43" t="str">
        <v>AM</v>
      </c>
      <c r="D24" s="43" t="str">
        <v>6H</v>
      </c>
      <c r="E24" s="26" t="str">
        <f t="shared" si="0"/>
        <v>HKDAM6H16Y</v>
      </c>
      <c r="F24" s="26" t="str">
        <v>HKDAM6H16Y=</v>
      </c>
      <c r="G24" s="53" t="s">
        <v>171</v>
      </c>
      <c r="H24" s="53" t="s">
        <v>171</v>
      </c>
      <c r="I24" s="53" t="s">
        <v>171</v>
      </c>
      <c r="J24" s="53" t="s">
        <v>171</v>
      </c>
      <c r="K24" s="231" t="e">
        <f>_xll.qlMidEquivalent($G24,$H24,$I24,$J24)</f>
        <v>#NUM!</v>
      </c>
      <c r="L24" s="6"/>
      <c r="M24" s="85" t="e">
        <v>#NUM!</v>
      </c>
      <c r="N24" s="6"/>
      <c r="O24" s="94" t="str">
        <f t="shared" si="2"/>
        <v>HKDAM6H16Y_Quote</v>
      </c>
      <c r="P24" s="15" t="e">
        <v>#NUM!</v>
      </c>
      <c r="Q24" s="95" t="e">
        <f>_xll.qlSimpleQuoteSetValue($O24,$P24/100,Trigger)</f>
        <v>#NUM!</v>
      </c>
      <c r="R24" s="10"/>
      <c r="X24" s="223" t="e">
        <f t="shared" si="1"/>
        <v>#VALUE!</v>
      </c>
    </row>
    <row r="25" spans="1:24" x14ac:dyDescent="0.2">
      <c r="A25" s="9"/>
      <c r="B25" s="226" t="s">
        <v>55</v>
      </c>
      <c r="C25" s="43" t="str">
        <v>AM</v>
      </c>
      <c r="D25" s="43" t="str">
        <v>6H</v>
      </c>
      <c r="E25" s="26" t="str">
        <f t="shared" si="0"/>
        <v>HKDAM6H17Y</v>
      </c>
      <c r="F25" s="26" t="str">
        <v>HKDAM6H17Y=</v>
      </c>
      <c r="G25" s="53" t="s">
        <v>171</v>
      </c>
      <c r="H25" s="53" t="s">
        <v>171</v>
      </c>
      <c r="I25" s="53" t="s">
        <v>171</v>
      </c>
      <c r="J25" s="53" t="s">
        <v>171</v>
      </c>
      <c r="K25" s="231" t="e">
        <f>_xll.qlMidEquivalent($G25,$H25,$I25,$J25)</f>
        <v>#NUM!</v>
      </c>
      <c r="L25" s="6"/>
      <c r="M25" s="85" t="e">
        <v>#NUM!</v>
      </c>
      <c r="N25" s="6"/>
      <c r="O25" s="94" t="str">
        <f t="shared" si="2"/>
        <v>HKDAM6H17Y_Quote</v>
      </c>
      <c r="P25" s="15" t="e">
        <v>#NUM!</v>
      </c>
      <c r="Q25" s="95" t="e">
        <f>_xll.qlSimpleQuoteSetValue($O25,$P25/100,Trigger)</f>
        <v>#NUM!</v>
      </c>
      <c r="R25" s="10"/>
      <c r="X25" s="223" t="e">
        <f t="shared" si="1"/>
        <v>#VALUE!</v>
      </c>
    </row>
    <row r="26" spans="1:24" x14ac:dyDescent="0.2">
      <c r="A26" s="9"/>
      <c r="B26" s="226" t="s">
        <v>56</v>
      </c>
      <c r="C26" s="43" t="str">
        <v>AM</v>
      </c>
      <c r="D26" s="43" t="str">
        <v>6H</v>
      </c>
      <c r="E26" s="26" t="str">
        <f t="shared" si="0"/>
        <v>HKDAM6H18Y</v>
      </c>
      <c r="F26" s="26" t="str">
        <v>HKDAM6H18Y=</v>
      </c>
      <c r="G26" s="53" t="s">
        <v>171</v>
      </c>
      <c r="H26" s="53" t="s">
        <v>171</v>
      </c>
      <c r="I26" s="53" t="s">
        <v>171</v>
      </c>
      <c r="J26" s="53" t="s">
        <v>171</v>
      </c>
      <c r="K26" s="231" t="e">
        <f>_xll.qlMidEquivalent($G26,$H26,$I26,$J26)</f>
        <v>#NUM!</v>
      </c>
      <c r="L26" s="6"/>
      <c r="M26" s="85" t="e">
        <v>#NUM!</v>
      </c>
      <c r="N26" s="6"/>
      <c r="O26" s="94" t="str">
        <f t="shared" si="2"/>
        <v>HKDAM6H18Y_Quote</v>
      </c>
      <c r="P26" s="15" t="e">
        <v>#NUM!</v>
      </c>
      <c r="Q26" s="95" t="e">
        <f>_xll.qlSimpleQuoteSetValue($O26,$P26/100,Trigger)</f>
        <v>#NUM!</v>
      </c>
      <c r="R26" s="10"/>
      <c r="X26" s="223" t="e">
        <f t="shared" si="1"/>
        <v>#VALUE!</v>
      </c>
    </row>
    <row r="27" spans="1:24" x14ac:dyDescent="0.2">
      <c r="A27" s="9"/>
      <c r="B27" s="226" t="s">
        <v>57</v>
      </c>
      <c r="C27" s="43" t="str">
        <v>AM</v>
      </c>
      <c r="D27" s="43" t="str">
        <v>6H</v>
      </c>
      <c r="E27" s="26" t="str">
        <f t="shared" si="0"/>
        <v>HKDAM6H19Y</v>
      </c>
      <c r="F27" s="26" t="str">
        <v>HKDAM6H19Y=</v>
      </c>
      <c r="G27" s="53" t="s">
        <v>171</v>
      </c>
      <c r="H27" s="53" t="s">
        <v>171</v>
      </c>
      <c r="I27" s="53" t="s">
        <v>171</v>
      </c>
      <c r="J27" s="53" t="s">
        <v>171</v>
      </c>
      <c r="K27" s="231" t="e">
        <f>_xll.qlMidEquivalent($G27,$H27,$I27,$J27)</f>
        <v>#NUM!</v>
      </c>
      <c r="L27" s="6"/>
      <c r="M27" s="85" t="e">
        <v>#NUM!</v>
      </c>
      <c r="N27" s="6"/>
      <c r="O27" s="94" t="str">
        <f t="shared" si="2"/>
        <v>HKDAM6H19Y_Quote</v>
      </c>
      <c r="P27" s="15" t="e">
        <v>#NUM!</v>
      </c>
      <c r="Q27" s="95" t="e">
        <f>_xll.qlSimpleQuoteSetValue($O27,$P27/100,Trigger)</f>
        <v>#NUM!</v>
      </c>
      <c r="R27" s="10"/>
      <c r="X27" s="223" t="e">
        <f t="shared" si="1"/>
        <v>#VALUE!</v>
      </c>
    </row>
    <row r="28" spans="1:24" x14ac:dyDescent="0.2">
      <c r="A28" s="9"/>
      <c r="B28" s="226" t="s">
        <v>58</v>
      </c>
      <c r="C28" s="43" t="str">
        <v>AM</v>
      </c>
      <c r="D28" s="43" t="str">
        <v>6H</v>
      </c>
      <c r="E28" s="26" t="str">
        <f t="shared" si="0"/>
        <v>HKDAM6H20Y</v>
      </c>
      <c r="F28" s="26" t="str">
        <v>HKDAM6H20Y=</v>
      </c>
      <c r="G28" s="53" t="s">
        <v>171</v>
      </c>
      <c r="H28" s="53" t="s">
        <v>171</v>
      </c>
      <c r="I28" s="53" t="s">
        <v>171</v>
      </c>
      <c r="J28" s="53" t="s">
        <v>171</v>
      </c>
      <c r="K28" s="231" t="e">
        <f>_xll.qlMidEquivalent($G28,$H28,$I28,$J28)</f>
        <v>#NUM!</v>
      </c>
      <c r="L28" s="6"/>
      <c r="M28" s="85" t="e">
        <v>#NUM!</v>
      </c>
      <c r="N28" s="6"/>
      <c r="O28" s="94" t="str">
        <f t="shared" si="2"/>
        <v>HKDAM6H20Y_Quote</v>
      </c>
      <c r="P28" s="15" t="e">
        <v>#NUM!</v>
      </c>
      <c r="Q28" s="95" t="e">
        <f>_xll.qlSimpleQuoteSetValue($O28,$P28/100,Trigger)</f>
        <v>#NUM!</v>
      </c>
      <c r="R28" s="10"/>
      <c r="X28" s="223" t="e">
        <f t="shared" si="1"/>
        <v>#VALUE!</v>
      </c>
    </row>
    <row r="29" spans="1:24" x14ac:dyDescent="0.2">
      <c r="A29" s="9"/>
      <c r="B29" s="226" t="s">
        <v>59</v>
      </c>
      <c r="C29" s="43" t="str">
        <v>AM</v>
      </c>
      <c r="D29" s="43" t="str">
        <v>6H</v>
      </c>
      <c r="E29" s="26" t="str">
        <f t="shared" si="0"/>
        <v>HKDAM6H21Y</v>
      </c>
      <c r="F29" s="26" t="str">
        <v>HKDAM6H21Y=</v>
      </c>
      <c r="G29" s="53" t="s">
        <v>171</v>
      </c>
      <c r="H29" s="53" t="s">
        <v>171</v>
      </c>
      <c r="I29" s="53" t="s">
        <v>171</v>
      </c>
      <c r="J29" s="53" t="s">
        <v>171</v>
      </c>
      <c r="K29" s="231" t="e">
        <f>_xll.qlMidEquivalent($G29,$H29,$I29,$J29)</f>
        <v>#NUM!</v>
      </c>
      <c r="L29" s="6"/>
      <c r="M29" s="85" t="e">
        <v>#NUM!</v>
      </c>
      <c r="N29" s="6"/>
      <c r="O29" s="94" t="str">
        <f t="shared" si="2"/>
        <v>HKDAM6H21Y_Quote</v>
      </c>
      <c r="P29" s="15" t="e">
        <v>#NUM!</v>
      </c>
      <c r="Q29" s="95" t="e">
        <f>_xll.qlSimpleQuoteSetValue($O29,$P29/100,Trigger)</f>
        <v>#NUM!</v>
      </c>
      <c r="R29" s="10"/>
      <c r="X29" s="223" t="e">
        <f t="shared" si="1"/>
        <v>#VALUE!</v>
      </c>
    </row>
    <row r="30" spans="1:24" x14ac:dyDescent="0.2">
      <c r="A30" s="9"/>
      <c r="B30" s="226" t="s">
        <v>60</v>
      </c>
      <c r="C30" s="43" t="str">
        <v>AM</v>
      </c>
      <c r="D30" s="43" t="str">
        <v>6H</v>
      </c>
      <c r="E30" s="26" t="str">
        <f t="shared" si="0"/>
        <v>HKDAM6H22Y</v>
      </c>
      <c r="F30" s="26" t="str">
        <v>HKDAM6H22Y=</v>
      </c>
      <c r="G30" s="53" t="s">
        <v>171</v>
      </c>
      <c r="H30" s="53" t="s">
        <v>171</v>
      </c>
      <c r="I30" s="53" t="s">
        <v>171</v>
      </c>
      <c r="J30" s="53" t="s">
        <v>171</v>
      </c>
      <c r="K30" s="231" t="e">
        <f>_xll.qlMidEquivalent($G30,$H30,$I30,$J30)</f>
        <v>#NUM!</v>
      </c>
      <c r="L30" s="6"/>
      <c r="M30" s="85" t="e">
        <v>#NUM!</v>
      </c>
      <c r="N30" s="6"/>
      <c r="O30" s="94" t="str">
        <f t="shared" si="2"/>
        <v>HKDAM6H22Y_Quote</v>
      </c>
      <c r="P30" s="15" t="e">
        <v>#NUM!</v>
      </c>
      <c r="Q30" s="95" t="e">
        <f>_xll.qlSimpleQuoteSetValue($O30,$P30/100,Trigger)</f>
        <v>#NUM!</v>
      </c>
      <c r="R30" s="10"/>
      <c r="X30" s="223" t="e">
        <f t="shared" si="1"/>
        <v>#VALUE!</v>
      </c>
    </row>
    <row r="31" spans="1:24" x14ac:dyDescent="0.2">
      <c r="A31" s="9"/>
      <c r="B31" s="226" t="s">
        <v>61</v>
      </c>
      <c r="C31" s="43" t="str">
        <v>AM</v>
      </c>
      <c r="D31" s="43" t="str">
        <v>6H</v>
      </c>
      <c r="E31" s="26" t="str">
        <f t="shared" si="0"/>
        <v>HKDAM6H23Y</v>
      </c>
      <c r="F31" s="26" t="str">
        <v>HKDAM6H23Y=</v>
      </c>
      <c r="G31" s="53" t="s">
        <v>171</v>
      </c>
      <c r="H31" s="53" t="s">
        <v>171</v>
      </c>
      <c r="I31" s="53" t="s">
        <v>171</v>
      </c>
      <c r="J31" s="53" t="s">
        <v>171</v>
      </c>
      <c r="K31" s="231" t="e">
        <f>_xll.qlMidEquivalent($G31,$H31,$I31,$J31)</f>
        <v>#NUM!</v>
      </c>
      <c r="L31" s="6"/>
      <c r="M31" s="85" t="e">
        <v>#NUM!</v>
      </c>
      <c r="N31" s="6"/>
      <c r="O31" s="94" t="str">
        <f t="shared" si="2"/>
        <v>HKDAM6H23Y_Quote</v>
      </c>
      <c r="P31" s="15" t="e">
        <v>#NUM!</v>
      </c>
      <c r="Q31" s="95" t="e">
        <f>_xll.qlSimpleQuoteSetValue($O31,$P31/100,Trigger)</f>
        <v>#NUM!</v>
      </c>
      <c r="R31" s="10"/>
      <c r="X31" s="223" t="e">
        <f t="shared" si="1"/>
        <v>#VALUE!</v>
      </c>
    </row>
    <row r="32" spans="1:24" x14ac:dyDescent="0.2">
      <c r="A32" s="9"/>
      <c r="B32" s="226" t="s">
        <v>62</v>
      </c>
      <c r="C32" s="43" t="str">
        <v>AM</v>
      </c>
      <c r="D32" s="43" t="str">
        <v>6H</v>
      </c>
      <c r="E32" s="26" t="str">
        <f t="shared" si="0"/>
        <v>HKDAM6H24Y</v>
      </c>
      <c r="F32" s="26" t="str">
        <v>HKDAM6H24Y=</v>
      </c>
      <c r="G32" s="53" t="s">
        <v>171</v>
      </c>
      <c r="H32" s="53" t="s">
        <v>171</v>
      </c>
      <c r="I32" s="53" t="s">
        <v>171</v>
      </c>
      <c r="J32" s="53" t="s">
        <v>171</v>
      </c>
      <c r="K32" s="231" t="e">
        <f>_xll.qlMidEquivalent($G32,$H32,$I32,$J32)</f>
        <v>#NUM!</v>
      </c>
      <c r="L32" s="6"/>
      <c r="M32" s="85" t="e">
        <v>#NUM!</v>
      </c>
      <c r="N32" s="6"/>
      <c r="O32" s="94" t="str">
        <f t="shared" si="2"/>
        <v>HKDAM6H24Y_Quote</v>
      </c>
      <c r="P32" s="15" t="e">
        <v>#NUM!</v>
      </c>
      <c r="Q32" s="95" t="e">
        <f>_xll.qlSimpleQuoteSetValue($O32,$P32/100,Trigger)</f>
        <v>#NUM!</v>
      </c>
      <c r="R32" s="10"/>
      <c r="X32" s="223" t="e">
        <f t="shared" si="1"/>
        <v>#VALUE!</v>
      </c>
    </row>
    <row r="33" spans="1:24" x14ac:dyDescent="0.2">
      <c r="A33" s="9"/>
      <c r="B33" s="226" t="s">
        <v>63</v>
      </c>
      <c r="C33" s="43" t="str">
        <v>AM</v>
      </c>
      <c r="D33" s="43" t="str">
        <v>6H</v>
      </c>
      <c r="E33" s="26" t="str">
        <f t="shared" si="0"/>
        <v>HKDAM6H25Y</v>
      </c>
      <c r="F33" s="26" t="str">
        <v>HKDAM6H25Y=</v>
      </c>
      <c r="G33" s="53" t="s">
        <v>171</v>
      </c>
      <c r="H33" s="53" t="s">
        <v>171</v>
      </c>
      <c r="I33" s="53" t="s">
        <v>171</v>
      </c>
      <c r="J33" s="53" t="s">
        <v>171</v>
      </c>
      <c r="K33" s="231" t="e">
        <f>_xll.qlMidEquivalent($G33,$H33,$I33,$J33)</f>
        <v>#NUM!</v>
      </c>
      <c r="L33" s="6"/>
      <c r="M33" s="85" t="e">
        <v>#NUM!</v>
      </c>
      <c r="N33" s="6"/>
      <c r="O33" s="94" t="str">
        <f t="shared" si="2"/>
        <v>HKDAM6H25Y_Quote</v>
      </c>
      <c r="P33" s="15" t="e">
        <v>#NUM!</v>
      </c>
      <c r="Q33" s="95" t="e">
        <f>_xll.qlSimpleQuoteSetValue($O33,$P33/100,Trigger)</f>
        <v>#NUM!</v>
      </c>
      <c r="R33" s="10"/>
      <c r="X33" s="223" t="e">
        <f t="shared" si="1"/>
        <v>#VALUE!</v>
      </c>
    </row>
    <row r="34" spans="1:24" x14ac:dyDescent="0.2">
      <c r="A34" s="9"/>
      <c r="B34" s="226" t="s">
        <v>64</v>
      </c>
      <c r="C34" s="43" t="str">
        <v>AM</v>
      </c>
      <c r="D34" s="43" t="str">
        <v>6H</v>
      </c>
      <c r="E34" s="26" t="str">
        <f t="shared" si="0"/>
        <v>HKDAM6H26Y</v>
      </c>
      <c r="F34" s="26" t="str">
        <v>HKDAM6H26Y=</v>
      </c>
      <c r="G34" s="53" t="s">
        <v>171</v>
      </c>
      <c r="H34" s="53" t="s">
        <v>171</v>
      </c>
      <c r="I34" s="53" t="s">
        <v>171</v>
      </c>
      <c r="J34" s="53" t="s">
        <v>171</v>
      </c>
      <c r="K34" s="231" t="e">
        <f>_xll.qlMidEquivalent($G34,$H34,$I34,$J34)</f>
        <v>#NUM!</v>
      </c>
      <c r="L34" s="6"/>
      <c r="M34" s="85" t="e">
        <v>#NUM!</v>
      </c>
      <c r="N34" s="6"/>
      <c r="O34" s="94" t="str">
        <f t="shared" si="2"/>
        <v>HKDAM6H26Y_Quote</v>
      </c>
      <c r="P34" s="15" t="e">
        <v>#NUM!</v>
      </c>
      <c r="Q34" s="95" t="e">
        <f>_xll.qlSimpleQuoteSetValue($O34,$P34/100,Trigger)</f>
        <v>#NUM!</v>
      </c>
      <c r="R34" s="10"/>
      <c r="X34" s="223" t="e">
        <f t="shared" si="1"/>
        <v>#VALUE!</v>
      </c>
    </row>
    <row r="35" spans="1:24" x14ac:dyDescent="0.2">
      <c r="A35" s="9"/>
      <c r="B35" s="226" t="s">
        <v>65</v>
      </c>
      <c r="C35" s="43" t="str">
        <v>AM</v>
      </c>
      <c r="D35" s="43" t="str">
        <v>6H</v>
      </c>
      <c r="E35" s="26" t="str">
        <f t="shared" si="0"/>
        <v>HKDAM6H27Y</v>
      </c>
      <c r="F35" s="26" t="str">
        <v>HKDAM6H27Y=</v>
      </c>
      <c r="G35" s="53" t="s">
        <v>171</v>
      </c>
      <c r="H35" s="53" t="s">
        <v>171</v>
      </c>
      <c r="I35" s="53" t="s">
        <v>171</v>
      </c>
      <c r="J35" s="53" t="s">
        <v>171</v>
      </c>
      <c r="K35" s="231" t="e">
        <f>_xll.qlMidEquivalent($G35,$H35,$I35,$J35)</f>
        <v>#NUM!</v>
      </c>
      <c r="L35" s="6"/>
      <c r="M35" s="85" t="e">
        <v>#NUM!</v>
      </c>
      <c r="N35" s="6"/>
      <c r="O35" s="94" t="str">
        <f t="shared" si="2"/>
        <v>HKDAM6H27Y_Quote</v>
      </c>
      <c r="P35" s="15" t="e">
        <v>#NUM!</v>
      </c>
      <c r="Q35" s="95" t="e">
        <f>_xll.qlSimpleQuoteSetValue($O35,$P35/100,Trigger)</f>
        <v>#NUM!</v>
      </c>
      <c r="R35" s="10"/>
      <c r="X35" s="223" t="e">
        <f t="shared" si="1"/>
        <v>#VALUE!</v>
      </c>
    </row>
    <row r="36" spans="1:24" x14ac:dyDescent="0.2">
      <c r="A36" s="9"/>
      <c r="B36" s="226" t="s">
        <v>66</v>
      </c>
      <c r="C36" s="43" t="str">
        <v>AM</v>
      </c>
      <c r="D36" s="43" t="str">
        <v>6H</v>
      </c>
      <c r="E36" s="26" t="str">
        <f t="shared" si="0"/>
        <v>HKDAM6H28Y</v>
      </c>
      <c r="F36" s="26" t="str">
        <v>HKDAM6H28Y=</v>
      </c>
      <c r="G36" s="53" t="s">
        <v>171</v>
      </c>
      <c r="H36" s="53" t="s">
        <v>171</v>
      </c>
      <c r="I36" s="53" t="s">
        <v>171</v>
      </c>
      <c r="J36" s="53" t="s">
        <v>171</v>
      </c>
      <c r="K36" s="231" t="e">
        <f>_xll.qlMidEquivalent($G36,$H36,$I36,$J36)</f>
        <v>#NUM!</v>
      </c>
      <c r="L36" s="6"/>
      <c r="M36" s="85" t="e">
        <v>#NUM!</v>
      </c>
      <c r="N36" s="6"/>
      <c r="O36" s="94" t="str">
        <f t="shared" si="2"/>
        <v>HKDAM6H28Y_Quote</v>
      </c>
      <c r="P36" s="15" t="e">
        <v>#NUM!</v>
      </c>
      <c r="Q36" s="95" t="e">
        <f>_xll.qlSimpleQuoteSetValue($O36,$P36/100,Trigger)</f>
        <v>#NUM!</v>
      </c>
      <c r="R36" s="10"/>
      <c r="X36" s="223" t="e">
        <f t="shared" si="1"/>
        <v>#VALUE!</v>
      </c>
    </row>
    <row r="37" spans="1:24" x14ac:dyDescent="0.2">
      <c r="A37" s="9"/>
      <c r="B37" s="226" t="s">
        <v>67</v>
      </c>
      <c r="C37" s="43" t="str">
        <v>AM</v>
      </c>
      <c r="D37" s="43" t="str">
        <v>6H</v>
      </c>
      <c r="E37" s="26" t="str">
        <f t="shared" si="0"/>
        <v>HKDAM6H29Y</v>
      </c>
      <c r="F37" s="26" t="str">
        <v>HKDAM6H29Y=</v>
      </c>
      <c r="G37" s="53" t="s">
        <v>171</v>
      </c>
      <c r="H37" s="53" t="s">
        <v>171</v>
      </c>
      <c r="I37" s="53" t="s">
        <v>171</v>
      </c>
      <c r="J37" s="53" t="s">
        <v>171</v>
      </c>
      <c r="K37" s="231" t="e">
        <f>_xll.qlMidEquivalent($G37,$H37,$I37,$J37)</f>
        <v>#NUM!</v>
      </c>
      <c r="L37" s="6"/>
      <c r="M37" s="85" t="e">
        <v>#NUM!</v>
      </c>
      <c r="N37" s="6"/>
      <c r="O37" s="94" t="str">
        <f t="shared" si="2"/>
        <v>HKDAM6H29Y_Quote</v>
      </c>
      <c r="P37" s="15" t="e">
        <v>#NUM!</v>
      </c>
      <c r="Q37" s="95" t="e">
        <f>_xll.qlSimpleQuoteSetValue($O37,$P37/100,Trigger)</f>
        <v>#NUM!</v>
      </c>
      <c r="R37" s="10"/>
      <c r="X37" s="223" t="e">
        <f t="shared" si="1"/>
        <v>#VALUE!</v>
      </c>
    </row>
    <row r="38" spans="1:24" x14ac:dyDescent="0.2">
      <c r="A38" s="9"/>
      <c r="B38" s="226" t="s">
        <v>68</v>
      </c>
      <c r="C38" s="43" t="str">
        <v>AM</v>
      </c>
      <c r="D38" s="43" t="str">
        <v>6H</v>
      </c>
      <c r="E38" s="26" t="str">
        <f t="shared" si="0"/>
        <v>HKDAM6H30Y</v>
      </c>
      <c r="F38" s="26" t="str">
        <v>HKDAM6H30Y=</v>
      </c>
      <c r="G38" s="53" t="s">
        <v>171</v>
      </c>
      <c r="H38" s="53" t="s">
        <v>171</v>
      </c>
      <c r="I38" s="53" t="s">
        <v>171</v>
      </c>
      <c r="J38" s="53" t="s">
        <v>171</v>
      </c>
      <c r="K38" s="231" t="e">
        <f>_xll.qlMidEquivalent($G38,$H38,$I38,$J38)</f>
        <v>#NUM!</v>
      </c>
      <c r="L38" s="6"/>
      <c r="M38" s="85" t="e">
        <v>#NUM!</v>
      </c>
      <c r="N38" s="6"/>
      <c r="O38" s="94" t="str">
        <f t="shared" si="2"/>
        <v>HKDAM6H30Y_Quote</v>
      </c>
      <c r="P38" s="15" t="e">
        <v>#NUM!</v>
      </c>
      <c r="Q38" s="95" t="e">
        <f>_xll.qlSimpleQuoteSetValue($O38,$P38/100,Trigger)</f>
        <v>#NUM!</v>
      </c>
      <c r="R38" s="10"/>
      <c r="X38" s="223" t="e">
        <f t="shared" si="1"/>
        <v>#VALUE!</v>
      </c>
    </row>
    <row r="39" spans="1:24" x14ac:dyDescent="0.2">
      <c r="A39" s="9"/>
      <c r="B39" s="226" t="s">
        <v>69</v>
      </c>
      <c r="C39" s="43" t="str">
        <v>AM</v>
      </c>
      <c r="D39" s="43" t="str">
        <v>6H</v>
      </c>
      <c r="E39" s="26" t="str">
        <f t="shared" si="0"/>
        <v>HKDAM6H35Y</v>
      </c>
      <c r="F39" s="26" t="str">
        <v>HKDAM6H35Y=</v>
      </c>
      <c r="G39" s="53" t="s">
        <v>171</v>
      </c>
      <c r="H39" s="53" t="s">
        <v>171</v>
      </c>
      <c r="I39" s="53" t="s">
        <v>171</v>
      </c>
      <c r="J39" s="53" t="s">
        <v>171</v>
      </c>
      <c r="K39" s="231" t="e">
        <f>_xll.qlMidEquivalent($G39,$H39,$I39,$J39)</f>
        <v>#NUM!</v>
      </c>
      <c r="L39" s="6"/>
      <c r="M39" s="85" t="e">
        <v>#NUM!</v>
      </c>
      <c r="N39" s="6"/>
      <c r="O39" s="94" t="str">
        <f t="shared" si="2"/>
        <v>HKDAM6H35Y_Quote</v>
      </c>
      <c r="P39" s="15" t="e">
        <v>#NUM!</v>
      </c>
      <c r="Q39" s="95" t="e">
        <f>_xll.qlSimpleQuoteSetValue($O39,$P39/100,Trigger)</f>
        <v>#NUM!</v>
      </c>
      <c r="R39" s="10"/>
      <c r="X39" s="223" t="e">
        <f t="shared" si="1"/>
        <v>#VALUE!</v>
      </c>
    </row>
    <row r="40" spans="1:24" x14ac:dyDescent="0.2">
      <c r="A40" s="9"/>
      <c r="B40" s="226" t="s">
        <v>70</v>
      </c>
      <c r="C40" s="43" t="str">
        <v>AM</v>
      </c>
      <c r="D40" s="43" t="str">
        <v>6H</v>
      </c>
      <c r="E40" s="26" t="str">
        <f t="shared" si="0"/>
        <v>HKDAM6H40Y</v>
      </c>
      <c r="F40" s="26" t="str">
        <v>HKDAM6H40Y=</v>
      </c>
      <c r="G40" s="53" t="s">
        <v>171</v>
      </c>
      <c r="H40" s="53" t="s">
        <v>171</v>
      </c>
      <c r="I40" s="53" t="s">
        <v>171</v>
      </c>
      <c r="J40" s="53" t="s">
        <v>171</v>
      </c>
      <c r="K40" s="231" t="e">
        <f>_xll.qlMidEquivalent($G40,$H40,$I40,$J40)</f>
        <v>#NUM!</v>
      </c>
      <c r="L40" s="6"/>
      <c r="M40" s="85" t="e">
        <v>#NUM!</v>
      </c>
      <c r="N40" s="6"/>
      <c r="O40" s="94" t="str">
        <f t="shared" si="2"/>
        <v>HKDAM6H40Y_Quote</v>
      </c>
      <c r="P40" s="15" t="e">
        <v>#NUM!</v>
      </c>
      <c r="Q40" s="95" t="e">
        <f>_xll.qlSimpleQuoteSetValue($O40,$P40/100,Trigger)</f>
        <v>#NUM!</v>
      </c>
      <c r="R40" s="10"/>
      <c r="X40" s="223" t="e">
        <f t="shared" si="1"/>
        <v>#VALUE!</v>
      </c>
    </row>
    <row r="41" spans="1:24" x14ac:dyDescent="0.2">
      <c r="A41" s="9"/>
      <c r="B41" s="226" t="s">
        <v>71</v>
      </c>
      <c r="C41" s="43" t="str">
        <v>AM</v>
      </c>
      <c r="D41" s="43" t="str">
        <v>6H</v>
      </c>
      <c r="E41" s="26" t="str">
        <f t="shared" si="0"/>
        <v>HKDAM6H50Y</v>
      </c>
      <c r="F41" s="26" t="str">
        <v>HKDAM6H50Y=</v>
      </c>
      <c r="G41" s="53" t="s">
        <v>171</v>
      </c>
      <c r="H41" s="53" t="s">
        <v>171</v>
      </c>
      <c r="I41" s="53" t="s">
        <v>171</v>
      </c>
      <c r="J41" s="53" t="s">
        <v>171</v>
      </c>
      <c r="K41" s="231" t="e">
        <f>_xll.qlMidEquivalent($G41,$H41,$I41,$J41)</f>
        <v>#NUM!</v>
      </c>
      <c r="L41" s="6"/>
      <c r="M41" s="85" t="e">
        <v>#NUM!</v>
      </c>
      <c r="N41" s="6"/>
      <c r="O41" s="94" t="str">
        <f t="shared" si="2"/>
        <v>HKDAM6H50Y_Quote</v>
      </c>
      <c r="P41" s="15" t="e">
        <v>#NUM!</v>
      </c>
      <c r="Q41" s="95" t="e">
        <f>_xll.qlSimpleQuoteSetValue($O41,$P41/100,Trigger)</f>
        <v>#NUM!</v>
      </c>
      <c r="R41" s="10"/>
      <c r="X41" s="223" t="e">
        <f t="shared" si="1"/>
        <v>#VALUE!</v>
      </c>
    </row>
    <row r="42" spans="1:24" x14ac:dyDescent="0.2">
      <c r="A42" s="9"/>
      <c r="B42" s="229" t="s">
        <v>72</v>
      </c>
      <c r="C42" s="77" t="str">
        <v>AM</v>
      </c>
      <c r="D42" s="77" t="str">
        <v>6H</v>
      </c>
      <c r="E42" s="107" t="str">
        <f t="shared" si="0"/>
        <v>HKDAM6H60Y</v>
      </c>
      <c r="F42" s="107" t="str">
        <v>HKDAM6H60Y=</v>
      </c>
      <c r="G42" s="166" t="s">
        <v>171</v>
      </c>
      <c r="H42" s="166" t="s">
        <v>171</v>
      </c>
      <c r="I42" s="166" t="s">
        <v>171</v>
      </c>
      <c r="J42" s="166" t="s">
        <v>171</v>
      </c>
      <c r="K42" s="232" t="e">
        <f>_xll.qlMidEquivalent($G42,$H42,$I42,$J42)</f>
        <v>#NUM!</v>
      </c>
      <c r="L42" s="6"/>
      <c r="M42" s="86" t="e">
        <v>#NUM!</v>
      </c>
      <c r="N42" s="6"/>
      <c r="O42" s="96" t="str">
        <f t="shared" si="2"/>
        <v>HKDAM6H60Y_Quote</v>
      </c>
      <c r="P42" s="78" t="e">
        <v>#NUM!</v>
      </c>
      <c r="Q42" s="97" t="e">
        <f>_xll.qlSimpleQuoteSetValue($O42,$P42/100,Trigger)</f>
        <v>#NUM!</v>
      </c>
      <c r="R42" s="10"/>
      <c r="X42" s="223" t="e">
        <f t="shared" si="1"/>
        <v>#VALUE!</v>
      </c>
    </row>
    <row r="43" spans="1:24" ht="12" thickBot="1" x14ac:dyDescent="0.25">
      <c r="A43" s="11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4"/>
    </row>
  </sheetData>
  <phoneticPr fontId="4" type="noConversion"/>
  <dataValidations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65"/>
  <sheetViews>
    <sheetView workbookViewId="0">
      <selection activeCell="Q3" sqref="Q3"/>
    </sheetView>
  </sheetViews>
  <sheetFormatPr defaultRowHeight="11.25" x14ac:dyDescent="0.2"/>
  <cols>
    <col min="1" max="1" width="5" style="44" customWidth="1"/>
    <col min="2" max="2" width="3.85546875" style="44" bestFit="1" customWidth="1"/>
    <col min="3" max="4" width="2.7109375" style="44" bestFit="1" customWidth="1"/>
    <col min="5" max="5" width="10.28515625" style="44" bestFit="1" customWidth="1"/>
    <col min="6" max="6" width="14.5703125" style="44" bestFit="1" customWidth="1"/>
    <col min="7" max="7" width="4.85546875" style="44" bestFit="1" customWidth="1"/>
    <col min="8" max="8" width="4.140625" style="44" bestFit="1" customWidth="1"/>
    <col min="9" max="9" width="9" style="44" bestFit="1" customWidth="1"/>
    <col min="10" max="11" width="5.7109375" style="44" bestFit="1" customWidth="1"/>
    <col min="12" max="12" width="4" style="44" customWidth="1"/>
    <col min="13" max="13" width="5.28515625" style="44" bestFit="1" customWidth="1"/>
    <col min="14" max="14" width="4.140625" style="44" customWidth="1"/>
    <col min="15" max="15" width="15.42578125" style="44" bestFit="1" customWidth="1"/>
    <col min="16" max="17" width="7.7109375" style="44" bestFit="1" customWidth="1"/>
    <col min="18" max="18" width="5" style="44" customWidth="1"/>
    <col min="19" max="19" width="5.140625" style="44" customWidth="1"/>
    <col min="20" max="20" width="9" style="44" bestFit="1" customWidth="1"/>
    <col min="21" max="21" width="4.140625" style="44" bestFit="1" customWidth="1"/>
    <col min="22" max="22" width="9.5703125" style="44" bestFit="1" customWidth="1"/>
    <col min="23" max="16384" width="9.140625" style="44"/>
  </cols>
  <sheetData>
    <row r="1" spans="1:22" x14ac:dyDescent="0.2">
      <c r="A1" s="27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4"/>
    </row>
    <row r="2" spans="1:22" x14ac:dyDescent="0.2">
      <c r="A2" s="5"/>
      <c r="B2" s="6"/>
      <c r="C2" s="6"/>
      <c r="D2" s="6"/>
      <c r="E2" s="6"/>
      <c r="F2" s="110" t="s">
        <v>5</v>
      </c>
      <c r="G2" s="6"/>
      <c r="H2" s="6"/>
      <c r="I2" s="6"/>
      <c r="J2" s="6"/>
      <c r="K2" s="7"/>
      <c r="L2" s="6"/>
      <c r="M2" s="6"/>
      <c r="N2" s="6"/>
      <c r="O2" s="109" t="s">
        <v>79</v>
      </c>
      <c r="P2" s="110" t="s">
        <v>34</v>
      </c>
      <c r="Q2" s="7"/>
      <c r="R2" s="8"/>
    </row>
    <row r="3" spans="1:22" x14ac:dyDescent="0.2">
      <c r="A3" s="9"/>
      <c r="B3" s="6"/>
      <c r="C3" s="7"/>
      <c r="D3" s="7"/>
      <c r="E3" s="7"/>
      <c r="F3" s="7" t="e">
        <f>_xll.qlInterpolation(,InterpolationType,_xll.ohFilter(A5:A42,J5:J42),_xll.ohFilter(I5:I42,J5:J42))</f>
        <v>#NUM!</v>
      </c>
      <c r="G3" s="7"/>
      <c r="H3" s="7"/>
      <c r="I3" s="7"/>
      <c r="J3" s="7"/>
      <c r="K3" s="7"/>
      <c r="L3" s="6"/>
      <c r="M3" s="6"/>
      <c r="N3" s="6"/>
      <c r="O3" s="7"/>
      <c r="P3" s="7"/>
      <c r="Q3" s="48">
        <f>_xll.ohTrigger(Q5:Q42)</f>
        <v>13</v>
      </c>
      <c r="R3" s="10"/>
    </row>
    <row r="4" spans="1:22" ht="23.25" thickBot="1" x14ac:dyDescent="0.25">
      <c r="A4" s="9"/>
      <c r="B4" s="80"/>
      <c r="C4" s="81"/>
      <c r="D4" s="81"/>
      <c r="E4" s="81"/>
      <c r="F4" s="82" t="e">
        <f ca="1">_xll.RData(F5:F42,G4:H4,,ReutersRtMode,,G5)</f>
        <v>#NAME?</v>
      </c>
      <c r="G4" s="83" t="s">
        <v>0</v>
      </c>
      <c r="H4" s="83" t="s">
        <v>1</v>
      </c>
      <c r="I4" s="83" t="s">
        <v>27</v>
      </c>
      <c r="J4" s="83"/>
      <c r="K4" s="84" t="s">
        <v>99</v>
      </c>
      <c r="L4" s="6"/>
      <c r="M4" s="87" t="s">
        <v>105</v>
      </c>
      <c r="N4" s="6"/>
      <c r="O4" s="88" t="s">
        <v>31</v>
      </c>
      <c r="P4" s="89" t="s">
        <v>17</v>
      </c>
      <c r="Q4" s="90" t="s">
        <v>24</v>
      </c>
      <c r="R4" s="10"/>
    </row>
    <row r="5" spans="1:22" x14ac:dyDescent="0.2">
      <c r="A5" s="224">
        <v>0.5</v>
      </c>
      <c r="B5" s="74" t="s">
        <v>92</v>
      </c>
      <c r="C5" s="42" t="str">
        <f t="array" ref="C5:C42">VLOOKUP(Currency,Conventions,2)</f>
        <v>1L</v>
      </c>
      <c r="D5" s="42" t="str">
        <f t="array" ref="D5:D42">VLOOKUP(Currency,Conventions,3)</f>
        <v>6L</v>
      </c>
      <c r="E5" s="43" t="str">
        <f>Currency&amp;$C5&amp;$D5&amp;$B5</f>
        <v>HKD1L6L6M</v>
      </c>
      <c r="F5" s="26" t="str">
        <f t="array" ref="F5:F42">Instruments&amp;"="&amp;VLOOKUP(Contributor,ContributorTable,2,FALSE)</f>
        <v>HKD1L6L6M=ICAP</v>
      </c>
      <c r="G5" s="52" t="s">
        <v>171</v>
      </c>
      <c r="H5" s="52" t="s">
        <v>171</v>
      </c>
      <c r="I5" s="52" t="e">
        <f>_xll.qlMidEquivalent(G5,H5)</f>
        <v>#NUM!</v>
      </c>
      <c r="J5" s="15" t="b">
        <f>IF(ISNUMBER(I5),TRUE,FALSE)</f>
        <v>0</v>
      </c>
      <c r="K5" s="250" t="e">
        <f t="array" ref="K5:K42">_xll.qlInterpolationInterpolate(F3,A5:A42)</f>
        <v>#VALUE!</v>
      </c>
      <c r="L5" s="6"/>
      <c r="M5" s="108" t="e">
        <v>#VALUE!</v>
      </c>
      <c r="N5" s="6"/>
      <c r="O5" s="94" t="str">
        <f>$E5&amp;$P$2</f>
        <v>HKD1L6L6M_Quote</v>
      </c>
      <c r="P5" s="51" t="e">
        <f t="array" ref="P5:P42">QuoteLive</f>
        <v>#VALUE!</v>
      </c>
      <c r="Q5" s="95" t="e">
        <f>_xll.qlSimpleQuoteSetValue($O5,ROUND($P5/10000,6),Trigger)</f>
        <v>#NUM!</v>
      </c>
      <c r="R5" s="10"/>
      <c r="T5" s="221" t="s">
        <v>114</v>
      </c>
      <c r="U5" s="196" t="s">
        <v>120</v>
      </c>
      <c r="V5" s="197" t="s">
        <v>119</v>
      </c>
    </row>
    <row r="6" spans="1:22" x14ac:dyDescent="0.2">
      <c r="A6" s="224">
        <v>1</v>
      </c>
      <c r="B6" s="74" t="s">
        <v>36</v>
      </c>
      <c r="C6" s="42" t="str">
        <v>1L</v>
      </c>
      <c r="D6" s="42" t="str">
        <v>6L</v>
      </c>
      <c r="E6" s="43" t="str">
        <f>Currency&amp;$C6&amp;$D6&amp;$B6</f>
        <v>HKD1L6L1Y</v>
      </c>
      <c r="F6" s="26" t="str">
        <v>HKD1L6L1Y=ICAP</v>
      </c>
      <c r="G6" s="52" t="s">
        <v>171</v>
      </c>
      <c r="H6" s="52" t="s">
        <v>171</v>
      </c>
      <c r="I6" s="52" t="e">
        <f>_xll.qlMidEquivalent(G6,H6)</f>
        <v>#NUM!</v>
      </c>
      <c r="J6" s="15" t="b">
        <f>IF(ISNUMBER(I6),TRUE,FALSE)</f>
        <v>0</v>
      </c>
      <c r="K6" s="250" t="e">
        <v>#VALUE!</v>
      </c>
      <c r="L6" s="6"/>
      <c r="M6" s="108" t="e">
        <v>#VALUE!</v>
      </c>
      <c r="N6" s="6"/>
      <c r="O6" s="94" t="str">
        <f>$E6&amp;$P$2</f>
        <v>HKD1L6L1Y_Quote</v>
      </c>
      <c r="P6" s="51" t="e">
        <v>#VALUE!</v>
      </c>
      <c r="Q6" s="95" t="e">
        <f>_xll.qlSimpleQuoteSetValue($O6,ROUND($P6/10000,6),Trigger)</f>
        <v>#NUM!</v>
      </c>
      <c r="R6" s="10"/>
      <c r="T6" s="114" t="s">
        <v>15</v>
      </c>
      <c r="U6" s="100" t="s">
        <v>98</v>
      </c>
      <c r="V6" s="101" t="s">
        <v>19</v>
      </c>
    </row>
    <row r="7" spans="1:22" x14ac:dyDescent="0.2">
      <c r="A7" s="224">
        <v>1.25</v>
      </c>
      <c r="B7" s="74" t="s">
        <v>37</v>
      </c>
      <c r="C7" s="42" t="str">
        <v>1L</v>
      </c>
      <c r="D7" s="42" t="str">
        <v>6L</v>
      </c>
      <c r="E7" s="43" t="str">
        <f>Currency&amp;$C7&amp;$D7&amp;$B7</f>
        <v>HKD1L6L15M</v>
      </c>
      <c r="F7" s="26" t="str">
        <v>HKD1L6L15M=ICAP</v>
      </c>
      <c r="G7" s="52" t="s">
        <v>171</v>
      </c>
      <c r="H7" s="52" t="s">
        <v>171</v>
      </c>
      <c r="I7" s="52" t="e">
        <f>_xll.qlMidEquivalent(G7,H7)</f>
        <v>#NUM!</v>
      </c>
      <c r="J7" s="15" t="b">
        <f>IF(ISNUMBER(I7),TRUE,FALSE)</f>
        <v>0</v>
      </c>
      <c r="K7" s="250" t="e">
        <v>#VALUE!</v>
      </c>
      <c r="L7" s="6"/>
      <c r="M7" s="108" t="e">
        <v>#VALUE!</v>
      </c>
      <c r="N7" s="6"/>
      <c r="O7" s="94" t="str">
        <f>$E7&amp;$P$2</f>
        <v>HKD1L6L15M_Quote</v>
      </c>
      <c r="P7" s="51" t="e">
        <v>#VALUE!</v>
      </c>
      <c r="Q7" s="95" t="e">
        <f>_xll.qlSimpleQuoteSetValue($O7,ROUND($P7/10000,6),Trigger)</f>
        <v>#NUM!</v>
      </c>
      <c r="R7" s="10"/>
      <c r="T7" s="114" t="s">
        <v>111</v>
      </c>
      <c r="U7" s="100" t="s">
        <v>120</v>
      </c>
      <c r="V7" s="101" t="s">
        <v>119</v>
      </c>
    </row>
    <row r="8" spans="1:22" x14ac:dyDescent="0.2">
      <c r="A8" s="224">
        <v>1.5</v>
      </c>
      <c r="B8" s="74" t="s">
        <v>38</v>
      </c>
      <c r="C8" s="42" t="str">
        <v>1L</v>
      </c>
      <c r="D8" s="42" t="str">
        <v>6L</v>
      </c>
      <c r="E8" s="43" t="str">
        <f t="shared" ref="E8:E42" si="0">Currency&amp;$C8&amp;$D8&amp;$B8</f>
        <v>HKD1L6L18M</v>
      </c>
      <c r="F8" s="26" t="str">
        <v>HKD1L6L18M=ICAP</v>
      </c>
      <c r="G8" s="52" t="s">
        <v>171</v>
      </c>
      <c r="H8" s="52" t="s">
        <v>171</v>
      </c>
      <c r="I8" s="52" t="e">
        <f>_xll.qlMidEquivalent(G8,H8)</f>
        <v>#NUM!</v>
      </c>
      <c r="J8" s="15" t="b">
        <f>IF(ISNUMBER(I8),TRUE,FALSE)</f>
        <v>0</v>
      </c>
      <c r="K8" s="250" t="e">
        <v>#VALUE!</v>
      </c>
      <c r="L8" s="6"/>
      <c r="M8" s="108" t="e">
        <v>#VALUE!</v>
      </c>
      <c r="N8" s="6"/>
      <c r="O8" s="94" t="str">
        <f t="shared" ref="O8:O42" si="1">$E8&amp;$P$2</f>
        <v>HKD1L6L18M_Quote</v>
      </c>
      <c r="P8" s="51" t="e">
        <v>#VALUE!</v>
      </c>
      <c r="Q8" s="95" t="e">
        <f>_xll.qlSimpleQuoteSetValue($O8,ROUND($P8/10000,6),Trigger)</f>
        <v>#NUM!</v>
      </c>
      <c r="R8" s="10"/>
      <c r="T8" s="114" t="s">
        <v>113</v>
      </c>
      <c r="U8" s="100" t="s">
        <v>120</v>
      </c>
      <c r="V8" s="101" t="s">
        <v>119</v>
      </c>
    </row>
    <row r="9" spans="1:22" ht="12" thickBot="1" x14ac:dyDescent="0.25">
      <c r="A9" s="224">
        <v>1.75</v>
      </c>
      <c r="B9" s="74" t="s">
        <v>39</v>
      </c>
      <c r="C9" s="42" t="str">
        <v>1L</v>
      </c>
      <c r="D9" s="42" t="str">
        <v>6L</v>
      </c>
      <c r="E9" s="43" t="str">
        <f t="shared" si="0"/>
        <v>HKD1L6L21M</v>
      </c>
      <c r="F9" s="26" t="str">
        <v>HKD1L6L21M=ICAP</v>
      </c>
      <c r="G9" s="52" t="s">
        <v>171</v>
      </c>
      <c r="H9" s="52" t="s">
        <v>171</v>
      </c>
      <c r="I9" s="52" t="e">
        <f>_xll.qlMidEquivalent(G9,H9)</f>
        <v>#NUM!</v>
      </c>
      <c r="J9" s="15" t="b">
        <f t="shared" ref="J9:J42" si="2">IF(ISNUMBER(I9),TRUE,FALSE)</f>
        <v>0</v>
      </c>
      <c r="K9" s="250" t="e">
        <v>#VALUE!</v>
      </c>
      <c r="L9" s="6"/>
      <c r="M9" s="108" t="e">
        <v>#VALUE!</v>
      </c>
      <c r="N9" s="6"/>
      <c r="O9" s="94" t="str">
        <f t="shared" si="1"/>
        <v>HKD1L6L21M_Quote</v>
      </c>
      <c r="P9" s="51" t="e">
        <v>#VALUE!</v>
      </c>
      <c r="Q9" s="95" t="e">
        <f>_xll.qlSimpleQuoteSetValue($O9,ROUND($P9/10000,6),Trigger)</f>
        <v>#NUM!</v>
      </c>
      <c r="R9" s="10"/>
      <c r="T9" s="115" t="s">
        <v>106</v>
      </c>
      <c r="U9" s="102" t="s">
        <v>117</v>
      </c>
      <c r="V9" s="103" t="s">
        <v>120</v>
      </c>
    </row>
    <row r="10" spans="1:22" x14ac:dyDescent="0.2">
      <c r="A10" s="9">
        <v>2</v>
      </c>
      <c r="B10" s="74" t="s">
        <v>40</v>
      </c>
      <c r="C10" s="42" t="str">
        <v>1L</v>
      </c>
      <c r="D10" s="42" t="str">
        <v>6L</v>
      </c>
      <c r="E10" s="43" t="str">
        <f t="shared" si="0"/>
        <v>HKD1L6L2Y</v>
      </c>
      <c r="F10" s="26" t="str">
        <v>HKD1L6L2Y=ICAP</v>
      </c>
      <c r="G10" s="52" t="s">
        <v>171</v>
      </c>
      <c r="H10" s="52" t="s">
        <v>171</v>
      </c>
      <c r="I10" s="52" t="e">
        <f>_xll.qlMidEquivalent(G10,H10)</f>
        <v>#NUM!</v>
      </c>
      <c r="J10" s="15" t="b">
        <f t="shared" si="2"/>
        <v>0</v>
      </c>
      <c r="K10" s="250" t="e">
        <v>#VALUE!</v>
      </c>
      <c r="L10" s="6"/>
      <c r="M10" s="108" t="e">
        <v>#VALUE!</v>
      </c>
      <c r="N10" s="6"/>
      <c r="O10" s="94" t="str">
        <f t="shared" si="1"/>
        <v>HKD1L6L2Y_Quote</v>
      </c>
      <c r="P10" s="51" t="e">
        <v>#VALUE!</v>
      </c>
      <c r="Q10" s="95" t="e">
        <f>_xll.qlSimpleQuoteSetValue($O10,ROUND($P10/10000,6),Trigger)</f>
        <v>#NUM!</v>
      </c>
      <c r="R10" s="10"/>
    </row>
    <row r="11" spans="1:22" x14ac:dyDescent="0.2">
      <c r="A11" s="9">
        <v>3</v>
      </c>
      <c r="B11" s="74" t="s">
        <v>41</v>
      </c>
      <c r="C11" s="42" t="str">
        <v>1L</v>
      </c>
      <c r="D11" s="42" t="str">
        <v>6L</v>
      </c>
      <c r="E11" s="43" t="str">
        <f t="shared" si="0"/>
        <v>HKD1L6L3Y</v>
      </c>
      <c r="F11" s="26" t="str">
        <v>HKD1L6L3Y=ICAP</v>
      </c>
      <c r="G11" s="52" t="s">
        <v>171</v>
      </c>
      <c r="H11" s="52" t="s">
        <v>171</v>
      </c>
      <c r="I11" s="52" t="e">
        <f>_xll.qlMidEquivalent(G11,H11)</f>
        <v>#NUM!</v>
      </c>
      <c r="J11" s="15" t="b">
        <f t="shared" si="2"/>
        <v>0</v>
      </c>
      <c r="K11" s="250" t="e">
        <v>#VALUE!</v>
      </c>
      <c r="L11" s="6"/>
      <c r="M11" s="108" t="e">
        <v>#VALUE!</v>
      </c>
      <c r="N11" s="6"/>
      <c r="O11" s="94" t="str">
        <f t="shared" si="1"/>
        <v>HKD1L6L3Y_Quote</v>
      </c>
      <c r="P11" s="51" t="e">
        <v>#VALUE!</v>
      </c>
      <c r="Q11" s="95" t="e">
        <f>_xll.qlSimpleQuoteSetValue($O11,ROUND($P11/10000,6),Trigger)</f>
        <v>#NUM!</v>
      </c>
      <c r="R11" s="10"/>
    </row>
    <row r="12" spans="1:22" x14ac:dyDescent="0.2">
      <c r="A12" s="9">
        <v>4</v>
      </c>
      <c r="B12" s="74" t="s">
        <v>42</v>
      </c>
      <c r="C12" s="42" t="str">
        <v>1L</v>
      </c>
      <c r="D12" s="42" t="str">
        <v>6L</v>
      </c>
      <c r="E12" s="43" t="str">
        <f t="shared" si="0"/>
        <v>HKD1L6L4Y</v>
      </c>
      <c r="F12" s="26" t="str">
        <v>HKD1L6L4Y=ICAP</v>
      </c>
      <c r="G12" s="52" t="s">
        <v>171</v>
      </c>
      <c r="H12" s="52" t="s">
        <v>171</v>
      </c>
      <c r="I12" s="52" t="e">
        <f>_xll.qlMidEquivalent(G12,H12)</f>
        <v>#NUM!</v>
      </c>
      <c r="J12" s="15" t="b">
        <f t="shared" si="2"/>
        <v>0</v>
      </c>
      <c r="K12" s="250" t="e">
        <v>#VALUE!</v>
      </c>
      <c r="L12" s="6"/>
      <c r="M12" s="108" t="e">
        <v>#VALUE!</v>
      </c>
      <c r="N12" s="6"/>
      <c r="O12" s="94" t="str">
        <f t="shared" si="1"/>
        <v>HKD1L6L4Y_Quote</v>
      </c>
      <c r="P12" s="51" t="e">
        <v>#VALUE!</v>
      </c>
      <c r="Q12" s="95" t="e">
        <f>_xll.qlSimpleQuoteSetValue($O12,ROUND($P12/10000,6),Trigger)</f>
        <v>#NUM!</v>
      </c>
      <c r="R12" s="10"/>
    </row>
    <row r="13" spans="1:22" x14ac:dyDescent="0.2">
      <c r="A13" s="9">
        <v>5</v>
      </c>
      <c r="B13" s="74" t="s">
        <v>43</v>
      </c>
      <c r="C13" s="42" t="str">
        <v>1L</v>
      </c>
      <c r="D13" s="42" t="str">
        <v>6L</v>
      </c>
      <c r="E13" s="43" t="str">
        <f t="shared" si="0"/>
        <v>HKD1L6L5Y</v>
      </c>
      <c r="F13" s="26" t="str">
        <v>HKD1L6L5Y=ICAP</v>
      </c>
      <c r="G13" s="52" t="s">
        <v>171</v>
      </c>
      <c r="H13" s="52" t="s">
        <v>171</v>
      </c>
      <c r="I13" s="52" t="e">
        <f>_xll.qlMidEquivalent(G13,H13)</f>
        <v>#NUM!</v>
      </c>
      <c r="J13" s="15" t="b">
        <f t="shared" si="2"/>
        <v>0</v>
      </c>
      <c r="K13" s="250" t="e">
        <v>#VALUE!</v>
      </c>
      <c r="L13" s="6"/>
      <c r="M13" s="108" t="e">
        <v>#VALUE!</v>
      </c>
      <c r="N13" s="6"/>
      <c r="O13" s="94" t="str">
        <f t="shared" si="1"/>
        <v>HKD1L6L5Y_Quote</v>
      </c>
      <c r="P13" s="51" t="e">
        <v>#VALUE!</v>
      </c>
      <c r="Q13" s="95" t="e">
        <f>_xll.qlSimpleQuoteSetValue($O13,ROUND($P13/10000,6),Trigger)</f>
        <v>#NUM!</v>
      </c>
      <c r="R13" s="10"/>
    </row>
    <row r="14" spans="1:22" x14ac:dyDescent="0.2">
      <c r="A14" s="9">
        <v>6</v>
      </c>
      <c r="B14" s="74" t="s">
        <v>44</v>
      </c>
      <c r="C14" s="42" t="str">
        <v>1L</v>
      </c>
      <c r="D14" s="42" t="str">
        <v>6L</v>
      </c>
      <c r="E14" s="43" t="str">
        <f t="shared" si="0"/>
        <v>HKD1L6L6Y</v>
      </c>
      <c r="F14" s="26" t="str">
        <v>HKD1L6L6Y=ICAP</v>
      </c>
      <c r="G14" s="52" t="s">
        <v>171</v>
      </c>
      <c r="H14" s="52" t="s">
        <v>171</v>
      </c>
      <c r="I14" s="52" t="e">
        <f>_xll.qlMidEquivalent(G14,H14)</f>
        <v>#NUM!</v>
      </c>
      <c r="J14" s="15" t="b">
        <f t="shared" si="2"/>
        <v>0</v>
      </c>
      <c r="K14" s="250" t="e">
        <v>#VALUE!</v>
      </c>
      <c r="L14" s="6"/>
      <c r="M14" s="108" t="e">
        <v>#VALUE!</v>
      </c>
      <c r="N14" s="6"/>
      <c r="O14" s="94" t="str">
        <f t="shared" si="1"/>
        <v>HKD1L6L6Y_Quote</v>
      </c>
      <c r="P14" s="51" t="e">
        <v>#VALUE!</v>
      </c>
      <c r="Q14" s="95" t="e">
        <f>_xll.qlSimpleQuoteSetValue($O14,ROUND($P14/10000,6),Trigger)</f>
        <v>#NUM!</v>
      </c>
      <c r="R14" s="10"/>
    </row>
    <row r="15" spans="1:22" x14ac:dyDescent="0.2">
      <c r="A15" s="9">
        <v>7</v>
      </c>
      <c r="B15" s="74" t="s">
        <v>45</v>
      </c>
      <c r="C15" s="42" t="str">
        <v>1L</v>
      </c>
      <c r="D15" s="42" t="str">
        <v>6L</v>
      </c>
      <c r="E15" s="43" t="str">
        <f t="shared" si="0"/>
        <v>HKD1L6L7Y</v>
      </c>
      <c r="F15" s="26" t="str">
        <v>HKD1L6L7Y=ICAP</v>
      </c>
      <c r="G15" s="52" t="s">
        <v>171</v>
      </c>
      <c r="H15" s="52" t="s">
        <v>171</v>
      </c>
      <c r="I15" s="52" t="e">
        <f>_xll.qlMidEquivalent(G15,H15)</f>
        <v>#NUM!</v>
      </c>
      <c r="J15" s="15" t="b">
        <f t="shared" si="2"/>
        <v>0</v>
      </c>
      <c r="K15" s="250" t="e">
        <v>#VALUE!</v>
      </c>
      <c r="L15" s="6"/>
      <c r="M15" s="108" t="e">
        <v>#VALUE!</v>
      </c>
      <c r="N15" s="6"/>
      <c r="O15" s="94" t="str">
        <f t="shared" si="1"/>
        <v>HKD1L6L7Y_Quote</v>
      </c>
      <c r="P15" s="51" t="e">
        <v>#VALUE!</v>
      </c>
      <c r="Q15" s="95" t="e">
        <f>_xll.qlSimpleQuoteSetValue($O15,ROUND($P15/10000,6),Trigger)</f>
        <v>#NUM!</v>
      </c>
      <c r="R15" s="10"/>
    </row>
    <row r="16" spans="1:22" x14ac:dyDescent="0.2">
      <c r="A16" s="9">
        <v>8</v>
      </c>
      <c r="B16" s="74" t="s">
        <v>46</v>
      </c>
      <c r="C16" s="42" t="str">
        <v>1L</v>
      </c>
      <c r="D16" s="42" t="str">
        <v>6L</v>
      </c>
      <c r="E16" s="43" t="str">
        <f t="shared" si="0"/>
        <v>HKD1L6L8Y</v>
      </c>
      <c r="F16" s="26" t="str">
        <v>HKD1L6L8Y=ICAP</v>
      </c>
      <c r="G16" s="52" t="s">
        <v>171</v>
      </c>
      <c r="H16" s="52" t="s">
        <v>171</v>
      </c>
      <c r="I16" s="52" t="e">
        <f>_xll.qlMidEquivalent(G16,H16)</f>
        <v>#NUM!</v>
      </c>
      <c r="J16" s="15" t="b">
        <f t="shared" si="2"/>
        <v>0</v>
      </c>
      <c r="K16" s="250" t="e">
        <v>#VALUE!</v>
      </c>
      <c r="L16" s="6"/>
      <c r="M16" s="108" t="e">
        <v>#VALUE!</v>
      </c>
      <c r="N16" s="6"/>
      <c r="O16" s="94" t="str">
        <f t="shared" si="1"/>
        <v>HKD1L6L8Y_Quote</v>
      </c>
      <c r="P16" s="51" t="e">
        <v>#VALUE!</v>
      </c>
      <c r="Q16" s="95" t="e">
        <f>_xll.qlSimpleQuoteSetValue($O16,ROUND($P16/10000,6),Trigger)</f>
        <v>#NUM!</v>
      </c>
      <c r="R16" s="10"/>
    </row>
    <row r="17" spans="1:18" x14ac:dyDescent="0.2">
      <c r="A17" s="9">
        <v>9</v>
      </c>
      <c r="B17" s="74" t="s">
        <v>47</v>
      </c>
      <c r="C17" s="42" t="str">
        <v>1L</v>
      </c>
      <c r="D17" s="42" t="str">
        <v>6L</v>
      </c>
      <c r="E17" s="43" t="str">
        <f t="shared" si="0"/>
        <v>HKD1L6L9Y</v>
      </c>
      <c r="F17" s="26" t="str">
        <v>HKD1L6L9Y=ICAP</v>
      </c>
      <c r="G17" s="52" t="s">
        <v>171</v>
      </c>
      <c r="H17" s="52" t="s">
        <v>171</v>
      </c>
      <c r="I17" s="52" t="e">
        <f>_xll.qlMidEquivalent(G17,H17)</f>
        <v>#NUM!</v>
      </c>
      <c r="J17" s="15" t="b">
        <f t="shared" si="2"/>
        <v>0</v>
      </c>
      <c r="K17" s="250" t="e">
        <v>#VALUE!</v>
      </c>
      <c r="L17" s="6"/>
      <c r="M17" s="108" t="e">
        <v>#VALUE!</v>
      </c>
      <c r="N17" s="6"/>
      <c r="O17" s="94" t="str">
        <f t="shared" si="1"/>
        <v>HKD1L6L9Y_Quote</v>
      </c>
      <c r="P17" s="51" t="e">
        <v>#VALUE!</v>
      </c>
      <c r="Q17" s="95" t="e">
        <f>_xll.qlSimpleQuoteSetValue($O17,ROUND($P17/10000,6),Trigger)</f>
        <v>#NUM!</v>
      </c>
      <c r="R17" s="10"/>
    </row>
    <row r="18" spans="1:18" x14ac:dyDescent="0.2">
      <c r="A18" s="9">
        <v>10</v>
      </c>
      <c r="B18" s="74" t="s">
        <v>48</v>
      </c>
      <c r="C18" s="42" t="str">
        <v>1L</v>
      </c>
      <c r="D18" s="42" t="str">
        <v>6L</v>
      </c>
      <c r="E18" s="43" t="str">
        <f t="shared" si="0"/>
        <v>HKD1L6L10Y</v>
      </c>
      <c r="F18" s="26" t="str">
        <v>HKD1L6L10Y=ICAP</v>
      </c>
      <c r="G18" s="52" t="s">
        <v>171</v>
      </c>
      <c r="H18" s="52" t="s">
        <v>171</v>
      </c>
      <c r="I18" s="52" t="e">
        <f>_xll.qlMidEquivalent(G18,H18)</f>
        <v>#NUM!</v>
      </c>
      <c r="J18" s="15" t="b">
        <f t="shared" si="2"/>
        <v>0</v>
      </c>
      <c r="K18" s="250" t="e">
        <v>#VALUE!</v>
      </c>
      <c r="L18" s="6"/>
      <c r="M18" s="108" t="e">
        <v>#VALUE!</v>
      </c>
      <c r="N18" s="6"/>
      <c r="O18" s="94" t="str">
        <f t="shared" si="1"/>
        <v>HKD1L6L10Y_Quote</v>
      </c>
      <c r="P18" s="51" t="e">
        <v>#VALUE!</v>
      </c>
      <c r="Q18" s="95" t="e">
        <f>_xll.qlSimpleQuoteSetValue($O18,ROUND($P18/10000,6),Trigger)</f>
        <v>#NUM!</v>
      </c>
      <c r="R18" s="10"/>
    </row>
    <row r="19" spans="1:18" x14ac:dyDescent="0.2">
      <c r="A19" s="9">
        <v>11</v>
      </c>
      <c r="B19" s="74" t="s">
        <v>49</v>
      </c>
      <c r="C19" s="42" t="str">
        <v>1L</v>
      </c>
      <c r="D19" s="42" t="str">
        <v>6L</v>
      </c>
      <c r="E19" s="43" t="str">
        <f t="shared" si="0"/>
        <v>HKD1L6L11Y</v>
      </c>
      <c r="F19" s="26" t="str">
        <v>HKD1L6L11Y=ICAP</v>
      </c>
      <c r="G19" s="52" t="s">
        <v>171</v>
      </c>
      <c r="H19" s="52" t="s">
        <v>171</v>
      </c>
      <c r="I19" s="52" t="e">
        <f>_xll.qlMidEquivalent(G19,H19)</f>
        <v>#NUM!</v>
      </c>
      <c r="J19" s="15" t="b">
        <f t="shared" si="2"/>
        <v>0</v>
      </c>
      <c r="K19" s="250" t="e">
        <v>#VALUE!</v>
      </c>
      <c r="L19" s="6"/>
      <c r="M19" s="108" t="e">
        <v>#VALUE!</v>
      </c>
      <c r="N19" s="6"/>
      <c r="O19" s="94" t="str">
        <f t="shared" si="1"/>
        <v>HKD1L6L11Y_Quote</v>
      </c>
      <c r="P19" s="51" t="e">
        <v>#VALUE!</v>
      </c>
      <c r="Q19" s="95" t="e">
        <f>_xll.qlSimpleQuoteSetValue($O19,ROUND($P19/10000,6),Trigger)</f>
        <v>#NUM!</v>
      </c>
      <c r="R19" s="10"/>
    </row>
    <row r="20" spans="1:18" x14ac:dyDescent="0.2">
      <c r="A20" s="9">
        <v>12</v>
      </c>
      <c r="B20" s="74" t="s">
        <v>50</v>
      </c>
      <c r="C20" s="42" t="str">
        <v>1L</v>
      </c>
      <c r="D20" s="42" t="str">
        <v>6L</v>
      </c>
      <c r="E20" s="43" t="str">
        <f t="shared" si="0"/>
        <v>HKD1L6L12Y</v>
      </c>
      <c r="F20" s="26" t="str">
        <v>HKD1L6L12Y=ICAP</v>
      </c>
      <c r="G20" s="52" t="s">
        <v>171</v>
      </c>
      <c r="H20" s="52" t="s">
        <v>171</v>
      </c>
      <c r="I20" s="52" t="e">
        <f>_xll.qlMidEquivalent(G20,H20)</f>
        <v>#NUM!</v>
      </c>
      <c r="J20" s="15" t="b">
        <f t="shared" si="2"/>
        <v>0</v>
      </c>
      <c r="K20" s="250" t="e">
        <v>#VALUE!</v>
      </c>
      <c r="L20" s="6"/>
      <c r="M20" s="108" t="e">
        <v>#VALUE!</v>
      </c>
      <c r="N20" s="6"/>
      <c r="O20" s="94" t="str">
        <f t="shared" si="1"/>
        <v>HKD1L6L12Y_Quote</v>
      </c>
      <c r="P20" s="51" t="e">
        <v>#VALUE!</v>
      </c>
      <c r="Q20" s="95" t="e">
        <f>_xll.qlSimpleQuoteSetValue($O20,ROUND($P20/10000,6),Trigger)</f>
        <v>#NUM!</v>
      </c>
      <c r="R20" s="10"/>
    </row>
    <row r="21" spans="1:18" x14ac:dyDescent="0.2">
      <c r="A21" s="9">
        <v>13</v>
      </c>
      <c r="B21" s="74" t="s">
        <v>51</v>
      </c>
      <c r="C21" s="42" t="str">
        <v>1L</v>
      </c>
      <c r="D21" s="42" t="str">
        <v>6L</v>
      </c>
      <c r="E21" s="43" t="str">
        <f t="shared" si="0"/>
        <v>HKD1L6L13Y</v>
      </c>
      <c r="F21" s="26" t="str">
        <v>HKD1L6L13Y=ICAP</v>
      </c>
      <c r="G21" s="52" t="s">
        <v>171</v>
      </c>
      <c r="H21" s="52" t="s">
        <v>171</v>
      </c>
      <c r="I21" s="52" t="e">
        <f>_xll.qlMidEquivalent(G21,H21)</f>
        <v>#NUM!</v>
      </c>
      <c r="J21" s="15" t="b">
        <f t="shared" si="2"/>
        <v>0</v>
      </c>
      <c r="K21" s="250" t="e">
        <v>#VALUE!</v>
      </c>
      <c r="L21" s="6"/>
      <c r="M21" s="108" t="e">
        <v>#VALUE!</v>
      </c>
      <c r="N21" s="6"/>
      <c r="O21" s="94" t="str">
        <f t="shared" si="1"/>
        <v>HKD1L6L13Y_Quote</v>
      </c>
      <c r="P21" s="51" t="e">
        <v>#VALUE!</v>
      </c>
      <c r="Q21" s="95" t="e">
        <f>_xll.qlSimpleQuoteSetValue($O21,ROUND($P21/10000,6),Trigger)</f>
        <v>#NUM!</v>
      </c>
      <c r="R21" s="10"/>
    </row>
    <row r="22" spans="1:18" x14ac:dyDescent="0.2">
      <c r="A22" s="9">
        <v>14</v>
      </c>
      <c r="B22" s="74" t="s">
        <v>52</v>
      </c>
      <c r="C22" s="42" t="str">
        <v>1L</v>
      </c>
      <c r="D22" s="42" t="str">
        <v>6L</v>
      </c>
      <c r="E22" s="43" t="str">
        <f t="shared" si="0"/>
        <v>HKD1L6L14Y</v>
      </c>
      <c r="F22" s="26" t="str">
        <v>HKD1L6L14Y=ICAP</v>
      </c>
      <c r="G22" s="52" t="s">
        <v>171</v>
      </c>
      <c r="H22" s="52" t="s">
        <v>171</v>
      </c>
      <c r="I22" s="52" t="e">
        <f>_xll.qlMidEquivalent(G22,H22)</f>
        <v>#NUM!</v>
      </c>
      <c r="J22" s="15" t="b">
        <f t="shared" si="2"/>
        <v>0</v>
      </c>
      <c r="K22" s="250" t="e">
        <v>#VALUE!</v>
      </c>
      <c r="L22" s="6"/>
      <c r="M22" s="108" t="e">
        <v>#VALUE!</v>
      </c>
      <c r="N22" s="6"/>
      <c r="O22" s="94" t="str">
        <f t="shared" si="1"/>
        <v>HKD1L6L14Y_Quote</v>
      </c>
      <c r="P22" s="51" t="e">
        <v>#VALUE!</v>
      </c>
      <c r="Q22" s="95" t="e">
        <f>_xll.qlSimpleQuoteSetValue($O22,ROUND($P22/10000,6),Trigger)</f>
        <v>#NUM!</v>
      </c>
      <c r="R22" s="10"/>
    </row>
    <row r="23" spans="1:18" x14ac:dyDescent="0.2">
      <c r="A23" s="9">
        <v>15</v>
      </c>
      <c r="B23" s="74" t="s">
        <v>53</v>
      </c>
      <c r="C23" s="42" t="str">
        <v>1L</v>
      </c>
      <c r="D23" s="42" t="str">
        <v>6L</v>
      </c>
      <c r="E23" s="43" t="str">
        <f t="shared" si="0"/>
        <v>HKD1L6L15Y</v>
      </c>
      <c r="F23" s="26" t="str">
        <v>HKD1L6L15Y=ICAP</v>
      </c>
      <c r="G23" s="52" t="s">
        <v>171</v>
      </c>
      <c r="H23" s="52" t="s">
        <v>171</v>
      </c>
      <c r="I23" s="52" t="e">
        <f>_xll.qlMidEquivalent(G23,H23)</f>
        <v>#NUM!</v>
      </c>
      <c r="J23" s="15" t="b">
        <f t="shared" si="2"/>
        <v>0</v>
      </c>
      <c r="K23" s="250" t="e">
        <v>#VALUE!</v>
      </c>
      <c r="L23" s="6"/>
      <c r="M23" s="108" t="e">
        <v>#VALUE!</v>
      </c>
      <c r="N23" s="6"/>
      <c r="O23" s="94" t="str">
        <f t="shared" si="1"/>
        <v>HKD1L6L15Y_Quote</v>
      </c>
      <c r="P23" s="51" t="e">
        <v>#VALUE!</v>
      </c>
      <c r="Q23" s="95" t="e">
        <f>_xll.qlSimpleQuoteSetValue($O23,ROUND($P23/10000,6),Trigger)</f>
        <v>#NUM!</v>
      </c>
      <c r="R23" s="10"/>
    </row>
    <row r="24" spans="1:18" x14ac:dyDescent="0.2">
      <c r="A24" s="9">
        <v>16</v>
      </c>
      <c r="B24" s="74" t="s">
        <v>54</v>
      </c>
      <c r="C24" s="42" t="str">
        <v>1L</v>
      </c>
      <c r="D24" s="42" t="str">
        <v>6L</v>
      </c>
      <c r="E24" s="43" t="str">
        <f t="shared" si="0"/>
        <v>HKD1L6L16Y</v>
      </c>
      <c r="F24" s="26" t="str">
        <v>HKD1L6L16Y=ICAP</v>
      </c>
      <c r="G24" s="52" t="s">
        <v>171</v>
      </c>
      <c r="H24" s="52" t="s">
        <v>171</v>
      </c>
      <c r="I24" s="52" t="e">
        <f>_xll.qlMidEquivalent(G24,H24)</f>
        <v>#NUM!</v>
      </c>
      <c r="J24" s="15" t="b">
        <f t="shared" si="2"/>
        <v>0</v>
      </c>
      <c r="K24" s="250" t="e">
        <v>#VALUE!</v>
      </c>
      <c r="L24" s="6"/>
      <c r="M24" s="108" t="e">
        <v>#VALUE!</v>
      </c>
      <c r="N24" s="6"/>
      <c r="O24" s="94" t="str">
        <f t="shared" si="1"/>
        <v>HKD1L6L16Y_Quote</v>
      </c>
      <c r="P24" s="51" t="e">
        <v>#VALUE!</v>
      </c>
      <c r="Q24" s="95" t="e">
        <f>_xll.qlSimpleQuoteSetValue($O24,ROUND($P24/10000,6),Trigger)</f>
        <v>#NUM!</v>
      </c>
      <c r="R24" s="10"/>
    </row>
    <row r="25" spans="1:18" x14ac:dyDescent="0.2">
      <c r="A25" s="9">
        <v>17</v>
      </c>
      <c r="B25" s="74" t="s">
        <v>55</v>
      </c>
      <c r="C25" s="42" t="str">
        <v>1L</v>
      </c>
      <c r="D25" s="42" t="str">
        <v>6L</v>
      </c>
      <c r="E25" s="43" t="str">
        <f t="shared" si="0"/>
        <v>HKD1L6L17Y</v>
      </c>
      <c r="F25" s="26" t="str">
        <v>HKD1L6L17Y=ICAP</v>
      </c>
      <c r="G25" s="52" t="s">
        <v>171</v>
      </c>
      <c r="H25" s="52" t="s">
        <v>171</v>
      </c>
      <c r="I25" s="52" t="e">
        <f>_xll.qlMidEquivalent(G25,H25)</f>
        <v>#NUM!</v>
      </c>
      <c r="J25" s="15" t="b">
        <f t="shared" si="2"/>
        <v>0</v>
      </c>
      <c r="K25" s="250" t="e">
        <v>#VALUE!</v>
      </c>
      <c r="L25" s="6"/>
      <c r="M25" s="108" t="e">
        <v>#VALUE!</v>
      </c>
      <c r="N25" s="6"/>
      <c r="O25" s="94" t="str">
        <f t="shared" si="1"/>
        <v>HKD1L6L17Y_Quote</v>
      </c>
      <c r="P25" s="51" t="e">
        <v>#VALUE!</v>
      </c>
      <c r="Q25" s="95" t="e">
        <f>_xll.qlSimpleQuoteSetValue($O25,ROUND($P25/10000,6),Trigger)</f>
        <v>#NUM!</v>
      </c>
      <c r="R25" s="10"/>
    </row>
    <row r="26" spans="1:18" x14ac:dyDescent="0.2">
      <c r="A26" s="9">
        <v>18</v>
      </c>
      <c r="B26" s="74" t="s">
        <v>56</v>
      </c>
      <c r="C26" s="42" t="str">
        <v>1L</v>
      </c>
      <c r="D26" s="42" t="str">
        <v>6L</v>
      </c>
      <c r="E26" s="43" t="str">
        <f t="shared" si="0"/>
        <v>HKD1L6L18Y</v>
      </c>
      <c r="F26" s="26" t="str">
        <v>HKD1L6L18Y=ICAP</v>
      </c>
      <c r="G26" s="52" t="s">
        <v>171</v>
      </c>
      <c r="H26" s="52" t="s">
        <v>171</v>
      </c>
      <c r="I26" s="52" t="e">
        <f>_xll.qlMidEquivalent(G26,H26)</f>
        <v>#NUM!</v>
      </c>
      <c r="J26" s="15" t="b">
        <f t="shared" si="2"/>
        <v>0</v>
      </c>
      <c r="K26" s="250" t="e">
        <v>#VALUE!</v>
      </c>
      <c r="L26" s="6"/>
      <c r="M26" s="108" t="e">
        <v>#VALUE!</v>
      </c>
      <c r="N26" s="6"/>
      <c r="O26" s="94" t="str">
        <f t="shared" si="1"/>
        <v>HKD1L6L18Y_Quote</v>
      </c>
      <c r="P26" s="51" t="e">
        <v>#VALUE!</v>
      </c>
      <c r="Q26" s="95" t="e">
        <f>_xll.qlSimpleQuoteSetValue($O26,ROUND($P26/10000,6),Trigger)</f>
        <v>#NUM!</v>
      </c>
      <c r="R26" s="10"/>
    </row>
    <row r="27" spans="1:18" x14ac:dyDescent="0.2">
      <c r="A27" s="9">
        <v>19</v>
      </c>
      <c r="B27" s="74" t="s">
        <v>57</v>
      </c>
      <c r="C27" s="42" t="str">
        <v>1L</v>
      </c>
      <c r="D27" s="42" t="str">
        <v>6L</v>
      </c>
      <c r="E27" s="43" t="str">
        <f t="shared" si="0"/>
        <v>HKD1L6L19Y</v>
      </c>
      <c r="F27" s="26" t="str">
        <v>HKD1L6L19Y=ICAP</v>
      </c>
      <c r="G27" s="52" t="s">
        <v>171</v>
      </c>
      <c r="H27" s="52" t="s">
        <v>171</v>
      </c>
      <c r="I27" s="52" t="e">
        <f>_xll.qlMidEquivalent(G27,H27)</f>
        <v>#NUM!</v>
      </c>
      <c r="J27" s="15" t="b">
        <f t="shared" si="2"/>
        <v>0</v>
      </c>
      <c r="K27" s="250" t="e">
        <v>#VALUE!</v>
      </c>
      <c r="L27" s="6"/>
      <c r="M27" s="108" t="e">
        <v>#VALUE!</v>
      </c>
      <c r="N27" s="6"/>
      <c r="O27" s="94" t="str">
        <f t="shared" si="1"/>
        <v>HKD1L6L19Y_Quote</v>
      </c>
      <c r="P27" s="51" t="e">
        <v>#VALUE!</v>
      </c>
      <c r="Q27" s="95" t="e">
        <f>_xll.qlSimpleQuoteSetValue($O27,ROUND($P27/10000,6),Trigger)</f>
        <v>#NUM!</v>
      </c>
      <c r="R27" s="10"/>
    </row>
    <row r="28" spans="1:18" x14ac:dyDescent="0.2">
      <c r="A28" s="9">
        <v>20</v>
      </c>
      <c r="B28" s="74" t="s">
        <v>58</v>
      </c>
      <c r="C28" s="42" t="str">
        <v>1L</v>
      </c>
      <c r="D28" s="42" t="str">
        <v>6L</v>
      </c>
      <c r="E28" s="43" t="str">
        <f t="shared" si="0"/>
        <v>HKD1L6L20Y</v>
      </c>
      <c r="F28" s="26" t="str">
        <v>HKD1L6L20Y=ICAP</v>
      </c>
      <c r="G28" s="52" t="s">
        <v>171</v>
      </c>
      <c r="H28" s="52" t="s">
        <v>171</v>
      </c>
      <c r="I28" s="52" t="e">
        <f>_xll.qlMidEquivalent(G28,H28)</f>
        <v>#NUM!</v>
      </c>
      <c r="J28" s="15" t="b">
        <f t="shared" si="2"/>
        <v>0</v>
      </c>
      <c r="K28" s="250" t="e">
        <v>#VALUE!</v>
      </c>
      <c r="L28" s="6"/>
      <c r="M28" s="108" t="e">
        <v>#VALUE!</v>
      </c>
      <c r="N28" s="6"/>
      <c r="O28" s="94" t="str">
        <f t="shared" si="1"/>
        <v>HKD1L6L20Y_Quote</v>
      </c>
      <c r="P28" s="51" t="e">
        <v>#VALUE!</v>
      </c>
      <c r="Q28" s="95" t="e">
        <f>_xll.qlSimpleQuoteSetValue($O28,ROUND($P28/10000,6),Trigger)</f>
        <v>#NUM!</v>
      </c>
      <c r="R28" s="10"/>
    </row>
    <row r="29" spans="1:18" x14ac:dyDescent="0.2">
      <c r="A29" s="9">
        <v>21</v>
      </c>
      <c r="B29" s="74" t="s">
        <v>59</v>
      </c>
      <c r="C29" s="42" t="str">
        <v>1L</v>
      </c>
      <c r="D29" s="42" t="str">
        <v>6L</v>
      </c>
      <c r="E29" s="43" t="str">
        <f t="shared" si="0"/>
        <v>HKD1L6L21Y</v>
      </c>
      <c r="F29" s="26" t="str">
        <v>HKD1L6L21Y=ICAP</v>
      </c>
      <c r="G29" s="52" t="s">
        <v>171</v>
      </c>
      <c r="H29" s="52" t="s">
        <v>171</v>
      </c>
      <c r="I29" s="52" t="e">
        <f>_xll.qlMidEquivalent(G29,H29)</f>
        <v>#NUM!</v>
      </c>
      <c r="J29" s="15" t="b">
        <f t="shared" si="2"/>
        <v>0</v>
      </c>
      <c r="K29" s="250" t="e">
        <v>#VALUE!</v>
      </c>
      <c r="L29" s="6"/>
      <c r="M29" s="108" t="e">
        <v>#VALUE!</v>
      </c>
      <c r="N29" s="6"/>
      <c r="O29" s="94" t="str">
        <f t="shared" si="1"/>
        <v>HKD1L6L21Y_Quote</v>
      </c>
      <c r="P29" s="51" t="e">
        <v>#VALUE!</v>
      </c>
      <c r="Q29" s="95" t="e">
        <f>_xll.qlSimpleQuoteSetValue($O29,ROUND($P29/10000,6),Trigger)</f>
        <v>#NUM!</v>
      </c>
      <c r="R29" s="10"/>
    </row>
    <row r="30" spans="1:18" x14ac:dyDescent="0.2">
      <c r="A30" s="9">
        <v>22</v>
      </c>
      <c r="B30" s="74" t="s">
        <v>60</v>
      </c>
      <c r="C30" s="42" t="str">
        <v>1L</v>
      </c>
      <c r="D30" s="42" t="str">
        <v>6L</v>
      </c>
      <c r="E30" s="43" t="str">
        <f t="shared" si="0"/>
        <v>HKD1L6L22Y</v>
      </c>
      <c r="F30" s="26" t="str">
        <v>HKD1L6L22Y=ICAP</v>
      </c>
      <c r="G30" s="52" t="s">
        <v>171</v>
      </c>
      <c r="H30" s="52" t="s">
        <v>171</v>
      </c>
      <c r="I30" s="52" t="e">
        <f>_xll.qlMidEquivalent(G30,H30)</f>
        <v>#NUM!</v>
      </c>
      <c r="J30" s="15" t="b">
        <f t="shared" si="2"/>
        <v>0</v>
      </c>
      <c r="K30" s="250" t="e">
        <v>#VALUE!</v>
      </c>
      <c r="L30" s="6"/>
      <c r="M30" s="108" t="e">
        <v>#VALUE!</v>
      </c>
      <c r="N30" s="6"/>
      <c r="O30" s="94" t="str">
        <f t="shared" si="1"/>
        <v>HKD1L6L22Y_Quote</v>
      </c>
      <c r="P30" s="51" t="e">
        <v>#VALUE!</v>
      </c>
      <c r="Q30" s="95" t="e">
        <f>_xll.qlSimpleQuoteSetValue($O30,ROUND($P30/10000,6),Trigger)</f>
        <v>#NUM!</v>
      </c>
      <c r="R30" s="10"/>
    </row>
    <row r="31" spans="1:18" x14ac:dyDescent="0.2">
      <c r="A31" s="9">
        <v>23</v>
      </c>
      <c r="B31" s="74" t="s">
        <v>61</v>
      </c>
      <c r="C31" s="42" t="str">
        <v>1L</v>
      </c>
      <c r="D31" s="42" t="str">
        <v>6L</v>
      </c>
      <c r="E31" s="43" t="str">
        <f t="shared" si="0"/>
        <v>HKD1L6L23Y</v>
      </c>
      <c r="F31" s="26" t="str">
        <v>HKD1L6L23Y=ICAP</v>
      </c>
      <c r="G31" s="52" t="s">
        <v>171</v>
      </c>
      <c r="H31" s="52" t="s">
        <v>171</v>
      </c>
      <c r="I31" s="52" t="e">
        <f>_xll.qlMidEquivalent(G31,H31)</f>
        <v>#NUM!</v>
      </c>
      <c r="J31" s="15" t="b">
        <f t="shared" si="2"/>
        <v>0</v>
      </c>
      <c r="K31" s="250" t="e">
        <v>#VALUE!</v>
      </c>
      <c r="L31" s="6"/>
      <c r="M31" s="108" t="e">
        <v>#VALUE!</v>
      </c>
      <c r="N31" s="6"/>
      <c r="O31" s="94" t="str">
        <f t="shared" si="1"/>
        <v>HKD1L6L23Y_Quote</v>
      </c>
      <c r="P31" s="51" t="e">
        <v>#VALUE!</v>
      </c>
      <c r="Q31" s="95" t="e">
        <f>_xll.qlSimpleQuoteSetValue($O31,ROUND($P31/10000,6),Trigger)</f>
        <v>#NUM!</v>
      </c>
      <c r="R31" s="10"/>
    </row>
    <row r="32" spans="1:18" x14ac:dyDescent="0.2">
      <c r="A32" s="9">
        <v>24</v>
      </c>
      <c r="B32" s="74" t="s">
        <v>62</v>
      </c>
      <c r="C32" s="42" t="str">
        <v>1L</v>
      </c>
      <c r="D32" s="42" t="str">
        <v>6L</v>
      </c>
      <c r="E32" s="43" t="str">
        <f t="shared" si="0"/>
        <v>HKD1L6L24Y</v>
      </c>
      <c r="F32" s="26" t="str">
        <v>HKD1L6L24Y=ICAP</v>
      </c>
      <c r="G32" s="52" t="s">
        <v>171</v>
      </c>
      <c r="H32" s="52" t="s">
        <v>171</v>
      </c>
      <c r="I32" s="52" t="e">
        <f>_xll.qlMidEquivalent(G32,H32)</f>
        <v>#NUM!</v>
      </c>
      <c r="J32" s="15" t="b">
        <f t="shared" si="2"/>
        <v>0</v>
      </c>
      <c r="K32" s="250" t="e">
        <v>#VALUE!</v>
      </c>
      <c r="L32" s="6"/>
      <c r="M32" s="108" t="e">
        <v>#VALUE!</v>
      </c>
      <c r="N32" s="6"/>
      <c r="O32" s="94" t="str">
        <f t="shared" si="1"/>
        <v>HKD1L6L24Y_Quote</v>
      </c>
      <c r="P32" s="51" t="e">
        <v>#VALUE!</v>
      </c>
      <c r="Q32" s="95" t="e">
        <f>_xll.qlSimpleQuoteSetValue($O32,ROUND($P32/10000,6),Trigger)</f>
        <v>#NUM!</v>
      </c>
      <c r="R32" s="10"/>
    </row>
    <row r="33" spans="1:18" x14ac:dyDescent="0.2">
      <c r="A33" s="9">
        <v>25</v>
      </c>
      <c r="B33" s="74" t="s">
        <v>63</v>
      </c>
      <c r="C33" s="42" t="str">
        <v>1L</v>
      </c>
      <c r="D33" s="42" t="str">
        <v>6L</v>
      </c>
      <c r="E33" s="43" t="str">
        <f t="shared" si="0"/>
        <v>HKD1L6L25Y</v>
      </c>
      <c r="F33" s="26" t="str">
        <v>HKD1L6L25Y=ICAP</v>
      </c>
      <c r="G33" s="52" t="s">
        <v>171</v>
      </c>
      <c r="H33" s="52" t="s">
        <v>171</v>
      </c>
      <c r="I33" s="52" t="e">
        <f>_xll.qlMidEquivalent(G33,H33)</f>
        <v>#NUM!</v>
      </c>
      <c r="J33" s="15" t="b">
        <f t="shared" si="2"/>
        <v>0</v>
      </c>
      <c r="K33" s="250" t="e">
        <v>#VALUE!</v>
      </c>
      <c r="L33" s="6"/>
      <c r="M33" s="108" t="e">
        <v>#VALUE!</v>
      </c>
      <c r="N33" s="6"/>
      <c r="O33" s="94" t="str">
        <f t="shared" si="1"/>
        <v>HKD1L6L25Y_Quote</v>
      </c>
      <c r="P33" s="51" t="e">
        <v>#VALUE!</v>
      </c>
      <c r="Q33" s="95" t="e">
        <f>_xll.qlSimpleQuoteSetValue($O33,ROUND($P33/10000,6),Trigger)</f>
        <v>#NUM!</v>
      </c>
      <c r="R33" s="10"/>
    </row>
    <row r="34" spans="1:18" x14ac:dyDescent="0.2">
      <c r="A34" s="9">
        <v>26</v>
      </c>
      <c r="B34" s="74" t="s">
        <v>64</v>
      </c>
      <c r="C34" s="42" t="str">
        <v>1L</v>
      </c>
      <c r="D34" s="42" t="str">
        <v>6L</v>
      </c>
      <c r="E34" s="43" t="str">
        <f t="shared" si="0"/>
        <v>HKD1L6L26Y</v>
      </c>
      <c r="F34" s="26" t="str">
        <v>HKD1L6L26Y=ICAP</v>
      </c>
      <c r="G34" s="52" t="s">
        <v>171</v>
      </c>
      <c r="H34" s="52" t="s">
        <v>171</v>
      </c>
      <c r="I34" s="52" t="e">
        <f>_xll.qlMidEquivalent(G34,H34)</f>
        <v>#NUM!</v>
      </c>
      <c r="J34" s="15" t="b">
        <f t="shared" si="2"/>
        <v>0</v>
      </c>
      <c r="K34" s="250" t="e">
        <v>#VALUE!</v>
      </c>
      <c r="L34" s="6"/>
      <c r="M34" s="108" t="e">
        <v>#VALUE!</v>
      </c>
      <c r="N34" s="6"/>
      <c r="O34" s="94" t="str">
        <f t="shared" si="1"/>
        <v>HKD1L6L26Y_Quote</v>
      </c>
      <c r="P34" s="51" t="e">
        <v>#VALUE!</v>
      </c>
      <c r="Q34" s="95" t="e">
        <f>_xll.qlSimpleQuoteSetValue($O34,ROUND($P34/10000,6),Trigger)</f>
        <v>#NUM!</v>
      </c>
      <c r="R34" s="10"/>
    </row>
    <row r="35" spans="1:18" x14ac:dyDescent="0.2">
      <c r="A35" s="9">
        <v>27</v>
      </c>
      <c r="B35" s="74" t="s">
        <v>65</v>
      </c>
      <c r="C35" s="42" t="str">
        <v>1L</v>
      </c>
      <c r="D35" s="42" t="str">
        <v>6L</v>
      </c>
      <c r="E35" s="43" t="str">
        <f t="shared" si="0"/>
        <v>HKD1L6L27Y</v>
      </c>
      <c r="F35" s="26" t="str">
        <v>HKD1L6L27Y=ICAP</v>
      </c>
      <c r="G35" s="52" t="s">
        <v>171</v>
      </c>
      <c r="H35" s="52" t="s">
        <v>171</v>
      </c>
      <c r="I35" s="52" t="e">
        <f>_xll.qlMidEquivalent(G35,H35)</f>
        <v>#NUM!</v>
      </c>
      <c r="J35" s="15" t="b">
        <f t="shared" si="2"/>
        <v>0</v>
      </c>
      <c r="K35" s="250" t="e">
        <v>#VALUE!</v>
      </c>
      <c r="L35" s="6"/>
      <c r="M35" s="108" t="e">
        <v>#VALUE!</v>
      </c>
      <c r="N35" s="6"/>
      <c r="O35" s="94" t="str">
        <f t="shared" si="1"/>
        <v>HKD1L6L27Y_Quote</v>
      </c>
      <c r="P35" s="51" t="e">
        <v>#VALUE!</v>
      </c>
      <c r="Q35" s="95" t="e">
        <f>_xll.qlSimpleQuoteSetValue($O35,ROUND($P35/10000,6),Trigger)</f>
        <v>#NUM!</v>
      </c>
      <c r="R35" s="10"/>
    </row>
    <row r="36" spans="1:18" x14ac:dyDescent="0.2">
      <c r="A36" s="9">
        <v>28</v>
      </c>
      <c r="B36" s="74" t="s">
        <v>66</v>
      </c>
      <c r="C36" s="42" t="str">
        <v>1L</v>
      </c>
      <c r="D36" s="42" t="str">
        <v>6L</v>
      </c>
      <c r="E36" s="43" t="str">
        <f t="shared" si="0"/>
        <v>HKD1L6L28Y</v>
      </c>
      <c r="F36" s="26" t="str">
        <v>HKD1L6L28Y=ICAP</v>
      </c>
      <c r="G36" s="52" t="s">
        <v>171</v>
      </c>
      <c r="H36" s="52" t="s">
        <v>171</v>
      </c>
      <c r="I36" s="52" t="e">
        <f>_xll.qlMidEquivalent(G36,H36)</f>
        <v>#NUM!</v>
      </c>
      <c r="J36" s="15" t="b">
        <f t="shared" si="2"/>
        <v>0</v>
      </c>
      <c r="K36" s="250" t="e">
        <v>#VALUE!</v>
      </c>
      <c r="L36" s="6"/>
      <c r="M36" s="108" t="e">
        <v>#VALUE!</v>
      </c>
      <c r="N36" s="6"/>
      <c r="O36" s="94" t="str">
        <f t="shared" si="1"/>
        <v>HKD1L6L28Y_Quote</v>
      </c>
      <c r="P36" s="51" t="e">
        <v>#VALUE!</v>
      </c>
      <c r="Q36" s="95" t="e">
        <f>_xll.qlSimpleQuoteSetValue($O36,ROUND($P36/10000,6),Trigger)</f>
        <v>#NUM!</v>
      </c>
      <c r="R36" s="10"/>
    </row>
    <row r="37" spans="1:18" x14ac:dyDescent="0.2">
      <c r="A37" s="9">
        <v>29</v>
      </c>
      <c r="B37" s="74" t="s">
        <v>67</v>
      </c>
      <c r="C37" s="42" t="str">
        <v>1L</v>
      </c>
      <c r="D37" s="42" t="str">
        <v>6L</v>
      </c>
      <c r="E37" s="43" t="str">
        <f t="shared" si="0"/>
        <v>HKD1L6L29Y</v>
      </c>
      <c r="F37" s="26" t="str">
        <v>HKD1L6L29Y=ICAP</v>
      </c>
      <c r="G37" s="52" t="s">
        <v>171</v>
      </c>
      <c r="H37" s="52" t="s">
        <v>171</v>
      </c>
      <c r="I37" s="52" t="e">
        <f>_xll.qlMidEquivalent(G37,H37)</f>
        <v>#NUM!</v>
      </c>
      <c r="J37" s="15" t="b">
        <f t="shared" si="2"/>
        <v>0</v>
      </c>
      <c r="K37" s="250" t="e">
        <v>#VALUE!</v>
      </c>
      <c r="L37" s="6"/>
      <c r="M37" s="108" t="e">
        <v>#VALUE!</v>
      </c>
      <c r="N37" s="6"/>
      <c r="O37" s="94" t="str">
        <f t="shared" si="1"/>
        <v>HKD1L6L29Y_Quote</v>
      </c>
      <c r="P37" s="51" t="e">
        <v>#VALUE!</v>
      </c>
      <c r="Q37" s="95" t="e">
        <f>_xll.qlSimpleQuoteSetValue($O37,ROUND($P37/10000,6),Trigger)</f>
        <v>#NUM!</v>
      </c>
      <c r="R37" s="10"/>
    </row>
    <row r="38" spans="1:18" x14ac:dyDescent="0.2">
      <c r="A38" s="9">
        <v>30</v>
      </c>
      <c r="B38" s="74" t="s">
        <v>68</v>
      </c>
      <c r="C38" s="42" t="str">
        <v>1L</v>
      </c>
      <c r="D38" s="42" t="str">
        <v>6L</v>
      </c>
      <c r="E38" s="43" t="str">
        <f t="shared" si="0"/>
        <v>HKD1L6L30Y</v>
      </c>
      <c r="F38" s="26" t="str">
        <v>HKD1L6L30Y=ICAP</v>
      </c>
      <c r="G38" s="52" t="s">
        <v>171</v>
      </c>
      <c r="H38" s="52" t="s">
        <v>171</v>
      </c>
      <c r="I38" s="52" t="e">
        <f>_xll.qlMidEquivalent(G38,H38)</f>
        <v>#NUM!</v>
      </c>
      <c r="J38" s="15" t="b">
        <f t="shared" si="2"/>
        <v>0</v>
      </c>
      <c r="K38" s="250" t="e">
        <v>#VALUE!</v>
      </c>
      <c r="L38" s="6"/>
      <c r="M38" s="108" t="e">
        <v>#VALUE!</v>
      </c>
      <c r="N38" s="6"/>
      <c r="O38" s="94" t="str">
        <f t="shared" si="1"/>
        <v>HKD1L6L30Y_Quote</v>
      </c>
      <c r="P38" s="51" t="e">
        <v>#VALUE!</v>
      </c>
      <c r="Q38" s="95" t="e">
        <f>_xll.qlSimpleQuoteSetValue($O38,ROUND($P38/10000,6),Trigger)</f>
        <v>#NUM!</v>
      </c>
      <c r="R38" s="10"/>
    </row>
    <row r="39" spans="1:18" x14ac:dyDescent="0.2">
      <c r="A39" s="9">
        <v>35</v>
      </c>
      <c r="B39" s="74" t="s">
        <v>69</v>
      </c>
      <c r="C39" s="42" t="str">
        <v>1L</v>
      </c>
      <c r="D39" s="42" t="str">
        <v>6L</v>
      </c>
      <c r="E39" s="43" t="str">
        <f t="shared" si="0"/>
        <v>HKD1L6L35Y</v>
      </c>
      <c r="F39" s="26" t="str">
        <v>HKD1L6L35Y=ICAP</v>
      </c>
      <c r="G39" s="52" t="s">
        <v>171</v>
      </c>
      <c r="H39" s="52" t="s">
        <v>171</v>
      </c>
      <c r="I39" s="52" t="e">
        <f>_xll.qlMidEquivalent(G39,H39)</f>
        <v>#NUM!</v>
      </c>
      <c r="J39" s="15" t="b">
        <f t="shared" si="2"/>
        <v>0</v>
      </c>
      <c r="K39" s="250" t="e">
        <v>#VALUE!</v>
      </c>
      <c r="L39" s="6"/>
      <c r="M39" s="108" t="e">
        <v>#VALUE!</v>
      </c>
      <c r="N39" s="6"/>
      <c r="O39" s="94" t="str">
        <f t="shared" si="1"/>
        <v>HKD1L6L35Y_Quote</v>
      </c>
      <c r="P39" s="51" t="e">
        <v>#VALUE!</v>
      </c>
      <c r="Q39" s="95" t="e">
        <f>_xll.qlSimpleQuoteSetValue($O39,ROUND($P39/10000,6),Trigger)</f>
        <v>#NUM!</v>
      </c>
      <c r="R39" s="10"/>
    </row>
    <row r="40" spans="1:18" x14ac:dyDescent="0.2">
      <c r="A40" s="9">
        <v>40</v>
      </c>
      <c r="B40" s="74" t="s">
        <v>70</v>
      </c>
      <c r="C40" s="42" t="str">
        <v>1L</v>
      </c>
      <c r="D40" s="42" t="str">
        <v>6L</v>
      </c>
      <c r="E40" s="43" t="str">
        <f t="shared" si="0"/>
        <v>HKD1L6L40Y</v>
      </c>
      <c r="F40" s="26" t="str">
        <v>HKD1L6L40Y=ICAP</v>
      </c>
      <c r="G40" s="52" t="s">
        <v>171</v>
      </c>
      <c r="H40" s="52" t="s">
        <v>171</v>
      </c>
      <c r="I40" s="52" t="e">
        <f>_xll.qlMidEquivalent(G40,H40)</f>
        <v>#NUM!</v>
      </c>
      <c r="J40" s="15" t="b">
        <f t="shared" si="2"/>
        <v>0</v>
      </c>
      <c r="K40" s="250" t="e">
        <v>#VALUE!</v>
      </c>
      <c r="L40" s="6"/>
      <c r="M40" s="108" t="e">
        <v>#VALUE!</v>
      </c>
      <c r="N40" s="6"/>
      <c r="O40" s="94" t="str">
        <f t="shared" si="1"/>
        <v>HKD1L6L40Y_Quote</v>
      </c>
      <c r="P40" s="51" t="e">
        <v>#VALUE!</v>
      </c>
      <c r="Q40" s="95" t="e">
        <f>_xll.qlSimpleQuoteSetValue($O40,ROUND($P40/10000,6),Trigger)</f>
        <v>#NUM!</v>
      </c>
      <c r="R40" s="10"/>
    </row>
    <row r="41" spans="1:18" x14ac:dyDescent="0.2">
      <c r="A41" s="9">
        <v>50</v>
      </c>
      <c r="B41" s="74" t="s">
        <v>71</v>
      </c>
      <c r="C41" s="42" t="str">
        <v>1L</v>
      </c>
      <c r="D41" s="42" t="str">
        <v>6L</v>
      </c>
      <c r="E41" s="43" t="str">
        <f t="shared" si="0"/>
        <v>HKD1L6L50Y</v>
      </c>
      <c r="F41" s="26" t="str">
        <v>HKD1L6L50Y=ICAP</v>
      </c>
      <c r="G41" s="52" t="s">
        <v>171</v>
      </c>
      <c r="H41" s="52" t="s">
        <v>171</v>
      </c>
      <c r="I41" s="52" t="e">
        <f>_xll.qlMidEquivalent(G41,H41)</f>
        <v>#NUM!</v>
      </c>
      <c r="J41" s="15" t="b">
        <f t="shared" si="2"/>
        <v>0</v>
      </c>
      <c r="K41" s="250" t="e">
        <v>#VALUE!</v>
      </c>
      <c r="L41" s="6"/>
      <c r="M41" s="108" t="e">
        <v>#VALUE!</v>
      </c>
      <c r="N41" s="6"/>
      <c r="O41" s="94" t="str">
        <f t="shared" si="1"/>
        <v>HKD1L6L50Y_Quote</v>
      </c>
      <c r="P41" s="51" t="e">
        <v>#VALUE!</v>
      </c>
      <c r="Q41" s="95" t="e">
        <f>_xll.qlSimpleQuoteSetValue($O41,ROUND($P41/10000,6),Trigger)</f>
        <v>#NUM!</v>
      </c>
      <c r="R41" s="10"/>
    </row>
    <row r="42" spans="1:18" x14ac:dyDescent="0.2">
      <c r="A42" s="9">
        <v>60</v>
      </c>
      <c r="B42" s="74" t="s">
        <v>72</v>
      </c>
      <c r="C42" s="42" t="str">
        <v>1L</v>
      </c>
      <c r="D42" s="42" t="str">
        <v>6L</v>
      </c>
      <c r="E42" s="43" t="str">
        <f t="shared" si="0"/>
        <v>HKD1L6L60Y</v>
      </c>
      <c r="F42" s="26" t="str">
        <v>HKD1L6L60Y=ICAP</v>
      </c>
      <c r="G42" s="52" t="s">
        <v>171</v>
      </c>
      <c r="H42" s="52" t="s">
        <v>171</v>
      </c>
      <c r="I42" s="52" t="e">
        <f>_xll.qlMidEquivalent(G42,H42)</f>
        <v>#NUM!</v>
      </c>
      <c r="J42" s="15" t="b">
        <f t="shared" si="2"/>
        <v>0</v>
      </c>
      <c r="K42" s="250" t="e">
        <v>#VALUE!</v>
      </c>
      <c r="L42" s="6"/>
      <c r="M42" s="108" t="e">
        <v>#VALUE!</v>
      </c>
      <c r="N42" s="6"/>
      <c r="O42" s="94" t="str">
        <f t="shared" si="1"/>
        <v>HKD1L6L60Y_Quote</v>
      </c>
      <c r="P42" s="51" t="e">
        <v>#VALUE!</v>
      </c>
      <c r="Q42" s="95" t="e">
        <f>_xll.qlSimpleQuoteSetValue($O42,ROUND($P42/10000,6),Trigger)</f>
        <v>#NUM!</v>
      </c>
      <c r="R42" s="10"/>
    </row>
    <row r="43" spans="1:18" ht="12" thickBot="1" x14ac:dyDescent="0.25">
      <c r="A43" s="11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12"/>
      <c r="M43" s="243"/>
      <c r="N43" s="12"/>
      <c r="O43" s="243"/>
      <c r="P43" s="243"/>
      <c r="Q43" s="243"/>
      <c r="R43" s="14"/>
    </row>
    <row r="53" spans="6:6" x14ac:dyDescent="0.2">
      <c r="F53" s="49"/>
    </row>
    <row r="54" spans="6:6" x14ac:dyDescent="0.2">
      <c r="F54" s="49"/>
    </row>
    <row r="55" spans="6:6" x14ac:dyDescent="0.2">
      <c r="F55" s="49"/>
    </row>
    <row r="56" spans="6:6" x14ac:dyDescent="0.2">
      <c r="F56" s="49"/>
    </row>
    <row r="57" spans="6:6" x14ac:dyDescent="0.2">
      <c r="F57" s="49"/>
    </row>
    <row r="58" spans="6:6" x14ac:dyDescent="0.2">
      <c r="F58" s="49"/>
    </row>
    <row r="59" spans="6:6" x14ac:dyDescent="0.2">
      <c r="F59" s="49"/>
    </row>
    <row r="60" spans="6:6" x14ac:dyDescent="0.2">
      <c r="F60" s="49"/>
    </row>
    <row r="61" spans="6:6" x14ac:dyDescent="0.2">
      <c r="F61" s="49"/>
    </row>
    <row r="62" spans="6:6" x14ac:dyDescent="0.2">
      <c r="F62" s="50"/>
    </row>
    <row r="63" spans="6:6" x14ac:dyDescent="0.2">
      <c r="F63" s="50"/>
    </row>
    <row r="64" spans="6:6" x14ac:dyDescent="0.2">
      <c r="F64" s="50"/>
    </row>
    <row r="65" spans="6:6" x14ac:dyDescent="0.2">
      <c r="F65" s="50"/>
    </row>
  </sheetData>
  <phoneticPr fontId="4" type="noConversion"/>
  <dataValidations disablePrompts="1" count="2">
    <dataValidation type="list" allowBlank="1" showInputMessage="1" showErrorMessage="1" sqref="F45:F52">
      <formula1>"FirstDerivative,SecondDerivative,Lagrange,NotAKnot,Periodic"</formula1>
    </dataValidation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63"/>
  <sheetViews>
    <sheetView workbookViewId="0">
      <selection activeCell="T45" sqref="T45"/>
    </sheetView>
  </sheetViews>
  <sheetFormatPr defaultRowHeight="11.25" x14ac:dyDescent="0.2"/>
  <cols>
    <col min="1" max="1" width="4" style="44" bestFit="1" customWidth="1"/>
    <col min="2" max="2" width="3.85546875" style="44" bestFit="1" customWidth="1"/>
    <col min="3" max="4" width="2.7109375" style="44" bestFit="1" customWidth="1"/>
    <col min="5" max="5" width="10.28515625" style="44" bestFit="1" customWidth="1"/>
    <col min="6" max="6" width="14.5703125" style="44" bestFit="1" customWidth="1"/>
    <col min="7" max="8" width="5.28515625" style="44" customWidth="1"/>
    <col min="9" max="9" width="9" style="44" bestFit="1" customWidth="1"/>
    <col min="10" max="10" width="5.7109375" style="44" bestFit="1" customWidth="1"/>
    <col min="11" max="11" width="5.28515625" style="44" bestFit="1" customWidth="1"/>
    <col min="12" max="12" width="5" style="44" customWidth="1"/>
    <col min="13" max="13" width="5.28515625" style="44" bestFit="1" customWidth="1"/>
    <col min="14" max="14" width="5" style="44" customWidth="1"/>
    <col min="15" max="15" width="15.42578125" style="44" bestFit="1" customWidth="1"/>
    <col min="16" max="17" width="7.7109375" style="44" bestFit="1" customWidth="1"/>
    <col min="18" max="18" width="5" style="44" customWidth="1"/>
    <col min="19" max="19" width="5.140625" style="44" customWidth="1"/>
    <col min="20" max="20" width="9" style="44" bestFit="1" customWidth="1"/>
    <col min="21" max="21" width="4.140625" style="44" bestFit="1" customWidth="1"/>
    <col min="22" max="22" width="9.5703125" style="44" bestFit="1" customWidth="1"/>
    <col min="23" max="23" width="3.85546875" style="44" bestFit="1" customWidth="1"/>
    <col min="24" max="24" width="7.7109375" style="44" bestFit="1" customWidth="1"/>
    <col min="25" max="16384" width="9.140625" style="44"/>
  </cols>
  <sheetData>
    <row r="1" spans="1:24" x14ac:dyDescent="0.2">
      <c r="A1" s="27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4"/>
    </row>
    <row r="2" spans="1:24" x14ac:dyDescent="0.2">
      <c r="A2" s="5"/>
      <c r="B2" s="7"/>
      <c r="C2" s="6"/>
      <c r="D2" s="6"/>
      <c r="E2" s="6"/>
      <c r="F2" s="110" t="s">
        <v>5</v>
      </c>
      <c r="G2" s="6"/>
      <c r="H2" s="6"/>
      <c r="I2" s="6"/>
      <c r="J2" s="6"/>
      <c r="K2" s="7"/>
      <c r="L2" s="6"/>
      <c r="M2" s="6"/>
      <c r="N2" s="6"/>
      <c r="O2" s="109" t="s">
        <v>79</v>
      </c>
      <c r="P2" s="110" t="s">
        <v>34</v>
      </c>
      <c r="Q2" s="7"/>
      <c r="R2" s="8"/>
    </row>
    <row r="3" spans="1:24" x14ac:dyDescent="0.2">
      <c r="A3" s="9"/>
      <c r="B3" s="6"/>
      <c r="C3" s="7"/>
      <c r="D3" s="7"/>
      <c r="E3" s="7"/>
      <c r="F3" s="7" t="e">
        <f>_xll.qlInterpolation(,InterpolationType,_xll.ohFilter(A5:A42,J5:J42),_xll.ohFilter(I5:I42,J5:J42))</f>
        <v>#NUM!</v>
      </c>
      <c r="G3" s="7"/>
      <c r="H3" s="7"/>
      <c r="I3" s="7"/>
      <c r="J3" s="7"/>
      <c r="K3" s="7"/>
      <c r="L3" s="6"/>
      <c r="M3" s="6"/>
      <c r="N3" s="6"/>
      <c r="O3" s="7"/>
      <c r="P3" s="7"/>
      <c r="Q3" s="48">
        <f>_xll.ohTrigger(Q5:Q42)</f>
        <v>12</v>
      </c>
      <c r="R3" s="10"/>
    </row>
    <row r="4" spans="1:24" ht="23.25" thickBot="1" x14ac:dyDescent="0.25">
      <c r="A4" s="9"/>
      <c r="B4" s="80"/>
      <c r="C4" s="81"/>
      <c r="D4" s="81"/>
      <c r="E4" s="81"/>
      <c r="F4" s="82" t="e">
        <f ca="1">_xll.RData(F5:F42,G4:H4,,ReutersRtMode,,G5)</f>
        <v>#NAME?</v>
      </c>
      <c r="G4" s="83" t="s">
        <v>0</v>
      </c>
      <c r="H4" s="83" t="s">
        <v>1</v>
      </c>
      <c r="I4" s="83" t="s">
        <v>27</v>
      </c>
      <c r="J4" s="83"/>
      <c r="K4" s="84" t="s">
        <v>99</v>
      </c>
      <c r="L4" s="6"/>
      <c r="M4" s="87" t="s">
        <v>105</v>
      </c>
      <c r="N4" s="6"/>
      <c r="O4" s="88" t="s">
        <v>31</v>
      </c>
      <c r="P4" s="89" t="s">
        <v>17</v>
      </c>
      <c r="Q4" s="90" t="s">
        <v>24</v>
      </c>
      <c r="R4" s="10"/>
      <c r="X4" s="222" t="s">
        <v>143</v>
      </c>
    </row>
    <row r="5" spans="1:24" x14ac:dyDescent="0.2">
      <c r="A5" s="224">
        <v>0.5</v>
      </c>
      <c r="B5" s="74" t="s">
        <v>92</v>
      </c>
      <c r="C5" s="42" t="str">
        <f t="array" ref="C5:C42">VLOOKUP(Currency,Conventions,2)</f>
        <v>3L</v>
      </c>
      <c r="D5" s="42" t="str">
        <f t="array" ref="D5:D42">VLOOKUP(Currency,Conventions,3)</f>
        <v>6L</v>
      </c>
      <c r="E5" s="43" t="str">
        <f t="shared" ref="E5:E42" si="0">Currency&amp;$C5&amp;$D5&amp;$B5</f>
        <v>HKD3L6L6M</v>
      </c>
      <c r="F5" s="26" t="str">
        <f t="array" ref="F5:F42">Instruments&amp;"="&amp;VLOOKUP(Contributor,ContributorTable,2,FALSE)</f>
        <v>HKD3L6L6M=ICAP</v>
      </c>
      <c r="G5" s="52" t="s">
        <v>171</v>
      </c>
      <c r="H5" s="52" t="s">
        <v>171</v>
      </c>
      <c r="I5" s="52" t="e">
        <f>_xll.qlMidEquivalent(G5,H5)</f>
        <v>#NUM!</v>
      </c>
      <c r="J5" s="15" t="b">
        <f>IF(ISNUMBER(I5),TRUE,FALSE)</f>
        <v>0</v>
      </c>
      <c r="K5" s="104" t="e">
        <f t="array" ref="K5:K41">_xll.qlInterpolationInterpolate(F3,A5:A42)</f>
        <v>#VALUE!</v>
      </c>
      <c r="L5" s="6"/>
      <c r="M5" s="108" t="e">
        <v>#VALUE!</v>
      </c>
      <c r="N5" s="6"/>
      <c r="O5" s="94" t="str">
        <f>$E5&amp;$P$2</f>
        <v>HKD3L6L6M_Quote</v>
      </c>
      <c r="P5" s="51" t="e">
        <f t="array" ref="P5:P42">QuoteLive</f>
        <v>#VALUE!</v>
      </c>
      <c r="Q5" s="95" t="e">
        <f>_xll.qlSimpleQuoteSetValue($O5,ROUND($P5/10000,6),Trigger)</f>
        <v>#NUM!</v>
      </c>
      <c r="R5" s="10"/>
      <c r="T5" s="221" t="s">
        <v>114</v>
      </c>
      <c r="U5" s="196" t="s">
        <v>117</v>
      </c>
      <c r="V5" s="197" t="s">
        <v>119</v>
      </c>
      <c r="W5" s="44" t="str">
        <f>B5</f>
        <v>6M</v>
      </c>
      <c r="X5" s="50" t="e">
        <f>((Swap6M!P5-Swap3M!P5)*100-P5)/10000</f>
        <v>#NUM!</v>
      </c>
    </row>
    <row r="6" spans="1:24" x14ac:dyDescent="0.2">
      <c r="A6" s="224">
        <v>1</v>
      </c>
      <c r="B6" s="74" t="s">
        <v>36</v>
      </c>
      <c r="C6" s="42" t="str">
        <v>3L</v>
      </c>
      <c r="D6" s="42" t="str">
        <v>6L</v>
      </c>
      <c r="E6" s="43" t="str">
        <f t="shared" si="0"/>
        <v>HKD3L6L1Y</v>
      </c>
      <c r="F6" s="26" t="str">
        <v>HKD3L6L1Y=ICAP</v>
      </c>
      <c r="G6" s="52" t="s">
        <v>171</v>
      </c>
      <c r="H6" s="52" t="s">
        <v>171</v>
      </c>
      <c r="I6" s="52" t="e">
        <f>_xll.qlMidEquivalent(G6,H6)</f>
        <v>#NUM!</v>
      </c>
      <c r="J6" s="15" t="b">
        <f>IF(ISNUMBER(I6),TRUE,FALSE)</f>
        <v>0</v>
      </c>
      <c r="K6" s="104" t="e">
        <v>#VALUE!</v>
      </c>
      <c r="L6" s="6"/>
      <c r="M6" s="108" t="e">
        <v>#VALUE!</v>
      </c>
      <c r="N6" s="6"/>
      <c r="O6" s="94" t="str">
        <f>$E6&amp;$P$2</f>
        <v>HKD3L6L1Y_Quote</v>
      </c>
      <c r="P6" s="51" t="e">
        <v>#VALUE!</v>
      </c>
      <c r="Q6" s="95" t="e">
        <f>_xll.qlSimpleQuoteSetValue($O6,ROUND($P6/10000,6),Trigger)</f>
        <v>#NUM!</v>
      </c>
      <c r="R6" s="10"/>
      <c r="T6" s="114" t="s">
        <v>15</v>
      </c>
      <c r="U6" s="100" t="s">
        <v>29</v>
      </c>
      <c r="V6" s="101" t="s">
        <v>19</v>
      </c>
      <c r="W6" s="44" t="str">
        <f t="shared" ref="W6:W42" si="1">B6</f>
        <v>1Y</v>
      </c>
      <c r="X6" s="50" t="e">
        <f>((Swap6M!P6-Swap3M!P6)*100-P6)/10000</f>
        <v>#NUM!</v>
      </c>
    </row>
    <row r="7" spans="1:24" x14ac:dyDescent="0.2">
      <c r="A7" s="224">
        <v>1.25</v>
      </c>
      <c r="B7" s="74" t="s">
        <v>37</v>
      </c>
      <c r="C7" s="42" t="str">
        <v>3L</v>
      </c>
      <c r="D7" s="42" t="str">
        <v>6L</v>
      </c>
      <c r="E7" s="43" t="str">
        <f t="shared" si="0"/>
        <v>HKD3L6L15M</v>
      </c>
      <c r="F7" s="26" t="str">
        <v>HKD3L6L15M=ICAP</v>
      </c>
      <c r="G7" s="52" t="s">
        <v>171</v>
      </c>
      <c r="H7" s="52" t="s">
        <v>171</v>
      </c>
      <c r="I7" s="52" t="e">
        <f>_xll.qlMidEquivalent(G7,H7)</f>
        <v>#NUM!</v>
      </c>
      <c r="J7" s="15" t="b">
        <f>IF(ISNUMBER(I7),TRUE,FALSE)</f>
        <v>0</v>
      </c>
      <c r="K7" s="104" t="e">
        <v>#VALUE!</v>
      </c>
      <c r="L7" s="6"/>
      <c r="M7" s="108" t="e">
        <v>#VALUE!</v>
      </c>
      <c r="N7" s="6"/>
      <c r="O7" s="94" t="str">
        <f>$E7&amp;$P$2</f>
        <v>HKD3L6L15M_Quote</v>
      </c>
      <c r="P7" s="51" t="e">
        <v>#VALUE!</v>
      </c>
      <c r="Q7" s="95" t="e">
        <f>_xll.qlSimpleQuoteSetValue($O7,ROUND($P7/10000,6),Trigger)</f>
        <v>#NUM!</v>
      </c>
      <c r="R7" s="10"/>
      <c r="T7" s="114" t="s">
        <v>111</v>
      </c>
      <c r="U7" s="100" t="s">
        <v>117</v>
      </c>
      <c r="V7" s="101" t="s">
        <v>119</v>
      </c>
      <c r="W7" s="44" t="str">
        <f t="shared" si="1"/>
        <v>15M</v>
      </c>
      <c r="X7" s="50" t="e">
        <f>((Swap6M!P7-Swap3M!P7)*100-P7)/10000</f>
        <v>#NUM!</v>
      </c>
    </row>
    <row r="8" spans="1:24" x14ac:dyDescent="0.2">
      <c r="A8" s="224">
        <v>1.5</v>
      </c>
      <c r="B8" s="74" t="s">
        <v>38</v>
      </c>
      <c r="C8" s="42" t="str">
        <v>3L</v>
      </c>
      <c r="D8" s="42" t="str">
        <v>6L</v>
      </c>
      <c r="E8" s="43" t="str">
        <f t="shared" si="0"/>
        <v>HKD3L6L18M</v>
      </c>
      <c r="F8" s="26" t="str">
        <v>HKD3L6L18M=ICAP</v>
      </c>
      <c r="G8" s="52" t="s">
        <v>171</v>
      </c>
      <c r="H8" s="52" t="s">
        <v>171</v>
      </c>
      <c r="I8" s="52" t="e">
        <f>_xll.qlMidEquivalent(G8,H8)</f>
        <v>#NUM!</v>
      </c>
      <c r="J8" s="15" t="b">
        <f>IF(ISNUMBER(I8),TRUE,FALSE)</f>
        <v>0</v>
      </c>
      <c r="K8" s="104" t="e">
        <v>#VALUE!</v>
      </c>
      <c r="L8" s="6"/>
      <c r="M8" s="108" t="e">
        <v>#VALUE!</v>
      </c>
      <c r="N8" s="6"/>
      <c r="O8" s="94" t="str">
        <f t="shared" ref="O8:O42" si="2">$E8&amp;$P$2</f>
        <v>HKD3L6L18M_Quote</v>
      </c>
      <c r="P8" s="51" t="e">
        <v>#VALUE!</v>
      </c>
      <c r="Q8" s="95" t="e">
        <f>_xll.qlSimpleQuoteSetValue($O8,ROUND($P8/10000,6),Trigger)</f>
        <v>#NUM!</v>
      </c>
      <c r="R8" s="10"/>
      <c r="T8" s="114" t="s">
        <v>113</v>
      </c>
      <c r="U8" s="100" t="s">
        <v>117</v>
      </c>
      <c r="V8" s="101" t="s">
        <v>119</v>
      </c>
      <c r="W8" s="44" t="str">
        <f t="shared" si="1"/>
        <v>18M</v>
      </c>
      <c r="X8" s="50" t="e">
        <f>((Swap6M!P8-Swap3M!P8)*100-P8)/10000</f>
        <v>#NUM!</v>
      </c>
    </row>
    <row r="9" spans="1:24" ht="12" thickBot="1" x14ac:dyDescent="0.25">
      <c r="A9" s="224">
        <v>1.75</v>
      </c>
      <c r="B9" s="74" t="s">
        <v>39</v>
      </c>
      <c r="C9" s="42" t="str">
        <v>3L</v>
      </c>
      <c r="D9" s="42" t="str">
        <v>6L</v>
      </c>
      <c r="E9" s="43" t="str">
        <f t="shared" si="0"/>
        <v>HKD3L6L21M</v>
      </c>
      <c r="F9" s="26" t="str">
        <v>HKD3L6L21M=ICAP</v>
      </c>
      <c r="G9" s="52" t="s">
        <v>171</v>
      </c>
      <c r="H9" s="52" t="s">
        <v>171</v>
      </c>
      <c r="I9" s="52" t="e">
        <f>_xll.qlMidEquivalent(G9,H9)</f>
        <v>#NUM!</v>
      </c>
      <c r="J9" s="15" t="b">
        <f t="shared" ref="J9:J42" si="3">IF(ISNUMBER(I9),TRUE,FALSE)</f>
        <v>0</v>
      </c>
      <c r="K9" s="104" t="e">
        <v>#VALUE!</v>
      </c>
      <c r="L9" s="6"/>
      <c r="M9" s="108" t="e">
        <v>#VALUE!</v>
      </c>
      <c r="N9" s="6"/>
      <c r="O9" s="94" t="str">
        <f t="shared" si="2"/>
        <v>HKD3L6L21M_Quote</v>
      </c>
      <c r="P9" s="51" t="e">
        <v>#VALUE!</v>
      </c>
      <c r="Q9" s="95" t="e">
        <f>_xll.qlSimpleQuoteSetValue($O9,ROUND($P9/10000,6),Trigger)</f>
        <v>#NUM!</v>
      </c>
      <c r="R9" s="10"/>
      <c r="T9" s="115" t="s">
        <v>106</v>
      </c>
      <c r="U9" s="102" t="s">
        <v>119</v>
      </c>
      <c r="V9" s="103" t="s">
        <v>117</v>
      </c>
      <c r="W9" s="44" t="str">
        <f t="shared" si="1"/>
        <v>21M</v>
      </c>
      <c r="X9" s="50" t="e">
        <f>((Swap6M!P9-Swap3M!P9)*100-P9)/10000</f>
        <v>#NUM!</v>
      </c>
    </row>
    <row r="10" spans="1:24" x14ac:dyDescent="0.2">
      <c r="A10" s="9">
        <v>2</v>
      </c>
      <c r="B10" s="74" t="s">
        <v>40</v>
      </c>
      <c r="C10" s="42" t="str">
        <v>3L</v>
      </c>
      <c r="D10" s="42" t="str">
        <v>6L</v>
      </c>
      <c r="E10" s="43" t="str">
        <f t="shared" si="0"/>
        <v>HKD3L6L2Y</v>
      </c>
      <c r="F10" s="26" t="str">
        <v>HKD3L6L2Y=ICAP</v>
      </c>
      <c r="G10" s="52" t="s">
        <v>171</v>
      </c>
      <c r="H10" s="52" t="s">
        <v>171</v>
      </c>
      <c r="I10" s="52" t="e">
        <f>_xll.qlMidEquivalent(G10,H10)</f>
        <v>#NUM!</v>
      </c>
      <c r="J10" s="15" t="b">
        <f t="shared" si="3"/>
        <v>0</v>
      </c>
      <c r="K10" s="104" t="e">
        <v>#VALUE!</v>
      </c>
      <c r="L10" s="6"/>
      <c r="M10" s="108" t="e">
        <v>#VALUE!</v>
      </c>
      <c r="N10" s="6"/>
      <c r="O10" s="94" t="str">
        <f t="shared" si="2"/>
        <v>HKD3L6L2Y_Quote</v>
      </c>
      <c r="P10" s="51" t="e">
        <v>#VALUE!</v>
      </c>
      <c r="Q10" s="95" t="e">
        <f>_xll.qlSimpleQuoteSetValue($O10,ROUND($P10/10000,6),Trigger)</f>
        <v>#NUM!</v>
      </c>
      <c r="R10" s="10"/>
      <c r="W10" s="44" t="str">
        <f t="shared" si="1"/>
        <v>2Y</v>
      </c>
      <c r="X10" s="50" t="e">
        <f>((Swap6M!P10-Swap3M!P10)*100-P10)/10000</f>
        <v>#NUM!</v>
      </c>
    </row>
    <row r="11" spans="1:24" x14ac:dyDescent="0.2">
      <c r="A11" s="9">
        <v>3</v>
      </c>
      <c r="B11" s="74" t="s">
        <v>41</v>
      </c>
      <c r="C11" s="42" t="str">
        <v>3L</v>
      </c>
      <c r="D11" s="42" t="str">
        <v>6L</v>
      </c>
      <c r="E11" s="43" t="str">
        <f t="shared" si="0"/>
        <v>HKD3L6L3Y</v>
      </c>
      <c r="F11" s="26" t="str">
        <v>HKD3L6L3Y=ICAP</v>
      </c>
      <c r="G11" s="52" t="s">
        <v>171</v>
      </c>
      <c r="H11" s="52" t="s">
        <v>171</v>
      </c>
      <c r="I11" s="52" t="e">
        <f>_xll.qlMidEquivalent(G11,H11)</f>
        <v>#NUM!</v>
      </c>
      <c r="J11" s="15" t="b">
        <f t="shared" si="3"/>
        <v>0</v>
      </c>
      <c r="K11" s="104" t="e">
        <v>#VALUE!</v>
      </c>
      <c r="L11" s="6"/>
      <c r="M11" s="108" t="e">
        <v>#VALUE!</v>
      </c>
      <c r="N11" s="6"/>
      <c r="O11" s="94" t="str">
        <f t="shared" si="2"/>
        <v>HKD3L6L3Y_Quote</v>
      </c>
      <c r="P11" s="51" t="e">
        <v>#VALUE!</v>
      </c>
      <c r="Q11" s="95" t="e">
        <f>_xll.qlSimpleQuoteSetValue($O11,ROUND($P11/10000,6),Trigger)</f>
        <v>#NUM!</v>
      </c>
      <c r="R11" s="10"/>
      <c r="W11" s="44" t="str">
        <f t="shared" si="1"/>
        <v>3Y</v>
      </c>
      <c r="X11" s="50" t="e">
        <f>((Swap6M!P11-Swap3M!P11)*100-P11)/10000</f>
        <v>#NUM!</v>
      </c>
    </row>
    <row r="12" spans="1:24" x14ac:dyDescent="0.2">
      <c r="A12" s="9">
        <v>4</v>
      </c>
      <c r="B12" s="74" t="s">
        <v>42</v>
      </c>
      <c r="C12" s="42" t="str">
        <v>3L</v>
      </c>
      <c r="D12" s="42" t="str">
        <v>6L</v>
      </c>
      <c r="E12" s="43" t="str">
        <f t="shared" si="0"/>
        <v>HKD3L6L4Y</v>
      </c>
      <c r="F12" s="26" t="str">
        <v>HKD3L6L4Y=ICAP</v>
      </c>
      <c r="G12" s="52" t="s">
        <v>171</v>
      </c>
      <c r="H12" s="52" t="s">
        <v>171</v>
      </c>
      <c r="I12" s="52" t="e">
        <f>_xll.qlMidEquivalent(G12,H12)</f>
        <v>#NUM!</v>
      </c>
      <c r="J12" s="15" t="b">
        <f t="shared" si="3"/>
        <v>0</v>
      </c>
      <c r="K12" s="104" t="e">
        <v>#VALUE!</v>
      </c>
      <c r="L12" s="6"/>
      <c r="M12" s="108" t="e">
        <v>#VALUE!</v>
      </c>
      <c r="N12" s="6"/>
      <c r="O12" s="94" t="str">
        <f t="shared" si="2"/>
        <v>HKD3L6L4Y_Quote</v>
      </c>
      <c r="P12" s="51" t="e">
        <v>#VALUE!</v>
      </c>
      <c r="Q12" s="95" t="e">
        <f>_xll.qlSimpleQuoteSetValue($O12,ROUND($P12/10000,6),Trigger)</f>
        <v>#NUM!</v>
      </c>
      <c r="R12" s="10"/>
      <c r="W12" s="44" t="str">
        <f t="shared" si="1"/>
        <v>4Y</v>
      </c>
      <c r="X12" s="50" t="e">
        <f>((Swap6M!P12-Swap3M!P12)*100-P12)/10000</f>
        <v>#NUM!</v>
      </c>
    </row>
    <row r="13" spans="1:24" x14ac:dyDescent="0.2">
      <c r="A13" s="9">
        <v>5</v>
      </c>
      <c r="B13" s="74" t="s">
        <v>43</v>
      </c>
      <c r="C13" s="42" t="str">
        <v>3L</v>
      </c>
      <c r="D13" s="42" t="str">
        <v>6L</v>
      </c>
      <c r="E13" s="43" t="str">
        <f t="shared" si="0"/>
        <v>HKD3L6L5Y</v>
      </c>
      <c r="F13" s="26" t="str">
        <v>HKD3L6L5Y=ICAP</v>
      </c>
      <c r="G13" s="52" t="s">
        <v>171</v>
      </c>
      <c r="H13" s="52" t="s">
        <v>171</v>
      </c>
      <c r="I13" s="52" t="e">
        <f>_xll.qlMidEquivalent(G13,H13)</f>
        <v>#NUM!</v>
      </c>
      <c r="J13" s="15" t="b">
        <f t="shared" si="3"/>
        <v>0</v>
      </c>
      <c r="K13" s="104" t="e">
        <v>#VALUE!</v>
      </c>
      <c r="L13" s="6"/>
      <c r="M13" s="108" t="e">
        <v>#VALUE!</v>
      </c>
      <c r="N13" s="6"/>
      <c r="O13" s="94" t="str">
        <f t="shared" si="2"/>
        <v>HKD3L6L5Y_Quote</v>
      </c>
      <c r="P13" s="51" t="e">
        <v>#VALUE!</v>
      </c>
      <c r="Q13" s="95" t="e">
        <f>_xll.qlSimpleQuoteSetValue($O13,ROUND($P13/10000,6),Trigger)</f>
        <v>#NUM!</v>
      </c>
      <c r="R13" s="10"/>
      <c r="W13" s="44" t="str">
        <f t="shared" si="1"/>
        <v>5Y</v>
      </c>
      <c r="X13" s="50" t="e">
        <f>((Swap6M!P13-Swap3M!P13)*100-P13)/10000</f>
        <v>#NUM!</v>
      </c>
    </row>
    <row r="14" spans="1:24" x14ac:dyDescent="0.2">
      <c r="A14" s="9">
        <v>6</v>
      </c>
      <c r="B14" s="74" t="s">
        <v>44</v>
      </c>
      <c r="C14" s="42" t="str">
        <v>3L</v>
      </c>
      <c r="D14" s="42" t="str">
        <v>6L</v>
      </c>
      <c r="E14" s="43" t="str">
        <f t="shared" si="0"/>
        <v>HKD3L6L6Y</v>
      </c>
      <c r="F14" s="26" t="str">
        <v>HKD3L6L6Y=ICAP</v>
      </c>
      <c r="G14" s="52" t="s">
        <v>171</v>
      </c>
      <c r="H14" s="52" t="s">
        <v>171</v>
      </c>
      <c r="I14" s="52" t="e">
        <f>_xll.qlMidEquivalent(G14,H14)</f>
        <v>#NUM!</v>
      </c>
      <c r="J14" s="15" t="b">
        <f t="shared" si="3"/>
        <v>0</v>
      </c>
      <c r="K14" s="104" t="e">
        <v>#VALUE!</v>
      </c>
      <c r="L14" s="6"/>
      <c r="M14" s="108" t="e">
        <v>#VALUE!</v>
      </c>
      <c r="N14" s="6"/>
      <c r="O14" s="94" t="str">
        <f t="shared" si="2"/>
        <v>HKD3L6L6Y_Quote</v>
      </c>
      <c r="P14" s="51" t="e">
        <v>#VALUE!</v>
      </c>
      <c r="Q14" s="95" t="e">
        <f>_xll.qlSimpleQuoteSetValue($O14,ROUND($P14/10000,6),Trigger)</f>
        <v>#NUM!</v>
      </c>
      <c r="R14" s="10"/>
      <c r="W14" s="44" t="str">
        <f t="shared" si="1"/>
        <v>6Y</v>
      </c>
      <c r="X14" s="50" t="e">
        <f>((Swap6M!P14-Swap3M!P14)*100-P14)/10000</f>
        <v>#NUM!</v>
      </c>
    </row>
    <row r="15" spans="1:24" x14ac:dyDescent="0.2">
      <c r="A15" s="9">
        <v>7</v>
      </c>
      <c r="B15" s="74" t="s">
        <v>45</v>
      </c>
      <c r="C15" s="42" t="str">
        <v>3L</v>
      </c>
      <c r="D15" s="42" t="str">
        <v>6L</v>
      </c>
      <c r="E15" s="43" t="str">
        <f t="shared" si="0"/>
        <v>HKD3L6L7Y</v>
      </c>
      <c r="F15" s="26" t="str">
        <v>HKD3L6L7Y=ICAP</v>
      </c>
      <c r="G15" s="52" t="s">
        <v>171</v>
      </c>
      <c r="H15" s="52" t="s">
        <v>171</v>
      </c>
      <c r="I15" s="52" t="e">
        <f>_xll.qlMidEquivalent(G15,H15)</f>
        <v>#NUM!</v>
      </c>
      <c r="J15" s="15" t="b">
        <f t="shared" si="3"/>
        <v>0</v>
      </c>
      <c r="K15" s="104" t="e">
        <v>#VALUE!</v>
      </c>
      <c r="L15" s="6"/>
      <c r="M15" s="108" t="e">
        <v>#VALUE!</v>
      </c>
      <c r="N15" s="6"/>
      <c r="O15" s="94" t="str">
        <f t="shared" si="2"/>
        <v>HKD3L6L7Y_Quote</v>
      </c>
      <c r="P15" s="51" t="e">
        <v>#VALUE!</v>
      </c>
      <c r="Q15" s="95" t="e">
        <f>_xll.qlSimpleQuoteSetValue($O15,ROUND($P15/10000,6),Trigger)</f>
        <v>#NUM!</v>
      </c>
      <c r="R15" s="10"/>
      <c r="W15" s="44" t="str">
        <f t="shared" si="1"/>
        <v>7Y</v>
      </c>
      <c r="X15" s="50" t="e">
        <f>((Swap6M!P15-Swap3M!P15)*100-P15)/10000</f>
        <v>#NUM!</v>
      </c>
    </row>
    <row r="16" spans="1:24" x14ac:dyDescent="0.2">
      <c r="A16" s="9">
        <v>8</v>
      </c>
      <c r="B16" s="74" t="s">
        <v>46</v>
      </c>
      <c r="C16" s="42" t="str">
        <v>3L</v>
      </c>
      <c r="D16" s="42" t="str">
        <v>6L</v>
      </c>
      <c r="E16" s="43" t="str">
        <f t="shared" si="0"/>
        <v>HKD3L6L8Y</v>
      </c>
      <c r="F16" s="26" t="str">
        <v>HKD3L6L8Y=ICAP</v>
      </c>
      <c r="G16" s="52" t="s">
        <v>171</v>
      </c>
      <c r="H16" s="52" t="s">
        <v>171</v>
      </c>
      <c r="I16" s="52" t="e">
        <f>_xll.qlMidEquivalent(G16,H16)</f>
        <v>#NUM!</v>
      </c>
      <c r="J16" s="15" t="b">
        <f t="shared" si="3"/>
        <v>0</v>
      </c>
      <c r="K16" s="104" t="e">
        <v>#VALUE!</v>
      </c>
      <c r="L16" s="6"/>
      <c r="M16" s="108" t="e">
        <v>#VALUE!</v>
      </c>
      <c r="N16" s="6"/>
      <c r="O16" s="94" t="str">
        <f t="shared" si="2"/>
        <v>HKD3L6L8Y_Quote</v>
      </c>
      <c r="P16" s="51" t="e">
        <v>#VALUE!</v>
      </c>
      <c r="Q16" s="95" t="e">
        <f>_xll.qlSimpleQuoteSetValue($O16,ROUND($P16/10000,6),Trigger)</f>
        <v>#NUM!</v>
      </c>
      <c r="R16" s="10"/>
      <c r="W16" s="44" t="str">
        <f t="shared" si="1"/>
        <v>8Y</v>
      </c>
      <c r="X16" s="50" t="e">
        <f>((Swap6M!P16-Swap3M!P16)*100-P16)/10000</f>
        <v>#NUM!</v>
      </c>
    </row>
    <row r="17" spans="1:24" x14ac:dyDescent="0.2">
      <c r="A17" s="9">
        <v>9</v>
      </c>
      <c r="B17" s="74" t="s">
        <v>47</v>
      </c>
      <c r="C17" s="42" t="str">
        <v>3L</v>
      </c>
      <c r="D17" s="42" t="str">
        <v>6L</v>
      </c>
      <c r="E17" s="43" t="str">
        <f t="shared" si="0"/>
        <v>HKD3L6L9Y</v>
      </c>
      <c r="F17" s="26" t="str">
        <v>HKD3L6L9Y=ICAP</v>
      </c>
      <c r="G17" s="52" t="s">
        <v>171</v>
      </c>
      <c r="H17" s="52" t="s">
        <v>171</v>
      </c>
      <c r="I17" s="52" t="e">
        <f>_xll.qlMidEquivalent(G17,H17)</f>
        <v>#NUM!</v>
      </c>
      <c r="J17" s="15" t="b">
        <f t="shared" si="3"/>
        <v>0</v>
      </c>
      <c r="K17" s="104" t="e">
        <v>#VALUE!</v>
      </c>
      <c r="L17" s="6"/>
      <c r="M17" s="108" t="e">
        <v>#VALUE!</v>
      </c>
      <c r="N17" s="6"/>
      <c r="O17" s="94" t="str">
        <f t="shared" si="2"/>
        <v>HKD3L6L9Y_Quote</v>
      </c>
      <c r="P17" s="51" t="e">
        <v>#VALUE!</v>
      </c>
      <c r="Q17" s="95" t="e">
        <f>_xll.qlSimpleQuoteSetValue($O17,ROUND($P17/10000,6),Trigger)</f>
        <v>#NUM!</v>
      </c>
      <c r="R17" s="10"/>
      <c r="W17" s="44" t="str">
        <f t="shared" si="1"/>
        <v>9Y</v>
      </c>
      <c r="X17" s="50" t="e">
        <f>((Swap6M!P17-Swap3M!P17)*100-P17)/10000</f>
        <v>#NUM!</v>
      </c>
    </row>
    <row r="18" spans="1:24" x14ac:dyDescent="0.2">
      <c r="A18" s="9">
        <v>10</v>
      </c>
      <c r="B18" s="74" t="s">
        <v>48</v>
      </c>
      <c r="C18" s="42" t="str">
        <v>3L</v>
      </c>
      <c r="D18" s="42" t="str">
        <v>6L</v>
      </c>
      <c r="E18" s="43" t="str">
        <f t="shared" si="0"/>
        <v>HKD3L6L10Y</v>
      </c>
      <c r="F18" s="26" t="str">
        <v>HKD3L6L10Y=ICAP</v>
      </c>
      <c r="G18" s="52" t="s">
        <v>171</v>
      </c>
      <c r="H18" s="52" t="s">
        <v>171</v>
      </c>
      <c r="I18" s="52" t="e">
        <f>_xll.qlMidEquivalent(G18,H18)</f>
        <v>#NUM!</v>
      </c>
      <c r="J18" s="15" t="b">
        <f t="shared" si="3"/>
        <v>0</v>
      </c>
      <c r="K18" s="104" t="e">
        <v>#VALUE!</v>
      </c>
      <c r="L18" s="6"/>
      <c r="M18" s="108" t="e">
        <v>#VALUE!</v>
      </c>
      <c r="N18" s="6"/>
      <c r="O18" s="94" t="str">
        <f t="shared" si="2"/>
        <v>HKD3L6L10Y_Quote</v>
      </c>
      <c r="P18" s="51" t="e">
        <v>#VALUE!</v>
      </c>
      <c r="Q18" s="95" t="e">
        <f>_xll.qlSimpleQuoteSetValue($O18,ROUND($P18/10000,6),Trigger)</f>
        <v>#NUM!</v>
      </c>
      <c r="R18" s="10"/>
      <c r="W18" s="44" t="str">
        <f t="shared" si="1"/>
        <v>10Y</v>
      </c>
      <c r="X18" s="50" t="e">
        <f>((Swap6M!P18-Swap3M!P18)*100-P18)/10000</f>
        <v>#NUM!</v>
      </c>
    </row>
    <row r="19" spans="1:24" x14ac:dyDescent="0.2">
      <c r="A19" s="9">
        <v>11</v>
      </c>
      <c r="B19" s="74" t="s">
        <v>49</v>
      </c>
      <c r="C19" s="42" t="str">
        <v>3L</v>
      </c>
      <c r="D19" s="42" t="str">
        <v>6L</v>
      </c>
      <c r="E19" s="43" t="str">
        <f t="shared" si="0"/>
        <v>HKD3L6L11Y</v>
      </c>
      <c r="F19" s="26" t="str">
        <v>HKD3L6L11Y=ICAP</v>
      </c>
      <c r="G19" s="52" t="s">
        <v>171</v>
      </c>
      <c r="H19" s="52" t="s">
        <v>171</v>
      </c>
      <c r="I19" s="52" t="e">
        <f>_xll.qlMidEquivalent(G19,H19)</f>
        <v>#NUM!</v>
      </c>
      <c r="J19" s="15" t="b">
        <f t="shared" si="3"/>
        <v>0</v>
      </c>
      <c r="K19" s="104" t="e">
        <v>#VALUE!</v>
      </c>
      <c r="L19" s="6"/>
      <c r="M19" s="108" t="e">
        <v>#VALUE!</v>
      </c>
      <c r="N19" s="6"/>
      <c r="O19" s="94" t="str">
        <f t="shared" si="2"/>
        <v>HKD3L6L11Y_Quote</v>
      </c>
      <c r="P19" s="51" t="e">
        <v>#VALUE!</v>
      </c>
      <c r="Q19" s="95" t="e">
        <f>_xll.qlSimpleQuoteSetValue($O19,ROUND($P19/10000,6),Trigger)</f>
        <v>#NUM!</v>
      </c>
      <c r="R19" s="10"/>
      <c r="W19" s="44" t="str">
        <f t="shared" si="1"/>
        <v>11Y</v>
      </c>
      <c r="X19" s="50" t="e">
        <f>((Swap6M!P19-Swap3M!P19)*100-P19)/10000</f>
        <v>#NUM!</v>
      </c>
    </row>
    <row r="20" spans="1:24" x14ac:dyDescent="0.2">
      <c r="A20" s="9">
        <v>12</v>
      </c>
      <c r="B20" s="74" t="s">
        <v>50</v>
      </c>
      <c r="C20" s="42" t="str">
        <v>3L</v>
      </c>
      <c r="D20" s="42" t="str">
        <v>6L</v>
      </c>
      <c r="E20" s="43" t="str">
        <f t="shared" si="0"/>
        <v>HKD3L6L12Y</v>
      </c>
      <c r="F20" s="26" t="str">
        <v>HKD3L6L12Y=ICAP</v>
      </c>
      <c r="G20" s="52" t="s">
        <v>171</v>
      </c>
      <c r="H20" s="52" t="s">
        <v>171</v>
      </c>
      <c r="I20" s="52" t="e">
        <f>_xll.qlMidEquivalent(G20,H20)</f>
        <v>#NUM!</v>
      </c>
      <c r="J20" s="15" t="b">
        <f t="shared" si="3"/>
        <v>0</v>
      </c>
      <c r="K20" s="104" t="e">
        <v>#VALUE!</v>
      </c>
      <c r="L20" s="6"/>
      <c r="M20" s="108" t="e">
        <v>#VALUE!</v>
      </c>
      <c r="N20" s="6"/>
      <c r="O20" s="94" t="str">
        <f t="shared" si="2"/>
        <v>HKD3L6L12Y_Quote</v>
      </c>
      <c r="P20" s="51" t="e">
        <v>#VALUE!</v>
      </c>
      <c r="Q20" s="95" t="e">
        <f>_xll.qlSimpleQuoteSetValue($O20,ROUND($P20/10000,6),Trigger)</f>
        <v>#NUM!</v>
      </c>
      <c r="R20" s="10"/>
      <c r="W20" s="44" t="str">
        <f t="shared" si="1"/>
        <v>12Y</v>
      </c>
      <c r="X20" s="50" t="e">
        <f>((Swap6M!P20-Swap3M!P20)*100-P20)/10000</f>
        <v>#NUM!</v>
      </c>
    </row>
    <row r="21" spans="1:24" x14ac:dyDescent="0.2">
      <c r="A21" s="9">
        <v>13</v>
      </c>
      <c r="B21" s="74" t="s">
        <v>51</v>
      </c>
      <c r="C21" s="42" t="str">
        <v>3L</v>
      </c>
      <c r="D21" s="42" t="str">
        <v>6L</v>
      </c>
      <c r="E21" s="43" t="str">
        <f t="shared" si="0"/>
        <v>HKD3L6L13Y</v>
      </c>
      <c r="F21" s="26" t="str">
        <v>HKD3L6L13Y=ICAP</v>
      </c>
      <c r="G21" s="52" t="s">
        <v>171</v>
      </c>
      <c r="H21" s="52" t="s">
        <v>171</v>
      </c>
      <c r="I21" s="52" t="e">
        <f>_xll.qlMidEquivalent(G21,H21)</f>
        <v>#NUM!</v>
      </c>
      <c r="J21" s="15" t="b">
        <f t="shared" si="3"/>
        <v>0</v>
      </c>
      <c r="K21" s="104" t="e">
        <v>#VALUE!</v>
      </c>
      <c r="L21" s="6"/>
      <c r="M21" s="108" t="e">
        <v>#VALUE!</v>
      </c>
      <c r="N21" s="6"/>
      <c r="O21" s="94" t="str">
        <f t="shared" si="2"/>
        <v>HKD3L6L13Y_Quote</v>
      </c>
      <c r="P21" s="51" t="e">
        <v>#VALUE!</v>
      </c>
      <c r="Q21" s="95" t="e">
        <f>_xll.qlSimpleQuoteSetValue($O21,ROUND($P21/10000,6),Trigger)</f>
        <v>#NUM!</v>
      </c>
      <c r="R21" s="10"/>
      <c r="W21" s="44" t="str">
        <f t="shared" si="1"/>
        <v>13Y</v>
      </c>
      <c r="X21" s="50" t="e">
        <f>((Swap6M!P21-Swap3M!P21)*100-P21)/10000</f>
        <v>#NUM!</v>
      </c>
    </row>
    <row r="22" spans="1:24" x14ac:dyDescent="0.2">
      <c r="A22" s="9">
        <v>14</v>
      </c>
      <c r="B22" s="74" t="s">
        <v>52</v>
      </c>
      <c r="C22" s="42" t="str">
        <v>3L</v>
      </c>
      <c r="D22" s="42" t="str">
        <v>6L</v>
      </c>
      <c r="E22" s="43" t="str">
        <f t="shared" si="0"/>
        <v>HKD3L6L14Y</v>
      </c>
      <c r="F22" s="26" t="str">
        <v>HKD3L6L14Y=ICAP</v>
      </c>
      <c r="G22" s="52" t="s">
        <v>171</v>
      </c>
      <c r="H22" s="52" t="s">
        <v>171</v>
      </c>
      <c r="I22" s="52" t="e">
        <f>_xll.qlMidEquivalent(G22,H22)</f>
        <v>#NUM!</v>
      </c>
      <c r="J22" s="15" t="b">
        <f t="shared" si="3"/>
        <v>0</v>
      </c>
      <c r="K22" s="104" t="e">
        <v>#VALUE!</v>
      </c>
      <c r="L22" s="6"/>
      <c r="M22" s="108" t="e">
        <v>#VALUE!</v>
      </c>
      <c r="N22" s="6"/>
      <c r="O22" s="94" t="str">
        <f t="shared" si="2"/>
        <v>HKD3L6L14Y_Quote</v>
      </c>
      <c r="P22" s="51" t="e">
        <v>#VALUE!</v>
      </c>
      <c r="Q22" s="95" t="e">
        <f>_xll.qlSimpleQuoteSetValue($O22,ROUND($P22/10000,6),Trigger)</f>
        <v>#NUM!</v>
      </c>
      <c r="R22" s="10"/>
      <c r="W22" s="44" t="str">
        <f t="shared" si="1"/>
        <v>14Y</v>
      </c>
      <c r="X22" s="50" t="e">
        <f>((Swap6M!P22-Swap3M!P22)*100-P22)/10000</f>
        <v>#NUM!</v>
      </c>
    </row>
    <row r="23" spans="1:24" x14ac:dyDescent="0.2">
      <c r="A23" s="9">
        <v>15</v>
      </c>
      <c r="B23" s="74" t="s">
        <v>53</v>
      </c>
      <c r="C23" s="42" t="str">
        <v>3L</v>
      </c>
      <c r="D23" s="42" t="str">
        <v>6L</v>
      </c>
      <c r="E23" s="43" t="str">
        <f t="shared" si="0"/>
        <v>HKD3L6L15Y</v>
      </c>
      <c r="F23" s="26" t="str">
        <v>HKD3L6L15Y=ICAP</v>
      </c>
      <c r="G23" s="52" t="s">
        <v>171</v>
      </c>
      <c r="H23" s="52" t="s">
        <v>171</v>
      </c>
      <c r="I23" s="52" t="e">
        <f>_xll.qlMidEquivalent(G23,H23)</f>
        <v>#NUM!</v>
      </c>
      <c r="J23" s="15" t="b">
        <f t="shared" si="3"/>
        <v>0</v>
      </c>
      <c r="K23" s="104" t="e">
        <v>#VALUE!</v>
      </c>
      <c r="L23" s="6"/>
      <c r="M23" s="108" t="e">
        <v>#VALUE!</v>
      </c>
      <c r="N23" s="6"/>
      <c r="O23" s="94" t="str">
        <f t="shared" si="2"/>
        <v>HKD3L6L15Y_Quote</v>
      </c>
      <c r="P23" s="51" t="e">
        <v>#VALUE!</v>
      </c>
      <c r="Q23" s="95" t="e">
        <f>_xll.qlSimpleQuoteSetValue($O23,ROUND($P23/10000,6),Trigger)</f>
        <v>#NUM!</v>
      </c>
      <c r="R23" s="10"/>
      <c r="W23" s="44" t="str">
        <f t="shared" si="1"/>
        <v>15Y</v>
      </c>
      <c r="X23" s="50" t="e">
        <f>((Swap6M!P23-Swap3M!P23)*100-P23)/10000</f>
        <v>#NUM!</v>
      </c>
    </row>
    <row r="24" spans="1:24" x14ac:dyDescent="0.2">
      <c r="A24" s="9">
        <v>16</v>
      </c>
      <c r="B24" s="74" t="s">
        <v>54</v>
      </c>
      <c r="C24" s="42" t="str">
        <v>3L</v>
      </c>
      <c r="D24" s="42" t="str">
        <v>6L</v>
      </c>
      <c r="E24" s="43" t="str">
        <f t="shared" si="0"/>
        <v>HKD3L6L16Y</v>
      </c>
      <c r="F24" s="26" t="str">
        <v>HKD3L6L16Y=ICAP</v>
      </c>
      <c r="G24" s="52" t="s">
        <v>171</v>
      </c>
      <c r="H24" s="52" t="s">
        <v>171</v>
      </c>
      <c r="I24" s="52" t="e">
        <f>_xll.qlMidEquivalent(G24,H24)</f>
        <v>#NUM!</v>
      </c>
      <c r="J24" s="15" t="b">
        <f t="shared" si="3"/>
        <v>0</v>
      </c>
      <c r="K24" s="104" t="e">
        <v>#VALUE!</v>
      </c>
      <c r="L24" s="6"/>
      <c r="M24" s="108" t="e">
        <v>#VALUE!</v>
      </c>
      <c r="N24" s="6"/>
      <c r="O24" s="94" t="str">
        <f t="shared" si="2"/>
        <v>HKD3L6L16Y_Quote</v>
      </c>
      <c r="P24" s="51" t="e">
        <v>#VALUE!</v>
      </c>
      <c r="Q24" s="95" t="e">
        <f>_xll.qlSimpleQuoteSetValue($O24,ROUND($P24/10000,6),Trigger)</f>
        <v>#NUM!</v>
      </c>
      <c r="R24" s="10"/>
      <c r="W24" s="44" t="str">
        <f t="shared" si="1"/>
        <v>16Y</v>
      </c>
      <c r="X24" s="50" t="e">
        <f>((Swap6M!P24-Swap3M!P24)*100-P24)/10000</f>
        <v>#NUM!</v>
      </c>
    </row>
    <row r="25" spans="1:24" x14ac:dyDescent="0.2">
      <c r="A25" s="9">
        <v>17</v>
      </c>
      <c r="B25" s="74" t="s">
        <v>55</v>
      </c>
      <c r="C25" s="42" t="str">
        <v>3L</v>
      </c>
      <c r="D25" s="42" t="str">
        <v>6L</v>
      </c>
      <c r="E25" s="43" t="str">
        <f t="shared" si="0"/>
        <v>HKD3L6L17Y</v>
      </c>
      <c r="F25" s="26" t="str">
        <v>HKD3L6L17Y=ICAP</v>
      </c>
      <c r="G25" s="52" t="s">
        <v>171</v>
      </c>
      <c r="H25" s="52" t="s">
        <v>171</v>
      </c>
      <c r="I25" s="52" t="e">
        <f>_xll.qlMidEquivalent(G25,H25)</f>
        <v>#NUM!</v>
      </c>
      <c r="J25" s="15" t="b">
        <f t="shared" si="3"/>
        <v>0</v>
      </c>
      <c r="K25" s="104" t="e">
        <v>#VALUE!</v>
      </c>
      <c r="L25" s="6"/>
      <c r="M25" s="108" t="e">
        <v>#VALUE!</v>
      </c>
      <c r="N25" s="6"/>
      <c r="O25" s="94" t="str">
        <f t="shared" si="2"/>
        <v>HKD3L6L17Y_Quote</v>
      </c>
      <c r="P25" s="51" t="e">
        <v>#VALUE!</v>
      </c>
      <c r="Q25" s="95" t="e">
        <f>_xll.qlSimpleQuoteSetValue($O25,ROUND($P25/10000,6),Trigger)</f>
        <v>#NUM!</v>
      </c>
      <c r="R25" s="10"/>
      <c r="W25" s="44" t="str">
        <f t="shared" si="1"/>
        <v>17Y</v>
      </c>
      <c r="X25" s="50" t="e">
        <f>((Swap6M!P25-Swap3M!P25)*100-P25)/10000</f>
        <v>#NUM!</v>
      </c>
    </row>
    <row r="26" spans="1:24" x14ac:dyDescent="0.2">
      <c r="A26" s="9">
        <v>18</v>
      </c>
      <c r="B26" s="74" t="s">
        <v>56</v>
      </c>
      <c r="C26" s="42" t="str">
        <v>3L</v>
      </c>
      <c r="D26" s="42" t="str">
        <v>6L</v>
      </c>
      <c r="E26" s="43" t="str">
        <f t="shared" si="0"/>
        <v>HKD3L6L18Y</v>
      </c>
      <c r="F26" s="26" t="str">
        <v>HKD3L6L18Y=ICAP</v>
      </c>
      <c r="G26" s="52" t="s">
        <v>171</v>
      </c>
      <c r="H26" s="52" t="s">
        <v>171</v>
      </c>
      <c r="I26" s="52" t="e">
        <f>_xll.qlMidEquivalent(G26,H26)</f>
        <v>#NUM!</v>
      </c>
      <c r="J26" s="15" t="b">
        <f t="shared" si="3"/>
        <v>0</v>
      </c>
      <c r="K26" s="104" t="e">
        <v>#VALUE!</v>
      </c>
      <c r="L26" s="6"/>
      <c r="M26" s="108" t="e">
        <v>#VALUE!</v>
      </c>
      <c r="N26" s="6"/>
      <c r="O26" s="94" t="str">
        <f t="shared" si="2"/>
        <v>HKD3L6L18Y_Quote</v>
      </c>
      <c r="P26" s="51" t="e">
        <v>#VALUE!</v>
      </c>
      <c r="Q26" s="95" t="e">
        <f>_xll.qlSimpleQuoteSetValue($O26,ROUND($P26/10000,6),Trigger)</f>
        <v>#NUM!</v>
      </c>
      <c r="R26" s="10"/>
      <c r="W26" s="44" t="str">
        <f t="shared" si="1"/>
        <v>18Y</v>
      </c>
      <c r="X26" s="50" t="e">
        <f>((Swap6M!P26-Swap3M!P26)*100-P26)/10000</f>
        <v>#NUM!</v>
      </c>
    </row>
    <row r="27" spans="1:24" x14ac:dyDescent="0.2">
      <c r="A27" s="9">
        <v>19</v>
      </c>
      <c r="B27" s="74" t="s">
        <v>57</v>
      </c>
      <c r="C27" s="42" t="str">
        <v>3L</v>
      </c>
      <c r="D27" s="42" t="str">
        <v>6L</v>
      </c>
      <c r="E27" s="43" t="str">
        <f t="shared" si="0"/>
        <v>HKD3L6L19Y</v>
      </c>
      <c r="F27" s="26" t="str">
        <v>HKD3L6L19Y=ICAP</v>
      </c>
      <c r="G27" s="52" t="s">
        <v>171</v>
      </c>
      <c r="H27" s="52" t="s">
        <v>171</v>
      </c>
      <c r="I27" s="52" t="e">
        <f>_xll.qlMidEquivalent(G27,H27)</f>
        <v>#NUM!</v>
      </c>
      <c r="J27" s="15" t="b">
        <f t="shared" si="3"/>
        <v>0</v>
      </c>
      <c r="K27" s="104" t="e">
        <v>#VALUE!</v>
      </c>
      <c r="L27" s="6"/>
      <c r="M27" s="108" t="e">
        <v>#VALUE!</v>
      </c>
      <c r="N27" s="6"/>
      <c r="O27" s="94" t="str">
        <f t="shared" si="2"/>
        <v>HKD3L6L19Y_Quote</v>
      </c>
      <c r="P27" s="51" t="e">
        <v>#VALUE!</v>
      </c>
      <c r="Q27" s="95" t="e">
        <f>_xll.qlSimpleQuoteSetValue($O27,ROUND($P27/10000,6),Trigger)</f>
        <v>#NUM!</v>
      </c>
      <c r="R27" s="10"/>
      <c r="W27" s="44" t="str">
        <f t="shared" si="1"/>
        <v>19Y</v>
      </c>
      <c r="X27" s="50" t="e">
        <f>((Swap6M!P27-Swap3M!P27)*100-P27)/10000</f>
        <v>#NUM!</v>
      </c>
    </row>
    <row r="28" spans="1:24" x14ac:dyDescent="0.2">
      <c r="A28" s="9">
        <v>20</v>
      </c>
      <c r="B28" s="74" t="s">
        <v>58</v>
      </c>
      <c r="C28" s="42" t="str">
        <v>3L</v>
      </c>
      <c r="D28" s="42" t="str">
        <v>6L</v>
      </c>
      <c r="E28" s="43" t="str">
        <f t="shared" si="0"/>
        <v>HKD3L6L20Y</v>
      </c>
      <c r="F28" s="26" t="str">
        <v>HKD3L6L20Y=ICAP</v>
      </c>
      <c r="G28" s="52" t="s">
        <v>171</v>
      </c>
      <c r="H28" s="52" t="s">
        <v>171</v>
      </c>
      <c r="I28" s="52" t="e">
        <f>_xll.qlMidEquivalent(G28,H28)</f>
        <v>#NUM!</v>
      </c>
      <c r="J28" s="15" t="b">
        <f t="shared" si="3"/>
        <v>0</v>
      </c>
      <c r="K28" s="104" t="e">
        <v>#VALUE!</v>
      </c>
      <c r="L28" s="6"/>
      <c r="M28" s="108" t="e">
        <v>#VALUE!</v>
      </c>
      <c r="N28" s="6"/>
      <c r="O28" s="94" t="str">
        <f t="shared" si="2"/>
        <v>HKD3L6L20Y_Quote</v>
      </c>
      <c r="P28" s="51" t="e">
        <v>#VALUE!</v>
      </c>
      <c r="Q28" s="95" t="e">
        <f>_xll.qlSimpleQuoteSetValue($O28,ROUND($P28/10000,6),Trigger)</f>
        <v>#NUM!</v>
      </c>
      <c r="R28" s="10"/>
      <c r="W28" s="44" t="str">
        <f t="shared" si="1"/>
        <v>20Y</v>
      </c>
      <c r="X28" s="50" t="e">
        <f>((Swap6M!P28-Swap3M!P28)*100-P28)/10000</f>
        <v>#NUM!</v>
      </c>
    </row>
    <row r="29" spans="1:24" x14ac:dyDescent="0.2">
      <c r="A29" s="9">
        <v>21</v>
      </c>
      <c r="B29" s="74" t="s">
        <v>59</v>
      </c>
      <c r="C29" s="42" t="str">
        <v>3L</v>
      </c>
      <c r="D29" s="42" t="str">
        <v>6L</v>
      </c>
      <c r="E29" s="43" t="str">
        <f t="shared" si="0"/>
        <v>HKD3L6L21Y</v>
      </c>
      <c r="F29" s="26" t="str">
        <v>HKD3L6L21Y=ICAP</v>
      </c>
      <c r="G29" s="52" t="s">
        <v>171</v>
      </c>
      <c r="H29" s="52" t="s">
        <v>171</v>
      </c>
      <c r="I29" s="52" t="e">
        <f>_xll.qlMidEquivalent(G29,H29)</f>
        <v>#NUM!</v>
      </c>
      <c r="J29" s="15" t="b">
        <f t="shared" si="3"/>
        <v>0</v>
      </c>
      <c r="K29" s="104" t="e">
        <v>#VALUE!</v>
      </c>
      <c r="L29" s="6"/>
      <c r="M29" s="108" t="e">
        <v>#VALUE!</v>
      </c>
      <c r="N29" s="6"/>
      <c r="O29" s="94" t="str">
        <f t="shared" si="2"/>
        <v>HKD3L6L21Y_Quote</v>
      </c>
      <c r="P29" s="51" t="e">
        <v>#VALUE!</v>
      </c>
      <c r="Q29" s="95" t="e">
        <f>_xll.qlSimpleQuoteSetValue($O29,ROUND($P29/10000,6),Trigger)</f>
        <v>#NUM!</v>
      </c>
      <c r="R29" s="10"/>
      <c r="W29" s="44" t="str">
        <f t="shared" si="1"/>
        <v>21Y</v>
      </c>
      <c r="X29" s="50" t="e">
        <f>((Swap6M!P29-Swap3M!P29)*100-P29)/10000</f>
        <v>#NUM!</v>
      </c>
    </row>
    <row r="30" spans="1:24" x14ac:dyDescent="0.2">
      <c r="A30" s="9">
        <v>22</v>
      </c>
      <c r="B30" s="74" t="s">
        <v>60</v>
      </c>
      <c r="C30" s="42" t="str">
        <v>3L</v>
      </c>
      <c r="D30" s="42" t="str">
        <v>6L</v>
      </c>
      <c r="E30" s="43" t="str">
        <f t="shared" si="0"/>
        <v>HKD3L6L22Y</v>
      </c>
      <c r="F30" s="26" t="str">
        <v>HKD3L6L22Y=ICAP</v>
      </c>
      <c r="G30" s="52" t="s">
        <v>171</v>
      </c>
      <c r="H30" s="52" t="s">
        <v>171</v>
      </c>
      <c r="I30" s="52" t="e">
        <f>_xll.qlMidEquivalent(G30,H30)</f>
        <v>#NUM!</v>
      </c>
      <c r="J30" s="15" t="b">
        <f t="shared" si="3"/>
        <v>0</v>
      </c>
      <c r="K30" s="104" t="e">
        <v>#VALUE!</v>
      </c>
      <c r="L30" s="6"/>
      <c r="M30" s="108" t="e">
        <v>#VALUE!</v>
      </c>
      <c r="N30" s="6"/>
      <c r="O30" s="94" t="str">
        <f t="shared" si="2"/>
        <v>HKD3L6L22Y_Quote</v>
      </c>
      <c r="P30" s="51" t="e">
        <v>#VALUE!</v>
      </c>
      <c r="Q30" s="95" t="e">
        <f>_xll.qlSimpleQuoteSetValue($O30,ROUND($P30/10000,6),Trigger)</f>
        <v>#NUM!</v>
      </c>
      <c r="R30" s="10"/>
      <c r="W30" s="44" t="str">
        <f t="shared" si="1"/>
        <v>22Y</v>
      </c>
      <c r="X30" s="50" t="e">
        <f>((Swap6M!P30-Swap3M!P30)*100-P30)/10000</f>
        <v>#NUM!</v>
      </c>
    </row>
    <row r="31" spans="1:24" x14ac:dyDescent="0.2">
      <c r="A31" s="9">
        <v>23</v>
      </c>
      <c r="B31" s="74" t="s">
        <v>61</v>
      </c>
      <c r="C31" s="42" t="str">
        <v>3L</v>
      </c>
      <c r="D31" s="42" t="str">
        <v>6L</v>
      </c>
      <c r="E31" s="43" t="str">
        <f t="shared" si="0"/>
        <v>HKD3L6L23Y</v>
      </c>
      <c r="F31" s="26" t="str">
        <v>HKD3L6L23Y=ICAP</v>
      </c>
      <c r="G31" s="52" t="s">
        <v>171</v>
      </c>
      <c r="H31" s="52" t="s">
        <v>171</v>
      </c>
      <c r="I31" s="52" t="e">
        <f>_xll.qlMidEquivalent(G31,H31)</f>
        <v>#NUM!</v>
      </c>
      <c r="J31" s="15" t="b">
        <f t="shared" si="3"/>
        <v>0</v>
      </c>
      <c r="K31" s="104" t="e">
        <v>#VALUE!</v>
      </c>
      <c r="L31" s="6"/>
      <c r="M31" s="108" t="e">
        <v>#VALUE!</v>
      </c>
      <c r="N31" s="6"/>
      <c r="O31" s="94" t="str">
        <f t="shared" si="2"/>
        <v>HKD3L6L23Y_Quote</v>
      </c>
      <c r="P31" s="51" t="e">
        <v>#VALUE!</v>
      </c>
      <c r="Q31" s="95" t="e">
        <f>_xll.qlSimpleQuoteSetValue($O31,ROUND($P31/10000,6),Trigger)</f>
        <v>#NUM!</v>
      </c>
      <c r="R31" s="10"/>
      <c r="W31" s="44" t="str">
        <f t="shared" si="1"/>
        <v>23Y</v>
      </c>
      <c r="X31" s="50" t="e">
        <f>((Swap6M!P31-Swap3M!P31)*100-P31)/10000</f>
        <v>#NUM!</v>
      </c>
    </row>
    <row r="32" spans="1:24" x14ac:dyDescent="0.2">
      <c r="A32" s="9">
        <v>24</v>
      </c>
      <c r="B32" s="74" t="s">
        <v>62</v>
      </c>
      <c r="C32" s="42" t="str">
        <v>3L</v>
      </c>
      <c r="D32" s="42" t="str">
        <v>6L</v>
      </c>
      <c r="E32" s="43" t="str">
        <f t="shared" si="0"/>
        <v>HKD3L6L24Y</v>
      </c>
      <c r="F32" s="26" t="str">
        <v>HKD3L6L24Y=ICAP</v>
      </c>
      <c r="G32" s="52" t="s">
        <v>171</v>
      </c>
      <c r="H32" s="52" t="s">
        <v>171</v>
      </c>
      <c r="I32" s="52" t="e">
        <f>_xll.qlMidEquivalent(G32,H32)</f>
        <v>#NUM!</v>
      </c>
      <c r="J32" s="15" t="b">
        <f t="shared" si="3"/>
        <v>0</v>
      </c>
      <c r="K32" s="104" t="e">
        <v>#VALUE!</v>
      </c>
      <c r="L32" s="6"/>
      <c r="M32" s="108" t="e">
        <v>#VALUE!</v>
      </c>
      <c r="N32" s="6"/>
      <c r="O32" s="94" t="str">
        <f t="shared" si="2"/>
        <v>HKD3L6L24Y_Quote</v>
      </c>
      <c r="P32" s="51" t="e">
        <v>#VALUE!</v>
      </c>
      <c r="Q32" s="95" t="e">
        <f>_xll.qlSimpleQuoteSetValue($O32,ROUND($P32/10000,6),Trigger)</f>
        <v>#NUM!</v>
      </c>
      <c r="R32" s="10"/>
      <c r="W32" s="44" t="str">
        <f t="shared" si="1"/>
        <v>24Y</v>
      </c>
      <c r="X32" s="50" t="e">
        <f>((Swap6M!P32-Swap3M!P32)*100-P32)/10000</f>
        <v>#NUM!</v>
      </c>
    </row>
    <row r="33" spans="1:24" x14ac:dyDescent="0.2">
      <c r="A33" s="9">
        <v>25</v>
      </c>
      <c r="B33" s="74" t="s">
        <v>63</v>
      </c>
      <c r="C33" s="42" t="str">
        <v>3L</v>
      </c>
      <c r="D33" s="42" t="str">
        <v>6L</v>
      </c>
      <c r="E33" s="43" t="str">
        <f t="shared" si="0"/>
        <v>HKD3L6L25Y</v>
      </c>
      <c r="F33" s="26" t="str">
        <v>HKD3L6L25Y=ICAP</v>
      </c>
      <c r="G33" s="52" t="s">
        <v>171</v>
      </c>
      <c r="H33" s="52" t="s">
        <v>171</v>
      </c>
      <c r="I33" s="52" t="e">
        <f>_xll.qlMidEquivalent(G33,H33)</f>
        <v>#NUM!</v>
      </c>
      <c r="J33" s="15" t="b">
        <f t="shared" si="3"/>
        <v>0</v>
      </c>
      <c r="K33" s="104" t="e">
        <v>#VALUE!</v>
      </c>
      <c r="L33" s="6"/>
      <c r="M33" s="108" t="e">
        <v>#VALUE!</v>
      </c>
      <c r="N33" s="6"/>
      <c r="O33" s="94" t="str">
        <f t="shared" si="2"/>
        <v>HKD3L6L25Y_Quote</v>
      </c>
      <c r="P33" s="51" t="e">
        <v>#VALUE!</v>
      </c>
      <c r="Q33" s="95" t="e">
        <f>_xll.qlSimpleQuoteSetValue($O33,ROUND($P33/10000,6),Trigger)</f>
        <v>#NUM!</v>
      </c>
      <c r="R33" s="10"/>
      <c r="W33" s="44" t="str">
        <f t="shared" si="1"/>
        <v>25Y</v>
      </c>
      <c r="X33" s="50" t="e">
        <f>((Swap6M!P33-Swap3M!P33)*100-P33)/10000</f>
        <v>#NUM!</v>
      </c>
    </row>
    <row r="34" spans="1:24" x14ac:dyDescent="0.2">
      <c r="A34" s="9">
        <v>26</v>
      </c>
      <c r="B34" s="74" t="s">
        <v>64</v>
      </c>
      <c r="C34" s="42" t="str">
        <v>3L</v>
      </c>
      <c r="D34" s="42" t="str">
        <v>6L</v>
      </c>
      <c r="E34" s="43" t="str">
        <f t="shared" si="0"/>
        <v>HKD3L6L26Y</v>
      </c>
      <c r="F34" s="26" t="str">
        <v>HKD3L6L26Y=ICAP</v>
      </c>
      <c r="G34" s="52" t="s">
        <v>171</v>
      </c>
      <c r="H34" s="52" t="s">
        <v>171</v>
      </c>
      <c r="I34" s="52" t="e">
        <f>_xll.qlMidEquivalent(G34,H34)</f>
        <v>#NUM!</v>
      </c>
      <c r="J34" s="15" t="b">
        <f t="shared" si="3"/>
        <v>0</v>
      </c>
      <c r="K34" s="104" t="e">
        <v>#VALUE!</v>
      </c>
      <c r="L34" s="6"/>
      <c r="M34" s="108" t="e">
        <v>#VALUE!</v>
      </c>
      <c r="N34" s="6"/>
      <c r="O34" s="94" t="str">
        <f t="shared" si="2"/>
        <v>HKD3L6L26Y_Quote</v>
      </c>
      <c r="P34" s="51" t="e">
        <v>#VALUE!</v>
      </c>
      <c r="Q34" s="95" t="e">
        <f>_xll.qlSimpleQuoteSetValue($O34,ROUND($P34/10000,6),Trigger)</f>
        <v>#NUM!</v>
      </c>
      <c r="R34" s="10"/>
      <c r="W34" s="44" t="str">
        <f t="shared" si="1"/>
        <v>26Y</v>
      </c>
      <c r="X34" s="50" t="e">
        <f>((Swap6M!P34-Swap3M!P34)*100-P34)/10000</f>
        <v>#NUM!</v>
      </c>
    </row>
    <row r="35" spans="1:24" x14ac:dyDescent="0.2">
      <c r="A35" s="9">
        <v>27</v>
      </c>
      <c r="B35" s="74" t="s">
        <v>65</v>
      </c>
      <c r="C35" s="42" t="str">
        <v>3L</v>
      </c>
      <c r="D35" s="42" t="str">
        <v>6L</v>
      </c>
      <c r="E35" s="43" t="str">
        <f t="shared" si="0"/>
        <v>HKD3L6L27Y</v>
      </c>
      <c r="F35" s="26" t="str">
        <v>HKD3L6L27Y=ICAP</v>
      </c>
      <c r="G35" s="52" t="s">
        <v>171</v>
      </c>
      <c r="H35" s="52" t="s">
        <v>171</v>
      </c>
      <c r="I35" s="52" t="e">
        <f>_xll.qlMidEquivalent(G35,H35)</f>
        <v>#NUM!</v>
      </c>
      <c r="J35" s="15" t="b">
        <f t="shared" si="3"/>
        <v>0</v>
      </c>
      <c r="K35" s="104" t="e">
        <v>#VALUE!</v>
      </c>
      <c r="L35" s="6"/>
      <c r="M35" s="108" t="e">
        <v>#VALUE!</v>
      </c>
      <c r="N35" s="6"/>
      <c r="O35" s="94" t="str">
        <f t="shared" si="2"/>
        <v>HKD3L6L27Y_Quote</v>
      </c>
      <c r="P35" s="51" t="e">
        <v>#VALUE!</v>
      </c>
      <c r="Q35" s="95" t="e">
        <f>_xll.qlSimpleQuoteSetValue($O35,ROUND($P35/10000,6),Trigger)</f>
        <v>#NUM!</v>
      </c>
      <c r="R35" s="10"/>
      <c r="W35" s="44" t="str">
        <f t="shared" si="1"/>
        <v>27Y</v>
      </c>
      <c r="X35" s="50" t="e">
        <f>((Swap6M!P35-Swap3M!P35)*100-P35)/10000</f>
        <v>#NUM!</v>
      </c>
    </row>
    <row r="36" spans="1:24" x14ac:dyDescent="0.2">
      <c r="A36" s="9">
        <v>28</v>
      </c>
      <c r="B36" s="74" t="s">
        <v>66</v>
      </c>
      <c r="C36" s="42" t="str">
        <v>3L</v>
      </c>
      <c r="D36" s="42" t="str">
        <v>6L</v>
      </c>
      <c r="E36" s="43" t="str">
        <f t="shared" si="0"/>
        <v>HKD3L6L28Y</v>
      </c>
      <c r="F36" s="26" t="str">
        <v>HKD3L6L28Y=ICAP</v>
      </c>
      <c r="G36" s="52" t="s">
        <v>171</v>
      </c>
      <c r="H36" s="52" t="s">
        <v>171</v>
      </c>
      <c r="I36" s="52" t="e">
        <f>_xll.qlMidEquivalent(G36,H36)</f>
        <v>#NUM!</v>
      </c>
      <c r="J36" s="15" t="b">
        <f t="shared" si="3"/>
        <v>0</v>
      </c>
      <c r="K36" s="104" t="e">
        <v>#VALUE!</v>
      </c>
      <c r="L36" s="6"/>
      <c r="M36" s="108" t="e">
        <v>#VALUE!</v>
      </c>
      <c r="N36" s="6"/>
      <c r="O36" s="94" t="str">
        <f t="shared" si="2"/>
        <v>HKD3L6L28Y_Quote</v>
      </c>
      <c r="P36" s="51" t="e">
        <v>#VALUE!</v>
      </c>
      <c r="Q36" s="95" t="e">
        <f>_xll.qlSimpleQuoteSetValue($O36,ROUND($P36/10000,6),Trigger)</f>
        <v>#NUM!</v>
      </c>
      <c r="R36" s="10"/>
      <c r="W36" s="44" t="str">
        <f t="shared" si="1"/>
        <v>28Y</v>
      </c>
      <c r="X36" s="50" t="e">
        <f>((Swap6M!P36-Swap3M!P36)*100-P36)/10000</f>
        <v>#NUM!</v>
      </c>
    </row>
    <row r="37" spans="1:24" x14ac:dyDescent="0.2">
      <c r="A37" s="9">
        <v>29</v>
      </c>
      <c r="B37" s="74" t="s">
        <v>67</v>
      </c>
      <c r="C37" s="42" t="str">
        <v>3L</v>
      </c>
      <c r="D37" s="42" t="str">
        <v>6L</v>
      </c>
      <c r="E37" s="43" t="str">
        <f t="shared" si="0"/>
        <v>HKD3L6L29Y</v>
      </c>
      <c r="F37" s="26" t="str">
        <v>HKD3L6L29Y=ICAP</v>
      </c>
      <c r="G37" s="52" t="s">
        <v>171</v>
      </c>
      <c r="H37" s="52" t="s">
        <v>171</v>
      </c>
      <c r="I37" s="52" t="e">
        <f>_xll.qlMidEquivalent(G37,H37)</f>
        <v>#NUM!</v>
      </c>
      <c r="J37" s="15" t="b">
        <f t="shared" si="3"/>
        <v>0</v>
      </c>
      <c r="K37" s="104" t="e">
        <v>#VALUE!</v>
      </c>
      <c r="L37" s="6"/>
      <c r="M37" s="108" t="e">
        <v>#VALUE!</v>
      </c>
      <c r="N37" s="6"/>
      <c r="O37" s="94" t="str">
        <f t="shared" si="2"/>
        <v>HKD3L6L29Y_Quote</v>
      </c>
      <c r="P37" s="51" t="e">
        <v>#VALUE!</v>
      </c>
      <c r="Q37" s="95" t="e">
        <f>_xll.qlSimpleQuoteSetValue($O37,ROUND($P37/10000,6),Trigger)</f>
        <v>#NUM!</v>
      </c>
      <c r="R37" s="10"/>
      <c r="W37" s="44" t="str">
        <f t="shared" si="1"/>
        <v>29Y</v>
      </c>
      <c r="X37" s="50" t="e">
        <f>((Swap6M!P37-Swap3M!P37)*100-P37)/10000</f>
        <v>#NUM!</v>
      </c>
    </row>
    <row r="38" spans="1:24" x14ac:dyDescent="0.2">
      <c r="A38" s="9">
        <v>30</v>
      </c>
      <c r="B38" s="74" t="s">
        <v>68</v>
      </c>
      <c r="C38" s="42" t="str">
        <v>3L</v>
      </c>
      <c r="D38" s="42" t="str">
        <v>6L</v>
      </c>
      <c r="E38" s="43" t="str">
        <f t="shared" si="0"/>
        <v>HKD3L6L30Y</v>
      </c>
      <c r="F38" s="26" t="str">
        <v>HKD3L6L30Y=ICAP</v>
      </c>
      <c r="G38" s="52" t="s">
        <v>171</v>
      </c>
      <c r="H38" s="52" t="s">
        <v>171</v>
      </c>
      <c r="I38" s="52" t="e">
        <f>_xll.qlMidEquivalent(G38,H38)</f>
        <v>#NUM!</v>
      </c>
      <c r="J38" s="15" t="b">
        <f t="shared" si="3"/>
        <v>0</v>
      </c>
      <c r="K38" s="104" t="e">
        <v>#VALUE!</v>
      </c>
      <c r="L38" s="6"/>
      <c r="M38" s="108" t="e">
        <v>#VALUE!</v>
      </c>
      <c r="N38" s="6"/>
      <c r="O38" s="94" t="str">
        <f t="shared" si="2"/>
        <v>HKD3L6L30Y_Quote</v>
      </c>
      <c r="P38" s="51" t="e">
        <v>#VALUE!</v>
      </c>
      <c r="Q38" s="95" t="e">
        <f>_xll.qlSimpleQuoteSetValue($O38,ROUND($P38/10000,6),Trigger)</f>
        <v>#NUM!</v>
      </c>
      <c r="R38" s="10"/>
      <c r="W38" s="44" t="str">
        <f t="shared" si="1"/>
        <v>30Y</v>
      </c>
      <c r="X38" s="50" t="e">
        <f>((Swap6M!P38-Swap3M!P38)*100-P38)/10000</f>
        <v>#NUM!</v>
      </c>
    </row>
    <row r="39" spans="1:24" x14ac:dyDescent="0.2">
      <c r="A39" s="9">
        <v>35</v>
      </c>
      <c r="B39" s="74" t="s">
        <v>69</v>
      </c>
      <c r="C39" s="42" t="str">
        <v>3L</v>
      </c>
      <c r="D39" s="42" t="str">
        <v>6L</v>
      </c>
      <c r="E39" s="43" t="str">
        <f t="shared" si="0"/>
        <v>HKD3L6L35Y</v>
      </c>
      <c r="F39" s="26" t="str">
        <v>HKD3L6L35Y=ICAP</v>
      </c>
      <c r="G39" s="52" t="s">
        <v>171</v>
      </c>
      <c r="H39" s="52" t="s">
        <v>171</v>
      </c>
      <c r="I39" s="52" t="e">
        <f>_xll.qlMidEquivalent(G39,H39)</f>
        <v>#NUM!</v>
      </c>
      <c r="J39" s="15" t="b">
        <f t="shared" si="3"/>
        <v>0</v>
      </c>
      <c r="K39" s="104" t="e">
        <v>#VALUE!</v>
      </c>
      <c r="L39" s="6"/>
      <c r="M39" s="108" t="e">
        <v>#VALUE!</v>
      </c>
      <c r="N39" s="6"/>
      <c r="O39" s="94" t="str">
        <f t="shared" si="2"/>
        <v>HKD3L6L35Y_Quote</v>
      </c>
      <c r="P39" s="51" t="e">
        <v>#VALUE!</v>
      </c>
      <c r="Q39" s="95" t="e">
        <f>_xll.qlSimpleQuoteSetValue($O39,ROUND($P39/10000,6),Trigger)</f>
        <v>#NUM!</v>
      </c>
      <c r="R39" s="10"/>
      <c r="W39" s="44" t="str">
        <f t="shared" si="1"/>
        <v>35Y</v>
      </c>
      <c r="X39" s="50" t="e">
        <f>((Swap6M!P39-Swap3M!P39)*100-P39)/10000</f>
        <v>#NUM!</v>
      </c>
    </row>
    <row r="40" spans="1:24" x14ac:dyDescent="0.2">
      <c r="A40" s="9">
        <v>40</v>
      </c>
      <c r="B40" s="74" t="s">
        <v>70</v>
      </c>
      <c r="C40" s="42" t="str">
        <v>3L</v>
      </c>
      <c r="D40" s="42" t="str">
        <v>6L</v>
      </c>
      <c r="E40" s="43" t="str">
        <f t="shared" si="0"/>
        <v>HKD3L6L40Y</v>
      </c>
      <c r="F40" s="26" t="str">
        <v>HKD3L6L40Y=ICAP</v>
      </c>
      <c r="G40" s="52" t="s">
        <v>171</v>
      </c>
      <c r="H40" s="52" t="s">
        <v>171</v>
      </c>
      <c r="I40" s="52" t="e">
        <f>_xll.qlMidEquivalent(G40,H40)</f>
        <v>#NUM!</v>
      </c>
      <c r="J40" s="15" t="b">
        <f t="shared" si="3"/>
        <v>0</v>
      </c>
      <c r="K40" s="104" t="e">
        <v>#VALUE!</v>
      </c>
      <c r="L40" s="251" t="e">
        <f>K38-K40</f>
        <v>#VALUE!</v>
      </c>
      <c r="M40" s="108" t="e">
        <v>#VALUE!</v>
      </c>
      <c r="N40" s="6"/>
      <c r="O40" s="94" t="str">
        <f t="shared" si="2"/>
        <v>HKD3L6L40Y_Quote</v>
      </c>
      <c r="P40" s="51" t="e">
        <v>#VALUE!</v>
      </c>
      <c r="Q40" s="95" t="e">
        <f>_xll.qlSimpleQuoteSetValue($O40,ROUND($P40/10000,6),Trigger)</f>
        <v>#NUM!</v>
      </c>
      <c r="R40" s="10"/>
      <c r="W40" s="44" t="str">
        <f t="shared" si="1"/>
        <v>40Y</v>
      </c>
      <c r="X40" s="50" t="e">
        <f>((Swap6M!P40-Swap3M!P40)*100-P40)/10000</f>
        <v>#NUM!</v>
      </c>
    </row>
    <row r="41" spans="1:24" x14ac:dyDescent="0.2">
      <c r="A41" s="9">
        <v>50</v>
      </c>
      <c r="B41" s="74" t="s">
        <v>71</v>
      </c>
      <c r="C41" s="42" t="str">
        <v>3L</v>
      </c>
      <c r="D41" s="42" t="str">
        <v>6L</v>
      </c>
      <c r="E41" s="43" t="str">
        <f t="shared" si="0"/>
        <v>HKD3L6L50Y</v>
      </c>
      <c r="F41" s="26" t="str">
        <v>HKD3L6L50Y=ICAP</v>
      </c>
      <c r="G41" s="52" t="s">
        <v>171</v>
      </c>
      <c r="H41" s="52" t="s">
        <v>171</v>
      </c>
      <c r="I41" s="52" t="e">
        <f>_xll.qlMidEquivalent(G41,H41)</f>
        <v>#NUM!</v>
      </c>
      <c r="J41" s="15" t="b">
        <f t="shared" si="3"/>
        <v>0</v>
      </c>
      <c r="K41" s="104" t="e">
        <v>#VALUE!</v>
      </c>
      <c r="L41" s="251" t="e">
        <f>K40-K41</f>
        <v>#VALUE!</v>
      </c>
      <c r="M41" s="108" t="e">
        <v>#VALUE!</v>
      </c>
      <c r="N41" s="6"/>
      <c r="O41" s="94" t="str">
        <f t="shared" si="2"/>
        <v>HKD3L6L50Y_Quote</v>
      </c>
      <c r="P41" s="51" t="e">
        <v>#VALUE!</v>
      </c>
      <c r="Q41" s="95" t="e">
        <f>_xll.qlSimpleQuoteSetValue($O41,ROUND($P41/10000,6),Trigger)</f>
        <v>#NUM!</v>
      </c>
      <c r="R41" s="10"/>
      <c r="W41" s="44" t="str">
        <f t="shared" si="1"/>
        <v>50Y</v>
      </c>
      <c r="X41" s="50" t="e">
        <f>((Swap6M!P41-Swap3M!P41)*100-P41)/10000</f>
        <v>#NUM!</v>
      </c>
    </row>
    <row r="42" spans="1:24" x14ac:dyDescent="0.2">
      <c r="A42" s="9">
        <v>60</v>
      </c>
      <c r="B42" s="74" t="s">
        <v>72</v>
      </c>
      <c r="C42" s="42" t="str">
        <v>3L</v>
      </c>
      <c r="D42" s="42" t="str">
        <v>6L</v>
      </c>
      <c r="E42" s="43" t="str">
        <f t="shared" si="0"/>
        <v>HKD3L6L60Y</v>
      </c>
      <c r="F42" s="26" t="str">
        <v>HKD3L6L60Y=ICAP</v>
      </c>
      <c r="G42" s="52" t="s">
        <v>171</v>
      </c>
      <c r="H42" s="52" t="s">
        <v>171</v>
      </c>
      <c r="I42" s="52" t="e">
        <f>_xll.qlMidEquivalent(G42,H42)</f>
        <v>#NUM!</v>
      </c>
      <c r="J42" s="15" t="b">
        <f t="shared" si="3"/>
        <v>0</v>
      </c>
      <c r="K42" s="105" t="e">
        <f>K41-L42</f>
        <v>#VALUE!</v>
      </c>
      <c r="L42" s="251" t="e">
        <f>L41/L40*L41</f>
        <v>#VALUE!</v>
      </c>
      <c r="M42" s="108" t="e">
        <v>#VALUE!</v>
      </c>
      <c r="N42" s="6"/>
      <c r="O42" s="94" t="str">
        <f t="shared" si="2"/>
        <v>HKD3L6L60Y_Quote</v>
      </c>
      <c r="P42" s="51" t="e">
        <v>#VALUE!</v>
      </c>
      <c r="Q42" s="95" t="e">
        <f>_xll.qlSimpleQuoteSetValue($O42,ROUND($P42/10000,6),Trigger)</f>
        <v>#NUM!</v>
      </c>
      <c r="R42" s="10"/>
      <c r="W42" s="44" t="str">
        <f t="shared" si="1"/>
        <v>60Y</v>
      </c>
      <c r="X42" s="50" t="e">
        <f>((Swap6M!P42-Swap3M!P42)*100-P42)/10000</f>
        <v>#NUM!</v>
      </c>
    </row>
    <row r="43" spans="1:24" ht="12" thickBot="1" x14ac:dyDescent="0.25">
      <c r="A43" s="11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12"/>
      <c r="M43" s="243"/>
      <c r="N43" s="12"/>
      <c r="O43" s="243"/>
      <c r="P43" s="243"/>
      <c r="Q43" s="243"/>
      <c r="R43" s="14"/>
    </row>
    <row r="45" spans="1:24" ht="12.75" x14ac:dyDescent="0.2">
      <c r="T45" t="e">
        <f ca="1">_xll.RtGet("IDN","ICHKD9","ROW80_8")</f>
        <v>#NAME?</v>
      </c>
    </row>
    <row r="47" spans="1:24" x14ac:dyDescent="0.2">
      <c r="F47" s="49"/>
    </row>
    <row r="48" spans="1:24" x14ac:dyDescent="0.2">
      <c r="F48" s="49"/>
    </row>
    <row r="49" spans="6:6" x14ac:dyDescent="0.2">
      <c r="F49" s="49"/>
    </row>
    <row r="50" spans="6:6" x14ac:dyDescent="0.2">
      <c r="F50" s="49"/>
    </row>
    <row r="51" spans="6:6" x14ac:dyDescent="0.2">
      <c r="F51" s="49"/>
    </row>
    <row r="52" spans="6:6" x14ac:dyDescent="0.2">
      <c r="F52" s="49"/>
    </row>
    <row r="53" spans="6:6" x14ac:dyDescent="0.2">
      <c r="F53" s="49"/>
    </row>
    <row r="54" spans="6:6" x14ac:dyDescent="0.2">
      <c r="F54" s="49"/>
    </row>
    <row r="55" spans="6:6" x14ac:dyDescent="0.2">
      <c r="F55" s="49"/>
    </row>
    <row r="56" spans="6:6" x14ac:dyDescent="0.2">
      <c r="F56" s="49"/>
    </row>
    <row r="57" spans="6:6" x14ac:dyDescent="0.2">
      <c r="F57" s="49"/>
    </row>
    <row r="58" spans="6:6" x14ac:dyDescent="0.2">
      <c r="F58" s="49"/>
    </row>
    <row r="59" spans="6:6" x14ac:dyDescent="0.2">
      <c r="F59" s="49"/>
    </row>
    <row r="60" spans="6:6" x14ac:dyDescent="0.2">
      <c r="F60" s="50"/>
    </row>
    <row r="61" spans="6:6" x14ac:dyDescent="0.2">
      <c r="F61" s="50"/>
    </row>
    <row r="62" spans="6:6" x14ac:dyDescent="0.2">
      <c r="F62" s="50"/>
    </row>
    <row r="63" spans="6:6" x14ac:dyDescent="0.2">
      <c r="F63" s="50"/>
    </row>
  </sheetData>
  <phoneticPr fontId="4" type="noConversion"/>
  <dataValidations disablePrompts="1" count="2">
    <dataValidation type="list" allowBlank="1" showInputMessage="1" showErrorMessage="1" sqref="F43:F44">
      <formula1>"FirstDerivative,SecondDerivative,Lagrange,NotAKnot,Periodic"</formula1>
    </dataValidation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63"/>
  <sheetViews>
    <sheetView workbookViewId="0">
      <selection activeCell="Q3" sqref="Q3"/>
    </sheetView>
  </sheetViews>
  <sheetFormatPr defaultRowHeight="11.25" x14ac:dyDescent="0.2"/>
  <cols>
    <col min="1" max="1" width="5" style="44" customWidth="1"/>
    <col min="2" max="2" width="3.85546875" style="44" bestFit="1" customWidth="1"/>
    <col min="3" max="3" width="3.5703125" style="44" bestFit="1" customWidth="1"/>
    <col min="4" max="4" width="2.7109375" style="44" bestFit="1" customWidth="1"/>
    <col min="5" max="5" width="11.140625" style="44" bestFit="1" customWidth="1"/>
    <col min="6" max="6" width="15.42578125" style="44" bestFit="1" customWidth="1"/>
    <col min="7" max="7" width="4.85546875" style="44" bestFit="1" customWidth="1"/>
    <col min="8" max="8" width="4.140625" style="44" bestFit="1" customWidth="1"/>
    <col min="9" max="9" width="9" style="44" bestFit="1" customWidth="1"/>
    <col min="10" max="10" width="5.7109375" style="44" bestFit="1" customWidth="1"/>
    <col min="11" max="11" width="7.140625" style="44" bestFit="1" customWidth="1"/>
    <col min="12" max="12" width="5" style="44" customWidth="1"/>
    <col min="13" max="13" width="7.140625" style="44" bestFit="1" customWidth="1"/>
    <col min="14" max="14" width="5" style="44" customWidth="1"/>
    <col min="15" max="15" width="16.28515625" style="44" bestFit="1" customWidth="1"/>
    <col min="16" max="17" width="7.7109375" style="44" bestFit="1" customWidth="1"/>
    <col min="18" max="18" width="5" style="44" customWidth="1"/>
    <col min="19" max="19" width="5.140625" style="44" customWidth="1"/>
    <col min="20" max="20" width="9" style="44" bestFit="1" customWidth="1"/>
    <col min="21" max="21" width="4.140625" style="44" bestFit="1" customWidth="1"/>
    <col min="22" max="22" width="9.5703125" style="44" bestFit="1" customWidth="1"/>
    <col min="23" max="16384" width="9.140625" style="44"/>
  </cols>
  <sheetData>
    <row r="1" spans="1:24" x14ac:dyDescent="0.2">
      <c r="A1" s="27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4"/>
    </row>
    <row r="2" spans="1:24" x14ac:dyDescent="0.2">
      <c r="A2" s="5"/>
      <c r="B2" s="7"/>
      <c r="C2" s="6"/>
      <c r="D2" s="6"/>
      <c r="E2" s="6"/>
      <c r="F2" s="110" t="s">
        <v>5</v>
      </c>
      <c r="G2" s="6"/>
      <c r="H2" s="6"/>
      <c r="I2" s="6"/>
      <c r="J2" s="6"/>
      <c r="K2" s="7"/>
      <c r="L2" s="6"/>
      <c r="M2" s="6"/>
      <c r="N2" s="6"/>
      <c r="O2" s="109" t="s">
        <v>79</v>
      </c>
      <c r="P2" s="110" t="s">
        <v>34</v>
      </c>
      <c r="Q2" s="7"/>
      <c r="R2" s="8"/>
    </row>
    <row r="3" spans="1:24" x14ac:dyDescent="0.2">
      <c r="A3" s="9"/>
      <c r="B3" s="6"/>
      <c r="C3" s="7"/>
      <c r="D3" s="7"/>
      <c r="E3" s="7"/>
      <c r="F3" s="7" t="e">
        <f>_xll.qlInterpolation(,InterpolationType,_xll.ohFilter(A5:A42,J5:J42),_xll.ohFilter(I5:I42,J5:J42))</f>
        <v>#NUM!</v>
      </c>
      <c r="G3" s="7"/>
      <c r="H3" s="7"/>
      <c r="I3" s="7"/>
      <c r="J3" s="7"/>
      <c r="K3" s="7"/>
      <c r="L3" s="6"/>
      <c r="M3" s="6"/>
      <c r="N3" s="6"/>
      <c r="O3" s="7"/>
      <c r="P3" s="7"/>
      <c r="Q3" s="48">
        <f>_xll.ohTrigger(Q5:Q42)</f>
        <v>12</v>
      </c>
      <c r="R3" s="10"/>
    </row>
    <row r="4" spans="1:24" ht="23.25" thickBot="1" x14ac:dyDescent="0.25">
      <c r="A4" s="9"/>
      <c r="B4" s="80"/>
      <c r="C4" s="81"/>
      <c r="D4" s="81"/>
      <c r="E4" s="81"/>
      <c r="F4" s="82" t="e">
        <f ca="1">_xll.RData(F5:F42,G4:H4,,ReutersRtMode,,G5)</f>
        <v>#NAME?</v>
      </c>
      <c r="G4" s="83" t="s">
        <v>0</v>
      </c>
      <c r="H4" s="83" t="s">
        <v>1</v>
      </c>
      <c r="I4" s="83" t="s">
        <v>27</v>
      </c>
      <c r="J4" s="83"/>
      <c r="K4" s="84" t="s">
        <v>99</v>
      </c>
      <c r="L4" s="6"/>
      <c r="M4" s="87" t="s">
        <v>105</v>
      </c>
      <c r="N4" s="6"/>
      <c r="O4" s="88" t="s">
        <v>31</v>
      </c>
      <c r="P4" s="89" t="s">
        <v>17</v>
      </c>
      <c r="Q4" s="90" t="s">
        <v>24</v>
      </c>
      <c r="R4" s="10"/>
    </row>
    <row r="5" spans="1:24" x14ac:dyDescent="0.2">
      <c r="A5" s="224">
        <v>0.5</v>
      </c>
      <c r="B5" s="74" t="s">
        <v>92</v>
      </c>
      <c r="C5" s="42" t="str">
        <f t="array" ref="C5:C42">VLOOKUP(Currency,Conventions,2)</f>
        <v>6L</v>
      </c>
      <c r="D5" s="42" t="str">
        <f t="array" ref="D5:D42">VLOOKUP(Currency,Conventions,3)</f>
        <v>12L</v>
      </c>
      <c r="E5" s="43" t="str">
        <f t="shared" ref="E5:E42" si="0">Currency&amp;$C5&amp;$D5&amp;$B5</f>
        <v>HKD6L12L6M</v>
      </c>
      <c r="F5" s="26" t="str">
        <f t="array" ref="F5:F42">Instruments&amp;"="&amp;VLOOKUP(Contributor,ContributorTable,2,FALSE)</f>
        <v>HKD6L12L6M=ICAP</v>
      </c>
      <c r="G5" s="52" t="s">
        <v>171</v>
      </c>
      <c r="H5" s="52" t="s">
        <v>171</v>
      </c>
      <c r="I5" s="52" t="e">
        <f>_xll.qlMidEquivalent(G5,H5)</f>
        <v>#NUM!</v>
      </c>
      <c r="J5" s="15" t="b">
        <f>IF(ISNUMBER(I5),TRUE,FALSE)</f>
        <v>0</v>
      </c>
      <c r="K5" s="104" t="e">
        <f t="array" ref="K5:K38">_xll.qlInterpolationInterpolate(F3,A5:A42)</f>
        <v>#VALUE!</v>
      </c>
      <c r="L5" s="6"/>
      <c r="M5" s="108" t="e">
        <v>#VALUE!</v>
      </c>
      <c r="N5" s="6"/>
      <c r="O5" s="94" t="str">
        <f>$E5&amp;$P$2</f>
        <v>HKD6L12L6M_Quote</v>
      </c>
      <c r="P5" s="51" t="e">
        <f t="array" ref="P5:P42">QuoteLive</f>
        <v>#VALUE!</v>
      </c>
      <c r="Q5" s="95" t="e">
        <f>_xll.qlSimpleQuoteSetValue($O5,ROUND($P5/10000,6),Trigger)</f>
        <v>#NUM!</v>
      </c>
      <c r="R5" s="10"/>
      <c r="T5" s="221" t="s">
        <v>114</v>
      </c>
      <c r="U5" s="196" t="s">
        <v>119</v>
      </c>
      <c r="V5" s="197" t="s">
        <v>121</v>
      </c>
      <c r="X5" s="222"/>
    </row>
    <row r="6" spans="1:24" x14ac:dyDescent="0.2">
      <c r="A6" s="224">
        <v>1</v>
      </c>
      <c r="B6" s="74" t="s">
        <v>36</v>
      </c>
      <c r="C6" s="42" t="str">
        <v>6L</v>
      </c>
      <c r="D6" s="42" t="str">
        <v>12L</v>
      </c>
      <c r="E6" s="43" t="str">
        <f t="shared" si="0"/>
        <v>HKD6L12L1Y</v>
      </c>
      <c r="F6" s="26" t="str">
        <v>HKD6L12L1Y=ICAP</v>
      </c>
      <c r="G6" s="52" t="s">
        <v>171</v>
      </c>
      <c r="H6" s="52" t="s">
        <v>171</v>
      </c>
      <c r="I6" s="52" t="e">
        <f>_xll.qlMidEquivalent(G6,H6)</f>
        <v>#NUM!</v>
      </c>
      <c r="J6" s="15" t="b">
        <f>IF(ISNUMBER(I6),TRUE,FALSE)</f>
        <v>0</v>
      </c>
      <c r="K6" s="104" t="e">
        <v>#VALUE!</v>
      </c>
      <c r="L6" s="6"/>
      <c r="M6" s="108" t="e">
        <v>#VALUE!</v>
      </c>
      <c r="N6" s="6"/>
      <c r="O6" s="94" t="str">
        <f>$E6&amp;$P$2</f>
        <v>HKD6L12L1Y_Quote</v>
      </c>
      <c r="P6" s="51" t="e">
        <v>#VALUE!</v>
      </c>
      <c r="Q6" s="95" t="e">
        <f>_xll.qlSimpleQuoteSetValue($O6,ROUND($P6/10000,6),Trigger)</f>
        <v>#NUM!</v>
      </c>
      <c r="R6" s="10"/>
      <c r="T6" s="114" t="s">
        <v>15</v>
      </c>
      <c r="U6" s="100" t="s">
        <v>19</v>
      </c>
      <c r="V6" s="101" t="s">
        <v>100</v>
      </c>
      <c r="X6" s="222"/>
    </row>
    <row r="7" spans="1:24" x14ac:dyDescent="0.2">
      <c r="A7" s="224">
        <v>1.25</v>
      </c>
      <c r="B7" s="74" t="s">
        <v>37</v>
      </c>
      <c r="C7" s="42" t="str">
        <v>6L</v>
      </c>
      <c r="D7" s="42" t="str">
        <v>12L</v>
      </c>
      <c r="E7" s="43" t="str">
        <f t="shared" si="0"/>
        <v>HKD6L12L15M</v>
      </c>
      <c r="F7" s="26" t="str">
        <v>HKD6L12L15M=ICAP</v>
      </c>
      <c r="G7" s="52" t="s">
        <v>171</v>
      </c>
      <c r="H7" s="52" t="s">
        <v>171</v>
      </c>
      <c r="I7" s="52" t="e">
        <f>_xll.qlMidEquivalent(G7,H7)</f>
        <v>#NUM!</v>
      </c>
      <c r="J7" s="15" t="b">
        <f>IF(ISNUMBER(I7),TRUE,FALSE)</f>
        <v>0</v>
      </c>
      <c r="K7" s="104" t="e">
        <v>#VALUE!</v>
      </c>
      <c r="L7" s="6"/>
      <c r="M7" s="108" t="e">
        <v>#VALUE!</v>
      </c>
      <c r="N7" s="6"/>
      <c r="O7" s="94" t="str">
        <f>$E7&amp;$P$2</f>
        <v>HKD6L12L15M_Quote</v>
      </c>
      <c r="P7" s="51" t="e">
        <v>#VALUE!</v>
      </c>
      <c r="Q7" s="95" t="e">
        <f>_xll.qlSimpleQuoteSetValue($O7,ROUND($P7/10000,6),Trigger)</f>
        <v>#NUM!</v>
      </c>
      <c r="R7" s="10"/>
      <c r="T7" s="114" t="s">
        <v>111</v>
      </c>
      <c r="U7" s="100" t="s">
        <v>119</v>
      </c>
      <c r="V7" s="101" t="s">
        <v>121</v>
      </c>
      <c r="X7" s="222"/>
    </row>
    <row r="8" spans="1:24" x14ac:dyDescent="0.2">
      <c r="A8" s="224">
        <v>1.5</v>
      </c>
      <c r="B8" s="74" t="s">
        <v>38</v>
      </c>
      <c r="C8" s="42" t="str">
        <v>6L</v>
      </c>
      <c r="D8" s="42" t="str">
        <v>12L</v>
      </c>
      <c r="E8" s="43" t="str">
        <f t="shared" si="0"/>
        <v>HKD6L12L18M</v>
      </c>
      <c r="F8" s="26" t="str">
        <v>HKD6L12L18M=ICAP</v>
      </c>
      <c r="G8" s="52" t="s">
        <v>171</v>
      </c>
      <c r="H8" s="52" t="s">
        <v>171</v>
      </c>
      <c r="I8" s="52" t="e">
        <f>_xll.qlMidEquivalent(G8,H8)</f>
        <v>#NUM!</v>
      </c>
      <c r="J8" s="15" t="b">
        <f>IF(ISNUMBER(I8),TRUE,FALSE)</f>
        <v>0</v>
      </c>
      <c r="K8" s="104" t="e">
        <v>#VALUE!</v>
      </c>
      <c r="L8" s="6"/>
      <c r="M8" s="108" t="e">
        <v>#VALUE!</v>
      </c>
      <c r="N8" s="6"/>
      <c r="O8" s="94" t="str">
        <f t="shared" ref="O8:O42" si="1">$E8&amp;$P$2</f>
        <v>HKD6L12L18M_Quote</v>
      </c>
      <c r="P8" s="51" t="e">
        <v>#VALUE!</v>
      </c>
      <c r="Q8" s="95" t="e">
        <f>_xll.qlSimpleQuoteSetValue($O8,ROUND($P8/10000,6),Trigger)</f>
        <v>#NUM!</v>
      </c>
      <c r="R8" s="10"/>
      <c r="T8" s="114" t="s">
        <v>113</v>
      </c>
      <c r="U8" s="100" t="s">
        <v>119</v>
      </c>
      <c r="V8" s="101" t="s">
        <v>121</v>
      </c>
    </row>
    <row r="9" spans="1:24" ht="12" thickBot="1" x14ac:dyDescent="0.25">
      <c r="A9" s="224">
        <v>1.75</v>
      </c>
      <c r="B9" s="74" t="s">
        <v>39</v>
      </c>
      <c r="C9" s="42" t="str">
        <v>6L</v>
      </c>
      <c r="D9" s="42" t="str">
        <v>12L</v>
      </c>
      <c r="E9" s="43" t="str">
        <f t="shared" si="0"/>
        <v>HKD6L12L21M</v>
      </c>
      <c r="F9" s="26" t="str">
        <v>HKD6L12L21M=ICAP</v>
      </c>
      <c r="G9" s="52" t="s">
        <v>171</v>
      </c>
      <c r="H9" s="52" t="s">
        <v>171</v>
      </c>
      <c r="I9" s="52" t="e">
        <f>_xll.qlMidEquivalent(G9,H9)</f>
        <v>#NUM!</v>
      </c>
      <c r="J9" s="15" t="b">
        <f t="shared" ref="J9:J42" si="2">IF(ISNUMBER(I9),TRUE,FALSE)</f>
        <v>0</v>
      </c>
      <c r="K9" s="104" t="e">
        <v>#VALUE!</v>
      </c>
      <c r="L9" s="6"/>
      <c r="M9" s="108" t="e">
        <v>#VALUE!</v>
      </c>
      <c r="N9" s="6"/>
      <c r="O9" s="94" t="str">
        <f t="shared" si="1"/>
        <v>HKD6L12L21M_Quote</v>
      </c>
      <c r="P9" s="51" t="e">
        <v>#VALUE!</v>
      </c>
      <c r="Q9" s="95" t="e">
        <f>_xll.qlSimpleQuoteSetValue($O9,ROUND($P9/10000,6),Trigger)</f>
        <v>#NUM!</v>
      </c>
      <c r="R9" s="10"/>
      <c r="T9" s="115" t="s">
        <v>106</v>
      </c>
      <c r="U9" s="102" t="s">
        <v>121</v>
      </c>
      <c r="V9" s="103" t="s">
        <v>117</v>
      </c>
    </row>
    <row r="10" spans="1:24" x14ac:dyDescent="0.2">
      <c r="A10" s="9">
        <v>2</v>
      </c>
      <c r="B10" s="74" t="s">
        <v>40</v>
      </c>
      <c r="C10" s="42" t="str">
        <v>6L</v>
      </c>
      <c r="D10" s="42" t="str">
        <v>12L</v>
      </c>
      <c r="E10" s="43" t="str">
        <f t="shared" si="0"/>
        <v>HKD6L12L2Y</v>
      </c>
      <c r="F10" s="26" t="str">
        <v>HKD6L12L2Y=ICAP</v>
      </c>
      <c r="G10" s="52" t="s">
        <v>171</v>
      </c>
      <c r="H10" s="52" t="s">
        <v>171</v>
      </c>
      <c r="I10" s="52" t="e">
        <f>_xll.qlMidEquivalent(G10,H10)</f>
        <v>#NUM!</v>
      </c>
      <c r="J10" s="15" t="b">
        <f t="shared" si="2"/>
        <v>0</v>
      </c>
      <c r="K10" s="104" t="e">
        <v>#VALUE!</v>
      </c>
      <c r="L10" s="6"/>
      <c r="M10" s="108" t="e">
        <v>#VALUE!</v>
      </c>
      <c r="N10" s="6"/>
      <c r="O10" s="94" t="str">
        <f t="shared" si="1"/>
        <v>HKD6L12L2Y_Quote</v>
      </c>
      <c r="P10" s="51" t="e">
        <v>#VALUE!</v>
      </c>
      <c r="Q10" s="95" t="e">
        <f>_xll.qlSimpleQuoteSetValue($O10,ROUND($P10/10000,6),Trigger)</f>
        <v>#NUM!</v>
      </c>
      <c r="R10" s="10"/>
    </row>
    <row r="11" spans="1:24" x14ac:dyDescent="0.2">
      <c r="A11" s="9">
        <v>3</v>
      </c>
      <c r="B11" s="74" t="s">
        <v>41</v>
      </c>
      <c r="C11" s="42" t="str">
        <v>6L</v>
      </c>
      <c r="D11" s="42" t="str">
        <v>12L</v>
      </c>
      <c r="E11" s="43" t="str">
        <f t="shared" si="0"/>
        <v>HKD6L12L3Y</v>
      </c>
      <c r="F11" s="26" t="str">
        <v>HKD6L12L3Y=ICAP</v>
      </c>
      <c r="G11" s="52" t="s">
        <v>171</v>
      </c>
      <c r="H11" s="52" t="s">
        <v>171</v>
      </c>
      <c r="I11" s="52" t="e">
        <f>_xll.qlMidEquivalent(G11,H11)</f>
        <v>#NUM!</v>
      </c>
      <c r="J11" s="15" t="b">
        <f t="shared" si="2"/>
        <v>0</v>
      </c>
      <c r="K11" s="104" t="e">
        <v>#VALUE!</v>
      </c>
      <c r="L11" s="6"/>
      <c r="M11" s="108" t="e">
        <v>#VALUE!</v>
      </c>
      <c r="N11" s="6"/>
      <c r="O11" s="94" t="str">
        <f t="shared" si="1"/>
        <v>HKD6L12L3Y_Quote</v>
      </c>
      <c r="P11" s="51" t="e">
        <v>#VALUE!</v>
      </c>
      <c r="Q11" s="95" t="e">
        <f>_xll.qlSimpleQuoteSetValue($O11,ROUND($P11/10000,6),Trigger)</f>
        <v>#NUM!</v>
      </c>
      <c r="R11" s="10"/>
    </row>
    <row r="12" spans="1:24" x14ac:dyDescent="0.2">
      <c r="A12" s="9">
        <v>4</v>
      </c>
      <c r="B12" s="74" t="s">
        <v>42</v>
      </c>
      <c r="C12" s="42" t="str">
        <v>6L</v>
      </c>
      <c r="D12" s="42" t="str">
        <v>12L</v>
      </c>
      <c r="E12" s="43" t="str">
        <f t="shared" si="0"/>
        <v>HKD6L12L4Y</v>
      </c>
      <c r="F12" s="26" t="str">
        <v>HKD6L12L4Y=ICAP</v>
      </c>
      <c r="G12" s="52" t="s">
        <v>171</v>
      </c>
      <c r="H12" s="52" t="s">
        <v>171</v>
      </c>
      <c r="I12" s="52" t="e">
        <f>_xll.qlMidEquivalent(G12,H12)</f>
        <v>#NUM!</v>
      </c>
      <c r="J12" s="15" t="b">
        <f t="shared" si="2"/>
        <v>0</v>
      </c>
      <c r="K12" s="104" t="e">
        <v>#VALUE!</v>
      </c>
      <c r="L12" s="6"/>
      <c r="M12" s="108" t="e">
        <v>#VALUE!</v>
      </c>
      <c r="N12" s="6"/>
      <c r="O12" s="94" t="str">
        <f t="shared" si="1"/>
        <v>HKD6L12L4Y_Quote</v>
      </c>
      <c r="P12" s="51" t="e">
        <v>#VALUE!</v>
      </c>
      <c r="Q12" s="95" t="e">
        <f>_xll.qlSimpleQuoteSetValue($O12,ROUND($P12/10000,6),Trigger)</f>
        <v>#NUM!</v>
      </c>
      <c r="R12" s="10"/>
    </row>
    <row r="13" spans="1:24" x14ac:dyDescent="0.2">
      <c r="A13" s="9">
        <v>5</v>
      </c>
      <c r="B13" s="74" t="s">
        <v>43</v>
      </c>
      <c r="C13" s="42" t="str">
        <v>6L</v>
      </c>
      <c r="D13" s="42" t="str">
        <v>12L</v>
      </c>
      <c r="E13" s="43" t="str">
        <f t="shared" si="0"/>
        <v>HKD6L12L5Y</v>
      </c>
      <c r="F13" s="26" t="str">
        <v>HKD6L12L5Y=ICAP</v>
      </c>
      <c r="G13" s="52" t="s">
        <v>171</v>
      </c>
      <c r="H13" s="52" t="s">
        <v>171</v>
      </c>
      <c r="I13" s="52" t="e">
        <f>_xll.qlMidEquivalent(G13,H13)</f>
        <v>#NUM!</v>
      </c>
      <c r="J13" s="15" t="b">
        <f t="shared" si="2"/>
        <v>0</v>
      </c>
      <c r="K13" s="104" t="e">
        <v>#VALUE!</v>
      </c>
      <c r="L13" s="6"/>
      <c r="M13" s="108" t="e">
        <v>#VALUE!</v>
      </c>
      <c r="N13" s="6"/>
      <c r="O13" s="94" t="str">
        <f t="shared" si="1"/>
        <v>HKD6L12L5Y_Quote</v>
      </c>
      <c r="P13" s="51" t="e">
        <v>#VALUE!</v>
      </c>
      <c r="Q13" s="95" t="e">
        <f>_xll.qlSimpleQuoteSetValue($O13,ROUND($P13/10000,6),Trigger)</f>
        <v>#NUM!</v>
      </c>
      <c r="R13" s="10"/>
    </row>
    <row r="14" spans="1:24" x14ac:dyDescent="0.2">
      <c r="A14" s="9">
        <v>6</v>
      </c>
      <c r="B14" s="74" t="s">
        <v>44</v>
      </c>
      <c r="C14" s="42" t="str">
        <v>6L</v>
      </c>
      <c r="D14" s="42" t="str">
        <v>12L</v>
      </c>
      <c r="E14" s="43" t="str">
        <f t="shared" si="0"/>
        <v>HKD6L12L6Y</v>
      </c>
      <c r="F14" s="26" t="str">
        <v>HKD6L12L6Y=ICAP</v>
      </c>
      <c r="G14" s="52" t="s">
        <v>171</v>
      </c>
      <c r="H14" s="52" t="s">
        <v>171</v>
      </c>
      <c r="I14" s="52" t="e">
        <f>_xll.qlMidEquivalent(G14,H14)</f>
        <v>#NUM!</v>
      </c>
      <c r="J14" s="15" t="b">
        <f t="shared" si="2"/>
        <v>0</v>
      </c>
      <c r="K14" s="104" t="e">
        <v>#VALUE!</v>
      </c>
      <c r="L14" s="6"/>
      <c r="M14" s="108" t="e">
        <v>#VALUE!</v>
      </c>
      <c r="N14" s="6"/>
      <c r="O14" s="94" t="str">
        <f t="shared" si="1"/>
        <v>HKD6L12L6Y_Quote</v>
      </c>
      <c r="P14" s="51" t="e">
        <v>#VALUE!</v>
      </c>
      <c r="Q14" s="95" t="e">
        <f>_xll.qlSimpleQuoteSetValue($O14,ROUND($P14/10000,6),Trigger)</f>
        <v>#NUM!</v>
      </c>
      <c r="R14" s="10"/>
    </row>
    <row r="15" spans="1:24" x14ac:dyDescent="0.2">
      <c r="A15" s="9">
        <v>7</v>
      </c>
      <c r="B15" s="74" t="s">
        <v>45</v>
      </c>
      <c r="C15" s="42" t="str">
        <v>6L</v>
      </c>
      <c r="D15" s="42" t="str">
        <v>12L</v>
      </c>
      <c r="E15" s="43" t="str">
        <f t="shared" si="0"/>
        <v>HKD6L12L7Y</v>
      </c>
      <c r="F15" s="26" t="str">
        <v>HKD6L12L7Y=ICAP</v>
      </c>
      <c r="G15" s="52" t="s">
        <v>171</v>
      </c>
      <c r="H15" s="52" t="s">
        <v>171</v>
      </c>
      <c r="I15" s="52" t="e">
        <f>_xll.qlMidEquivalent(G15,H15)</f>
        <v>#NUM!</v>
      </c>
      <c r="J15" s="15" t="b">
        <f t="shared" si="2"/>
        <v>0</v>
      </c>
      <c r="K15" s="104" t="e">
        <v>#VALUE!</v>
      </c>
      <c r="L15" s="6"/>
      <c r="M15" s="108" t="e">
        <v>#VALUE!</v>
      </c>
      <c r="N15" s="6"/>
      <c r="O15" s="94" t="str">
        <f t="shared" si="1"/>
        <v>HKD6L12L7Y_Quote</v>
      </c>
      <c r="P15" s="51" t="e">
        <v>#VALUE!</v>
      </c>
      <c r="Q15" s="95" t="e">
        <f>_xll.qlSimpleQuoteSetValue($O15,ROUND($P15/10000,6),Trigger)</f>
        <v>#NUM!</v>
      </c>
      <c r="R15" s="10"/>
    </row>
    <row r="16" spans="1:24" x14ac:dyDescent="0.2">
      <c r="A16" s="9">
        <v>8</v>
      </c>
      <c r="B16" s="74" t="s">
        <v>46</v>
      </c>
      <c r="C16" s="42" t="str">
        <v>6L</v>
      </c>
      <c r="D16" s="42" t="str">
        <v>12L</v>
      </c>
      <c r="E16" s="43" t="str">
        <f t="shared" si="0"/>
        <v>HKD6L12L8Y</v>
      </c>
      <c r="F16" s="26" t="str">
        <v>HKD6L12L8Y=ICAP</v>
      </c>
      <c r="G16" s="52" t="s">
        <v>171</v>
      </c>
      <c r="H16" s="52" t="s">
        <v>171</v>
      </c>
      <c r="I16" s="52" t="e">
        <f>_xll.qlMidEquivalent(G16,H16)</f>
        <v>#NUM!</v>
      </c>
      <c r="J16" s="15" t="b">
        <f t="shared" si="2"/>
        <v>0</v>
      </c>
      <c r="K16" s="104" t="e">
        <v>#VALUE!</v>
      </c>
      <c r="L16" s="6"/>
      <c r="M16" s="108" t="e">
        <v>#VALUE!</v>
      </c>
      <c r="N16" s="6"/>
      <c r="O16" s="94" t="str">
        <f t="shared" si="1"/>
        <v>HKD6L12L8Y_Quote</v>
      </c>
      <c r="P16" s="51" t="e">
        <v>#VALUE!</v>
      </c>
      <c r="Q16" s="95" t="e">
        <f>_xll.qlSimpleQuoteSetValue($O16,ROUND($P16/10000,6),Trigger)</f>
        <v>#NUM!</v>
      </c>
      <c r="R16" s="10"/>
    </row>
    <row r="17" spans="1:18" x14ac:dyDescent="0.2">
      <c r="A17" s="9">
        <v>9</v>
      </c>
      <c r="B17" s="74" t="s">
        <v>47</v>
      </c>
      <c r="C17" s="42" t="str">
        <v>6L</v>
      </c>
      <c r="D17" s="42" t="str">
        <v>12L</v>
      </c>
      <c r="E17" s="43" t="str">
        <f t="shared" si="0"/>
        <v>HKD6L12L9Y</v>
      </c>
      <c r="F17" s="26" t="str">
        <v>HKD6L12L9Y=ICAP</v>
      </c>
      <c r="G17" s="52" t="s">
        <v>171</v>
      </c>
      <c r="H17" s="52" t="s">
        <v>171</v>
      </c>
      <c r="I17" s="52" t="e">
        <f>_xll.qlMidEquivalent(G17,H17)</f>
        <v>#NUM!</v>
      </c>
      <c r="J17" s="15" t="b">
        <f t="shared" si="2"/>
        <v>0</v>
      </c>
      <c r="K17" s="104" t="e">
        <v>#VALUE!</v>
      </c>
      <c r="L17" s="6"/>
      <c r="M17" s="108" t="e">
        <v>#VALUE!</v>
      </c>
      <c r="N17" s="6"/>
      <c r="O17" s="94" t="str">
        <f t="shared" si="1"/>
        <v>HKD6L12L9Y_Quote</v>
      </c>
      <c r="P17" s="51" t="e">
        <v>#VALUE!</v>
      </c>
      <c r="Q17" s="95" t="e">
        <f>_xll.qlSimpleQuoteSetValue($O17,ROUND($P17/10000,6),Trigger)</f>
        <v>#NUM!</v>
      </c>
      <c r="R17" s="10"/>
    </row>
    <row r="18" spans="1:18" x14ac:dyDescent="0.2">
      <c r="A18" s="9">
        <v>10</v>
      </c>
      <c r="B18" s="74" t="s">
        <v>48</v>
      </c>
      <c r="C18" s="42" t="str">
        <v>6L</v>
      </c>
      <c r="D18" s="42" t="str">
        <v>12L</v>
      </c>
      <c r="E18" s="43" t="str">
        <f t="shared" si="0"/>
        <v>HKD6L12L10Y</v>
      </c>
      <c r="F18" s="26" t="str">
        <v>HKD6L12L10Y=ICAP</v>
      </c>
      <c r="G18" s="52" t="s">
        <v>171</v>
      </c>
      <c r="H18" s="52" t="s">
        <v>171</v>
      </c>
      <c r="I18" s="52" t="e">
        <f>_xll.qlMidEquivalent(G18,H18)</f>
        <v>#NUM!</v>
      </c>
      <c r="J18" s="15" t="b">
        <f t="shared" si="2"/>
        <v>0</v>
      </c>
      <c r="K18" s="104" t="e">
        <v>#VALUE!</v>
      </c>
      <c r="L18" s="6"/>
      <c r="M18" s="108" t="e">
        <v>#VALUE!</v>
      </c>
      <c r="N18" s="6"/>
      <c r="O18" s="94" t="str">
        <f t="shared" si="1"/>
        <v>HKD6L12L10Y_Quote</v>
      </c>
      <c r="P18" s="51" t="e">
        <v>#VALUE!</v>
      </c>
      <c r="Q18" s="95" t="e">
        <f>_xll.qlSimpleQuoteSetValue($O18,ROUND($P18/10000,6),Trigger)</f>
        <v>#NUM!</v>
      </c>
      <c r="R18" s="10"/>
    </row>
    <row r="19" spans="1:18" x14ac:dyDescent="0.2">
      <c r="A19" s="9">
        <v>11</v>
      </c>
      <c r="B19" s="74" t="s">
        <v>49</v>
      </c>
      <c r="C19" s="42" t="str">
        <v>6L</v>
      </c>
      <c r="D19" s="42" t="str">
        <v>12L</v>
      </c>
      <c r="E19" s="43" t="str">
        <f t="shared" si="0"/>
        <v>HKD6L12L11Y</v>
      </c>
      <c r="F19" s="26" t="str">
        <v>HKD6L12L11Y=ICAP</v>
      </c>
      <c r="G19" s="52" t="s">
        <v>171</v>
      </c>
      <c r="H19" s="52" t="s">
        <v>171</v>
      </c>
      <c r="I19" s="52" t="e">
        <f>_xll.qlMidEquivalent(G19,H19)</f>
        <v>#NUM!</v>
      </c>
      <c r="J19" s="15" t="b">
        <f t="shared" si="2"/>
        <v>0</v>
      </c>
      <c r="K19" s="104" t="e">
        <v>#VALUE!</v>
      </c>
      <c r="L19" s="6"/>
      <c r="M19" s="108" t="e">
        <v>#VALUE!</v>
      </c>
      <c r="N19" s="6"/>
      <c r="O19" s="94" t="str">
        <f t="shared" si="1"/>
        <v>HKD6L12L11Y_Quote</v>
      </c>
      <c r="P19" s="51" t="e">
        <v>#VALUE!</v>
      </c>
      <c r="Q19" s="95" t="e">
        <f>_xll.qlSimpleQuoteSetValue($O19,ROUND($P19/10000,6),Trigger)</f>
        <v>#NUM!</v>
      </c>
      <c r="R19" s="10"/>
    </row>
    <row r="20" spans="1:18" x14ac:dyDescent="0.2">
      <c r="A20" s="9">
        <v>12</v>
      </c>
      <c r="B20" s="74" t="s">
        <v>50</v>
      </c>
      <c r="C20" s="42" t="str">
        <v>6L</v>
      </c>
      <c r="D20" s="42" t="str">
        <v>12L</v>
      </c>
      <c r="E20" s="43" t="str">
        <f t="shared" si="0"/>
        <v>HKD6L12L12Y</v>
      </c>
      <c r="F20" s="26" t="str">
        <v>HKD6L12L12Y=ICAP</v>
      </c>
      <c r="G20" s="52" t="s">
        <v>171</v>
      </c>
      <c r="H20" s="52" t="s">
        <v>171</v>
      </c>
      <c r="I20" s="52" t="e">
        <f>_xll.qlMidEquivalent(G20,H20)</f>
        <v>#NUM!</v>
      </c>
      <c r="J20" s="15" t="b">
        <f t="shared" si="2"/>
        <v>0</v>
      </c>
      <c r="K20" s="104" t="e">
        <v>#VALUE!</v>
      </c>
      <c r="L20" s="6"/>
      <c r="M20" s="108" t="e">
        <v>#VALUE!</v>
      </c>
      <c r="N20" s="6"/>
      <c r="O20" s="94" t="str">
        <f t="shared" si="1"/>
        <v>HKD6L12L12Y_Quote</v>
      </c>
      <c r="P20" s="51" t="e">
        <v>#VALUE!</v>
      </c>
      <c r="Q20" s="95" t="e">
        <f>_xll.qlSimpleQuoteSetValue($O20,ROUND($P20/10000,6),Trigger)</f>
        <v>#NUM!</v>
      </c>
      <c r="R20" s="10"/>
    </row>
    <row r="21" spans="1:18" x14ac:dyDescent="0.2">
      <c r="A21" s="9">
        <v>13</v>
      </c>
      <c r="B21" s="74" t="s">
        <v>51</v>
      </c>
      <c r="C21" s="42" t="str">
        <v>6L</v>
      </c>
      <c r="D21" s="42" t="str">
        <v>12L</v>
      </c>
      <c r="E21" s="43" t="str">
        <f t="shared" si="0"/>
        <v>HKD6L12L13Y</v>
      </c>
      <c r="F21" s="26" t="str">
        <v>HKD6L12L13Y=ICAP</v>
      </c>
      <c r="G21" s="52" t="s">
        <v>171</v>
      </c>
      <c r="H21" s="52" t="s">
        <v>171</v>
      </c>
      <c r="I21" s="52" t="e">
        <f>_xll.qlMidEquivalent(G21,H21)</f>
        <v>#NUM!</v>
      </c>
      <c r="J21" s="15" t="b">
        <f t="shared" si="2"/>
        <v>0</v>
      </c>
      <c r="K21" s="104" t="e">
        <v>#VALUE!</v>
      </c>
      <c r="L21" s="6"/>
      <c r="M21" s="108" t="e">
        <v>#VALUE!</v>
      </c>
      <c r="N21" s="6"/>
      <c r="O21" s="94" t="str">
        <f t="shared" si="1"/>
        <v>HKD6L12L13Y_Quote</v>
      </c>
      <c r="P21" s="51" t="e">
        <v>#VALUE!</v>
      </c>
      <c r="Q21" s="95" t="e">
        <f>_xll.qlSimpleQuoteSetValue($O21,ROUND($P21/10000,6),Trigger)</f>
        <v>#NUM!</v>
      </c>
      <c r="R21" s="10"/>
    </row>
    <row r="22" spans="1:18" x14ac:dyDescent="0.2">
      <c r="A22" s="9">
        <v>14</v>
      </c>
      <c r="B22" s="74" t="s">
        <v>52</v>
      </c>
      <c r="C22" s="42" t="str">
        <v>6L</v>
      </c>
      <c r="D22" s="42" t="str">
        <v>12L</v>
      </c>
      <c r="E22" s="43" t="str">
        <f t="shared" si="0"/>
        <v>HKD6L12L14Y</v>
      </c>
      <c r="F22" s="26" t="str">
        <v>HKD6L12L14Y=ICAP</v>
      </c>
      <c r="G22" s="52" t="s">
        <v>171</v>
      </c>
      <c r="H22" s="52" t="s">
        <v>171</v>
      </c>
      <c r="I22" s="52" t="e">
        <f>_xll.qlMidEquivalent(G22,H22)</f>
        <v>#NUM!</v>
      </c>
      <c r="J22" s="15" t="b">
        <f t="shared" si="2"/>
        <v>0</v>
      </c>
      <c r="K22" s="104" t="e">
        <v>#VALUE!</v>
      </c>
      <c r="L22" s="6"/>
      <c r="M22" s="108" t="e">
        <v>#VALUE!</v>
      </c>
      <c r="N22" s="6"/>
      <c r="O22" s="94" t="str">
        <f t="shared" si="1"/>
        <v>HKD6L12L14Y_Quote</v>
      </c>
      <c r="P22" s="51" t="e">
        <v>#VALUE!</v>
      </c>
      <c r="Q22" s="95" t="e">
        <f>_xll.qlSimpleQuoteSetValue($O22,ROUND($P22/10000,6),Trigger)</f>
        <v>#NUM!</v>
      </c>
      <c r="R22" s="10"/>
    </row>
    <row r="23" spans="1:18" x14ac:dyDescent="0.2">
      <c r="A23" s="9">
        <v>15</v>
      </c>
      <c r="B23" s="74" t="s">
        <v>53</v>
      </c>
      <c r="C23" s="42" t="str">
        <v>6L</v>
      </c>
      <c r="D23" s="42" t="str">
        <v>12L</v>
      </c>
      <c r="E23" s="43" t="str">
        <f t="shared" si="0"/>
        <v>HKD6L12L15Y</v>
      </c>
      <c r="F23" s="26" t="str">
        <v>HKD6L12L15Y=ICAP</v>
      </c>
      <c r="G23" s="52" t="s">
        <v>171</v>
      </c>
      <c r="H23" s="52" t="s">
        <v>171</v>
      </c>
      <c r="I23" s="52" t="e">
        <f>_xll.qlMidEquivalent(G23,H23)</f>
        <v>#NUM!</v>
      </c>
      <c r="J23" s="15" t="b">
        <f t="shared" si="2"/>
        <v>0</v>
      </c>
      <c r="K23" s="104" t="e">
        <v>#VALUE!</v>
      </c>
      <c r="L23" s="6"/>
      <c r="M23" s="108" t="e">
        <v>#VALUE!</v>
      </c>
      <c r="N23" s="6"/>
      <c r="O23" s="94" t="str">
        <f t="shared" si="1"/>
        <v>HKD6L12L15Y_Quote</v>
      </c>
      <c r="P23" s="51" t="e">
        <v>#VALUE!</v>
      </c>
      <c r="Q23" s="95" t="e">
        <f>_xll.qlSimpleQuoteSetValue($O23,ROUND($P23/10000,6),Trigger)</f>
        <v>#NUM!</v>
      </c>
      <c r="R23" s="10"/>
    </row>
    <row r="24" spans="1:18" x14ac:dyDescent="0.2">
      <c r="A24" s="9">
        <v>16</v>
      </c>
      <c r="B24" s="74" t="s">
        <v>54</v>
      </c>
      <c r="C24" s="42" t="str">
        <v>6L</v>
      </c>
      <c r="D24" s="42" t="str">
        <v>12L</v>
      </c>
      <c r="E24" s="43" t="str">
        <f t="shared" si="0"/>
        <v>HKD6L12L16Y</v>
      </c>
      <c r="F24" s="26" t="str">
        <v>HKD6L12L16Y=ICAP</v>
      </c>
      <c r="G24" s="52" t="s">
        <v>171</v>
      </c>
      <c r="H24" s="52" t="s">
        <v>171</v>
      </c>
      <c r="I24" s="52" t="e">
        <f>_xll.qlMidEquivalent(G24,H24)</f>
        <v>#NUM!</v>
      </c>
      <c r="J24" s="15" t="b">
        <f t="shared" si="2"/>
        <v>0</v>
      </c>
      <c r="K24" s="104" t="e">
        <v>#VALUE!</v>
      </c>
      <c r="L24" s="6"/>
      <c r="M24" s="108" t="e">
        <v>#VALUE!</v>
      </c>
      <c r="N24" s="6"/>
      <c r="O24" s="94" t="str">
        <f t="shared" si="1"/>
        <v>HKD6L12L16Y_Quote</v>
      </c>
      <c r="P24" s="51" t="e">
        <v>#VALUE!</v>
      </c>
      <c r="Q24" s="95" t="e">
        <f>_xll.qlSimpleQuoteSetValue($O24,ROUND($P24/10000,6),Trigger)</f>
        <v>#NUM!</v>
      </c>
      <c r="R24" s="10"/>
    </row>
    <row r="25" spans="1:18" x14ac:dyDescent="0.2">
      <c r="A25" s="9">
        <v>17</v>
      </c>
      <c r="B25" s="74" t="s">
        <v>55</v>
      </c>
      <c r="C25" s="42" t="str">
        <v>6L</v>
      </c>
      <c r="D25" s="42" t="str">
        <v>12L</v>
      </c>
      <c r="E25" s="43" t="str">
        <f t="shared" si="0"/>
        <v>HKD6L12L17Y</v>
      </c>
      <c r="F25" s="26" t="str">
        <v>HKD6L12L17Y=ICAP</v>
      </c>
      <c r="G25" s="52" t="s">
        <v>171</v>
      </c>
      <c r="H25" s="52" t="s">
        <v>171</v>
      </c>
      <c r="I25" s="52" t="e">
        <f>_xll.qlMidEquivalent(G25,H25)</f>
        <v>#NUM!</v>
      </c>
      <c r="J25" s="15" t="b">
        <f t="shared" si="2"/>
        <v>0</v>
      </c>
      <c r="K25" s="104" t="e">
        <v>#VALUE!</v>
      </c>
      <c r="L25" s="6"/>
      <c r="M25" s="108" t="e">
        <v>#VALUE!</v>
      </c>
      <c r="N25" s="6"/>
      <c r="O25" s="94" t="str">
        <f t="shared" si="1"/>
        <v>HKD6L12L17Y_Quote</v>
      </c>
      <c r="P25" s="51" t="e">
        <v>#VALUE!</v>
      </c>
      <c r="Q25" s="95" t="e">
        <f>_xll.qlSimpleQuoteSetValue($O25,ROUND($P25/10000,6),Trigger)</f>
        <v>#NUM!</v>
      </c>
      <c r="R25" s="10"/>
    </row>
    <row r="26" spans="1:18" x14ac:dyDescent="0.2">
      <c r="A26" s="9">
        <v>18</v>
      </c>
      <c r="B26" s="74" t="s">
        <v>56</v>
      </c>
      <c r="C26" s="42" t="str">
        <v>6L</v>
      </c>
      <c r="D26" s="42" t="str">
        <v>12L</v>
      </c>
      <c r="E26" s="43" t="str">
        <f t="shared" si="0"/>
        <v>HKD6L12L18Y</v>
      </c>
      <c r="F26" s="26" t="str">
        <v>HKD6L12L18Y=ICAP</v>
      </c>
      <c r="G26" s="52" t="s">
        <v>171</v>
      </c>
      <c r="H26" s="52" t="s">
        <v>171</v>
      </c>
      <c r="I26" s="52" t="e">
        <f>_xll.qlMidEquivalent(G26,H26)</f>
        <v>#NUM!</v>
      </c>
      <c r="J26" s="15" t="b">
        <f t="shared" si="2"/>
        <v>0</v>
      </c>
      <c r="K26" s="104" t="e">
        <v>#VALUE!</v>
      </c>
      <c r="L26" s="6"/>
      <c r="M26" s="108" t="e">
        <v>#VALUE!</v>
      </c>
      <c r="N26" s="6"/>
      <c r="O26" s="94" t="str">
        <f t="shared" si="1"/>
        <v>HKD6L12L18Y_Quote</v>
      </c>
      <c r="P26" s="51" t="e">
        <v>#VALUE!</v>
      </c>
      <c r="Q26" s="95" t="e">
        <f>_xll.qlSimpleQuoteSetValue($O26,ROUND($P26/10000,6),Trigger)</f>
        <v>#NUM!</v>
      </c>
      <c r="R26" s="10"/>
    </row>
    <row r="27" spans="1:18" x14ac:dyDescent="0.2">
      <c r="A27" s="9">
        <v>19</v>
      </c>
      <c r="B27" s="74" t="s">
        <v>57</v>
      </c>
      <c r="C27" s="42" t="str">
        <v>6L</v>
      </c>
      <c r="D27" s="42" t="str">
        <v>12L</v>
      </c>
      <c r="E27" s="43" t="str">
        <f t="shared" si="0"/>
        <v>HKD6L12L19Y</v>
      </c>
      <c r="F27" s="26" t="str">
        <v>HKD6L12L19Y=ICAP</v>
      </c>
      <c r="G27" s="52" t="s">
        <v>171</v>
      </c>
      <c r="H27" s="52" t="s">
        <v>171</v>
      </c>
      <c r="I27" s="52" t="e">
        <f>_xll.qlMidEquivalent(G27,H27)</f>
        <v>#NUM!</v>
      </c>
      <c r="J27" s="15" t="b">
        <f t="shared" si="2"/>
        <v>0</v>
      </c>
      <c r="K27" s="104" t="e">
        <v>#VALUE!</v>
      </c>
      <c r="L27" s="6"/>
      <c r="M27" s="108" t="e">
        <v>#VALUE!</v>
      </c>
      <c r="N27" s="6"/>
      <c r="O27" s="94" t="str">
        <f t="shared" si="1"/>
        <v>HKD6L12L19Y_Quote</v>
      </c>
      <c r="P27" s="51" t="e">
        <v>#VALUE!</v>
      </c>
      <c r="Q27" s="95" t="e">
        <f>_xll.qlSimpleQuoteSetValue($O27,ROUND($P27/10000,6),Trigger)</f>
        <v>#NUM!</v>
      </c>
      <c r="R27" s="10"/>
    </row>
    <row r="28" spans="1:18" x14ac:dyDescent="0.2">
      <c r="A28" s="9">
        <v>20</v>
      </c>
      <c r="B28" s="74" t="s">
        <v>58</v>
      </c>
      <c r="C28" s="42" t="str">
        <v>6L</v>
      </c>
      <c r="D28" s="42" t="str">
        <v>12L</v>
      </c>
      <c r="E28" s="43" t="str">
        <f t="shared" si="0"/>
        <v>HKD6L12L20Y</v>
      </c>
      <c r="F28" s="26" t="str">
        <v>HKD6L12L20Y=ICAP</v>
      </c>
      <c r="G28" s="52" t="s">
        <v>171</v>
      </c>
      <c r="H28" s="52" t="s">
        <v>171</v>
      </c>
      <c r="I28" s="52" t="e">
        <f>_xll.qlMidEquivalent(G28,H28)</f>
        <v>#NUM!</v>
      </c>
      <c r="J28" s="15" t="b">
        <f t="shared" si="2"/>
        <v>0</v>
      </c>
      <c r="K28" s="104" t="e">
        <v>#VALUE!</v>
      </c>
      <c r="L28" s="6"/>
      <c r="M28" s="108" t="e">
        <v>#VALUE!</v>
      </c>
      <c r="N28" s="6"/>
      <c r="O28" s="94" t="str">
        <f t="shared" si="1"/>
        <v>HKD6L12L20Y_Quote</v>
      </c>
      <c r="P28" s="51" t="e">
        <v>#VALUE!</v>
      </c>
      <c r="Q28" s="95" t="e">
        <f>_xll.qlSimpleQuoteSetValue($O28,ROUND($P28/10000,6),Trigger)</f>
        <v>#NUM!</v>
      </c>
      <c r="R28" s="10"/>
    </row>
    <row r="29" spans="1:18" x14ac:dyDescent="0.2">
      <c r="A29" s="9">
        <v>21</v>
      </c>
      <c r="B29" s="74" t="s">
        <v>59</v>
      </c>
      <c r="C29" s="42" t="str">
        <v>6L</v>
      </c>
      <c r="D29" s="42" t="str">
        <v>12L</v>
      </c>
      <c r="E29" s="43" t="str">
        <f t="shared" si="0"/>
        <v>HKD6L12L21Y</v>
      </c>
      <c r="F29" s="26" t="str">
        <v>HKD6L12L21Y=ICAP</v>
      </c>
      <c r="G29" s="52" t="s">
        <v>171</v>
      </c>
      <c r="H29" s="52" t="s">
        <v>171</v>
      </c>
      <c r="I29" s="52" t="e">
        <f>_xll.qlMidEquivalent(G29,H29)</f>
        <v>#NUM!</v>
      </c>
      <c r="J29" s="15" t="b">
        <f t="shared" si="2"/>
        <v>0</v>
      </c>
      <c r="K29" s="104" t="e">
        <v>#VALUE!</v>
      </c>
      <c r="L29" s="6"/>
      <c r="M29" s="108" t="e">
        <v>#VALUE!</v>
      </c>
      <c r="N29" s="6"/>
      <c r="O29" s="94" t="str">
        <f t="shared" si="1"/>
        <v>HKD6L12L21Y_Quote</v>
      </c>
      <c r="P29" s="51" t="e">
        <v>#VALUE!</v>
      </c>
      <c r="Q29" s="95" t="e">
        <f>_xll.qlSimpleQuoteSetValue($O29,ROUND($P29/10000,6),Trigger)</f>
        <v>#NUM!</v>
      </c>
      <c r="R29" s="10"/>
    </row>
    <row r="30" spans="1:18" x14ac:dyDescent="0.2">
      <c r="A30" s="9">
        <v>22</v>
      </c>
      <c r="B30" s="74" t="s">
        <v>60</v>
      </c>
      <c r="C30" s="42" t="str">
        <v>6L</v>
      </c>
      <c r="D30" s="42" t="str">
        <v>12L</v>
      </c>
      <c r="E30" s="43" t="str">
        <f t="shared" si="0"/>
        <v>HKD6L12L22Y</v>
      </c>
      <c r="F30" s="26" t="str">
        <v>HKD6L12L22Y=ICAP</v>
      </c>
      <c r="G30" s="52" t="s">
        <v>171</v>
      </c>
      <c r="H30" s="52" t="s">
        <v>171</v>
      </c>
      <c r="I30" s="52" t="e">
        <f>_xll.qlMidEquivalent(G30,H30)</f>
        <v>#NUM!</v>
      </c>
      <c r="J30" s="15" t="b">
        <f t="shared" si="2"/>
        <v>0</v>
      </c>
      <c r="K30" s="104" t="e">
        <v>#VALUE!</v>
      </c>
      <c r="L30" s="6"/>
      <c r="M30" s="108" t="e">
        <v>#VALUE!</v>
      </c>
      <c r="N30" s="6"/>
      <c r="O30" s="94" t="str">
        <f t="shared" si="1"/>
        <v>HKD6L12L22Y_Quote</v>
      </c>
      <c r="P30" s="51" t="e">
        <v>#VALUE!</v>
      </c>
      <c r="Q30" s="95" t="e">
        <f>_xll.qlSimpleQuoteSetValue($O30,ROUND($P30/10000,6),Trigger)</f>
        <v>#NUM!</v>
      </c>
      <c r="R30" s="10"/>
    </row>
    <row r="31" spans="1:18" x14ac:dyDescent="0.2">
      <c r="A31" s="9">
        <v>23</v>
      </c>
      <c r="B31" s="74" t="s">
        <v>61</v>
      </c>
      <c r="C31" s="42" t="str">
        <v>6L</v>
      </c>
      <c r="D31" s="42" t="str">
        <v>12L</v>
      </c>
      <c r="E31" s="43" t="str">
        <f t="shared" si="0"/>
        <v>HKD6L12L23Y</v>
      </c>
      <c r="F31" s="26" t="str">
        <v>HKD6L12L23Y=ICAP</v>
      </c>
      <c r="G31" s="52" t="s">
        <v>171</v>
      </c>
      <c r="H31" s="52" t="s">
        <v>171</v>
      </c>
      <c r="I31" s="52" t="e">
        <f>_xll.qlMidEquivalent(G31,H31)</f>
        <v>#NUM!</v>
      </c>
      <c r="J31" s="15" t="b">
        <f t="shared" si="2"/>
        <v>0</v>
      </c>
      <c r="K31" s="104" t="e">
        <v>#VALUE!</v>
      </c>
      <c r="L31" s="6"/>
      <c r="M31" s="108" t="e">
        <v>#VALUE!</v>
      </c>
      <c r="N31" s="6"/>
      <c r="O31" s="94" t="str">
        <f t="shared" si="1"/>
        <v>HKD6L12L23Y_Quote</v>
      </c>
      <c r="P31" s="51" t="e">
        <v>#VALUE!</v>
      </c>
      <c r="Q31" s="95" t="e">
        <f>_xll.qlSimpleQuoteSetValue($O31,ROUND($P31/10000,6),Trigger)</f>
        <v>#NUM!</v>
      </c>
      <c r="R31" s="10"/>
    </row>
    <row r="32" spans="1:18" x14ac:dyDescent="0.2">
      <c r="A32" s="9">
        <v>24</v>
      </c>
      <c r="B32" s="74" t="s">
        <v>62</v>
      </c>
      <c r="C32" s="42" t="str">
        <v>6L</v>
      </c>
      <c r="D32" s="42" t="str">
        <v>12L</v>
      </c>
      <c r="E32" s="43" t="str">
        <f t="shared" si="0"/>
        <v>HKD6L12L24Y</v>
      </c>
      <c r="F32" s="26" t="str">
        <v>HKD6L12L24Y=ICAP</v>
      </c>
      <c r="G32" s="52" t="s">
        <v>171</v>
      </c>
      <c r="H32" s="52" t="s">
        <v>171</v>
      </c>
      <c r="I32" s="52" t="e">
        <f>_xll.qlMidEquivalent(G32,H32)</f>
        <v>#NUM!</v>
      </c>
      <c r="J32" s="15" t="b">
        <f t="shared" si="2"/>
        <v>0</v>
      </c>
      <c r="K32" s="104" t="e">
        <v>#VALUE!</v>
      </c>
      <c r="L32" s="6"/>
      <c r="M32" s="108" t="e">
        <v>#VALUE!</v>
      </c>
      <c r="N32" s="6"/>
      <c r="O32" s="94" t="str">
        <f t="shared" si="1"/>
        <v>HKD6L12L24Y_Quote</v>
      </c>
      <c r="P32" s="51" t="e">
        <v>#VALUE!</v>
      </c>
      <c r="Q32" s="95" t="e">
        <f>_xll.qlSimpleQuoteSetValue($O32,ROUND($P32/10000,6),Trigger)</f>
        <v>#NUM!</v>
      </c>
      <c r="R32" s="10"/>
    </row>
    <row r="33" spans="1:18" x14ac:dyDescent="0.2">
      <c r="A33" s="9">
        <v>25</v>
      </c>
      <c r="B33" s="74" t="s">
        <v>63</v>
      </c>
      <c r="C33" s="42" t="str">
        <v>6L</v>
      </c>
      <c r="D33" s="42" t="str">
        <v>12L</v>
      </c>
      <c r="E33" s="43" t="str">
        <f t="shared" si="0"/>
        <v>HKD6L12L25Y</v>
      </c>
      <c r="F33" s="26" t="str">
        <v>HKD6L12L25Y=ICAP</v>
      </c>
      <c r="G33" s="52" t="s">
        <v>171</v>
      </c>
      <c r="H33" s="52" t="s">
        <v>171</v>
      </c>
      <c r="I33" s="52" t="e">
        <f>_xll.qlMidEquivalent(G33,H33)</f>
        <v>#NUM!</v>
      </c>
      <c r="J33" s="15" t="b">
        <f t="shared" si="2"/>
        <v>0</v>
      </c>
      <c r="K33" s="104" t="e">
        <v>#VALUE!</v>
      </c>
      <c r="L33" s="6"/>
      <c r="M33" s="108" t="e">
        <v>#VALUE!</v>
      </c>
      <c r="N33" s="6"/>
      <c r="O33" s="94" t="str">
        <f t="shared" si="1"/>
        <v>HKD6L12L25Y_Quote</v>
      </c>
      <c r="P33" s="51" t="e">
        <v>#VALUE!</v>
      </c>
      <c r="Q33" s="95" t="e">
        <f>_xll.qlSimpleQuoteSetValue($O33,ROUND($P33/10000,6),Trigger)</f>
        <v>#NUM!</v>
      </c>
      <c r="R33" s="10"/>
    </row>
    <row r="34" spans="1:18" x14ac:dyDescent="0.2">
      <c r="A34" s="9">
        <v>26</v>
      </c>
      <c r="B34" s="74" t="s">
        <v>64</v>
      </c>
      <c r="C34" s="42" t="str">
        <v>6L</v>
      </c>
      <c r="D34" s="42" t="str">
        <v>12L</v>
      </c>
      <c r="E34" s="43" t="str">
        <f t="shared" si="0"/>
        <v>HKD6L12L26Y</v>
      </c>
      <c r="F34" s="26" t="str">
        <v>HKD6L12L26Y=ICAP</v>
      </c>
      <c r="G34" s="52" t="s">
        <v>171</v>
      </c>
      <c r="H34" s="52" t="s">
        <v>171</v>
      </c>
      <c r="I34" s="52" t="e">
        <f>_xll.qlMidEquivalent(G34,H34)</f>
        <v>#NUM!</v>
      </c>
      <c r="J34" s="15" t="b">
        <f t="shared" si="2"/>
        <v>0</v>
      </c>
      <c r="K34" s="104" t="e">
        <v>#VALUE!</v>
      </c>
      <c r="L34" s="6"/>
      <c r="M34" s="108" t="e">
        <v>#VALUE!</v>
      </c>
      <c r="N34" s="6"/>
      <c r="O34" s="94" t="str">
        <f t="shared" si="1"/>
        <v>HKD6L12L26Y_Quote</v>
      </c>
      <c r="P34" s="51" t="e">
        <v>#VALUE!</v>
      </c>
      <c r="Q34" s="95" t="e">
        <f>_xll.qlSimpleQuoteSetValue($O34,ROUND($P34/10000,6),Trigger)</f>
        <v>#NUM!</v>
      </c>
      <c r="R34" s="10"/>
    </row>
    <row r="35" spans="1:18" x14ac:dyDescent="0.2">
      <c r="A35" s="9">
        <v>27</v>
      </c>
      <c r="B35" s="74" t="s">
        <v>65</v>
      </c>
      <c r="C35" s="42" t="str">
        <v>6L</v>
      </c>
      <c r="D35" s="42" t="str">
        <v>12L</v>
      </c>
      <c r="E35" s="43" t="str">
        <f t="shared" si="0"/>
        <v>HKD6L12L27Y</v>
      </c>
      <c r="F35" s="26" t="str">
        <v>HKD6L12L27Y=ICAP</v>
      </c>
      <c r="G35" s="52" t="s">
        <v>171</v>
      </c>
      <c r="H35" s="52" t="s">
        <v>171</v>
      </c>
      <c r="I35" s="52" t="e">
        <f>_xll.qlMidEquivalent(G35,H35)</f>
        <v>#NUM!</v>
      </c>
      <c r="J35" s="15" t="b">
        <f t="shared" si="2"/>
        <v>0</v>
      </c>
      <c r="K35" s="104" t="e">
        <v>#VALUE!</v>
      </c>
      <c r="L35" s="6"/>
      <c r="M35" s="108" t="e">
        <v>#VALUE!</v>
      </c>
      <c r="N35" s="6"/>
      <c r="O35" s="94" t="str">
        <f t="shared" si="1"/>
        <v>HKD6L12L27Y_Quote</v>
      </c>
      <c r="P35" s="51" t="e">
        <v>#VALUE!</v>
      </c>
      <c r="Q35" s="95" t="e">
        <f>_xll.qlSimpleQuoteSetValue($O35,ROUND($P35/10000,6),Trigger)</f>
        <v>#NUM!</v>
      </c>
      <c r="R35" s="10"/>
    </row>
    <row r="36" spans="1:18" x14ac:dyDescent="0.2">
      <c r="A36" s="9">
        <v>28</v>
      </c>
      <c r="B36" s="74" t="s">
        <v>66</v>
      </c>
      <c r="C36" s="42" t="str">
        <v>6L</v>
      </c>
      <c r="D36" s="42" t="str">
        <v>12L</v>
      </c>
      <c r="E36" s="43" t="str">
        <f t="shared" si="0"/>
        <v>HKD6L12L28Y</v>
      </c>
      <c r="F36" s="26" t="str">
        <v>HKD6L12L28Y=ICAP</v>
      </c>
      <c r="G36" s="52" t="s">
        <v>171</v>
      </c>
      <c r="H36" s="52" t="s">
        <v>171</v>
      </c>
      <c r="I36" s="52" t="e">
        <f>_xll.qlMidEquivalent(G36,H36)</f>
        <v>#NUM!</v>
      </c>
      <c r="J36" s="15" t="b">
        <f t="shared" si="2"/>
        <v>0</v>
      </c>
      <c r="K36" s="104" t="e">
        <v>#VALUE!</v>
      </c>
      <c r="L36" s="6"/>
      <c r="M36" s="108" t="e">
        <v>#VALUE!</v>
      </c>
      <c r="N36" s="6"/>
      <c r="O36" s="94" t="str">
        <f t="shared" si="1"/>
        <v>HKD6L12L28Y_Quote</v>
      </c>
      <c r="P36" s="51" t="e">
        <v>#VALUE!</v>
      </c>
      <c r="Q36" s="95" t="e">
        <f>_xll.qlSimpleQuoteSetValue($O36,ROUND($P36/10000,6),Trigger)</f>
        <v>#NUM!</v>
      </c>
      <c r="R36" s="10"/>
    </row>
    <row r="37" spans="1:18" x14ac:dyDescent="0.2">
      <c r="A37" s="9">
        <v>29</v>
      </c>
      <c r="B37" s="74" t="s">
        <v>67</v>
      </c>
      <c r="C37" s="42" t="str">
        <v>6L</v>
      </c>
      <c r="D37" s="42" t="str">
        <v>12L</v>
      </c>
      <c r="E37" s="43" t="str">
        <f t="shared" si="0"/>
        <v>HKD6L12L29Y</v>
      </c>
      <c r="F37" s="26" t="str">
        <v>HKD6L12L29Y=ICAP</v>
      </c>
      <c r="G37" s="52" t="s">
        <v>171</v>
      </c>
      <c r="H37" s="52" t="s">
        <v>171</v>
      </c>
      <c r="I37" s="52" t="e">
        <f>_xll.qlMidEquivalent(G37,H37)</f>
        <v>#NUM!</v>
      </c>
      <c r="J37" s="15" t="b">
        <f t="shared" si="2"/>
        <v>0</v>
      </c>
      <c r="K37" s="104" t="e">
        <v>#VALUE!</v>
      </c>
      <c r="L37" s="6"/>
      <c r="M37" s="108" t="e">
        <v>#VALUE!</v>
      </c>
      <c r="N37" s="6"/>
      <c r="O37" s="94" t="str">
        <f t="shared" si="1"/>
        <v>HKD6L12L29Y_Quote</v>
      </c>
      <c r="P37" s="51" t="e">
        <v>#VALUE!</v>
      </c>
      <c r="Q37" s="95" t="e">
        <f>_xll.qlSimpleQuoteSetValue($O37,ROUND($P37/10000,6),Trigger)</f>
        <v>#NUM!</v>
      </c>
      <c r="R37" s="10"/>
    </row>
    <row r="38" spans="1:18" x14ac:dyDescent="0.2">
      <c r="A38" s="9">
        <v>30</v>
      </c>
      <c r="B38" s="74" t="s">
        <v>68</v>
      </c>
      <c r="C38" s="42" t="str">
        <v>6L</v>
      </c>
      <c r="D38" s="42" t="str">
        <v>12L</v>
      </c>
      <c r="E38" s="43" t="str">
        <f t="shared" si="0"/>
        <v>HKD6L12L30Y</v>
      </c>
      <c r="F38" s="26" t="str">
        <v>HKD6L12L30Y=ICAP</v>
      </c>
      <c r="G38" s="52" t="s">
        <v>171</v>
      </c>
      <c r="H38" s="52" t="s">
        <v>171</v>
      </c>
      <c r="I38" s="52" t="e">
        <f>_xll.qlMidEquivalent(G38,H38)</f>
        <v>#NUM!</v>
      </c>
      <c r="J38" s="15" t="b">
        <f t="shared" si="2"/>
        <v>0</v>
      </c>
      <c r="K38" s="104" t="e">
        <v>#VALUE!</v>
      </c>
      <c r="L38" s="251" t="e">
        <f>K28-K38</f>
        <v>#VALUE!</v>
      </c>
      <c r="M38" s="108" t="e">
        <v>#VALUE!</v>
      </c>
      <c r="N38" s="6"/>
      <c r="O38" s="94" t="str">
        <f t="shared" si="1"/>
        <v>HKD6L12L30Y_Quote</v>
      </c>
      <c r="P38" s="51" t="e">
        <v>#VALUE!</v>
      </c>
      <c r="Q38" s="95" t="e">
        <f>_xll.qlSimpleQuoteSetValue($O38,ROUND($P38/10000,6),Trigger)</f>
        <v>#NUM!</v>
      </c>
      <c r="R38" s="10"/>
    </row>
    <row r="39" spans="1:18" x14ac:dyDescent="0.2">
      <c r="A39" s="9">
        <v>35</v>
      </c>
      <c r="B39" s="74" t="s">
        <v>69</v>
      </c>
      <c r="C39" s="42" t="str">
        <v>6L</v>
      </c>
      <c r="D39" s="42" t="str">
        <v>12L</v>
      </c>
      <c r="E39" s="43" t="str">
        <f t="shared" si="0"/>
        <v>HKD6L12L35Y</v>
      </c>
      <c r="F39" s="26" t="str">
        <v>HKD6L12L35Y=ICAP</v>
      </c>
      <c r="G39" s="52" t="s">
        <v>171</v>
      </c>
      <c r="H39" s="52" t="s">
        <v>171</v>
      </c>
      <c r="I39" s="52" t="e">
        <f>_xll.qlMidEquivalent(G39,H39)</f>
        <v>#NUM!</v>
      </c>
      <c r="J39" s="15" t="b">
        <f t="shared" si="2"/>
        <v>0</v>
      </c>
      <c r="K39" s="105" t="e">
        <f>K38</f>
        <v>#VALUE!</v>
      </c>
      <c r="L39" s="6"/>
      <c r="M39" s="108" t="e">
        <v>#VALUE!</v>
      </c>
      <c r="N39" s="6"/>
      <c r="O39" s="94" t="str">
        <f t="shared" si="1"/>
        <v>HKD6L12L35Y_Quote</v>
      </c>
      <c r="P39" s="51" t="e">
        <v>#VALUE!</v>
      </c>
      <c r="Q39" s="95" t="e">
        <f>_xll.qlSimpleQuoteSetValue($O39,ROUND($P39/10000,6),Trigger)</f>
        <v>#NUM!</v>
      </c>
      <c r="R39" s="10"/>
    </row>
    <row r="40" spans="1:18" x14ac:dyDescent="0.2">
      <c r="A40" s="9">
        <v>40</v>
      </c>
      <c r="B40" s="74" t="s">
        <v>70</v>
      </c>
      <c r="C40" s="42" t="str">
        <v>6L</v>
      </c>
      <c r="D40" s="42" t="str">
        <v>12L</v>
      </c>
      <c r="E40" s="43" t="str">
        <f t="shared" si="0"/>
        <v>HKD6L12L40Y</v>
      </c>
      <c r="F40" s="26" t="str">
        <v>HKD6L12L40Y=ICAP</v>
      </c>
      <c r="G40" s="52" t="s">
        <v>171</v>
      </c>
      <c r="H40" s="52" t="s">
        <v>171</v>
      </c>
      <c r="I40" s="52" t="e">
        <f>_xll.qlMidEquivalent(G40,H40)</f>
        <v>#NUM!</v>
      </c>
      <c r="J40" s="15" t="b">
        <f t="shared" si="2"/>
        <v>0</v>
      </c>
      <c r="K40" s="105" t="e">
        <f>K39</f>
        <v>#VALUE!</v>
      </c>
      <c r="L40" s="6"/>
      <c r="M40" s="108" t="e">
        <v>#VALUE!</v>
      </c>
      <c r="N40" s="6"/>
      <c r="O40" s="94" t="str">
        <f t="shared" si="1"/>
        <v>HKD6L12L40Y_Quote</v>
      </c>
      <c r="P40" s="51" t="e">
        <v>#VALUE!</v>
      </c>
      <c r="Q40" s="95" t="e">
        <f>_xll.qlSimpleQuoteSetValue($O40,ROUND($P40/10000,6),Trigger)</f>
        <v>#NUM!</v>
      </c>
      <c r="R40" s="10"/>
    </row>
    <row r="41" spans="1:18" x14ac:dyDescent="0.2">
      <c r="A41" s="9">
        <v>50</v>
      </c>
      <c r="B41" s="74" t="s">
        <v>71</v>
      </c>
      <c r="C41" s="42" t="str">
        <v>6L</v>
      </c>
      <c r="D41" s="42" t="str">
        <v>12L</v>
      </c>
      <c r="E41" s="43" t="str">
        <f t="shared" si="0"/>
        <v>HKD6L12L50Y</v>
      </c>
      <c r="F41" s="26" t="str">
        <v>HKD6L12L50Y=ICAP</v>
      </c>
      <c r="G41" s="52" t="s">
        <v>171</v>
      </c>
      <c r="H41" s="52" t="s">
        <v>171</v>
      </c>
      <c r="I41" s="52" t="e">
        <f>_xll.qlMidEquivalent(G41,H41)</f>
        <v>#NUM!</v>
      </c>
      <c r="J41" s="15" t="b">
        <f t="shared" si="2"/>
        <v>0</v>
      </c>
      <c r="K41" s="105" t="e">
        <f>K40</f>
        <v>#VALUE!</v>
      </c>
      <c r="L41" s="6"/>
      <c r="M41" s="108" t="e">
        <v>#VALUE!</v>
      </c>
      <c r="N41" s="6"/>
      <c r="O41" s="94" t="str">
        <f t="shared" si="1"/>
        <v>HKD6L12L50Y_Quote</v>
      </c>
      <c r="P41" s="51" t="e">
        <v>#VALUE!</v>
      </c>
      <c r="Q41" s="95" t="e">
        <f>_xll.qlSimpleQuoteSetValue($O41,ROUND($P41/10000,6),Trigger)</f>
        <v>#NUM!</v>
      </c>
      <c r="R41" s="10"/>
    </row>
    <row r="42" spans="1:18" x14ac:dyDescent="0.2">
      <c r="A42" s="9">
        <v>60</v>
      </c>
      <c r="B42" s="74" t="s">
        <v>72</v>
      </c>
      <c r="C42" s="42" t="str">
        <v>6L</v>
      </c>
      <c r="D42" s="42" t="str">
        <v>12L</v>
      </c>
      <c r="E42" s="43" t="str">
        <f t="shared" si="0"/>
        <v>HKD6L12L60Y</v>
      </c>
      <c r="F42" s="26" t="str">
        <v>HKD6L12L60Y=ICAP</v>
      </c>
      <c r="G42" s="52" t="s">
        <v>171</v>
      </c>
      <c r="H42" s="52" t="s">
        <v>171</v>
      </c>
      <c r="I42" s="52" t="e">
        <f>_xll.qlMidEquivalent(G42,H42)</f>
        <v>#NUM!</v>
      </c>
      <c r="J42" s="15" t="b">
        <f t="shared" si="2"/>
        <v>0</v>
      </c>
      <c r="K42" s="105" t="e">
        <f>K41</f>
        <v>#VALUE!</v>
      </c>
      <c r="L42" s="6"/>
      <c r="M42" s="108" t="e">
        <v>#VALUE!</v>
      </c>
      <c r="N42" s="6"/>
      <c r="O42" s="94" t="str">
        <f t="shared" si="1"/>
        <v>HKD6L12L60Y_Quote</v>
      </c>
      <c r="P42" s="51" t="e">
        <v>#VALUE!</v>
      </c>
      <c r="Q42" s="95" t="e">
        <f>_xll.qlSimpleQuoteSetValue($O42,ROUND($P42/10000,6),Trigger)</f>
        <v>#NUM!</v>
      </c>
      <c r="R42" s="10"/>
    </row>
    <row r="43" spans="1:18" ht="12" thickBot="1" x14ac:dyDescent="0.25">
      <c r="A43" s="11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12"/>
      <c r="M43" s="243"/>
      <c r="N43" s="12"/>
      <c r="O43" s="243"/>
      <c r="P43" s="243"/>
      <c r="Q43" s="243"/>
      <c r="R43" s="14"/>
    </row>
    <row r="47" spans="1:18" x14ac:dyDescent="0.2">
      <c r="F47" s="49"/>
    </row>
    <row r="48" spans="1:18" x14ac:dyDescent="0.2">
      <c r="F48" s="49"/>
    </row>
    <row r="49" spans="6:6" x14ac:dyDescent="0.2">
      <c r="F49" s="49"/>
    </row>
    <row r="50" spans="6:6" x14ac:dyDescent="0.2">
      <c r="F50" s="49"/>
    </row>
    <row r="51" spans="6:6" x14ac:dyDescent="0.2">
      <c r="F51" s="49"/>
    </row>
    <row r="52" spans="6:6" x14ac:dyDescent="0.2">
      <c r="F52" s="49"/>
    </row>
    <row r="53" spans="6:6" x14ac:dyDescent="0.2">
      <c r="F53" s="49"/>
    </row>
    <row r="54" spans="6:6" x14ac:dyDescent="0.2">
      <c r="F54" s="49"/>
    </row>
    <row r="55" spans="6:6" x14ac:dyDescent="0.2">
      <c r="F55" s="49"/>
    </row>
    <row r="56" spans="6:6" x14ac:dyDescent="0.2">
      <c r="F56" s="49"/>
    </row>
    <row r="57" spans="6:6" x14ac:dyDescent="0.2">
      <c r="F57" s="49"/>
    </row>
    <row r="58" spans="6:6" x14ac:dyDescent="0.2">
      <c r="F58" s="49"/>
    </row>
    <row r="59" spans="6:6" x14ac:dyDescent="0.2">
      <c r="F59" s="49"/>
    </row>
    <row r="60" spans="6:6" x14ac:dyDescent="0.2">
      <c r="F60" s="50"/>
    </row>
    <row r="61" spans="6:6" x14ac:dyDescent="0.2">
      <c r="F61" s="50"/>
    </row>
    <row r="62" spans="6:6" x14ac:dyDescent="0.2">
      <c r="F62" s="50"/>
    </row>
    <row r="63" spans="6:6" x14ac:dyDescent="0.2">
      <c r="F63" s="50"/>
    </row>
  </sheetData>
  <phoneticPr fontId="4" type="noConversion"/>
  <dataValidations disablePrompts="1" count="2">
    <dataValidation type="list" allowBlank="1" showInputMessage="1" showErrorMessage="1" sqref="F43:F44">
      <formula1>"FirstDerivative,SecondDerivative,Lagrange,NotAKnot,Periodic"</formula1>
    </dataValidation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41"/>
  <sheetViews>
    <sheetView workbookViewId="0">
      <selection activeCell="F2" sqref="F2"/>
    </sheetView>
  </sheetViews>
  <sheetFormatPr defaultRowHeight="12.75" x14ac:dyDescent="0.2"/>
  <cols>
    <col min="1" max="1" width="5" customWidth="1"/>
    <col min="2" max="2" width="3.85546875" bestFit="1" customWidth="1"/>
    <col min="3" max="4" width="4" bestFit="1" customWidth="1"/>
    <col min="5" max="5" width="9.85546875" bestFit="1" customWidth="1"/>
    <col min="6" max="6" width="14.140625" bestFit="1" customWidth="1"/>
    <col min="7" max="7" width="6.28515625" bestFit="1" customWidth="1"/>
    <col min="8" max="9" width="5.7109375" bestFit="1" customWidth="1"/>
    <col min="10" max="10" width="10" bestFit="1" customWidth="1"/>
    <col min="11" max="11" width="5.7109375" customWidth="1"/>
    <col min="12" max="12" width="5" customWidth="1"/>
    <col min="13" max="13" width="5.7109375" bestFit="1" customWidth="1"/>
    <col min="14" max="14" width="5" customWidth="1"/>
    <col min="15" max="15" width="15" bestFit="1" customWidth="1"/>
    <col min="16" max="17" width="7.7109375" bestFit="1" customWidth="1"/>
    <col min="18" max="18" width="5" customWidth="1"/>
    <col min="19" max="19" width="5.140625" customWidth="1"/>
  </cols>
  <sheetData>
    <row r="1" spans="1:18" x14ac:dyDescent="0.2">
      <c r="A1" s="27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4"/>
    </row>
    <row r="2" spans="1:18" x14ac:dyDescent="0.2">
      <c r="A2" s="5"/>
      <c r="B2" s="7"/>
      <c r="C2" s="7"/>
      <c r="D2" s="7"/>
      <c r="E2" s="7"/>
      <c r="F2" s="110" t="s">
        <v>175</v>
      </c>
      <c r="G2" s="7"/>
      <c r="H2" s="7"/>
      <c r="I2" s="7"/>
      <c r="J2" s="7"/>
      <c r="K2" s="7"/>
      <c r="L2" s="6"/>
      <c r="M2" s="6"/>
      <c r="N2" s="6"/>
      <c r="O2" s="170" t="s">
        <v>79</v>
      </c>
      <c r="P2" s="171" t="s">
        <v>34</v>
      </c>
      <c r="Q2" s="7"/>
      <c r="R2" s="8"/>
    </row>
    <row r="3" spans="1:18" x14ac:dyDescent="0.2">
      <c r="A3" s="9"/>
      <c r="B3" s="6"/>
      <c r="C3" s="7"/>
      <c r="D3" s="7"/>
      <c r="E3" s="7"/>
      <c r="F3" s="7"/>
      <c r="G3" s="7"/>
      <c r="H3" s="7"/>
      <c r="I3" s="7"/>
      <c r="J3" s="7"/>
      <c r="K3" s="7"/>
      <c r="L3" s="6"/>
      <c r="M3" s="6"/>
      <c r="N3" s="6"/>
      <c r="O3" s="7"/>
      <c r="P3" s="7"/>
      <c r="Q3" s="28">
        <f>_xll.ohTrigger(Q5:Q37)</f>
        <v>14</v>
      </c>
      <c r="R3" s="10"/>
    </row>
    <row r="4" spans="1:18" ht="22.5" x14ac:dyDescent="0.2">
      <c r="A4" s="9"/>
      <c r="B4" s="80"/>
      <c r="C4" s="81"/>
      <c r="D4" s="81"/>
      <c r="E4" s="81"/>
      <c r="F4" s="82" t="e">
        <f ca="1">_xll.RData(F5:F40,G4:J4,,ReutersRtMode,,G5)</f>
        <v>#NAME?</v>
      </c>
      <c r="G4" s="83" t="s">
        <v>0</v>
      </c>
      <c r="H4" s="83" t="s">
        <v>1</v>
      </c>
      <c r="I4" s="83" t="s">
        <v>25</v>
      </c>
      <c r="J4" s="83" t="s">
        <v>26</v>
      </c>
      <c r="K4" s="84" t="s">
        <v>128</v>
      </c>
      <c r="L4" s="6"/>
      <c r="M4" s="87" t="s">
        <v>105</v>
      </c>
      <c r="N4" s="6"/>
      <c r="O4" s="88" t="s">
        <v>31</v>
      </c>
      <c r="P4" s="89" t="s">
        <v>17</v>
      </c>
      <c r="Q4" s="90" t="s">
        <v>24</v>
      </c>
      <c r="R4" s="10"/>
    </row>
    <row r="5" spans="1:18" x14ac:dyDescent="0.2">
      <c r="A5" s="9"/>
      <c r="B5" s="240"/>
      <c r="C5" s="42" t="s">
        <v>84</v>
      </c>
      <c r="D5" s="42" t="s">
        <v>168</v>
      </c>
      <c r="E5" s="43" t="str">
        <f>Currency&amp;$C5&amp;$B5&amp;$D5</f>
        <v>HKDSWOIS</v>
      </c>
      <c r="F5" s="43" t="str">
        <f t="shared" ref="F5:F40" si="0">E5&amp;"="&amp;VLOOKUP(Contributor,ContributorTable,2,FALSE)</f>
        <v>HKDSWOIS=ICHK</v>
      </c>
      <c r="G5" s="15" t="s">
        <v>171</v>
      </c>
      <c r="H5" s="15" t="s">
        <v>171</v>
      </c>
      <c r="I5" s="15" t="s">
        <v>171</v>
      </c>
      <c r="J5" s="15" t="s">
        <v>171</v>
      </c>
      <c r="K5" s="75" t="e">
        <f>AVERAGE($G5,$H5)</f>
        <v>#DIV/0!</v>
      </c>
      <c r="L5" s="6"/>
      <c r="M5" s="174" t="e">
        <v>#DIV/0!</v>
      </c>
      <c r="N5" s="6"/>
      <c r="O5" s="91" t="str">
        <f t="shared" ref="O5:O40" si="1">Currency&amp;$D5&amp;$C5&amp;$B5&amp;$P$2</f>
        <v>HKDOISSW_Quote</v>
      </c>
      <c r="P5" s="92" t="e">
        <f t="array" ref="P5:P40">QuoteLive</f>
        <v>#DIV/0!</v>
      </c>
      <c r="Q5" s="93" t="e">
        <f>_xll.qlSimpleQuoteSetValue($O5,$P5/100,Trigger)</f>
        <v>#NUM!</v>
      </c>
      <c r="R5" s="10"/>
    </row>
    <row r="6" spans="1:18" x14ac:dyDescent="0.2">
      <c r="A6" s="9"/>
      <c r="B6" s="240"/>
      <c r="C6" s="42" t="s">
        <v>85</v>
      </c>
      <c r="D6" s="42" t="s">
        <v>168</v>
      </c>
      <c r="E6" s="43" t="str">
        <f t="shared" ref="E6:E40" si="2">Currency&amp;$C6&amp;$D6&amp;$B6</f>
        <v>HKD2WOIS</v>
      </c>
      <c r="F6" s="43" t="str">
        <f t="shared" si="0"/>
        <v>HKD2WOIS=ICHK</v>
      </c>
      <c r="G6" s="15" t="s">
        <v>171</v>
      </c>
      <c r="H6" s="15" t="s">
        <v>171</v>
      </c>
      <c r="I6" s="15" t="s">
        <v>171</v>
      </c>
      <c r="J6" s="15" t="s">
        <v>171</v>
      </c>
      <c r="K6" s="75" t="e">
        <f t="shared" ref="K6:K40" si="3">AVERAGE($G6,$H6)</f>
        <v>#DIV/0!</v>
      </c>
      <c r="L6" s="6"/>
      <c r="M6" s="124" t="e">
        <v>#DIV/0!</v>
      </c>
      <c r="N6" s="6"/>
      <c r="O6" s="94" t="str">
        <f t="shared" si="1"/>
        <v>HKDOIS2W_Quote</v>
      </c>
      <c r="P6" s="15" t="e">
        <v>#DIV/0!</v>
      </c>
      <c r="Q6" s="95" t="e">
        <f>_xll.qlSimpleQuoteSetValue($O6,$P6/100,Trigger)</f>
        <v>#NUM!</v>
      </c>
      <c r="R6" s="10"/>
    </row>
    <row r="7" spans="1:18" x14ac:dyDescent="0.2">
      <c r="A7" s="9"/>
      <c r="B7" s="240"/>
      <c r="C7" s="42" t="s">
        <v>86</v>
      </c>
      <c r="D7" s="42" t="s">
        <v>168</v>
      </c>
      <c r="E7" s="43" t="str">
        <f t="shared" si="2"/>
        <v>HKD3WOIS</v>
      </c>
      <c r="F7" s="43" t="str">
        <f t="shared" si="0"/>
        <v>HKD3WOIS=ICHK</v>
      </c>
      <c r="G7" s="15" t="s">
        <v>171</v>
      </c>
      <c r="H7" s="15" t="s">
        <v>171</v>
      </c>
      <c r="I7" s="15" t="s">
        <v>171</v>
      </c>
      <c r="J7" s="15" t="s">
        <v>171</v>
      </c>
      <c r="K7" s="75" t="e">
        <f t="shared" si="3"/>
        <v>#DIV/0!</v>
      </c>
      <c r="L7" s="6"/>
      <c r="M7" s="124" t="e">
        <v>#DIV/0!</v>
      </c>
      <c r="N7" s="6"/>
      <c r="O7" s="94" t="str">
        <f t="shared" si="1"/>
        <v>HKDOIS3W_Quote</v>
      </c>
      <c r="P7" s="15" t="e">
        <v>#DIV/0!</v>
      </c>
      <c r="Q7" s="95" t="e">
        <f>_xll.qlSimpleQuoteSetValue($O7,$P7/100,Trigger)</f>
        <v>#NUM!</v>
      </c>
      <c r="R7" s="10"/>
    </row>
    <row r="8" spans="1:18" x14ac:dyDescent="0.2">
      <c r="A8" s="9"/>
      <c r="B8" s="240"/>
      <c r="C8" s="42" t="s">
        <v>87</v>
      </c>
      <c r="D8" s="42" t="s">
        <v>168</v>
      </c>
      <c r="E8" s="43" t="str">
        <f t="shared" si="2"/>
        <v>HKD1MOIS</v>
      </c>
      <c r="F8" s="43" t="str">
        <f t="shared" si="0"/>
        <v>HKD1MOIS=ICHK</v>
      </c>
      <c r="G8" s="15">
        <v>0</v>
      </c>
      <c r="H8" s="15">
        <v>0.1</v>
      </c>
      <c r="I8" s="15">
        <v>0</v>
      </c>
      <c r="J8" s="15">
        <v>0</v>
      </c>
      <c r="K8" s="75">
        <f t="shared" si="3"/>
        <v>0.05</v>
      </c>
      <c r="L8" s="6"/>
      <c r="M8" s="124">
        <v>0.05</v>
      </c>
      <c r="N8" s="6"/>
      <c r="O8" s="94" t="str">
        <f t="shared" si="1"/>
        <v>HKDOIS1M_Quote</v>
      </c>
      <c r="P8" s="15">
        <v>0.05</v>
      </c>
      <c r="Q8" s="95">
        <f>_xll.qlSimpleQuoteSetValue($O8,$P8/100,Trigger)</f>
        <v>0</v>
      </c>
      <c r="R8" s="10"/>
    </row>
    <row r="9" spans="1:18" x14ac:dyDescent="0.2">
      <c r="A9" s="9"/>
      <c r="B9" s="240"/>
      <c r="C9" s="42" t="s">
        <v>88</v>
      </c>
      <c r="D9" s="42" t="s">
        <v>168</v>
      </c>
      <c r="E9" s="43" t="str">
        <f t="shared" si="2"/>
        <v>HKD2MOIS</v>
      </c>
      <c r="F9" s="43" t="str">
        <f t="shared" si="0"/>
        <v>HKD2MOIS=ICHK</v>
      </c>
      <c r="G9" s="15">
        <v>0.02</v>
      </c>
      <c r="H9" s="15">
        <v>0.12</v>
      </c>
      <c r="I9" s="15">
        <v>0</v>
      </c>
      <c r="J9" s="15">
        <v>0</v>
      </c>
      <c r="K9" s="75">
        <f t="shared" si="3"/>
        <v>6.9999999999999993E-2</v>
      </c>
      <c r="L9" s="6"/>
      <c r="M9" s="124">
        <v>6.9999999999999993E-2</v>
      </c>
      <c r="N9" s="6"/>
      <c r="O9" s="94" t="str">
        <f t="shared" si="1"/>
        <v>HKDOIS2M_Quote</v>
      </c>
      <c r="P9" s="15">
        <v>6.9999999999999993E-2</v>
      </c>
      <c r="Q9" s="95">
        <f>_xll.qlSimpleQuoteSetValue($O9,$P9/100,Trigger)</f>
        <v>0</v>
      </c>
      <c r="R9" s="10"/>
    </row>
    <row r="10" spans="1:18" x14ac:dyDescent="0.2">
      <c r="A10" s="9"/>
      <c r="B10" s="240"/>
      <c r="C10" s="42" t="s">
        <v>89</v>
      </c>
      <c r="D10" s="42" t="s">
        <v>168</v>
      </c>
      <c r="E10" s="43" t="str">
        <f t="shared" si="2"/>
        <v>HKD3MOIS</v>
      </c>
      <c r="F10" s="43" t="str">
        <f t="shared" si="0"/>
        <v>HKD3MOIS=ICHK</v>
      </c>
      <c r="G10" s="15">
        <v>0.04</v>
      </c>
      <c r="H10" s="15">
        <v>0.14000000000000001</v>
      </c>
      <c r="I10" s="15">
        <v>0</v>
      </c>
      <c r="J10" s="15">
        <v>0</v>
      </c>
      <c r="K10" s="75">
        <f t="shared" si="3"/>
        <v>9.0000000000000011E-2</v>
      </c>
      <c r="L10" s="6"/>
      <c r="M10" s="124">
        <v>9.0000000000000011E-2</v>
      </c>
      <c r="N10" s="6"/>
      <c r="O10" s="94" t="str">
        <f t="shared" si="1"/>
        <v>HKDOIS3M_Quote</v>
      </c>
      <c r="P10" s="15">
        <v>9.0000000000000011E-2</v>
      </c>
      <c r="Q10" s="95">
        <f>_xll.qlSimpleQuoteSetValue($O10,$P10/100,Trigger)</f>
        <v>0</v>
      </c>
      <c r="R10" s="10"/>
    </row>
    <row r="11" spans="1:18" x14ac:dyDescent="0.2">
      <c r="A11" s="9"/>
      <c r="B11" s="240"/>
      <c r="C11" s="42" t="s">
        <v>90</v>
      </c>
      <c r="D11" s="42" t="s">
        <v>168</v>
      </c>
      <c r="E11" s="43" t="str">
        <f t="shared" si="2"/>
        <v>HKD4MOIS</v>
      </c>
      <c r="F11" s="43" t="str">
        <f t="shared" si="0"/>
        <v>HKD4MOIS=ICHK</v>
      </c>
      <c r="G11" s="15">
        <v>7.0000000000000007E-2</v>
      </c>
      <c r="H11" s="15">
        <v>0.17</v>
      </c>
      <c r="I11" s="15">
        <v>0</v>
      </c>
      <c r="J11" s="15">
        <v>0</v>
      </c>
      <c r="K11" s="75">
        <f t="shared" si="3"/>
        <v>0.12000000000000001</v>
      </c>
      <c r="L11" s="6"/>
      <c r="M11" s="124">
        <v>0.12000000000000001</v>
      </c>
      <c r="N11" s="6"/>
      <c r="O11" s="94" t="str">
        <f t="shared" si="1"/>
        <v>HKDOIS4M_Quote</v>
      </c>
      <c r="P11" s="15">
        <v>0.12000000000000001</v>
      </c>
      <c r="Q11" s="95">
        <f>_xll.qlSimpleQuoteSetValue($O11,$P11/100,Trigger)</f>
        <v>0</v>
      </c>
      <c r="R11" s="10"/>
    </row>
    <row r="12" spans="1:18" x14ac:dyDescent="0.2">
      <c r="A12" s="9"/>
      <c r="B12" s="240"/>
      <c r="C12" s="42" t="s">
        <v>91</v>
      </c>
      <c r="D12" s="42" t="s">
        <v>168</v>
      </c>
      <c r="E12" s="43" t="str">
        <f t="shared" si="2"/>
        <v>HKD5MOIS</v>
      </c>
      <c r="F12" s="43" t="str">
        <f t="shared" si="0"/>
        <v>HKD5MOIS=ICHK</v>
      </c>
      <c r="G12" s="15">
        <v>0.05</v>
      </c>
      <c r="H12" s="15">
        <v>0.15</v>
      </c>
      <c r="I12" s="15">
        <v>0</v>
      </c>
      <c r="J12" s="15">
        <v>0</v>
      </c>
      <c r="K12" s="75">
        <f t="shared" si="3"/>
        <v>0.1</v>
      </c>
      <c r="L12" s="6"/>
      <c r="M12" s="124">
        <v>0.1</v>
      </c>
      <c r="N12" s="6"/>
      <c r="O12" s="94" t="str">
        <f t="shared" si="1"/>
        <v>HKDOIS5M_Quote</v>
      </c>
      <c r="P12" s="15">
        <v>0.1</v>
      </c>
      <c r="Q12" s="95">
        <f>_xll.qlSimpleQuoteSetValue($O12,$P12/100,Trigger)</f>
        <v>0</v>
      </c>
      <c r="R12" s="10"/>
    </row>
    <row r="13" spans="1:18" x14ac:dyDescent="0.2">
      <c r="A13" s="9"/>
      <c r="B13" s="240"/>
      <c r="C13" s="42" t="s">
        <v>92</v>
      </c>
      <c r="D13" s="42" t="s">
        <v>168</v>
      </c>
      <c r="E13" s="43" t="str">
        <f t="shared" si="2"/>
        <v>HKD6MOIS</v>
      </c>
      <c r="F13" s="43" t="str">
        <f t="shared" si="0"/>
        <v>HKD6MOIS=ICHK</v>
      </c>
      <c r="G13" s="15">
        <v>0.06</v>
      </c>
      <c r="H13" s="15">
        <v>0.16</v>
      </c>
      <c r="I13" s="15">
        <v>0</v>
      </c>
      <c r="J13" s="15">
        <v>0</v>
      </c>
      <c r="K13" s="75">
        <f t="shared" si="3"/>
        <v>0.11</v>
      </c>
      <c r="L13" s="6"/>
      <c r="M13" s="124">
        <v>0.11</v>
      </c>
      <c r="N13" s="6"/>
      <c r="O13" s="94" t="str">
        <f t="shared" si="1"/>
        <v>HKDOIS6M_Quote</v>
      </c>
      <c r="P13" s="15">
        <v>0.11</v>
      </c>
      <c r="Q13" s="95">
        <f>_xll.qlSimpleQuoteSetValue($O13,$P13/100,Trigger)</f>
        <v>0</v>
      </c>
      <c r="R13" s="10"/>
    </row>
    <row r="14" spans="1:18" x14ac:dyDescent="0.2">
      <c r="A14" s="9"/>
      <c r="B14" s="240"/>
      <c r="C14" s="42" t="s">
        <v>93</v>
      </c>
      <c r="D14" s="42" t="s">
        <v>168</v>
      </c>
      <c r="E14" s="43" t="str">
        <f t="shared" si="2"/>
        <v>HKD7MOIS</v>
      </c>
      <c r="F14" s="43" t="str">
        <f t="shared" si="0"/>
        <v>HKD7MOIS=ICHK</v>
      </c>
      <c r="G14" s="15" t="s">
        <v>171</v>
      </c>
      <c r="H14" s="15" t="s">
        <v>171</v>
      </c>
      <c r="I14" s="15" t="s">
        <v>171</v>
      </c>
      <c r="J14" s="15" t="s">
        <v>171</v>
      </c>
      <c r="K14" s="75" t="e">
        <f t="shared" si="3"/>
        <v>#DIV/0!</v>
      </c>
      <c r="L14" s="6"/>
      <c r="M14" s="124" t="e">
        <v>#DIV/0!</v>
      </c>
      <c r="N14" s="6"/>
      <c r="O14" s="94" t="str">
        <f t="shared" si="1"/>
        <v>HKDOIS7M_Quote</v>
      </c>
      <c r="P14" s="15" t="e">
        <v>#DIV/0!</v>
      </c>
      <c r="Q14" s="95" t="e">
        <f>_xll.qlSimpleQuoteSetValue($O14,$P14/100,Trigger)</f>
        <v>#NUM!</v>
      </c>
      <c r="R14" s="10"/>
    </row>
    <row r="15" spans="1:18" x14ac:dyDescent="0.2">
      <c r="A15" s="9"/>
      <c r="B15" s="240"/>
      <c r="C15" s="42" t="s">
        <v>94</v>
      </c>
      <c r="D15" s="42" t="s">
        <v>168</v>
      </c>
      <c r="E15" s="43" t="str">
        <f t="shared" si="2"/>
        <v>HKD8MOIS</v>
      </c>
      <c r="F15" s="43" t="str">
        <f t="shared" si="0"/>
        <v>HKD8MOIS=ICHK</v>
      </c>
      <c r="G15" s="15" t="s">
        <v>171</v>
      </c>
      <c r="H15" s="15" t="s">
        <v>171</v>
      </c>
      <c r="I15" s="15" t="s">
        <v>171</v>
      </c>
      <c r="J15" s="15" t="s">
        <v>171</v>
      </c>
      <c r="K15" s="75" t="e">
        <f t="shared" si="3"/>
        <v>#DIV/0!</v>
      </c>
      <c r="L15" s="6"/>
      <c r="M15" s="124" t="e">
        <v>#DIV/0!</v>
      </c>
      <c r="N15" s="6"/>
      <c r="O15" s="94" t="str">
        <f t="shared" si="1"/>
        <v>HKDOIS8M_Quote</v>
      </c>
      <c r="P15" s="15" t="e">
        <v>#DIV/0!</v>
      </c>
      <c r="Q15" s="95" t="e">
        <f>_xll.qlSimpleQuoteSetValue($O15,$P15/100,Trigger)</f>
        <v>#NUM!</v>
      </c>
      <c r="R15" s="10"/>
    </row>
    <row r="16" spans="1:18" x14ac:dyDescent="0.2">
      <c r="A16" s="9"/>
      <c r="B16" s="240"/>
      <c r="C16" s="42" t="s">
        <v>95</v>
      </c>
      <c r="D16" s="42" t="s">
        <v>168</v>
      </c>
      <c r="E16" s="43" t="str">
        <f t="shared" si="2"/>
        <v>HKD9MOIS</v>
      </c>
      <c r="F16" s="43" t="str">
        <f t="shared" si="0"/>
        <v>HKD9MOIS=ICHK</v>
      </c>
      <c r="G16" s="15">
        <v>0.12</v>
      </c>
      <c r="H16" s="15">
        <v>0.22</v>
      </c>
      <c r="I16" s="15">
        <v>0</v>
      </c>
      <c r="J16" s="15">
        <v>0</v>
      </c>
      <c r="K16" s="75">
        <f t="shared" si="3"/>
        <v>0.16999999999999998</v>
      </c>
      <c r="L16" s="6"/>
      <c r="M16" s="124">
        <v>0.16999999999999998</v>
      </c>
      <c r="N16" s="6"/>
      <c r="O16" s="94" t="str">
        <f t="shared" si="1"/>
        <v>HKDOIS9M_Quote</v>
      </c>
      <c r="P16" s="15">
        <v>0.16999999999999998</v>
      </c>
      <c r="Q16" s="95">
        <f>_xll.qlSimpleQuoteSetValue($O16,$P16/100,Trigger)</f>
        <v>0</v>
      </c>
      <c r="R16" s="10"/>
    </row>
    <row r="17" spans="1:18" x14ac:dyDescent="0.2">
      <c r="A17" s="9"/>
      <c r="B17" s="240"/>
      <c r="C17" s="42" t="s">
        <v>96</v>
      </c>
      <c r="D17" s="42" t="s">
        <v>168</v>
      </c>
      <c r="E17" s="43" t="str">
        <f t="shared" si="2"/>
        <v>HKD10MOIS</v>
      </c>
      <c r="F17" s="43" t="str">
        <f t="shared" si="0"/>
        <v>HKD10MOIS=ICHK</v>
      </c>
      <c r="G17" s="15" t="s">
        <v>171</v>
      </c>
      <c r="H17" s="15" t="s">
        <v>171</v>
      </c>
      <c r="I17" s="15" t="s">
        <v>171</v>
      </c>
      <c r="J17" s="15" t="s">
        <v>171</v>
      </c>
      <c r="K17" s="75" t="e">
        <f t="shared" si="3"/>
        <v>#DIV/0!</v>
      </c>
      <c r="L17" s="6"/>
      <c r="M17" s="124" t="e">
        <v>#DIV/0!</v>
      </c>
      <c r="N17" s="6"/>
      <c r="O17" s="94" t="str">
        <f t="shared" si="1"/>
        <v>HKDOIS10M_Quote</v>
      </c>
      <c r="P17" s="15" t="e">
        <v>#DIV/0!</v>
      </c>
      <c r="Q17" s="95" t="e">
        <f>_xll.qlSimpleQuoteSetValue($O17,$P17/100,Trigger)</f>
        <v>#NUM!</v>
      </c>
      <c r="R17" s="10"/>
    </row>
    <row r="18" spans="1:18" x14ac:dyDescent="0.2">
      <c r="A18" s="9"/>
      <c r="B18" s="240"/>
      <c r="C18" s="42" t="s">
        <v>97</v>
      </c>
      <c r="D18" s="42" t="s">
        <v>168</v>
      </c>
      <c r="E18" s="43" t="str">
        <f t="shared" si="2"/>
        <v>HKD11MOIS</v>
      </c>
      <c r="F18" s="43" t="str">
        <f t="shared" si="0"/>
        <v>HKD11MOIS=ICHK</v>
      </c>
      <c r="G18" s="15" t="s">
        <v>171</v>
      </c>
      <c r="H18" s="15" t="s">
        <v>171</v>
      </c>
      <c r="I18" s="15" t="s">
        <v>171</v>
      </c>
      <c r="J18" s="15" t="s">
        <v>171</v>
      </c>
      <c r="K18" s="75" t="e">
        <f t="shared" si="3"/>
        <v>#DIV/0!</v>
      </c>
      <c r="L18" s="6"/>
      <c r="M18" s="124" t="e">
        <v>#DIV/0!</v>
      </c>
      <c r="N18" s="6"/>
      <c r="O18" s="94" t="str">
        <f t="shared" si="1"/>
        <v>HKDOIS11M_Quote</v>
      </c>
      <c r="P18" s="15" t="e">
        <v>#DIV/0!</v>
      </c>
      <c r="Q18" s="95" t="e">
        <f>_xll.qlSimpleQuoteSetValue($O18,$P18/100,Trigger)</f>
        <v>#NUM!</v>
      </c>
      <c r="R18" s="10"/>
    </row>
    <row r="19" spans="1:18" x14ac:dyDescent="0.2">
      <c r="A19" s="9"/>
      <c r="B19" s="240"/>
      <c r="C19" s="42" t="s">
        <v>36</v>
      </c>
      <c r="D19" s="42" t="s">
        <v>168</v>
      </c>
      <c r="E19" s="43" t="str">
        <f t="shared" si="2"/>
        <v>HKD1YOIS</v>
      </c>
      <c r="F19" s="43" t="str">
        <f t="shared" si="0"/>
        <v>HKD1YOIS=ICHK</v>
      </c>
      <c r="G19" s="15">
        <v>0.15</v>
      </c>
      <c r="H19" s="15">
        <v>0.25</v>
      </c>
      <c r="I19" s="15">
        <v>0</v>
      </c>
      <c r="J19" s="15">
        <v>0</v>
      </c>
      <c r="K19" s="75">
        <f t="shared" si="3"/>
        <v>0.2</v>
      </c>
      <c r="L19" s="6"/>
      <c r="M19" s="124">
        <v>0.2</v>
      </c>
      <c r="N19" s="6"/>
      <c r="O19" s="94" t="str">
        <f t="shared" si="1"/>
        <v>HKDOIS1Y_Quote</v>
      </c>
      <c r="P19" s="15">
        <v>0.2</v>
      </c>
      <c r="Q19" s="95">
        <f>_xll.qlSimpleQuoteSetValue($O19,$P19/100,Trigger)</f>
        <v>0</v>
      </c>
      <c r="R19" s="10"/>
    </row>
    <row r="20" spans="1:18" x14ac:dyDescent="0.2">
      <c r="A20" s="9"/>
      <c r="B20" s="240"/>
      <c r="C20" s="42" t="s">
        <v>37</v>
      </c>
      <c r="D20" s="42" t="s">
        <v>168</v>
      </c>
      <c r="E20" s="43" t="str">
        <f t="shared" si="2"/>
        <v>HKD15MOIS</v>
      </c>
      <c r="F20" s="43" t="str">
        <f t="shared" si="0"/>
        <v>HKD15MOIS=ICHK</v>
      </c>
      <c r="G20" s="15" t="s">
        <v>171</v>
      </c>
      <c r="H20" s="15" t="s">
        <v>171</v>
      </c>
      <c r="I20" s="15" t="s">
        <v>171</v>
      </c>
      <c r="J20" s="15" t="s">
        <v>171</v>
      </c>
      <c r="K20" s="75" t="e">
        <f t="shared" si="3"/>
        <v>#DIV/0!</v>
      </c>
      <c r="L20" s="6"/>
      <c r="M20" s="124" t="e">
        <v>#DIV/0!</v>
      </c>
      <c r="N20" s="6"/>
      <c r="O20" s="94" t="str">
        <f t="shared" si="1"/>
        <v>HKDOIS15M_Quote</v>
      </c>
      <c r="P20" s="15" t="e">
        <v>#DIV/0!</v>
      </c>
      <c r="Q20" s="95" t="e">
        <f>_xll.qlSimpleQuoteSetValue($O20,$P20/100,Trigger)</f>
        <v>#NUM!</v>
      </c>
      <c r="R20" s="10"/>
    </row>
    <row r="21" spans="1:18" x14ac:dyDescent="0.2">
      <c r="A21" s="9"/>
      <c r="B21" s="240"/>
      <c r="C21" s="42" t="s">
        <v>38</v>
      </c>
      <c r="D21" s="42" t="s">
        <v>168</v>
      </c>
      <c r="E21" s="43" t="str">
        <f t="shared" si="2"/>
        <v>HKD18MOIS</v>
      </c>
      <c r="F21" s="43" t="str">
        <f t="shared" si="0"/>
        <v>HKD18MOIS=ICHK</v>
      </c>
      <c r="G21" s="15" t="s">
        <v>171</v>
      </c>
      <c r="H21" s="15" t="s">
        <v>171</v>
      </c>
      <c r="I21" s="15" t="s">
        <v>171</v>
      </c>
      <c r="J21" s="15" t="s">
        <v>171</v>
      </c>
      <c r="K21" s="75" t="e">
        <f t="shared" si="3"/>
        <v>#DIV/0!</v>
      </c>
      <c r="L21" s="6"/>
      <c r="M21" s="124" t="e">
        <v>#DIV/0!</v>
      </c>
      <c r="N21" s="6"/>
      <c r="O21" s="94" t="str">
        <f t="shared" si="1"/>
        <v>HKDOIS18M_Quote</v>
      </c>
      <c r="P21" s="15" t="e">
        <v>#DIV/0!</v>
      </c>
      <c r="Q21" s="95" t="e">
        <f>_xll.qlSimpleQuoteSetValue($O21,$P21/100,Trigger)</f>
        <v>#NUM!</v>
      </c>
      <c r="R21" s="10"/>
    </row>
    <row r="22" spans="1:18" x14ac:dyDescent="0.2">
      <c r="A22" s="9"/>
      <c r="B22" s="240"/>
      <c r="C22" s="42" t="s">
        <v>39</v>
      </c>
      <c r="D22" s="42" t="s">
        <v>168</v>
      </c>
      <c r="E22" s="43" t="str">
        <f t="shared" si="2"/>
        <v>HKD21MOIS</v>
      </c>
      <c r="F22" s="43" t="str">
        <f t="shared" si="0"/>
        <v>HKD21MOIS=ICHK</v>
      </c>
      <c r="G22" s="15" t="s">
        <v>171</v>
      </c>
      <c r="H22" s="15" t="s">
        <v>171</v>
      </c>
      <c r="I22" s="15" t="s">
        <v>171</v>
      </c>
      <c r="J22" s="15" t="s">
        <v>171</v>
      </c>
      <c r="K22" s="75" t="e">
        <f t="shared" si="3"/>
        <v>#DIV/0!</v>
      </c>
      <c r="L22" s="6"/>
      <c r="M22" s="124" t="e">
        <v>#DIV/0!</v>
      </c>
      <c r="N22" s="6"/>
      <c r="O22" s="94" t="str">
        <f t="shared" si="1"/>
        <v>HKDOIS21M_Quote</v>
      </c>
      <c r="P22" s="15" t="e">
        <v>#DIV/0!</v>
      </c>
      <c r="Q22" s="95" t="e">
        <f>_xll.qlSimpleQuoteSetValue($O22,$P22/100,Trigger)</f>
        <v>#NUM!</v>
      </c>
      <c r="R22" s="10"/>
    </row>
    <row r="23" spans="1:18" x14ac:dyDescent="0.2">
      <c r="A23" s="9"/>
      <c r="B23" s="240"/>
      <c r="C23" s="42" t="s">
        <v>40</v>
      </c>
      <c r="D23" s="42" t="s">
        <v>168</v>
      </c>
      <c r="E23" s="43" t="str">
        <f t="shared" si="2"/>
        <v>HKD2YOIS</v>
      </c>
      <c r="F23" s="43" t="str">
        <f t="shared" si="0"/>
        <v>HKD2YOIS=ICHK</v>
      </c>
      <c r="G23" s="15" t="s">
        <v>171</v>
      </c>
      <c r="H23" s="15" t="s">
        <v>171</v>
      </c>
      <c r="I23" s="15" t="s">
        <v>171</v>
      </c>
      <c r="J23" s="15" t="s">
        <v>171</v>
      </c>
      <c r="K23" s="75" t="e">
        <f t="shared" si="3"/>
        <v>#DIV/0!</v>
      </c>
      <c r="L23" s="6"/>
      <c r="M23" s="124" t="e">
        <v>#DIV/0!</v>
      </c>
      <c r="N23" s="6"/>
      <c r="O23" s="94" t="str">
        <f t="shared" si="1"/>
        <v>HKDOIS2Y_Quote</v>
      </c>
      <c r="P23" s="15" t="e">
        <v>#DIV/0!</v>
      </c>
      <c r="Q23" s="95" t="e">
        <f>_xll.qlSimpleQuoteSetValue($O23,$P23/100,Trigger)</f>
        <v>#NUM!</v>
      </c>
      <c r="R23" s="10"/>
    </row>
    <row r="24" spans="1:18" x14ac:dyDescent="0.2">
      <c r="A24" s="9"/>
      <c r="B24" s="240"/>
      <c r="C24" s="42" t="s">
        <v>41</v>
      </c>
      <c r="D24" s="42" t="s">
        <v>168</v>
      </c>
      <c r="E24" s="43" t="str">
        <f t="shared" si="2"/>
        <v>HKD3YOIS</v>
      </c>
      <c r="F24" s="43" t="str">
        <f t="shared" si="0"/>
        <v>HKD3YOIS=ICHK</v>
      </c>
      <c r="G24" s="15" t="s">
        <v>171</v>
      </c>
      <c r="H24" s="15" t="s">
        <v>171</v>
      </c>
      <c r="I24" s="15" t="s">
        <v>171</v>
      </c>
      <c r="J24" s="15" t="s">
        <v>171</v>
      </c>
      <c r="K24" s="75" t="e">
        <f t="shared" si="3"/>
        <v>#DIV/0!</v>
      </c>
      <c r="L24" s="6"/>
      <c r="M24" s="124" t="e">
        <v>#DIV/0!</v>
      </c>
      <c r="N24" s="6"/>
      <c r="O24" s="94" t="str">
        <f t="shared" si="1"/>
        <v>HKDOIS3Y_Quote</v>
      </c>
      <c r="P24" s="15" t="e">
        <v>#DIV/0!</v>
      </c>
      <c r="Q24" s="95" t="e">
        <f>_xll.qlSimpleQuoteSetValue($O24,$P24/100,Trigger)</f>
        <v>#NUM!</v>
      </c>
      <c r="R24" s="10"/>
    </row>
    <row r="25" spans="1:18" x14ac:dyDescent="0.2">
      <c r="A25" s="9"/>
      <c r="B25" s="240"/>
      <c r="C25" s="42" t="s">
        <v>42</v>
      </c>
      <c r="D25" s="42" t="s">
        <v>168</v>
      </c>
      <c r="E25" s="43" t="str">
        <f t="shared" si="2"/>
        <v>HKD4YOIS</v>
      </c>
      <c r="F25" s="43" t="str">
        <f t="shared" si="0"/>
        <v>HKD4YOIS=ICHK</v>
      </c>
      <c r="G25" s="15" t="s">
        <v>171</v>
      </c>
      <c r="H25" s="15" t="s">
        <v>171</v>
      </c>
      <c r="I25" s="15" t="s">
        <v>171</v>
      </c>
      <c r="J25" s="15" t="s">
        <v>171</v>
      </c>
      <c r="K25" s="75" t="e">
        <f t="shared" si="3"/>
        <v>#DIV/0!</v>
      </c>
      <c r="L25" s="6"/>
      <c r="M25" s="124" t="e">
        <v>#DIV/0!</v>
      </c>
      <c r="N25" s="6"/>
      <c r="O25" s="94" t="str">
        <f t="shared" si="1"/>
        <v>HKDOIS4Y_Quote</v>
      </c>
      <c r="P25" s="15" t="e">
        <v>#DIV/0!</v>
      </c>
      <c r="Q25" s="95" t="e">
        <f>_xll.qlSimpleQuoteSetValue($O25,$P25/100,Trigger)</f>
        <v>#NUM!</v>
      </c>
      <c r="R25" s="10"/>
    </row>
    <row r="26" spans="1:18" x14ac:dyDescent="0.2">
      <c r="A26" s="9"/>
      <c r="B26" s="240"/>
      <c r="C26" s="42" t="s">
        <v>43</v>
      </c>
      <c r="D26" s="42" t="s">
        <v>168</v>
      </c>
      <c r="E26" s="43" t="str">
        <f t="shared" si="2"/>
        <v>HKD5YOIS</v>
      </c>
      <c r="F26" s="43" t="str">
        <f t="shared" si="0"/>
        <v>HKD5YOIS=ICHK</v>
      </c>
      <c r="G26" s="15" t="s">
        <v>171</v>
      </c>
      <c r="H26" s="15" t="s">
        <v>171</v>
      </c>
      <c r="I26" s="15" t="s">
        <v>171</v>
      </c>
      <c r="J26" s="15" t="s">
        <v>171</v>
      </c>
      <c r="K26" s="75" t="e">
        <f t="shared" si="3"/>
        <v>#DIV/0!</v>
      </c>
      <c r="L26" s="6"/>
      <c r="M26" s="124" t="e">
        <v>#DIV/0!</v>
      </c>
      <c r="N26" s="6"/>
      <c r="O26" s="94" t="str">
        <f t="shared" si="1"/>
        <v>HKDOIS5Y_Quote</v>
      </c>
      <c r="P26" s="15" t="e">
        <v>#DIV/0!</v>
      </c>
      <c r="Q26" s="95" t="e">
        <f>_xll.qlSimpleQuoteSetValue($O26,$P26/100,Trigger)</f>
        <v>#NUM!</v>
      </c>
      <c r="R26" s="10"/>
    </row>
    <row r="27" spans="1:18" x14ac:dyDescent="0.2">
      <c r="A27" s="9"/>
      <c r="B27" s="240"/>
      <c r="C27" s="42" t="s">
        <v>44</v>
      </c>
      <c r="D27" s="42" t="s">
        <v>168</v>
      </c>
      <c r="E27" s="43" t="str">
        <f t="shared" si="2"/>
        <v>HKD6YOIS</v>
      </c>
      <c r="F27" s="43" t="str">
        <f t="shared" si="0"/>
        <v>HKD6YOIS=ICHK</v>
      </c>
      <c r="G27" s="15" t="s">
        <v>171</v>
      </c>
      <c r="H27" s="15" t="s">
        <v>171</v>
      </c>
      <c r="I27" s="15" t="s">
        <v>171</v>
      </c>
      <c r="J27" s="15" t="s">
        <v>171</v>
      </c>
      <c r="K27" s="75" t="e">
        <f t="shared" si="3"/>
        <v>#DIV/0!</v>
      </c>
      <c r="L27" s="6"/>
      <c r="M27" s="124" t="e">
        <v>#DIV/0!</v>
      </c>
      <c r="N27" s="6"/>
      <c r="O27" s="94" t="str">
        <f t="shared" si="1"/>
        <v>HKDOIS6Y_Quote</v>
      </c>
      <c r="P27" s="15" t="e">
        <v>#DIV/0!</v>
      </c>
      <c r="Q27" s="95" t="e">
        <f>_xll.qlSimpleQuoteSetValue($O27,$P27/100,Trigger)</f>
        <v>#NUM!</v>
      </c>
      <c r="R27" s="10"/>
    </row>
    <row r="28" spans="1:18" x14ac:dyDescent="0.2">
      <c r="A28" s="9"/>
      <c r="B28" s="240"/>
      <c r="C28" s="42" t="s">
        <v>45</v>
      </c>
      <c r="D28" s="42" t="s">
        <v>168</v>
      </c>
      <c r="E28" s="43" t="str">
        <f t="shared" si="2"/>
        <v>HKD7YOIS</v>
      </c>
      <c r="F28" s="43" t="str">
        <f t="shared" si="0"/>
        <v>HKD7YOIS=ICHK</v>
      </c>
      <c r="G28" s="15" t="s">
        <v>171</v>
      </c>
      <c r="H28" s="15" t="s">
        <v>171</v>
      </c>
      <c r="I28" s="15" t="s">
        <v>171</v>
      </c>
      <c r="J28" s="15" t="s">
        <v>171</v>
      </c>
      <c r="K28" s="75" t="e">
        <f t="shared" si="3"/>
        <v>#DIV/0!</v>
      </c>
      <c r="L28" s="6"/>
      <c r="M28" s="124" t="e">
        <v>#DIV/0!</v>
      </c>
      <c r="N28" s="6"/>
      <c r="O28" s="94" t="str">
        <f t="shared" si="1"/>
        <v>HKDOIS7Y_Quote</v>
      </c>
      <c r="P28" s="15" t="e">
        <v>#DIV/0!</v>
      </c>
      <c r="Q28" s="95" t="e">
        <f>_xll.qlSimpleQuoteSetValue($O28,$P28/100,Trigger)</f>
        <v>#NUM!</v>
      </c>
      <c r="R28" s="10"/>
    </row>
    <row r="29" spans="1:18" x14ac:dyDescent="0.2">
      <c r="A29" s="9"/>
      <c r="B29" s="240"/>
      <c r="C29" s="42" t="s">
        <v>46</v>
      </c>
      <c r="D29" s="42" t="s">
        <v>168</v>
      </c>
      <c r="E29" s="43" t="str">
        <f t="shared" si="2"/>
        <v>HKD8YOIS</v>
      </c>
      <c r="F29" s="43" t="str">
        <f t="shared" si="0"/>
        <v>HKD8YOIS=ICHK</v>
      </c>
      <c r="G29" s="15" t="s">
        <v>171</v>
      </c>
      <c r="H29" s="15" t="s">
        <v>171</v>
      </c>
      <c r="I29" s="15" t="s">
        <v>171</v>
      </c>
      <c r="J29" s="15" t="s">
        <v>171</v>
      </c>
      <c r="K29" s="75" t="e">
        <f t="shared" si="3"/>
        <v>#DIV/0!</v>
      </c>
      <c r="L29" s="6"/>
      <c r="M29" s="124" t="e">
        <v>#DIV/0!</v>
      </c>
      <c r="N29" s="6"/>
      <c r="O29" s="94" t="str">
        <f t="shared" si="1"/>
        <v>HKDOIS8Y_Quote</v>
      </c>
      <c r="P29" s="15" t="e">
        <v>#DIV/0!</v>
      </c>
      <c r="Q29" s="95" t="e">
        <f>_xll.qlSimpleQuoteSetValue($O29,$P29/100,Trigger)</f>
        <v>#NUM!</v>
      </c>
      <c r="R29" s="10"/>
    </row>
    <row r="30" spans="1:18" x14ac:dyDescent="0.2">
      <c r="A30" s="9"/>
      <c r="B30" s="240"/>
      <c r="C30" s="42" t="s">
        <v>47</v>
      </c>
      <c r="D30" s="42" t="s">
        <v>168</v>
      </c>
      <c r="E30" s="43" t="str">
        <f t="shared" si="2"/>
        <v>HKD9YOIS</v>
      </c>
      <c r="F30" s="43" t="str">
        <f t="shared" si="0"/>
        <v>HKD9YOIS=ICHK</v>
      </c>
      <c r="G30" s="15" t="s">
        <v>171</v>
      </c>
      <c r="H30" s="15" t="s">
        <v>171</v>
      </c>
      <c r="I30" s="15" t="s">
        <v>171</v>
      </c>
      <c r="J30" s="15" t="s">
        <v>171</v>
      </c>
      <c r="K30" s="75" t="e">
        <f t="shared" si="3"/>
        <v>#DIV/0!</v>
      </c>
      <c r="L30" s="6"/>
      <c r="M30" s="124" t="e">
        <v>#DIV/0!</v>
      </c>
      <c r="N30" s="6"/>
      <c r="O30" s="94" t="str">
        <f t="shared" si="1"/>
        <v>HKDOIS9Y_Quote</v>
      </c>
      <c r="P30" s="15" t="e">
        <v>#DIV/0!</v>
      </c>
      <c r="Q30" s="95" t="e">
        <f>_xll.qlSimpleQuoteSetValue($O30,$P30/100,Trigger)</f>
        <v>#NUM!</v>
      </c>
      <c r="R30" s="10"/>
    </row>
    <row r="31" spans="1:18" x14ac:dyDescent="0.2">
      <c r="A31" s="9"/>
      <c r="B31" s="240"/>
      <c r="C31" s="42" t="s">
        <v>48</v>
      </c>
      <c r="D31" s="42" t="s">
        <v>168</v>
      </c>
      <c r="E31" s="43" t="str">
        <f t="shared" si="2"/>
        <v>HKD10YOIS</v>
      </c>
      <c r="F31" s="43" t="str">
        <f t="shared" si="0"/>
        <v>HKD10YOIS=ICHK</v>
      </c>
      <c r="G31" s="15" t="s">
        <v>171</v>
      </c>
      <c r="H31" s="15" t="s">
        <v>171</v>
      </c>
      <c r="I31" s="15" t="s">
        <v>171</v>
      </c>
      <c r="J31" s="15" t="s">
        <v>171</v>
      </c>
      <c r="K31" s="75" t="e">
        <f t="shared" si="3"/>
        <v>#DIV/0!</v>
      </c>
      <c r="L31" s="6"/>
      <c r="M31" s="124" t="e">
        <v>#DIV/0!</v>
      </c>
      <c r="N31" s="6"/>
      <c r="O31" s="94" t="str">
        <f t="shared" si="1"/>
        <v>HKDOIS10Y_Quote</v>
      </c>
      <c r="P31" s="15" t="e">
        <v>#DIV/0!</v>
      </c>
      <c r="Q31" s="95" t="e">
        <f>_xll.qlSimpleQuoteSetValue($O31,$P31/100,Trigger)</f>
        <v>#NUM!</v>
      </c>
      <c r="R31" s="10"/>
    </row>
    <row r="32" spans="1:18" x14ac:dyDescent="0.2">
      <c r="A32" s="9"/>
      <c r="B32" s="240"/>
      <c r="C32" s="42" t="s">
        <v>49</v>
      </c>
      <c r="D32" s="42" t="s">
        <v>168</v>
      </c>
      <c r="E32" s="43" t="str">
        <f t="shared" si="2"/>
        <v>HKD11YOIS</v>
      </c>
      <c r="F32" s="43" t="str">
        <f t="shared" si="0"/>
        <v>HKD11YOIS=ICHK</v>
      </c>
      <c r="G32" s="15" t="s">
        <v>171</v>
      </c>
      <c r="H32" s="15" t="s">
        <v>171</v>
      </c>
      <c r="I32" s="15" t="s">
        <v>171</v>
      </c>
      <c r="J32" s="15" t="s">
        <v>171</v>
      </c>
      <c r="K32" s="75" t="e">
        <f t="shared" si="3"/>
        <v>#DIV/0!</v>
      </c>
      <c r="L32" s="6"/>
      <c r="M32" s="124" t="e">
        <v>#DIV/0!</v>
      </c>
      <c r="N32" s="6"/>
      <c r="O32" s="94" t="str">
        <f t="shared" si="1"/>
        <v>HKDOIS11Y_Quote</v>
      </c>
      <c r="P32" s="15" t="e">
        <v>#DIV/0!</v>
      </c>
      <c r="Q32" s="95" t="e">
        <f>_xll.qlSimpleQuoteSetValue($O32,$P32/100,Trigger)</f>
        <v>#NUM!</v>
      </c>
      <c r="R32" s="10"/>
    </row>
    <row r="33" spans="1:18" x14ac:dyDescent="0.2">
      <c r="A33" s="9"/>
      <c r="B33" s="240"/>
      <c r="C33" s="42" t="s">
        <v>50</v>
      </c>
      <c r="D33" s="42" t="s">
        <v>168</v>
      </c>
      <c r="E33" s="43" t="str">
        <f t="shared" si="2"/>
        <v>HKD12YOIS</v>
      </c>
      <c r="F33" s="43" t="str">
        <f t="shared" si="0"/>
        <v>HKD12YOIS=ICHK</v>
      </c>
      <c r="G33" s="15" t="s">
        <v>171</v>
      </c>
      <c r="H33" s="15" t="s">
        <v>171</v>
      </c>
      <c r="I33" s="15" t="s">
        <v>171</v>
      </c>
      <c r="J33" s="15" t="s">
        <v>171</v>
      </c>
      <c r="K33" s="75" t="e">
        <f t="shared" si="3"/>
        <v>#DIV/0!</v>
      </c>
      <c r="L33" s="6"/>
      <c r="M33" s="124" t="e">
        <v>#DIV/0!</v>
      </c>
      <c r="N33" s="6"/>
      <c r="O33" s="94" t="str">
        <f t="shared" si="1"/>
        <v>HKDOIS12Y_Quote</v>
      </c>
      <c r="P33" s="15" t="e">
        <v>#DIV/0!</v>
      </c>
      <c r="Q33" s="95" t="e">
        <f>_xll.qlSimpleQuoteSetValue($O33,$P33/100,Trigger)</f>
        <v>#NUM!</v>
      </c>
      <c r="R33" s="10"/>
    </row>
    <row r="34" spans="1:18" x14ac:dyDescent="0.2">
      <c r="A34" s="9"/>
      <c r="B34" s="240"/>
      <c r="C34" s="42" t="s">
        <v>53</v>
      </c>
      <c r="D34" s="42" t="s">
        <v>168</v>
      </c>
      <c r="E34" s="43" t="str">
        <f t="shared" si="2"/>
        <v>HKD15YOIS</v>
      </c>
      <c r="F34" s="43" t="str">
        <f t="shared" si="0"/>
        <v>HKD15YOIS=ICHK</v>
      </c>
      <c r="G34" s="15" t="s">
        <v>171</v>
      </c>
      <c r="H34" s="15" t="s">
        <v>171</v>
      </c>
      <c r="I34" s="15" t="s">
        <v>171</v>
      </c>
      <c r="J34" s="15" t="s">
        <v>171</v>
      </c>
      <c r="K34" s="75" t="e">
        <f t="shared" si="3"/>
        <v>#DIV/0!</v>
      </c>
      <c r="L34" s="6"/>
      <c r="M34" s="124" t="e">
        <v>#DIV/0!</v>
      </c>
      <c r="N34" s="6"/>
      <c r="O34" s="94" t="str">
        <f t="shared" si="1"/>
        <v>HKDOIS15Y_Quote</v>
      </c>
      <c r="P34" s="15" t="e">
        <v>#DIV/0!</v>
      </c>
      <c r="Q34" s="95" t="e">
        <f>_xll.qlSimpleQuoteSetValue($O34,$P34/100,Trigger)</f>
        <v>#NUM!</v>
      </c>
      <c r="R34" s="10"/>
    </row>
    <row r="35" spans="1:18" x14ac:dyDescent="0.2">
      <c r="A35" s="9"/>
      <c r="B35" s="240"/>
      <c r="C35" s="42" t="s">
        <v>58</v>
      </c>
      <c r="D35" s="42" t="s">
        <v>168</v>
      </c>
      <c r="E35" s="43" t="str">
        <f t="shared" si="2"/>
        <v>HKD20YOIS</v>
      </c>
      <c r="F35" s="43" t="str">
        <f t="shared" si="0"/>
        <v>HKD20YOIS=ICHK</v>
      </c>
      <c r="G35" s="15" t="s">
        <v>171</v>
      </c>
      <c r="H35" s="15" t="s">
        <v>171</v>
      </c>
      <c r="I35" s="15" t="s">
        <v>171</v>
      </c>
      <c r="J35" s="15" t="s">
        <v>171</v>
      </c>
      <c r="K35" s="75" t="e">
        <f t="shared" si="3"/>
        <v>#DIV/0!</v>
      </c>
      <c r="L35" s="6"/>
      <c r="M35" s="124" t="e">
        <v>#DIV/0!</v>
      </c>
      <c r="N35" s="6"/>
      <c r="O35" s="94" t="str">
        <f t="shared" si="1"/>
        <v>HKDOIS20Y_Quote</v>
      </c>
      <c r="P35" s="15" t="e">
        <v>#DIV/0!</v>
      </c>
      <c r="Q35" s="95" t="e">
        <f>_xll.qlSimpleQuoteSetValue($O35,$P35/100,Trigger)</f>
        <v>#NUM!</v>
      </c>
      <c r="R35" s="10"/>
    </row>
    <row r="36" spans="1:18" x14ac:dyDescent="0.2">
      <c r="A36" s="9"/>
      <c r="B36" s="240"/>
      <c r="C36" s="42" t="s">
        <v>63</v>
      </c>
      <c r="D36" s="42" t="s">
        <v>168</v>
      </c>
      <c r="E36" s="43" t="str">
        <f t="shared" si="2"/>
        <v>HKD25YOIS</v>
      </c>
      <c r="F36" s="43" t="str">
        <f t="shared" si="0"/>
        <v>HKD25YOIS=ICHK</v>
      </c>
      <c r="G36" s="15" t="s">
        <v>171</v>
      </c>
      <c r="H36" s="15" t="s">
        <v>171</v>
      </c>
      <c r="I36" s="15" t="s">
        <v>171</v>
      </c>
      <c r="J36" s="15" t="s">
        <v>171</v>
      </c>
      <c r="K36" s="75" t="e">
        <f t="shared" si="3"/>
        <v>#DIV/0!</v>
      </c>
      <c r="L36" s="6"/>
      <c r="M36" s="124" t="e">
        <v>#DIV/0!</v>
      </c>
      <c r="N36" s="6"/>
      <c r="O36" s="94" t="str">
        <f t="shared" si="1"/>
        <v>HKDOIS25Y_Quote</v>
      </c>
      <c r="P36" s="15" t="e">
        <v>#DIV/0!</v>
      </c>
      <c r="Q36" s="95" t="e">
        <f>_xll.qlSimpleQuoteSetValue($O36,$P36/100,Trigger)</f>
        <v>#NUM!</v>
      </c>
      <c r="R36" s="10"/>
    </row>
    <row r="37" spans="1:18" x14ac:dyDescent="0.2">
      <c r="A37" s="9"/>
      <c r="B37" s="240"/>
      <c r="C37" s="42" t="s">
        <v>68</v>
      </c>
      <c r="D37" s="42" t="s">
        <v>168</v>
      </c>
      <c r="E37" s="43" t="str">
        <f t="shared" si="2"/>
        <v>HKD30YOIS</v>
      </c>
      <c r="F37" s="43" t="str">
        <f t="shared" si="0"/>
        <v>HKD30YOIS=ICHK</v>
      </c>
      <c r="G37" s="15" t="s">
        <v>171</v>
      </c>
      <c r="H37" s="15" t="s">
        <v>171</v>
      </c>
      <c r="I37" s="15" t="s">
        <v>171</v>
      </c>
      <c r="J37" s="15" t="s">
        <v>171</v>
      </c>
      <c r="K37" s="75" t="e">
        <f t="shared" si="3"/>
        <v>#DIV/0!</v>
      </c>
      <c r="L37" s="6"/>
      <c r="M37" s="124" t="e">
        <v>#DIV/0!</v>
      </c>
      <c r="N37" s="6"/>
      <c r="O37" s="94" t="str">
        <f t="shared" si="1"/>
        <v>HKDOIS30Y_Quote</v>
      </c>
      <c r="P37" s="15" t="e">
        <v>#DIV/0!</v>
      </c>
      <c r="Q37" s="95" t="e">
        <f>_xll.qlSimpleQuoteSetValue($O37,$P37/100,Trigger)</f>
        <v>#NUM!</v>
      </c>
      <c r="R37" s="10"/>
    </row>
    <row r="38" spans="1:18" x14ac:dyDescent="0.2">
      <c r="A38" s="9"/>
      <c r="B38" s="240"/>
      <c r="C38" s="42" t="s">
        <v>70</v>
      </c>
      <c r="D38" s="42" t="s">
        <v>168</v>
      </c>
      <c r="E38" s="43" t="str">
        <f t="shared" si="2"/>
        <v>HKD40YOIS</v>
      </c>
      <c r="F38" s="43" t="str">
        <f t="shared" si="0"/>
        <v>HKD40YOIS=ICHK</v>
      </c>
      <c r="G38" s="15" t="s">
        <v>171</v>
      </c>
      <c r="H38" s="15" t="s">
        <v>171</v>
      </c>
      <c r="I38" s="15" t="s">
        <v>171</v>
      </c>
      <c r="J38" s="15" t="s">
        <v>171</v>
      </c>
      <c r="K38" s="75" t="e">
        <f t="shared" si="3"/>
        <v>#DIV/0!</v>
      </c>
      <c r="L38" s="6"/>
      <c r="M38" s="124" t="e">
        <v>#DIV/0!</v>
      </c>
      <c r="N38" s="6"/>
      <c r="O38" s="94" t="str">
        <f t="shared" si="1"/>
        <v>HKDOIS40Y_Quote</v>
      </c>
      <c r="P38" s="15" t="e">
        <v>#DIV/0!</v>
      </c>
      <c r="Q38" s="95" t="e">
        <f>_xll.qlSimpleQuoteSetValue($O38,$P38/100,Trigger)</f>
        <v>#NUM!</v>
      </c>
      <c r="R38" s="10"/>
    </row>
    <row r="39" spans="1:18" x14ac:dyDescent="0.2">
      <c r="A39" s="9"/>
      <c r="B39" s="240"/>
      <c r="C39" s="42" t="s">
        <v>71</v>
      </c>
      <c r="D39" s="42" t="s">
        <v>168</v>
      </c>
      <c r="E39" s="43" t="str">
        <f t="shared" si="2"/>
        <v>HKD50YOIS</v>
      </c>
      <c r="F39" s="43" t="str">
        <f t="shared" si="0"/>
        <v>HKD50YOIS=ICHK</v>
      </c>
      <c r="G39" s="15" t="s">
        <v>171</v>
      </c>
      <c r="H39" s="15" t="s">
        <v>171</v>
      </c>
      <c r="I39" s="15" t="s">
        <v>171</v>
      </c>
      <c r="J39" s="15" t="s">
        <v>171</v>
      </c>
      <c r="K39" s="75" t="e">
        <f t="shared" si="3"/>
        <v>#DIV/0!</v>
      </c>
      <c r="L39" s="6"/>
      <c r="M39" s="124" t="e">
        <v>#DIV/0!</v>
      </c>
      <c r="N39" s="6"/>
      <c r="O39" s="94" t="str">
        <f t="shared" si="1"/>
        <v>HKDOIS50Y_Quote</v>
      </c>
      <c r="P39" s="15" t="e">
        <v>#DIV/0!</v>
      </c>
      <c r="Q39" s="95" t="e">
        <f>_xll.qlSimpleQuoteSetValue($O39,$P39/100,Trigger)</f>
        <v>#NUM!</v>
      </c>
      <c r="R39" s="10"/>
    </row>
    <row r="40" spans="1:18" x14ac:dyDescent="0.2">
      <c r="A40" s="9"/>
      <c r="B40" s="240"/>
      <c r="C40" s="42" t="s">
        <v>72</v>
      </c>
      <c r="D40" s="42" t="s">
        <v>168</v>
      </c>
      <c r="E40" s="43" t="str">
        <f t="shared" si="2"/>
        <v>HKD60YOIS</v>
      </c>
      <c r="F40" s="43" t="str">
        <f t="shared" si="0"/>
        <v>HKD60YOIS=ICHK</v>
      </c>
      <c r="G40" s="15" t="s">
        <v>171</v>
      </c>
      <c r="H40" s="15" t="s">
        <v>171</v>
      </c>
      <c r="I40" s="15" t="s">
        <v>171</v>
      </c>
      <c r="J40" s="15" t="s">
        <v>171</v>
      </c>
      <c r="K40" s="75" t="e">
        <f t="shared" si="3"/>
        <v>#DIV/0!</v>
      </c>
      <c r="L40" s="6"/>
      <c r="M40" s="124" t="e">
        <v>#DIV/0!</v>
      </c>
      <c r="N40" s="6"/>
      <c r="O40" s="94" t="str">
        <f t="shared" si="1"/>
        <v>HKDOIS60Y_Quote</v>
      </c>
      <c r="P40" s="15" t="e">
        <v>#DIV/0!</v>
      </c>
      <c r="Q40" s="95" t="e">
        <f>_xll.qlSimpleQuoteSetValue($O40,$P40/100,Trigger)</f>
        <v>#NUM!</v>
      </c>
      <c r="R40" s="10"/>
    </row>
    <row r="41" spans="1:18" ht="13.5" thickBot="1" x14ac:dyDescent="0.25">
      <c r="A41" s="11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12"/>
      <c r="M41" s="243"/>
      <c r="N41" s="12"/>
      <c r="O41" s="243"/>
      <c r="P41" s="243"/>
      <c r="Q41" s="243"/>
      <c r="R41" s="14"/>
    </row>
  </sheetData>
  <phoneticPr fontId="4" type="noConversion"/>
  <dataValidations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R11"/>
  <sheetViews>
    <sheetView workbookViewId="0">
      <selection activeCell="Q3" sqref="Q3"/>
    </sheetView>
  </sheetViews>
  <sheetFormatPr defaultRowHeight="12.75" x14ac:dyDescent="0.2"/>
  <cols>
    <col min="1" max="1" width="5" customWidth="1"/>
    <col min="2" max="2" width="3" bestFit="1" customWidth="1"/>
    <col min="3" max="3" width="3.85546875" bestFit="1" customWidth="1"/>
    <col min="4" max="4" width="3.42578125" bestFit="1" customWidth="1"/>
    <col min="5" max="5" width="11.140625" bestFit="1" customWidth="1"/>
    <col min="6" max="6" width="15.42578125" bestFit="1" customWidth="1"/>
    <col min="7" max="7" width="6.28515625" bestFit="1" customWidth="1"/>
    <col min="8" max="9" width="5.7109375" bestFit="1" customWidth="1"/>
    <col min="10" max="10" width="8.85546875" bestFit="1" customWidth="1"/>
    <col min="11" max="11" width="5.7109375" bestFit="1" customWidth="1"/>
    <col min="12" max="12" width="5" customWidth="1"/>
    <col min="13" max="13" width="5.7109375" bestFit="1" customWidth="1"/>
    <col min="14" max="14" width="5" customWidth="1"/>
    <col min="15" max="15" width="19.5703125" bestFit="1" customWidth="1"/>
    <col min="16" max="17" width="7.7109375" bestFit="1" customWidth="1"/>
    <col min="18" max="18" width="5" customWidth="1"/>
    <col min="19" max="19" width="5.140625" customWidth="1"/>
  </cols>
  <sheetData>
    <row r="1" spans="1:18" x14ac:dyDescent="0.2">
      <c r="A1" s="27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4"/>
    </row>
    <row r="2" spans="1:18" x14ac:dyDescent="0.2">
      <c r="A2" s="5"/>
      <c r="B2" s="7"/>
      <c r="C2" s="7"/>
      <c r="D2" s="7"/>
      <c r="E2" s="7"/>
      <c r="F2" s="110" t="s">
        <v>5</v>
      </c>
      <c r="G2" s="7"/>
      <c r="H2" s="7"/>
      <c r="I2" s="7"/>
      <c r="J2" s="7"/>
      <c r="K2" s="7"/>
      <c r="L2" s="6"/>
      <c r="M2" s="6"/>
      <c r="N2" s="6"/>
      <c r="O2" s="170" t="s">
        <v>79</v>
      </c>
      <c r="P2" s="171" t="s">
        <v>34</v>
      </c>
      <c r="Q2" s="7"/>
      <c r="R2" s="8"/>
    </row>
    <row r="3" spans="1:18" x14ac:dyDescent="0.2">
      <c r="A3" s="9"/>
      <c r="B3" s="6"/>
      <c r="C3" s="7"/>
      <c r="D3" s="7"/>
      <c r="E3" s="7"/>
      <c r="F3" s="7"/>
      <c r="G3" s="7"/>
      <c r="H3" s="7"/>
      <c r="I3" s="7"/>
      <c r="J3" s="7"/>
      <c r="K3" s="7"/>
      <c r="L3" s="6"/>
      <c r="M3" s="6"/>
      <c r="N3" s="6"/>
      <c r="O3" s="7"/>
      <c r="P3" s="7"/>
      <c r="Q3" s="28">
        <f>_xll.ohTrigger(Q5:Q10)</f>
        <v>13</v>
      </c>
      <c r="R3" s="10"/>
    </row>
    <row r="4" spans="1:18" ht="22.5" x14ac:dyDescent="0.2">
      <c r="A4" s="9"/>
      <c r="B4" s="80"/>
      <c r="C4" s="234"/>
      <c r="D4" s="81"/>
      <c r="E4" s="81"/>
      <c r="F4" s="82" t="e">
        <f ca="1">_xll.RData(F5:F10,G4:J4,,ReutersRtMode,,G5)</f>
        <v>#NAME?</v>
      </c>
      <c r="G4" s="83" t="s">
        <v>0</v>
      </c>
      <c r="H4" s="83" t="s">
        <v>1</v>
      </c>
      <c r="I4" s="83"/>
      <c r="J4" s="83" t="s">
        <v>169</v>
      </c>
      <c r="K4" s="84" t="s">
        <v>128</v>
      </c>
      <c r="L4" s="6"/>
      <c r="M4" s="87" t="s">
        <v>105</v>
      </c>
      <c r="N4" s="6"/>
      <c r="O4" s="88" t="s">
        <v>31</v>
      </c>
      <c r="P4" s="89" t="s">
        <v>17</v>
      </c>
      <c r="Q4" s="90" t="s">
        <v>24</v>
      </c>
      <c r="R4" s="10"/>
    </row>
    <row r="5" spans="1:18" x14ac:dyDescent="0.2">
      <c r="A5" s="9"/>
      <c r="B5" s="161" t="s">
        <v>162</v>
      </c>
      <c r="C5" s="42" t="s">
        <v>161</v>
      </c>
      <c r="D5" s="42" t="s">
        <v>168</v>
      </c>
      <c r="E5" s="43" t="str">
        <f t="shared" ref="E5:E10" si="0">Currency&amp;$C5&amp;$D5&amp;$B5</f>
        <v>HKDECBOISM1</v>
      </c>
      <c r="F5" s="43" t="str">
        <f t="array" ref="F5:F10">Instruments&amp;"="&amp;VLOOKUP(Contributor,ContributorTable,2,FALSE)</f>
        <v>HKDECBOISM1=ICAP</v>
      </c>
      <c r="G5" s="15" t="s">
        <v>171</v>
      </c>
      <c r="H5" s="15" t="s">
        <v>171</v>
      </c>
      <c r="I5" s="15" t="s">
        <v>171</v>
      </c>
      <c r="J5" s="241" t="s">
        <v>171</v>
      </c>
      <c r="K5" s="75" t="e">
        <f t="shared" ref="K5:K10" si="1">AVERAGE($G5,$H5)</f>
        <v>#DIV/0!</v>
      </c>
      <c r="L5" s="6"/>
      <c r="M5" s="174" t="e">
        <v>#DIV/0!</v>
      </c>
      <c r="N5" s="6"/>
      <c r="O5" s="91" t="str">
        <f t="shared" ref="O5:O10" si="2">Currency&amp;$C5&amp;$D5&amp;UPPER(TRIM($J5))&amp;$P$2</f>
        <v>HKDECBOISTHE RECORD COULD NOT BE FOUND_Quote</v>
      </c>
      <c r="P5" s="92" t="e">
        <f t="array" ref="P5:P10">QuoteLive</f>
        <v>#DIV/0!</v>
      </c>
      <c r="Q5" s="93" t="e">
        <f>_xll.qlSimpleQuoteSetValue($O5,$P5/100,Trigger)</f>
        <v>#NUM!</v>
      </c>
      <c r="R5" s="10"/>
    </row>
    <row r="6" spans="1:18" x14ac:dyDescent="0.2">
      <c r="A6" s="9"/>
      <c r="B6" s="74" t="s">
        <v>163</v>
      </c>
      <c r="C6" s="42" t="s">
        <v>161</v>
      </c>
      <c r="D6" s="42" t="s">
        <v>168</v>
      </c>
      <c r="E6" s="43" t="str">
        <f t="shared" si="0"/>
        <v>HKDECBOISM2</v>
      </c>
      <c r="F6" s="43" t="str">
        <v>HKDECBOISM2=ICAP</v>
      </c>
      <c r="G6" s="15" t="s">
        <v>171</v>
      </c>
      <c r="H6" s="15" t="s">
        <v>171</v>
      </c>
      <c r="I6" s="15" t="s">
        <v>171</v>
      </c>
      <c r="J6" s="241" t="s">
        <v>171</v>
      </c>
      <c r="K6" s="75" t="e">
        <f t="shared" si="1"/>
        <v>#DIV/0!</v>
      </c>
      <c r="L6" s="6"/>
      <c r="M6" s="124" t="e">
        <v>#DIV/0!</v>
      </c>
      <c r="N6" s="6"/>
      <c r="O6" s="94" t="str">
        <f t="shared" si="2"/>
        <v>HKDECBOISTHE RECORD COULD NOT BE FOUND_Quote</v>
      </c>
      <c r="P6" s="15" t="e">
        <v>#DIV/0!</v>
      </c>
      <c r="Q6" s="95" t="e">
        <f>_xll.qlSimpleQuoteSetValue($O6,$P6/100,Trigger)</f>
        <v>#NUM!</v>
      </c>
      <c r="R6" s="10"/>
    </row>
    <row r="7" spans="1:18" x14ac:dyDescent="0.2">
      <c r="A7" s="9"/>
      <c r="B7" s="74" t="s">
        <v>164</v>
      </c>
      <c r="C7" s="42" t="s">
        <v>161</v>
      </c>
      <c r="D7" s="42" t="s">
        <v>168</v>
      </c>
      <c r="E7" s="43" t="str">
        <f t="shared" si="0"/>
        <v>HKDECBOISM3</v>
      </c>
      <c r="F7" s="43" t="str">
        <v>HKDECBOISM3=ICAP</v>
      </c>
      <c r="G7" s="15" t="s">
        <v>171</v>
      </c>
      <c r="H7" s="15" t="s">
        <v>171</v>
      </c>
      <c r="I7" s="15" t="s">
        <v>171</v>
      </c>
      <c r="J7" s="241" t="s">
        <v>171</v>
      </c>
      <c r="K7" s="75" t="e">
        <f t="shared" si="1"/>
        <v>#DIV/0!</v>
      </c>
      <c r="L7" s="6"/>
      <c r="M7" s="124" t="e">
        <v>#DIV/0!</v>
      </c>
      <c r="N7" s="6"/>
      <c r="O7" s="94" t="str">
        <f t="shared" si="2"/>
        <v>HKDECBOISTHE RECORD COULD NOT BE FOUND_Quote</v>
      </c>
      <c r="P7" s="15" t="e">
        <v>#DIV/0!</v>
      </c>
      <c r="Q7" s="95" t="e">
        <f>_xll.qlSimpleQuoteSetValue($O7,$P7/100,Trigger)</f>
        <v>#NUM!</v>
      </c>
      <c r="R7" s="10"/>
    </row>
    <row r="8" spans="1:18" x14ac:dyDescent="0.2">
      <c r="A8" s="9"/>
      <c r="B8" s="74" t="s">
        <v>165</v>
      </c>
      <c r="C8" s="42" t="s">
        <v>161</v>
      </c>
      <c r="D8" s="42" t="s">
        <v>168</v>
      </c>
      <c r="E8" s="43" t="str">
        <f t="shared" si="0"/>
        <v>HKDECBOISM4</v>
      </c>
      <c r="F8" s="43" t="str">
        <v>HKDECBOISM4=ICAP</v>
      </c>
      <c r="G8" s="15" t="s">
        <v>171</v>
      </c>
      <c r="H8" s="15" t="s">
        <v>171</v>
      </c>
      <c r="I8" s="15" t="s">
        <v>171</v>
      </c>
      <c r="J8" s="241" t="s">
        <v>171</v>
      </c>
      <c r="K8" s="75" t="e">
        <f t="shared" si="1"/>
        <v>#DIV/0!</v>
      </c>
      <c r="L8" s="6"/>
      <c r="M8" s="124" t="e">
        <v>#DIV/0!</v>
      </c>
      <c r="N8" s="6"/>
      <c r="O8" s="94" t="str">
        <f t="shared" si="2"/>
        <v>HKDECBOISTHE RECORD COULD NOT BE FOUND_Quote</v>
      </c>
      <c r="P8" s="15" t="e">
        <v>#DIV/0!</v>
      </c>
      <c r="Q8" s="95" t="e">
        <f>_xll.qlSimpleQuoteSetValue($O8,$P8/100,Trigger)</f>
        <v>#NUM!</v>
      </c>
      <c r="R8" s="10"/>
    </row>
    <row r="9" spans="1:18" x14ac:dyDescent="0.2">
      <c r="A9" s="9"/>
      <c r="B9" s="74" t="s">
        <v>166</v>
      </c>
      <c r="C9" s="42" t="s">
        <v>161</v>
      </c>
      <c r="D9" s="42" t="s">
        <v>168</v>
      </c>
      <c r="E9" s="43" t="str">
        <f t="shared" si="0"/>
        <v>HKDECBOISM5</v>
      </c>
      <c r="F9" s="43" t="str">
        <v>HKDECBOISM5=ICAP</v>
      </c>
      <c r="G9" s="15" t="s">
        <v>171</v>
      </c>
      <c r="H9" s="15" t="s">
        <v>171</v>
      </c>
      <c r="I9" s="15" t="s">
        <v>171</v>
      </c>
      <c r="J9" s="241" t="s">
        <v>171</v>
      </c>
      <c r="K9" s="75" t="e">
        <f t="shared" si="1"/>
        <v>#DIV/0!</v>
      </c>
      <c r="L9" s="6"/>
      <c r="M9" s="124" t="e">
        <v>#DIV/0!</v>
      </c>
      <c r="N9" s="6"/>
      <c r="O9" s="94" t="str">
        <f t="shared" si="2"/>
        <v>HKDECBOISTHE RECORD COULD NOT BE FOUND_Quote</v>
      </c>
      <c r="P9" s="15" t="e">
        <v>#DIV/0!</v>
      </c>
      <c r="Q9" s="95" t="e">
        <f>_xll.qlSimpleQuoteSetValue($O9,$P9/100,Trigger)</f>
        <v>#NUM!</v>
      </c>
      <c r="R9" s="10"/>
    </row>
    <row r="10" spans="1:18" x14ac:dyDescent="0.2">
      <c r="A10" s="9"/>
      <c r="B10" s="76" t="s">
        <v>167</v>
      </c>
      <c r="C10" s="106" t="s">
        <v>161</v>
      </c>
      <c r="D10" s="106" t="s">
        <v>168</v>
      </c>
      <c r="E10" s="77" t="str">
        <f t="shared" si="0"/>
        <v>HKDECBOISM6</v>
      </c>
      <c r="F10" s="77" t="str">
        <v>HKDECBOISM6=ICAP</v>
      </c>
      <c r="G10" s="78" t="s">
        <v>171</v>
      </c>
      <c r="H10" s="78" t="s">
        <v>171</v>
      </c>
      <c r="I10" s="78" t="s">
        <v>171</v>
      </c>
      <c r="J10" s="242" t="s">
        <v>171</v>
      </c>
      <c r="K10" s="79" t="e">
        <f t="shared" si="1"/>
        <v>#DIV/0!</v>
      </c>
      <c r="L10" s="6"/>
      <c r="M10" s="125" t="e">
        <v>#DIV/0!</v>
      </c>
      <c r="N10" s="6"/>
      <c r="O10" s="96" t="str">
        <f t="shared" si="2"/>
        <v>HKDECBOISTHE RECORD COULD NOT BE FOUND_Quote</v>
      </c>
      <c r="P10" s="78" t="e">
        <v>#DIV/0!</v>
      </c>
      <c r="Q10" s="97" t="e">
        <f>_xll.qlSimpleQuoteSetValue($O10,$P10/100,Trigger)</f>
        <v>#NUM!</v>
      </c>
      <c r="R10" s="10"/>
    </row>
    <row r="11" spans="1:18" ht="13.5" thickBot="1" x14ac:dyDescent="0.25">
      <c r="A11" s="11"/>
      <c r="B11" s="243"/>
      <c r="C11" s="243"/>
      <c r="D11" s="243"/>
      <c r="E11" s="243"/>
      <c r="F11" s="243"/>
      <c r="G11" s="243"/>
      <c r="H11" s="243"/>
      <c r="I11" s="243"/>
      <c r="J11" s="243"/>
      <c r="K11" s="243"/>
      <c r="L11" s="12"/>
      <c r="M11" s="12"/>
      <c r="N11" s="12"/>
      <c r="O11" s="12"/>
      <c r="P11" s="12"/>
      <c r="Q11" s="12"/>
      <c r="R11" s="14"/>
    </row>
  </sheetData>
  <phoneticPr fontId="4" type="noConversion"/>
  <dataValidations disablePrompts="1"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117</vt:i4>
      </vt:variant>
    </vt:vector>
  </HeadingPairs>
  <TitlesOfParts>
    <vt:vector size="134" baseType="lpstr">
      <vt:lpstr>General Settings</vt:lpstr>
      <vt:lpstr>SpecialTriggers</vt:lpstr>
      <vt:lpstr>Deposits</vt:lpstr>
      <vt:lpstr>FRA</vt:lpstr>
      <vt:lpstr>Futures1M</vt:lpstr>
      <vt:lpstr>Futures3M</vt:lpstr>
      <vt:lpstr>ImmFra6M</vt:lpstr>
      <vt:lpstr>FuturesConvexityAdjustment</vt:lpstr>
      <vt:lpstr>Swap1M</vt:lpstr>
      <vt:lpstr>SwapIMMDated</vt:lpstr>
      <vt:lpstr>Swap3M</vt:lpstr>
      <vt:lpstr>Swap6M</vt:lpstr>
      <vt:lpstr>BasisSwap1MXM</vt:lpstr>
      <vt:lpstr>BasisSwap3M6M</vt:lpstr>
      <vt:lpstr>BasisSwapXM12M</vt:lpstr>
      <vt:lpstr>OIS</vt:lpstr>
      <vt:lpstr>ECBOIS</vt:lpstr>
      <vt:lpstr>BasisSwap1MXM!Contributor</vt:lpstr>
      <vt:lpstr>BasisSwap3M6M!Contributor</vt:lpstr>
      <vt:lpstr>BasisSwapXM12M!Contributor</vt:lpstr>
      <vt:lpstr>Deposits!Contributor</vt:lpstr>
      <vt:lpstr>ECBOIS!Contributor</vt:lpstr>
      <vt:lpstr>FRA!Contributor</vt:lpstr>
      <vt:lpstr>FuturesConvexityAdjustment!Contributor</vt:lpstr>
      <vt:lpstr>ImmFra6M!Contributor</vt:lpstr>
      <vt:lpstr>OIS!Contributor</vt:lpstr>
      <vt:lpstr>Swap1M!Contributor</vt:lpstr>
      <vt:lpstr>Swap3M!Contributor</vt:lpstr>
      <vt:lpstr>Swap6M!Contributor</vt:lpstr>
      <vt:lpstr>SwapIMMDated!Contributor</vt:lpstr>
      <vt:lpstr>Deposits!Contributors</vt:lpstr>
      <vt:lpstr>Contributors</vt:lpstr>
      <vt:lpstr>Deposits!ContributorTable</vt:lpstr>
      <vt:lpstr>ContributorTable</vt:lpstr>
      <vt:lpstr>BasisSwap1MXM!Conventions</vt:lpstr>
      <vt:lpstr>BasisSwap3M6M!Conventions</vt:lpstr>
      <vt:lpstr>BasisSwapXM12M!Conventions</vt:lpstr>
      <vt:lpstr>Swap3M!Conventions</vt:lpstr>
      <vt:lpstr>Swap6M!Conventions</vt:lpstr>
      <vt:lpstr>BasisSwap1MXM!Counter</vt:lpstr>
      <vt:lpstr>BasisSwap3M6M!Counter</vt:lpstr>
      <vt:lpstr>BasisSwapXM12M!Counter</vt:lpstr>
      <vt:lpstr>Deposits!Counter</vt:lpstr>
      <vt:lpstr>ECBOIS!Counter</vt:lpstr>
      <vt:lpstr>FRA!Counter</vt:lpstr>
      <vt:lpstr>Futures1M!Counter</vt:lpstr>
      <vt:lpstr>Futures3M!Counter</vt:lpstr>
      <vt:lpstr>FuturesConvexityAdjustment!Counter</vt:lpstr>
      <vt:lpstr>ImmFra6M!Counter</vt:lpstr>
      <vt:lpstr>OIS!Counter</vt:lpstr>
      <vt:lpstr>Swap1M!Counter</vt:lpstr>
      <vt:lpstr>Swap3M!Counter</vt:lpstr>
      <vt:lpstr>Swap6M!Counter</vt:lpstr>
      <vt:lpstr>SwapIMMDated!Counter</vt:lpstr>
      <vt:lpstr>Currency</vt:lpstr>
      <vt:lpstr>Futures1M!FuturesCodes</vt:lpstr>
      <vt:lpstr>Futures3M!FuturesCodes</vt:lpstr>
      <vt:lpstr>ImmFra6M!FuturesCodes</vt:lpstr>
      <vt:lpstr>Futures1M!FuturesDates</vt:lpstr>
      <vt:lpstr>Futures3M!FuturesDates</vt:lpstr>
      <vt:lpstr>ImmFra6M!FuturesDates</vt:lpstr>
      <vt:lpstr>GENERAL_SETTINGS</vt:lpstr>
      <vt:lpstr>BasisSwap1MXM!Instruments</vt:lpstr>
      <vt:lpstr>BasisSwap3M6M!Instruments</vt:lpstr>
      <vt:lpstr>BasisSwapXM12M!Instruments</vt:lpstr>
      <vt:lpstr>Deposits!Instruments</vt:lpstr>
      <vt:lpstr>ECBOIS!Instruments</vt:lpstr>
      <vt:lpstr>FRA!Instruments</vt:lpstr>
      <vt:lpstr>Futures1M!Instruments</vt:lpstr>
      <vt:lpstr>OIS!Instruments</vt:lpstr>
      <vt:lpstr>Swap1M!Instruments</vt:lpstr>
      <vt:lpstr>Swap3M!Instruments</vt:lpstr>
      <vt:lpstr>Swap6M!Instruments</vt:lpstr>
      <vt:lpstr>SwapIMMDated!Instruments</vt:lpstr>
      <vt:lpstr>InterpolationType</vt:lpstr>
      <vt:lpstr>LastUpdate</vt:lpstr>
      <vt:lpstr>Futures1M!LiffeCodes</vt:lpstr>
      <vt:lpstr>Futures3M!LiffeCodes</vt:lpstr>
      <vt:lpstr>ImmFra6M!LiffeCodes</vt:lpstr>
      <vt:lpstr>LiveDataFeed</vt:lpstr>
      <vt:lpstr>BasisSwap1MXM!Quote</vt:lpstr>
      <vt:lpstr>BasisSwap3M6M!Quote</vt:lpstr>
      <vt:lpstr>BasisSwapXM12M!Quote</vt:lpstr>
      <vt:lpstr>Deposits!Quote</vt:lpstr>
      <vt:lpstr>ECBOIS!Quote</vt:lpstr>
      <vt:lpstr>FRA!Quote</vt:lpstr>
      <vt:lpstr>Futures1M!Quote</vt:lpstr>
      <vt:lpstr>Futures3M!Quote</vt:lpstr>
      <vt:lpstr>FuturesConvexityAdjustment!Quote</vt:lpstr>
      <vt:lpstr>ImmFra6M!Quote</vt:lpstr>
      <vt:lpstr>OIS!Quote</vt:lpstr>
      <vt:lpstr>Swap1M!Quote</vt:lpstr>
      <vt:lpstr>Swap3M!Quote</vt:lpstr>
      <vt:lpstr>Swap6M!Quote</vt:lpstr>
      <vt:lpstr>SwapIMMDated!Quote</vt:lpstr>
      <vt:lpstr>BasisSwap1MXM!QuoteLive</vt:lpstr>
      <vt:lpstr>BasisSwap3M6M!QuoteLive</vt:lpstr>
      <vt:lpstr>BasisSwapXM12M!QuoteLive</vt:lpstr>
      <vt:lpstr>Deposits!QuoteLive</vt:lpstr>
      <vt:lpstr>ECBOIS!QuoteLive</vt:lpstr>
      <vt:lpstr>FRA!QuoteLive</vt:lpstr>
      <vt:lpstr>Futures1M!QuoteLive</vt:lpstr>
      <vt:lpstr>Futures3M!QuoteLive</vt:lpstr>
      <vt:lpstr>FuturesConvexityAdjustment!QuoteLive</vt:lpstr>
      <vt:lpstr>ImmFra6M!QuoteLive</vt:lpstr>
      <vt:lpstr>OIS!QuoteLive</vt:lpstr>
      <vt:lpstr>Swap1M!QuoteLive</vt:lpstr>
      <vt:lpstr>Swap3M!QuoteLive</vt:lpstr>
      <vt:lpstr>Swap6M!QuoteLive</vt:lpstr>
      <vt:lpstr>SwapIMMDated!QuoteLive</vt:lpstr>
      <vt:lpstr>BasisSwap1MXM!QuoteStatic</vt:lpstr>
      <vt:lpstr>BasisSwap3M6M!QuoteStatic</vt:lpstr>
      <vt:lpstr>BasisSwapXM12M!QuoteStatic</vt:lpstr>
      <vt:lpstr>Deposits!QuoteStatic</vt:lpstr>
      <vt:lpstr>ECBOIS!QuoteStatic</vt:lpstr>
      <vt:lpstr>FRA!QuoteStatic</vt:lpstr>
      <vt:lpstr>Futures1M!QuoteStatic</vt:lpstr>
      <vt:lpstr>Futures3M!QuoteStatic</vt:lpstr>
      <vt:lpstr>FuturesConvexityAdjustment!QuoteStatic</vt:lpstr>
      <vt:lpstr>ImmFra6M!QuoteStatic</vt:lpstr>
      <vt:lpstr>OIS!QuoteStatic</vt:lpstr>
      <vt:lpstr>Swap1M!QuoteStatic</vt:lpstr>
      <vt:lpstr>Swap3M!QuoteStatic</vt:lpstr>
      <vt:lpstr>Swap6M!QuoteStatic</vt:lpstr>
      <vt:lpstr>SwapIMMDated!QuoteStatic</vt:lpstr>
      <vt:lpstr>ReutersRtMode</vt:lpstr>
      <vt:lpstr>Deposits!SA_TWEAK</vt:lpstr>
      <vt:lpstr>Swap3M4Y</vt:lpstr>
      <vt:lpstr>Swap6M4Y</vt:lpstr>
      <vt:lpstr>Trigger</vt:lpstr>
      <vt:lpstr>TriggerCounter</vt:lpstr>
      <vt:lpstr>TriggerTOY1M</vt:lpstr>
      <vt:lpstr>TriggerTOY3M</vt:lpstr>
      <vt:lpstr>TriggerTOY6M</vt:lpstr>
    </vt:vector>
  </TitlesOfParts>
  <Company>QuantLib -- http://quantlib.org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erik</cp:lastModifiedBy>
  <dcterms:created xsi:type="dcterms:W3CDTF">2006-04-19T07:39:08Z</dcterms:created>
  <dcterms:modified xsi:type="dcterms:W3CDTF">2013-11-15T21:32:33Z</dcterms:modified>
</cp:coreProperties>
</file>
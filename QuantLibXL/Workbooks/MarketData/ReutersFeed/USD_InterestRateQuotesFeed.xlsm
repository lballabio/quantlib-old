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visibility="hidden" xWindow="210" yWindow="270" windowWidth="17535" windowHeight="10530" tabRatio="905"/>
  </bookViews>
  <sheets>
    <sheet name="General Settings" sheetId="2" r:id="rId1"/>
    <sheet name="SpecialTriggers" sheetId="21" r:id="rId2"/>
    <sheet name="Deposits" sheetId="1" r:id="rId3"/>
    <sheet name="FRA" sheetId="14" r:id="rId4"/>
    <sheet name="Futures1M" sheetId="22" r:id="rId5"/>
    <sheet name="Futures3M" sheetId="5" r:id="rId6"/>
    <sheet name="FuturesConvexityAdjustment" sheetId="6" r:id="rId7"/>
    <sheet name="Swap1M" sheetId="11" r:id="rId8"/>
    <sheet name="SwapIMMDated" sheetId="10" r:id="rId9"/>
    <sheet name="Swap3M" sheetId="9" r:id="rId10"/>
    <sheet name="Swap6M" sheetId="4" r:id="rId11"/>
    <sheet name="BasisSwap1MXM" sheetId="18" r:id="rId12"/>
    <sheet name="BasisSwap3M6M" sheetId="17" r:id="rId13"/>
    <sheet name="BasisSwapXM12M" sheetId="19" r:id="rId14"/>
    <sheet name="EONIAOIS" sheetId="13" r:id="rId15"/>
    <sheet name="FwdEONIAOIS" sheetId="20" r:id="rId16"/>
  </sheets>
  <definedNames>
    <definedName name="Contributor" localSheetId="11">BasisSwap1MXM!$F$2</definedName>
    <definedName name="Contributor" localSheetId="12">BasisSwap3M6M!$F$2</definedName>
    <definedName name="Contributor" localSheetId="13">BasisSwapXM12M!$F$2</definedName>
    <definedName name="Contributor" localSheetId="2">Deposits!$C$2</definedName>
    <definedName name="Contributor" localSheetId="14">EONIAOIS!$F$2</definedName>
    <definedName name="Contributor" localSheetId="3">FRA!$F$2</definedName>
    <definedName name="Contributor" localSheetId="6">FuturesConvexityAdjustment!$B$2</definedName>
    <definedName name="Contributor" localSheetId="15">FwdEONIAOIS!$F$2</definedName>
    <definedName name="Contributor" localSheetId="7">Swap1M!$F$2</definedName>
    <definedName name="Contributor" localSheetId="9">Swap3M!$F$2</definedName>
    <definedName name="Contributor" localSheetId="10">Swap6M!$F$2</definedName>
    <definedName name="Contributor" localSheetId="8">SwapIMMDated!$F$2</definedName>
    <definedName name="Contributors" localSheetId="2">Deposits!$M$5:$M$13</definedName>
    <definedName name="Contributors">'General Settings'!$C$11:$C$17</definedName>
    <definedName name="ContributorTable" localSheetId="2">Deposits!$M$5:$Q$13</definedName>
    <definedName name="ContributorTable">'General Settings'!$C$11:$D$17</definedName>
    <definedName name="Conventions" localSheetId="11">BasisSwap1MXM!$T$5:$V$9</definedName>
    <definedName name="Conventions" localSheetId="12">BasisSwap3M6M!$T$5:$V$9</definedName>
    <definedName name="Conventions" localSheetId="13">BasisSwapXM12M!$T$5:$V$9</definedName>
    <definedName name="Conventions" localSheetId="9">Swap3M!$T$5:$V$9</definedName>
    <definedName name="Conventions" localSheetId="10">Swap6M!$T$5:$V$9</definedName>
    <definedName name="Counter" localSheetId="11">BasisSwap1MXM!$Q$3</definedName>
    <definedName name="Counter" localSheetId="12">BasisSwap3M6M!$Q$3</definedName>
    <definedName name="Counter" localSheetId="13">BasisSwapXM12M!$Q$3</definedName>
    <definedName name="Counter" localSheetId="2">Deposits!$J$3</definedName>
    <definedName name="Counter" localSheetId="14">EONIAOIS!$Q$3</definedName>
    <definedName name="Counter" localSheetId="3">FRA!$Q$3</definedName>
    <definedName name="Counter" localSheetId="4">Futures1M!$R$4</definedName>
    <definedName name="Counter" localSheetId="5">Futures3M!$R$4</definedName>
    <definedName name="Counter" localSheetId="6">FuturesConvexityAdjustment!$L$3</definedName>
    <definedName name="Counter" localSheetId="15">FwdEONIAOIS!$Q$3</definedName>
    <definedName name="Counter" localSheetId="7">Swap1M!$Q$3</definedName>
    <definedName name="Counter" localSheetId="9">Swap3M!$Q$3</definedName>
    <definedName name="Counter" localSheetId="10">Swap6M!$Q$3</definedName>
    <definedName name="Counter" localSheetId="8">SwapIMMDated!$Q$3</definedName>
    <definedName name="Currency">'General Settings'!$D$4</definedName>
    <definedName name="FuturesCodes" localSheetId="4">Futures1M!$D$6:$D$17</definedName>
    <definedName name="FuturesCodes" localSheetId="5">Futures3M!$D$6:$D$47</definedName>
    <definedName name="FuturesDates" localSheetId="4">Futures1M!$E$6:$E$17</definedName>
    <definedName name="FuturesDates" localSheetId="5">Futures3M!$E$6:$E$47</definedName>
    <definedName name="GENERAL_SETTINGS">'General Settings'!$B$2</definedName>
    <definedName name="Instruments" localSheetId="11">BasisSwap1MXM!$E$5:$E$42</definedName>
    <definedName name="Instruments" localSheetId="12">BasisSwap3M6M!$E$5:$E$42</definedName>
    <definedName name="Instruments" localSheetId="13">BasisSwapXM12M!$E$5:$E$42</definedName>
    <definedName name="Instruments" localSheetId="2">Deposits!$B$5:$B$22</definedName>
    <definedName name="Instruments" localSheetId="14">EONIAOIS!$E$5:$E$58</definedName>
    <definedName name="Instruments" localSheetId="3">FRA!$E$5:$E$19</definedName>
    <definedName name="Instruments" localSheetId="4">Futures1M!$F$6:$F$17</definedName>
    <definedName name="Instruments" localSheetId="15">FwdEONIAOIS!$E$5:$E$10</definedName>
    <definedName name="Instruments" localSheetId="7">Swap1M!$E$5:$E$18</definedName>
    <definedName name="Instruments" localSheetId="9">Swap3M!$E$5:$E$42</definedName>
    <definedName name="Instruments" localSheetId="10">Swap6M!$E$5:$E$42</definedName>
    <definedName name="Instruments" localSheetId="8">SwapIMMDated!$E$5:$E$11</definedName>
    <definedName name="InterpolationType">'General Settings'!$D$8</definedName>
    <definedName name="LastUpdate">'General Settings'!$E$20</definedName>
    <definedName name="LiffeCodes" localSheetId="4">Futures1M!$U$6:$V$10</definedName>
    <definedName name="LiffeCodes" localSheetId="5">Futures3M!$U$6:$V$10</definedName>
    <definedName name="LiveDataFeed">'General Settings'!$E$23</definedName>
    <definedName name="MarketTickCounter">'General Settings'!#REF!</definedName>
    <definedName name="Quote" localSheetId="11">BasisSwap1MXM!$P$5:$P$42</definedName>
    <definedName name="Quote" localSheetId="12">BasisSwap3M6M!$P$5:$P$42</definedName>
    <definedName name="Quote" localSheetId="13">BasisSwapXM12M!$P$5:$P$42</definedName>
    <definedName name="Quote" localSheetId="2">Deposits!$I$5:$I$22</definedName>
    <definedName name="Quote" localSheetId="14">EONIAOIS!$P$5:$P$58</definedName>
    <definedName name="Quote" localSheetId="3">FRA!$P$5:$P$19</definedName>
    <definedName name="Quote" localSheetId="4">Futures1M!$Q$6:$Q$17</definedName>
    <definedName name="Quote" localSheetId="5">Futures3M!$Q$6:$Q$47</definedName>
    <definedName name="Quote" localSheetId="6">FuturesConvexityAdjustment!$K$5:$K$6</definedName>
    <definedName name="Quote" localSheetId="15">FwdEONIAOIS!$P$5:$P$10</definedName>
    <definedName name="Quote" localSheetId="7">Swap1M!$P$5:$P$18</definedName>
    <definedName name="Quote" localSheetId="9">Swap3M!$P$5:$P$42</definedName>
    <definedName name="Quote" localSheetId="10">Swap6M!$P$5:$P$42</definedName>
    <definedName name="Quote" localSheetId="8">SwapIMMDated!$P$5:$P$11</definedName>
    <definedName name="QuoteLive" localSheetId="11">BasisSwap1MXM!$K$5:$K$42</definedName>
    <definedName name="QuoteLive" localSheetId="12">BasisSwap3M6M!$K$5:$K$42</definedName>
    <definedName name="QuoteLive" localSheetId="13">BasisSwapXM12M!$K$5:$K$42</definedName>
    <definedName name="QuoteLive" localSheetId="2">Deposits!$D$5:$D$22</definedName>
    <definedName name="QuoteLive" localSheetId="14">EONIAOIS!$K$5:$K$58</definedName>
    <definedName name="QuoteLive" localSheetId="3">FRA!$K$5:$K$19</definedName>
    <definedName name="QuoteLive" localSheetId="4">Futures1M!$L$6:$L$17</definedName>
    <definedName name="QuoteLive" localSheetId="5">Futures3M!$L$6:$L$47</definedName>
    <definedName name="QuoteLive" localSheetId="6">FuturesConvexityAdjustment!$F$5:$F$6</definedName>
    <definedName name="QuoteLive" localSheetId="15">FwdEONIAOIS!$K$5:$K$10</definedName>
    <definedName name="QuoteLive" localSheetId="7">Swap1M!$K$5:$K$18</definedName>
    <definedName name="QuoteLive" localSheetId="9">Swap3M!$K$5:$K$42</definedName>
    <definedName name="QuoteLive" localSheetId="10">Swap6M!$K$5:$K$42</definedName>
    <definedName name="QuoteLive" localSheetId="8">SwapIMMDated!$K$5:$K$11</definedName>
    <definedName name="QuoteStatic" localSheetId="11">BasisSwap1MXM!$M$5:$M$42</definedName>
    <definedName name="QuoteStatic" localSheetId="12">BasisSwap3M6M!$M$5:$M$42</definedName>
    <definedName name="QuoteStatic" localSheetId="13">BasisSwapXM12M!$M$5:$M$42</definedName>
    <definedName name="QuoteStatic" localSheetId="2">Deposits!$F$5:$F$18</definedName>
    <definedName name="QuoteStatic" localSheetId="14">EONIAOIS!$M$5:$M$58</definedName>
    <definedName name="QuoteStatic" localSheetId="3">FRA!$M$5:$M$19</definedName>
    <definedName name="QuoteStatic" localSheetId="4">Futures1M!$N$6:$N$17</definedName>
    <definedName name="QuoteStatic" localSheetId="5">Futures3M!$N$6:$N$47</definedName>
    <definedName name="QuoteStatic" localSheetId="6">FuturesConvexityAdjustment!$H$5:$H$6</definedName>
    <definedName name="QuoteStatic" localSheetId="15">FwdEONIAOIS!$M$5:$M$10</definedName>
    <definedName name="QuoteStatic" localSheetId="7">Swap1M!$M$5:$M$18</definedName>
    <definedName name="QuoteStatic" localSheetId="9">Swap3M!$M$5:$M$42</definedName>
    <definedName name="QuoteStatic" localSheetId="10">Swap6M!$M$5:$M$42</definedName>
    <definedName name="QuoteStatic" localSheetId="8">SwapIMMDated!$M$5:$M$11</definedName>
    <definedName name="ReutersRtMode">'General Settings'!$D$6</definedName>
    <definedName name="Swap3M4Y">Swap3M!$P$12</definedName>
    <definedName name="Swap6M4Y">Swap6M!$P$12</definedName>
    <definedName name="Trigger">'General Settings'!$D$5</definedName>
    <definedName name="TriggerCounter">'General Settings'!$D$7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</definedNames>
  <calcPr calcId="145621"/>
</workbook>
</file>

<file path=xl/calcChain.xml><?xml version="1.0" encoding="utf-8"?>
<calcChain xmlns="http://schemas.openxmlformats.org/spreadsheetml/2006/main">
  <c r="P5" i="20" l="1" a="1"/>
  <c r="P5" i="20"/>
  <c r="P6" i="20"/>
  <c r="P7" i="20"/>
  <c r="P8" i="20"/>
  <c r="P9" i="20"/>
  <c r="P10" i="20"/>
  <c r="P5" i="13" a="1"/>
  <c r="P5" i="13"/>
  <c r="P17" i="13"/>
  <c r="P18" i="13"/>
  <c r="P53" i="13"/>
  <c r="P5" i="19" a="1"/>
  <c r="P15" i="19" s="1"/>
  <c r="P5" i="19"/>
  <c r="P9" i="19"/>
  <c r="P10" i="19"/>
  <c r="P11" i="19"/>
  <c r="P12" i="19"/>
  <c r="P13" i="19"/>
  <c r="P14" i="19"/>
  <c r="P21" i="19"/>
  <c r="P25" i="19"/>
  <c r="P26" i="19"/>
  <c r="P27" i="19"/>
  <c r="P28" i="19"/>
  <c r="P29" i="19"/>
  <c r="P30" i="19"/>
  <c r="P37" i="19"/>
  <c r="P41" i="19"/>
  <c r="P42" i="19"/>
  <c r="P5" i="17" a="1"/>
  <c r="P5" i="17" s="1"/>
  <c r="P19" i="17"/>
  <c r="P20" i="17"/>
  <c r="P34" i="17"/>
  <c r="P35" i="17"/>
  <c r="P36" i="17"/>
  <c r="P37" i="17"/>
  <c r="P38" i="17"/>
  <c r="P39" i="17"/>
  <c r="P5" i="18" a="1"/>
  <c r="P17" i="18" s="1"/>
  <c r="P5" i="18"/>
  <c r="P6" i="18"/>
  <c r="P7" i="18"/>
  <c r="P10" i="18"/>
  <c r="P11" i="18"/>
  <c r="P12" i="18"/>
  <c r="P13" i="18"/>
  <c r="P14" i="18"/>
  <c r="P15" i="18"/>
  <c r="P16" i="18"/>
  <c r="P21" i="18"/>
  <c r="P22" i="18"/>
  <c r="P23" i="18"/>
  <c r="P26" i="18"/>
  <c r="P27" i="18"/>
  <c r="P28" i="18"/>
  <c r="P29" i="18"/>
  <c r="P30" i="18"/>
  <c r="P31" i="18"/>
  <c r="P32" i="18"/>
  <c r="P37" i="18"/>
  <c r="P38" i="18"/>
  <c r="P39" i="18"/>
  <c r="P42" i="18"/>
  <c r="P5" i="4" a="1"/>
  <c r="P5" i="4"/>
  <c r="P6" i="4"/>
  <c r="P7" i="4"/>
  <c r="P8" i="4"/>
  <c r="P9" i="4"/>
  <c r="P20" i="4"/>
  <c r="P21" i="4"/>
  <c r="P25" i="4"/>
  <c r="P32" i="4"/>
  <c r="P36" i="4"/>
  <c r="P39" i="4"/>
  <c r="P40" i="4"/>
  <c r="P41" i="4"/>
  <c r="P5" i="9" a="1"/>
  <c r="P5" i="9" s="1"/>
  <c r="P6" i="9"/>
  <c r="P7" i="9"/>
  <c r="P8" i="9"/>
  <c r="P9" i="9"/>
  <c r="P11" i="9"/>
  <c r="P12" i="9"/>
  <c r="P13" i="9"/>
  <c r="P14" i="9"/>
  <c r="P15" i="9"/>
  <c r="P16" i="9"/>
  <c r="P17" i="9"/>
  <c r="P18" i="9"/>
  <c r="P19" i="9"/>
  <c r="P20" i="9"/>
  <c r="P22" i="9"/>
  <c r="P23" i="9"/>
  <c r="P24" i="9"/>
  <c r="P25" i="9"/>
  <c r="P27" i="9"/>
  <c r="P28" i="9"/>
  <c r="P29" i="9"/>
  <c r="P30" i="9"/>
  <c r="P31" i="9"/>
  <c r="P32" i="9"/>
  <c r="P33" i="9"/>
  <c r="P34" i="9"/>
  <c r="P35" i="9"/>
  <c r="P36" i="9"/>
  <c r="P38" i="9"/>
  <c r="P39" i="9"/>
  <c r="P40" i="9"/>
  <c r="P41" i="9"/>
  <c r="P5" i="10" a="1"/>
  <c r="P5" i="10"/>
  <c r="P6" i="10"/>
  <c r="P7" i="10"/>
  <c r="P8" i="10"/>
  <c r="P9" i="10"/>
  <c r="P10" i="10"/>
  <c r="P11" i="10"/>
  <c r="P5" i="11" a="1"/>
  <c r="P5" i="11" s="1"/>
  <c r="P7" i="11"/>
  <c r="P8" i="11"/>
  <c r="P9" i="11"/>
  <c r="P10" i="11"/>
  <c r="P12" i="11"/>
  <c r="P13" i="11"/>
  <c r="P14" i="11"/>
  <c r="P15" i="11"/>
  <c r="P16" i="11"/>
  <c r="P17" i="11"/>
  <c r="P18" i="11"/>
  <c r="Q6" i="5" a="1"/>
  <c r="Q42" i="5" s="1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3" i="5"/>
  <c r="Q44" i="5"/>
  <c r="Q45" i="5"/>
  <c r="Q46" i="5"/>
  <c r="Q47" i="5"/>
  <c r="Q6" i="22" a="1"/>
  <c r="Q6" i="22"/>
  <c r="Q7" i="22"/>
  <c r="P5" i="14" a="1"/>
  <c r="P7" i="14" s="1"/>
  <c r="I5" i="1" a="1"/>
  <c r="I20" i="1" s="1"/>
  <c r="I5" i="1"/>
  <c r="I21" i="1"/>
  <c r="I22" i="1"/>
  <c r="P6" i="13" l="1"/>
  <c r="P22" i="13"/>
  <c r="P38" i="13"/>
  <c r="P54" i="13"/>
  <c r="P10" i="13"/>
  <c r="P27" i="13"/>
  <c r="P28" i="13"/>
  <c r="P7" i="13"/>
  <c r="P23" i="13"/>
  <c r="P39" i="13"/>
  <c r="P55" i="13"/>
  <c r="P26" i="13"/>
  <c r="P42" i="13"/>
  <c r="P58" i="13"/>
  <c r="P11" i="13"/>
  <c r="P43" i="13"/>
  <c r="P12" i="13"/>
  <c r="P8" i="13"/>
  <c r="P40" i="13"/>
  <c r="P56" i="13"/>
  <c r="P9" i="13"/>
  <c r="P25" i="13"/>
  <c r="P41" i="13"/>
  <c r="P57" i="13"/>
  <c r="P44" i="13"/>
  <c r="P13" i="13"/>
  <c r="P29" i="13"/>
  <c r="P45" i="13"/>
  <c r="P14" i="13"/>
  <c r="P30" i="13"/>
  <c r="P46" i="13"/>
  <c r="P15" i="13"/>
  <c r="P31" i="13"/>
  <c r="P47" i="13"/>
  <c r="P16" i="13"/>
  <c r="P32" i="13"/>
  <c r="P51" i="13"/>
  <c r="I9" i="1"/>
  <c r="P50" i="13"/>
  <c r="I8" i="1"/>
  <c r="P10" i="4"/>
  <c r="P26" i="4"/>
  <c r="P42" i="4"/>
  <c r="P11" i="4"/>
  <c r="P27" i="4"/>
  <c r="P13" i="4"/>
  <c r="P29" i="4"/>
  <c r="P14" i="4"/>
  <c r="P15" i="4"/>
  <c r="P31" i="4"/>
  <c r="P16" i="4"/>
  <c r="P12" i="4"/>
  <c r="P28" i="4"/>
  <c r="P30" i="4"/>
  <c r="P17" i="4"/>
  <c r="P33" i="4"/>
  <c r="P18" i="4"/>
  <c r="P34" i="4"/>
  <c r="P19" i="4"/>
  <c r="P35" i="4"/>
  <c r="P23" i="17"/>
  <c r="P49" i="13"/>
  <c r="I7" i="1"/>
  <c r="P38" i="4"/>
  <c r="P22" i="17"/>
  <c r="P48" i="13"/>
  <c r="I6" i="1"/>
  <c r="P37" i="4"/>
  <c r="P21" i="17"/>
  <c r="P37" i="13"/>
  <c r="Q8" i="22"/>
  <c r="Q9" i="22"/>
  <c r="Q11" i="22"/>
  <c r="Q12" i="22"/>
  <c r="Q13" i="22"/>
  <c r="Q14" i="22"/>
  <c r="Q10" i="22"/>
  <c r="Q15" i="22"/>
  <c r="Q16" i="22"/>
  <c r="Q17" i="22"/>
  <c r="P52" i="13"/>
  <c r="P36" i="13"/>
  <c r="P8" i="14"/>
  <c r="P24" i="4"/>
  <c r="P7" i="17"/>
  <c r="P33" i="13"/>
  <c r="P23" i="4"/>
  <c r="P6" i="17"/>
  <c r="P10" i="14"/>
  <c r="P11" i="14"/>
  <c r="P13" i="14"/>
  <c r="P14" i="14"/>
  <c r="P15" i="14"/>
  <c r="P12" i="14"/>
  <c r="P16" i="14"/>
  <c r="P17" i="14"/>
  <c r="P18" i="14"/>
  <c r="P19" i="14"/>
  <c r="I10" i="1"/>
  <c r="I14" i="1"/>
  <c r="I16" i="1"/>
  <c r="I11" i="1"/>
  <c r="I13" i="1"/>
  <c r="I15" i="1"/>
  <c r="I12" i="1"/>
  <c r="I17" i="1"/>
  <c r="I18" i="1"/>
  <c r="I19" i="1"/>
  <c r="P35" i="13"/>
  <c r="P9" i="14"/>
  <c r="P18" i="17"/>
  <c r="P34" i="13"/>
  <c r="P6" i="14"/>
  <c r="P22" i="4"/>
  <c r="P20" i="13"/>
  <c r="P5" i="14"/>
  <c r="P8" i="17"/>
  <c r="P24" i="17"/>
  <c r="P40" i="17"/>
  <c r="P9" i="17"/>
  <c r="P25" i="17"/>
  <c r="P41" i="17"/>
  <c r="P28" i="17"/>
  <c r="P13" i="17"/>
  <c r="P29" i="17"/>
  <c r="P30" i="17"/>
  <c r="P10" i="17"/>
  <c r="P26" i="17"/>
  <c r="P42" i="17"/>
  <c r="P11" i="17"/>
  <c r="P27" i="17"/>
  <c r="P12" i="17"/>
  <c r="P14" i="17"/>
  <c r="P15" i="17"/>
  <c r="P31" i="17"/>
  <c r="P16" i="17"/>
  <c r="P32" i="17"/>
  <c r="P17" i="17"/>
  <c r="P33" i="17"/>
  <c r="P19" i="13"/>
  <c r="P40" i="19"/>
  <c r="P24" i="19"/>
  <c r="P8" i="19"/>
  <c r="P41" i="18"/>
  <c r="P25" i="18"/>
  <c r="P9" i="18"/>
  <c r="P39" i="19"/>
  <c r="P23" i="19"/>
  <c r="P7" i="19"/>
  <c r="P11" i="11"/>
  <c r="P42" i="9"/>
  <c r="P26" i="9"/>
  <c r="P10" i="9"/>
  <c r="P40" i="18"/>
  <c r="P24" i="18"/>
  <c r="P8" i="18"/>
  <c r="P38" i="19"/>
  <c r="P22" i="19"/>
  <c r="P6" i="19"/>
  <c r="P34" i="19"/>
  <c r="P6" i="11"/>
  <c r="P37" i="9"/>
  <c r="P21" i="9"/>
  <c r="P35" i="18"/>
  <c r="P19" i="18"/>
  <c r="P33" i="19"/>
  <c r="P17" i="19"/>
  <c r="P36" i="19"/>
  <c r="P20" i="19"/>
  <c r="P19" i="19"/>
  <c r="P36" i="18"/>
  <c r="P20" i="18"/>
  <c r="P18" i="19"/>
  <c r="P34" i="18"/>
  <c r="P18" i="18"/>
  <c r="P32" i="19"/>
  <c r="P16" i="19"/>
  <c r="P35" i="19"/>
  <c r="P33" i="18"/>
  <c r="P31" i="19"/>
  <c r="F28" i="1" l="1"/>
  <c r="D5" i="1" s="1"/>
  <c r="F29" i="1"/>
  <c r="D6" i="1" s="1"/>
  <c r="F30" i="1"/>
  <c r="D7" i="1" s="1"/>
  <c r="H5" i="1" a="1"/>
  <c r="H16" i="1" s="1"/>
  <c r="F2" i="17"/>
  <c r="C5" i="17" a="1"/>
  <c r="C20" i="17" s="1"/>
  <c r="D5" i="17" a="1"/>
  <c r="D9" i="17" s="1"/>
  <c r="E5" i="17"/>
  <c r="O5" i="17" s="1"/>
  <c r="F2" i="14"/>
  <c r="B5" i="6"/>
  <c r="E12" i="11"/>
  <c r="O12" i="11" s="1"/>
  <c r="E13" i="11"/>
  <c r="O13" i="11" s="1"/>
  <c r="E14" i="11"/>
  <c r="O14" i="11" s="1"/>
  <c r="E15" i="11"/>
  <c r="O15" i="11" s="1"/>
  <c r="E16" i="11"/>
  <c r="O16" i="11"/>
  <c r="E17" i="11"/>
  <c r="O17" i="11"/>
  <c r="E18" i="11"/>
  <c r="O18" i="11" s="1"/>
  <c r="E11" i="11"/>
  <c r="O11" i="11"/>
  <c r="H5" i="1"/>
  <c r="H6" i="1"/>
  <c r="H8" i="1"/>
  <c r="H9" i="1"/>
  <c r="H10" i="1"/>
  <c r="H11" i="1"/>
  <c r="H12" i="1"/>
  <c r="H13" i="1"/>
  <c r="H14" i="1"/>
  <c r="H15" i="1"/>
  <c r="H18" i="1"/>
  <c r="H19" i="1"/>
  <c r="H20" i="1"/>
  <c r="H21" i="1"/>
  <c r="H22" i="1"/>
  <c r="C5" i="1" a="1"/>
  <c r="C5" i="1"/>
  <c r="C6" i="1"/>
  <c r="C7" i="1"/>
  <c r="C8" i="1" a="1"/>
  <c r="C8" i="1"/>
  <c r="C9" i="1"/>
  <c r="C10" i="1"/>
  <c r="C11" i="1"/>
  <c r="C15" i="1"/>
  <c r="C16" i="1"/>
  <c r="C17" i="1"/>
  <c r="C20" i="1"/>
  <c r="C22" i="1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" i="13"/>
  <c r="E8" i="13"/>
  <c r="E9" i="13"/>
  <c r="E10" i="13"/>
  <c r="E11" i="13"/>
  <c r="E12" i="13"/>
  <c r="E13" i="13"/>
  <c r="E14" i="13"/>
  <c r="E15" i="13"/>
  <c r="E16" i="13"/>
  <c r="F5" i="13" s="1" a="1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6" i="13"/>
  <c r="E7" i="13"/>
  <c r="E5" i="13"/>
  <c r="J5" i="6"/>
  <c r="J6" i="6"/>
  <c r="D11" i="2"/>
  <c r="D4" i="1"/>
  <c r="P5" i="1"/>
  <c r="E5" i="14"/>
  <c r="O5" i="14" s="1"/>
  <c r="E6" i="14"/>
  <c r="O6" i="14" s="1"/>
  <c r="E7" i="14"/>
  <c r="O7" i="14" s="1"/>
  <c r="E8" i="14"/>
  <c r="O8" i="14" s="1"/>
  <c r="E9" i="14"/>
  <c r="O9" i="14"/>
  <c r="E10" i="14"/>
  <c r="O10" i="14" s="1"/>
  <c r="E11" i="14"/>
  <c r="O11" i="14"/>
  <c r="E12" i="14"/>
  <c r="O12" i="14" s="1"/>
  <c r="E13" i="14"/>
  <c r="O13" i="14" s="1"/>
  <c r="E14" i="14"/>
  <c r="O14" i="14" s="1"/>
  <c r="E15" i="14"/>
  <c r="O15" i="14" s="1"/>
  <c r="E16" i="14"/>
  <c r="O16" i="14"/>
  <c r="E17" i="14"/>
  <c r="O17" i="14"/>
  <c r="E18" i="14"/>
  <c r="O18" i="14" s="1"/>
  <c r="E19" i="14"/>
  <c r="O19" i="14"/>
  <c r="E5" i="11"/>
  <c r="O5" i="11"/>
  <c r="E6" i="11"/>
  <c r="O6" i="11"/>
  <c r="E7" i="11"/>
  <c r="O7" i="11"/>
  <c r="E8" i="11"/>
  <c r="O8" i="11"/>
  <c r="E9" i="11"/>
  <c r="O9" i="11" s="1"/>
  <c r="E10" i="11"/>
  <c r="O10" i="11" s="1"/>
  <c r="E5" i="10"/>
  <c r="O5" i="10"/>
  <c r="E6" i="10"/>
  <c r="O6" i="10"/>
  <c r="E7" i="10"/>
  <c r="O7" i="10"/>
  <c r="E8" i="10"/>
  <c r="O8" i="10" s="1"/>
  <c r="E9" i="10"/>
  <c r="O9" i="10" s="1"/>
  <c r="E10" i="10"/>
  <c r="O10" i="10" s="1"/>
  <c r="E11" i="10"/>
  <c r="O11" i="10"/>
  <c r="C5" i="9" a="1"/>
  <c r="C5" i="9" s="1"/>
  <c r="D5" i="9" a="1"/>
  <c r="C6" i="9"/>
  <c r="D6" i="9"/>
  <c r="C7" i="9"/>
  <c r="D7" i="9"/>
  <c r="E7" i="9"/>
  <c r="O7" i="9" s="1"/>
  <c r="C8" i="9"/>
  <c r="D8" i="9"/>
  <c r="E8" i="9" s="1"/>
  <c r="O8" i="9" s="1"/>
  <c r="D9" i="9"/>
  <c r="C10" i="9"/>
  <c r="D10" i="9"/>
  <c r="D11" i="9"/>
  <c r="C12" i="9"/>
  <c r="C13" i="9"/>
  <c r="D13" i="9"/>
  <c r="C14" i="9"/>
  <c r="D15" i="9"/>
  <c r="C16" i="9"/>
  <c r="D17" i="9"/>
  <c r="C18" i="9"/>
  <c r="D18" i="9"/>
  <c r="E18" i="9"/>
  <c r="O18" i="9"/>
  <c r="D19" i="9"/>
  <c r="C20" i="9"/>
  <c r="E20" i="9" s="1"/>
  <c r="O20" i="9" s="1"/>
  <c r="D20" i="9"/>
  <c r="C21" i="9"/>
  <c r="D21" i="9"/>
  <c r="E21" i="9"/>
  <c r="O21" i="9"/>
  <c r="D22" i="9"/>
  <c r="C23" i="9"/>
  <c r="E23" i="9" s="1"/>
  <c r="O23" i="9" s="1"/>
  <c r="D23" i="9"/>
  <c r="D24" i="9"/>
  <c r="D25" i="9"/>
  <c r="C26" i="9"/>
  <c r="D26" i="9"/>
  <c r="C27" i="9"/>
  <c r="C28" i="9"/>
  <c r="D28" i="9"/>
  <c r="E28" i="9"/>
  <c r="O28" i="9" s="1"/>
  <c r="C29" i="9"/>
  <c r="C30" i="9"/>
  <c r="E30" i="9" s="1"/>
  <c r="O30" i="9" s="1"/>
  <c r="D30" i="9"/>
  <c r="C31" i="9"/>
  <c r="D31" i="9"/>
  <c r="E31" i="9"/>
  <c r="O31" i="9"/>
  <c r="D32" i="9"/>
  <c r="D33" i="9"/>
  <c r="D34" i="9"/>
  <c r="C35" i="9"/>
  <c r="D35" i="9"/>
  <c r="E35" i="9" s="1"/>
  <c r="O35" i="9" s="1"/>
  <c r="C36" i="9"/>
  <c r="D37" i="9"/>
  <c r="C38" i="9"/>
  <c r="D38" i="9"/>
  <c r="D39" i="9"/>
  <c r="D40" i="9"/>
  <c r="C41" i="9"/>
  <c r="D41" i="9"/>
  <c r="E41" i="9"/>
  <c r="O41" i="9" s="1"/>
  <c r="C42" i="9"/>
  <c r="D42" i="9"/>
  <c r="E42" i="9"/>
  <c r="O42" i="9" s="1"/>
  <c r="C5" i="4" a="1"/>
  <c r="C5" i="4"/>
  <c r="D5" i="4" a="1"/>
  <c r="D5" i="4"/>
  <c r="C6" i="4"/>
  <c r="C8" i="4"/>
  <c r="C9" i="4"/>
  <c r="C10" i="4"/>
  <c r="C12" i="4"/>
  <c r="D12" i="4"/>
  <c r="C13" i="4"/>
  <c r="C15" i="4"/>
  <c r="C16" i="4"/>
  <c r="C17" i="4"/>
  <c r="C20" i="4"/>
  <c r="C22" i="4"/>
  <c r="C23" i="4"/>
  <c r="C26" i="4"/>
  <c r="D26" i="4"/>
  <c r="E26" i="4"/>
  <c r="O26" i="4" s="1"/>
  <c r="D27" i="4"/>
  <c r="C28" i="4"/>
  <c r="C29" i="4"/>
  <c r="C30" i="4"/>
  <c r="C31" i="4"/>
  <c r="C34" i="4"/>
  <c r="C36" i="4"/>
  <c r="C37" i="4"/>
  <c r="C39" i="4"/>
  <c r="C5" i="18" a="1"/>
  <c r="C5" i="18"/>
  <c r="D5" i="18" a="1"/>
  <c r="D20" i="18" s="1"/>
  <c r="C6" i="18"/>
  <c r="D6" i="18"/>
  <c r="C7" i="18"/>
  <c r="D7" i="18"/>
  <c r="E7" i="18"/>
  <c r="O7" i="18"/>
  <c r="C8" i="18"/>
  <c r="D8" i="18"/>
  <c r="E8" i="18"/>
  <c r="O8" i="18" s="1"/>
  <c r="C9" i="18"/>
  <c r="C10" i="18"/>
  <c r="D10" i="18"/>
  <c r="C11" i="18"/>
  <c r="D11" i="18"/>
  <c r="E11" i="18"/>
  <c r="O11" i="18"/>
  <c r="C12" i="18"/>
  <c r="D12" i="18"/>
  <c r="E12" i="18"/>
  <c r="O12" i="18" s="1"/>
  <c r="C13" i="18"/>
  <c r="C14" i="18"/>
  <c r="E14" i="18" s="1"/>
  <c r="D14" i="18"/>
  <c r="O14" i="18"/>
  <c r="C15" i="18"/>
  <c r="D15" i="18"/>
  <c r="C16" i="18"/>
  <c r="D16" i="18"/>
  <c r="E16" i="18"/>
  <c r="O16" i="18" s="1"/>
  <c r="C17" i="18"/>
  <c r="C18" i="18"/>
  <c r="D18" i="18"/>
  <c r="C19" i="18"/>
  <c r="D19" i="18"/>
  <c r="E19" i="18" s="1"/>
  <c r="O19" i="18" s="1"/>
  <c r="C20" i="18"/>
  <c r="E20" i="18"/>
  <c r="O20" i="18" s="1"/>
  <c r="C21" i="18"/>
  <c r="C22" i="18"/>
  <c r="D22" i="18"/>
  <c r="C23" i="18"/>
  <c r="E23" i="18" s="1"/>
  <c r="O23" i="18" s="1"/>
  <c r="D23" i="18"/>
  <c r="C24" i="18"/>
  <c r="D24" i="18"/>
  <c r="E24" i="18" s="1"/>
  <c r="O24" i="18" s="1"/>
  <c r="C25" i="18"/>
  <c r="C26" i="18"/>
  <c r="D26" i="18"/>
  <c r="C27" i="18"/>
  <c r="D27" i="18"/>
  <c r="E27" i="18" s="1"/>
  <c r="O27" i="18" s="1"/>
  <c r="C28" i="18"/>
  <c r="D28" i="18"/>
  <c r="E28" i="18"/>
  <c r="O28" i="18" s="1"/>
  <c r="C29" i="18"/>
  <c r="C30" i="18"/>
  <c r="C31" i="18"/>
  <c r="D31" i="18"/>
  <c r="E31" i="18"/>
  <c r="O31" i="18" s="1"/>
  <c r="C32" i="18"/>
  <c r="D32" i="18"/>
  <c r="E32" i="18"/>
  <c r="O32" i="18" s="1"/>
  <c r="C33" i="18"/>
  <c r="C34" i="18"/>
  <c r="D34" i="18"/>
  <c r="C35" i="18"/>
  <c r="C36" i="18"/>
  <c r="D36" i="18"/>
  <c r="E36" i="18"/>
  <c r="O36" i="18" s="1"/>
  <c r="C37" i="18"/>
  <c r="C38" i="18"/>
  <c r="D38" i="18"/>
  <c r="C39" i="18"/>
  <c r="D39" i="18"/>
  <c r="E39" i="18"/>
  <c r="O39" i="18" s="1"/>
  <c r="C40" i="18"/>
  <c r="D40" i="18"/>
  <c r="E40" i="18"/>
  <c r="O40" i="18" s="1"/>
  <c r="C41" i="18"/>
  <c r="C42" i="18"/>
  <c r="D42" i="18"/>
  <c r="C5" i="17"/>
  <c r="D5" i="17"/>
  <c r="W5" i="17"/>
  <c r="D6" i="17"/>
  <c r="W6" i="17"/>
  <c r="W7" i="17"/>
  <c r="D8" i="17"/>
  <c r="W8" i="17"/>
  <c r="C9" i="17"/>
  <c r="W9" i="17"/>
  <c r="D10" i="17"/>
  <c r="W10" i="17"/>
  <c r="C11" i="17"/>
  <c r="W11" i="17"/>
  <c r="C12" i="17"/>
  <c r="W12" i="17"/>
  <c r="W13" i="17"/>
  <c r="C14" i="17"/>
  <c r="D14" i="17"/>
  <c r="W14" i="17"/>
  <c r="C15" i="17"/>
  <c r="W15" i="17"/>
  <c r="C16" i="17"/>
  <c r="D16" i="17"/>
  <c r="W16" i="17"/>
  <c r="D17" i="17"/>
  <c r="W17" i="17"/>
  <c r="W18" i="17"/>
  <c r="C19" i="17"/>
  <c r="W19" i="17"/>
  <c r="W20" i="17"/>
  <c r="D21" i="17"/>
  <c r="W21" i="17"/>
  <c r="C22" i="17"/>
  <c r="W22" i="17"/>
  <c r="W23" i="17"/>
  <c r="D24" i="17"/>
  <c r="W24" i="17"/>
  <c r="W25" i="17"/>
  <c r="C26" i="17"/>
  <c r="D26" i="17"/>
  <c r="W26" i="17"/>
  <c r="W27" i="17"/>
  <c r="C28" i="17"/>
  <c r="W28" i="17"/>
  <c r="W29" i="17"/>
  <c r="C30" i="17"/>
  <c r="W30" i="17"/>
  <c r="C31" i="17"/>
  <c r="W31" i="17"/>
  <c r="C32" i="17"/>
  <c r="W32" i="17"/>
  <c r="D33" i="17"/>
  <c r="W33" i="17"/>
  <c r="W34" i="17"/>
  <c r="C35" i="17"/>
  <c r="W35" i="17"/>
  <c r="D36" i="17"/>
  <c r="W36" i="17"/>
  <c r="W37" i="17"/>
  <c r="C38" i="17"/>
  <c r="D38" i="17"/>
  <c r="W38" i="17"/>
  <c r="W39" i="17"/>
  <c r="C40" i="17"/>
  <c r="D40" i="17"/>
  <c r="W40" i="17"/>
  <c r="W41" i="17"/>
  <c r="D42" i="17"/>
  <c r="W42" i="17"/>
  <c r="C5" i="19" a="1"/>
  <c r="C17" i="19" s="1"/>
  <c r="E17" i="19" s="1"/>
  <c r="O17" i="19" s="1"/>
  <c r="D5" i="19" a="1"/>
  <c r="D5" i="19"/>
  <c r="C6" i="19"/>
  <c r="E6" i="19" s="1"/>
  <c r="O6" i="19" s="1"/>
  <c r="D6" i="19"/>
  <c r="D7" i="19"/>
  <c r="C8" i="19"/>
  <c r="D8" i="19"/>
  <c r="E8" i="19"/>
  <c r="O8" i="19" s="1"/>
  <c r="D9" i="19"/>
  <c r="D10" i="19"/>
  <c r="D11" i="19"/>
  <c r="D12" i="19"/>
  <c r="C13" i="19"/>
  <c r="E13" i="19" s="1"/>
  <c r="O13" i="19" s="1"/>
  <c r="D13" i="19"/>
  <c r="D14" i="19"/>
  <c r="C15" i="19"/>
  <c r="D15" i="19"/>
  <c r="D16" i="19"/>
  <c r="D17" i="19"/>
  <c r="C18" i="19"/>
  <c r="E18" i="19" s="1"/>
  <c r="O18" i="19" s="1"/>
  <c r="D18" i="19"/>
  <c r="D19" i="19"/>
  <c r="C20" i="19"/>
  <c r="E20" i="19" s="1"/>
  <c r="D20" i="19"/>
  <c r="O20" i="19"/>
  <c r="C21" i="19"/>
  <c r="D21" i="19"/>
  <c r="E21" i="19"/>
  <c r="O21" i="19" s="1"/>
  <c r="C22" i="19"/>
  <c r="E22" i="19" s="1"/>
  <c r="O22" i="19" s="1"/>
  <c r="D22" i="19"/>
  <c r="D23" i="19"/>
  <c r="C24" i="19"/>
  <c r="E24" i="19" s="1"/>
  <c r="O24" i="19" s="1"/>
  <c r="D24" i="19"/>
  <c r="C25" i="19"/>
  <c r="D25" i="19"/>
  <c r="E25" i="19"/>
  <c r="O25" i="19"/>
  <c r="C26" i="19"/>
  <c r="D26" i="19"/>
  <c r="C27" i="19"/>
  <c r="E27" i="19" s="1"/>
  <c r="O27" i="19" s="1"/>
  <c r="D27" i="19"/>
  <c r="D28" i="19"/>
  <c r="C29" i="19"/>
  <c r="D29" i="19"/>
  <c r="E29" i="19"/>
  <c r="O29" i="19" s="1"/>
  <c r="D30" i="19"/>
  <c r="C31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E5" i="20"/>
  <c r="O5" i="20" s="1"/>
  <c r="F5" i="20" a="1"/>
  <c r="E6" i="20"/>
  <c r="O6" i="20"/>
  <c r="E7" i="20"/>
  <c r="O7" i="20"/>
  <c r="E8" i="20"/>
  <c r="O8" i="20"/>
  <c r="E9" i="20"/>
  <c r="O9" i="20" s="1"/>
  <c r="E10" i="20"/>
  <c r="O10" i="20" s="1"/>
  <c r="F43" i="13"/>
  <c r="F10" i="13"/>
  <c r="Q3" i="20"/>
  <c r="L34" i="5"/>
  <c r="I9" i="19"/>
  <c r="L43" i="5"/>
  <c r="I38" i="17"/>
  <c r="I11" i="18"/>
  <c r="K36" i="13"/>
  <c r="K18" i="9"/>
  <c r="L27" i="5"/>
  <c r="K21" i="13"/>
  <c r="L22" i="5"/>
  <c r="K24" i="13"/>
  <c r="I8" i="17"/>
  <c r="I40" i="17"/>
  <c r="K28" i="13"/>
  <c r="K36" i="9"/>
  <c r="I26" i="19"/>
  <c r="K7" i="4"/>
  <c r="L20" i="5"/>
  <c r="I32" i="18"/>
  <c r="K27" i="4"/>
  <c r="K7" i="11"/>
  <c r="K29" i="9"/>
  <c r="I14" i="17"/>
  <c r="I17" i="17"/>
  <c r="L9" i="22"/>
  <c r="K17" i="4"/>
  <c r="K42" i="4"/>
  <c r="I18" i="17"/>
  <c r="K17" i="11"/>
  <c r="I40" i="19"/>
  <c r="I8" i="18"/>
  <c r="K24" i="9"/>
  <c r="K57" i="13"/>
  <c r="K14" i="11"/>
  <c r="I32" i="19"/>
  <c r="I34" i="19"/>
  <c r="K38" i="13"/>
  <c r="I14" i="18"/>
  <c r="I33" i="19"/>
  <c r="K12" i="4"/>
  <c r="I38" i="18"/>
  <c r="K52" i="13"/>
  <c r="I22" i="18"/>
  <c r="L30" i="5"/>
  <c r="K39" i="4"/>
  <c r="K11" i="9"/>
  <c r="I16" i="19"/>
  <c r="L12" i="22"/>
  <c r="K6" i="9"/>
  <c r="I23" i="17"/>
  <c r="K14" i="4"/>
  <c r="L11" i="5"/>
  <c r="K15" i="14"/>
  <c r="I34" i="18"/>
  <c r="L28" i="5"/>
  <c r="K32" i="13"/>
  <c r="L9" i="5"/>
  <c r="K18" i="13"/>
  <c r="I31" i="19"/>
  <c r="K53" i="13"/>
  <c r="I38" i="19"/>
  <c r="K26" i="4"/>
  <c r="K39" i="9"/>
  <c r="K8" i="14"/>
  <c r="K9" i="10"/>
  <c r="I30" i="17"/>
  <c r="L6" i="22"/>
  <c r="L10" i="22"/>
  <c r="K10" i="11"/>
  <c r="K22" i="4"/>
  <c r="I14" i="19"/>
  <c r="I17" i="19"/>
  <c r="K48" i="13"/>
  <c r="K35" i="13"/>
  <c r="I35" i="18"/>
  <c r="K30" i="4"/>
  <c r="K27" i="9"/>
  <c r="L23" i="5"/>
  <c r="I19" i="17"/>
  <c r="L8" i="5"/>
  <c r="K11" i="4"/>
  <c r="I30" i="19"/>
  <c r="K32" i="4"/>
  <c r="I41" i="17"/>
  <c r="K6" i="13"/>
  <c r="K13" i="14"/>
  <c r="K15" i="11"/>
  <c r="L17" i="5"/>
  <c r="I15" i="18"/>
  <c r="L45" i="5"/>
  <c r="K5" i="4"/>
  <c r="K40" i="4"/>
  <c r="K16" i="14"/>
  <c r="I31" i="18"/>
  <c r="K7" i="14"/>
  <c r="L16" i="5"/>
  <c r="L40" i="5"/>
  <c r="I12" i="18"/>
  <c r="K49" i="13"/>
  <c r="K41" i="4"/>
  <c r="I29" i="17"/>
  <c r="K25" i="4"/>
  <c r="K50" i="13"/>
  <c r="K12" i="9"/>
  <c r="K37" i="4"/>
  <c r="I12" i="17"/>
  <c r="K8" i="9"/>
  <c r="K32" i="9"/>
  <c r="I10" i="19"/>
  <c r="L47" i="5"/>
  <c r="I7" i="19"/>
  <c r="L44" i="5"/>
  <c r="K5" i="20"/>
  <c r="K11" i="11"/>
  <c r="I10" i="18"/>
  <c r="K10" i="9"/>
  <c r="K26" i="13"/>
  <c r="L41" i="5"/>
  <c r="K16" i="9"/>
  <c r="K33" i="13"/>
  <c r="I16" i="18"/>
  <c r="L15" i="5"/>
  <c r="K35" i="4"/>
  <c r="I24" i="18"/>
  <c r="K17" i="14"/>
  <c r="I42" i="18"/>
  <c r="K36" i="4"/>
  <c r="I35" i="17"/>
  <c r="I21" i="18"/>
  <c r="K6" i="4"/>
  <c r="K33" i="4"/>
  <c r="K31" i="4"/>
  <c r="K44" i="13"/>
  <c r="K10" i="10"/>
  <c r="K20" i="9"/>
  <c r="L46" i="5"/>
  <c r="K5" i="13"/>
  <c r="I30" i="18"/>
  <c r="I28" i="18"/>
  <c r="L26" i="5"/>
  <c r="K6" i="11"/>
  <c r="K38" i="9"/>
  <c r="I13" i="17"/>
  <c r="K41" i="13"/>
  <c r="K17" i="13"/>
  <c r="L11" i="22"/>
  <c r="K8" i="13"/>
  <c r="I39" i="19"/>
  <c r="L19" i="5"/>
  <c r="I7" i="17"/>
  <c r="I12" i="19"/>
  <c r="K7" i="20"/>
  <c r="K9" i="4"/>
  <c r="K10" i="20"/>
  <c r="K24" i="4"/>
  <c r="K47" i="13"/>
  <c r="I11" i="19"/>
  <c r="L7" i="22"/>
  <c r="K30" i="9"/>
  <c r="I37" i="17"/>
  <c r="L13" i="22"/>
  <c r="K12" i="14"/>
  <c r="K11" i="13"/>
  <c r="L8" i="22"/>
  <c r="L21" i="5"/>
  <c r="K25" i="13"/>
  <c r="I8" i="19"/>
  <c r="I6" i="18"/>
  <c r="K13" i="11"/>
  <c r="K21" i="4"/>
  <c r="L10" i="5"/>
  <c r="I20" i="17"/>
  <c r="L36" i="5"/>
  <c r="K19" i="9"/>
  <c r="K6" i="10"/>
  <c r="I35" i="19"/>
  <c r="K45" i="13"/>
  <c r="K10" i="14"/>
  <c r="I23" i="19"/>
  <c r="K42" i="13"/>
  <c r="K12" i="13"/>
  <c r="I24" i="19"/>
  <c r="K40" i="9"/>
  <c r="K7" i="10"/>
  <c r="I32" i="17"/>
  <c r="K23" i="13"/>
  <c r="I26" i="17"/>
  <c r="L7" i="5"/>
  <c r="I15" i="17"/>
  <c r="K54" i="13"/>
  <c r="K31" i="9"/>
  <c r="I5" i="19"/>
  <c r="I22" i="17"/>
  <c r="I36" i="19"/>
  <c r="K34" i="9"/>
  <c r="I25" i="18"/>
  <c r="K13" i="13"/>
  <c r="K14" i="14"/>
  <c r="I37" i="19"/>
  <c r="I27" i="17"/>
  <c r="I16" i="17"/>
  <c r="K5" i="9"/>
  <c r="I33" i="18"/>
  <c r="K14" i="13"/>
  <c r="L17" i="22"/>
  <c r="I10" i="17"/>
  <c r="K21" i="9"/>
  <c r="K8" i="11"/>
  <c r="K51" i="13"/>
  <c r="L14" i="22"/>
  <c r="L18" i="5"/>
  <c r="I25" i="17"/>
  <c r="K18" i="4"/>
  <c r="K58" i="13"/>
  <c r="L37" i="5"/>
  <c r="K38" i="4"/>
  <c r="K18" i="14"/>
  <c r="I15" i="19"/>
  <c r="K39" i="13"/>
  <c r="K22" i="13"/>
  <c r="I21" i="19"/>
  <c r="K37" i="13"/>
  <c r="I37" i="18"/>
  <c r="K5" i="10"/>
  <c r="K41" i="9"/>
  <c r="K34" i="4"/>
  <c r="I39" i="18"/>
  <c r="K16" i="11"/>
  <c r="I19" i="19"/>
  <c r="I40" i="18"/>
  <c r="I28" i="17"/>
  <c r="I5" i="18"/>
  <c r="I6" i="17"/>
  <c r="K9" i="11"/>
  <c r="K13" i="9"/>
  <c r="L13" i="5"/>
  <c r="I25" i="19"/>
  <c r="I21" i="17"/>
  <c r="K19" i="13"/>
  <c r="I6" i="19"/>
  <c r="I9" i="18"/>
  <c r="K29" i="13"/>
  <c r="K9" i="13"/>
  <c r="K6" i="20"/>
  <c r="K29" i="4"/>
  <c r="L15" i="22"/>
  <c r="K19" i="14"/>
  <c r="K15" i="9"/>
  <c r="I29" i="19"/>
  <c r="K20" i="4"/>
  <c r="K42" i="9"/>
  <c r="K23" i="9"/>
  <c r="I34" i="17"/>
  <c r="I42" i="17"/>
  <c r="K35" i="9"/>
  <c r="K30" i="13"/>
  <c r="L33" i="5"/>
  <c r="I36" i="18"/>
  <c r="I9" i="17"/>
  <c r="K8" i="10"/>
  <c r="L35" i="5"/>
  <c r="L6" i="5"/>
  <c r="I29" i="18"/>
  <c r="I27" i="19"/>
  <c r="K22" i="9"/>
  <c r="I33" i="17"/>
  <c r="I22" i="19"/>
  <c r="K28" i="4"/>
  <c r="K10" i="13"/>
  <c r="K19" i="4"/>
  <c r="L29" i="5"/>
  <c r="K20" i="13"/>
  <c r="L14" i="5"/>
  <c r="I18" i="19"/>
  <c r="K8" i="4"/>
  <c r="I31" i="17"/>
  <c r="I41" i="19"/>
  <c r="K8" i="20"/>
  <c r="K13" i="4"/>
  <c r="K10" i="4"/>
  <c r="K16" i="13"/>
  <c r="K17" i="9"/>
  <c r="I36" i="17"/>
  <c r="L16" i="22"/>
  <c r="I23" i="18"/>
  <c r="K43" i="13"/>
  <c r="K14" i="9"/>
  <c r="L32" i="5"/>
  <c r="I20" i="18"/>
  <c r="K9" i="9"/>
  <c r="K40" i="13"/>
  <c r="K28" i="9"/>
  <c r="I19" i="18"/>
  <c r="I5" i="17"/>
  <c r="I17" i="18"/>
  <c r="K26" i="9"/>
  <c r="L31" i="5"/>
  <c r="I28" i="19"/>
  <c r="K9" i="20"/>
  <c r="K12" i="11"/>
  <c r="K37" i="9"/>
  <c r="I13" i="18"/>
  <c r="K31" i="13"/>
  <c r="L42" i="5"/>
  <c r="I18" i="18"/>
  <c r="K18" i="11"/>
  <c r="I24" i="17"/>
  <c r="I41" i="18"/>
  <c r="I7" i="18"/>
  <c r="I26" i="18"/>
  <c r="K11" i="14"/>
  <c r="K11" i="10"/>
  <c r="L12" i="5"/>
  <c r="L38" i="5"/>
  <c r="K9" i="14"/>
  <c r="I11" i="17"/>
  <c r="I13" i="19"/>
  <c r="K6" i="14"/>
  <c r="K56" i="13"/>
  <c r="K46" i="13"/>
  <c r="K15" i="13"/>
  <c r="I27" i="18"/>
  <c r="K7" i="13"/>
  <c r="K33" i="9"/>
  <c r="K25" i="9"/>
  <c r="K34" i="13"/>
  <c r="K55" i="13"/>
  <c r="K27" i="13"/>
  <c r="K15" i="4"/>
  <c r="K5" i="14"/>
  <c r="K16" i="4"/>
  <c r="L24" i="5"/>
  <c r="K23" i="4"/>
  <c r="I39" i="17"/>
  <c r="I42" i="19"/>
  <c r="K7" i="9"/>
  <c r="L25" i="5"/>
  <c r="L39" i="5"/>
  <c r="I20" i="19"/>
  <c r="K5" i="11"/>
  <c r="E6" i="22" a="1"/>
  <c r="E6" i="5" a="1"/>
  <c r="B1" i="2"/>
  <c r="C27" i="1"/>
  <c r="B4" i="6"/>
  <c r="P24" i="13" l="1"/>
  <c r="P21" i="13"/>
  <c r="J32" i="18"/>
  <c r="J19" i="19"/>
  <c r="X44" i="5"/>
  <c r="J40" i="19"/>
  <c r="J29" i="19"/>
  <c r="J24" i="18"/>
  <c r="X27" i="9"/>
  <c r="J40" i="17"/>
  <c r="X26" i="9"/>
  <c r="J28" i="17"/>
  <c r="J25" i="19"/>
  <c r="X24" i="9"/>
  <c r="X22" i="9"/>
  <c r="J9" i="19"/>
  <c r="J40" i="18"/>
  <c r="J25" i="17"/>
  <c r="J8" i="19"/>
  <c r="J37" i="18"/>
  <c r="J36" i="19"/>
  <c r="J34" i="18"/>
  <c r="J5" i="19"/>
  <c r="J37" i="17"/>
  <c r="X21" i="9"/>
  <c r="X32" i="5"/>
  <c r="J20" i="17"/>
  <c r="X40" i="4"/>
  <c r="X8" i="10"/>
  <c r="J10" i="17"/>
  <c r="X6" i="10"/>
  <c r="J42" i="19"/>
  <c r="X5" i="10"/>
  <c r="J32" i="19"/>
  <c r="J34" i="17"/>
  <c r="X39" i="4"/>
  <c r="X7" i="10"/>
  <c r="J5" i="17"/>
  <c r="J39" i="19"/>
  <c r="J31" i="17"/>
  <c r="X20" i="4"/>
  <c r="X28" i="9"/>
  <c r="J35" i="19"/>
  <c r="J26" i="18"/>
  <c r="J30" i="17"/>
  <c r="X18" i="4"/>
  <c r="X5" i="14"/>
  <c r="X11" i="9"/>
  <c r="J25" i="18"/>
  <c r="X15" i="4"/>
  <c r="X10" i="4"/>
  <c r="X16" i="5"/>
  <c r="J6" i="18"/>
  <c r="X9" i="4"/>
  <c r="X17" i="22"/>
  <c r="J11" i="19"/>
  <c r="J19" i="17"/>
  <c r="X8" i="4"/>
  <c r="X11" i="5"/>
  <c r="J5" i="18"/>
  <c r="J10" i="19"/>
  <c r="J34" i="19"/>
  <c r="X16" i="22"/>
  <c r="X7" i="5"/>
  <c r="J6" i="19"/>
  <c r="J22" i="18"/>
  <c r="J26" i="19"/>
  <c r="J9" i="17"/>
  <c r="X10" i="14"/>
  <c r="J37" i="19"/>
  <c r="J22" i="19"/>
  <c r="J41" i="17"/>
  <c r="J8" i="17"/>
  <c r="X29" i="9"/>
  <c r="X11" i="22"/>
  <c r="J35" i="17"/>
  <c r="X41" i="4"/>
  <c r="X14" i="22"/>
  <c r="X33" i="5"/>
  <c r="X9" i="14"/>
  <c r="X38" i="4"/>
  <c r="X10" i="22"/>
  <c r="X29" i="5"/>
  <c r="X17" i="5"/>
  <c r="X31" i="4"/>
  <c r="X9" i="22"/>
  <c r="X15" i="11"/>
  <c r="X15" i="5"/>
  <c r="X27" i="4"/>
  <c r="X28" i="5"/>
  <c r="X14" i="11"/>
  <c r="X23" i="9"/>
  <c r="X14" i="5"/>
  <c r="X26" i="4"/>
  <c r="X14" i="14"/>
  <c r="X6" i="22"/>
  <c r="X24" i="5"/>
  <c r="J38" i="18"/>
  <c r="J31" i="19"/>
  <c r="E18" i="5"/>
  <c r="E34" i="5"/>
  <c r="E12" i="5"/>
  <c r="E29" i="5"/>
  <c r="E46" i="5"/>
  <c r="E14" i="5"/>
  <c r="E31" i="5"/>
  <c r="E20" i="5"/>
  <c r="E37" i="5"/>
  <c r="E13" i="5"/>
  <c r="E35" i="5"/>
  <c r="E15" i="5"/>
  <c r="E36" i="5"/>
  <c r="E16" i="5"/>
  <c r="E38" i="5"/>
  <c r="E23" i="5"/>
  <c r="E43" i="5"/>
  <c r="E27" i="5"/>
  <c r="E28" i="5"/>
  <c r="E30" i="5"/>
  <c r="E17" i="5"/>
  <c r="E44" i="5"/>
  <c r="E32" i="5"/>
  <c r="E33" i="5"/>
  <c r="E40" i="5"/>
  <c r="E39" i="5"/>
  <c r="E8" i="5"/>
  <c r="E45" i="5"/>
  <c r="E9" i="5"/>
  <c r="E47" i="5"/>
  <c r="E10" i="5"/>
  <c r="E41" i="5"/>
  <c r="E26" i="5"/>
  <c r="E42" i="5"/>
  <c r="E6" i="5"/>
  <c r="E7" i="5"/>
  <c r="E11" i="5"/>
  <c r="E19" i="5"/>
  <c r="E21" i="5"/>
  <c r="E22" i="5"/>
  <c r="E24" i="5"/>
  <c r="E25" i="5"/>
  <c r="X12" i="5"/>
  <c r="X25" i="4"/>
  <c r="X20" i="9"/>
  <c r="J33" i="18"/>
  <c r="J36" i="18"/>
  <c r="J24" i="17"/>
  <c r="X34" i="9"/>
  <c r="X24" i="4"/>
  <c r="X12" i="14"/>
  <c r="X45" i="5"/>
  <c r="X19" i="5"/>
  <c r="X12" i="9"/>
  <c r="J14" i="18"/>
  <c r="J38" i="17"/>
  <c r="J7" i="18"/>
  <c r="X31" i="9"/>
  <c r="X21" i="4"/>
  <c r="J13" i="18"/>
  <c r="J18" i="17"/>
  <c r="J35" i="18"/>
  <c r="J21" i="18"/>
  <c r="J32" i="17"/>
  <c r="X8" i="14"/>
  <c r="X19" i="9"/>
  <c r="X17" i="4"/>
  <c r="X15" i="14"/>
  <c r="X41" i="5"/>
  <c r="X10" i="11"/>
  <c r="J33" i="19"/>
  <c r="X27" i="5"/>
  <c r="X10" i="5"/>
  <c r="X41" i="9"/>
  <c r="X18" i="9"/>
  <c r="J23" i="18"/>
  <c r="J15" i="17"/>
  <c r="X40" i="5"/>
  <c r="X9" i="11"/>
  <c r="J28" i="19"/>
  <c r="X38" i="5"/>
  <c r="J14" i="17"/>
  <c r="X8" i="11"/>
  <c r="X14" i="9"/>
  <c r="J17" i="18"/>
  <c r="J23" i="19"/>
  <c r="J30" i="19"/>
  <c r="J27" i="19"/>
  <c r="J29" i="17"/>
  <c r="X9" i="10"/>
  <c r="X36" i="4"/>
  <c r="X7" i="4"/>
  <c r="X11" i="14"/>
  <c r="X37" i="5"/>
  <c r="X22" i="5"/>
  <c r="J13" i="17"/>
  <c r="J42" i="17"/>
  <c r="X42" i="9"/>
  <c r="X33" i="4"/>
  <c r="X6" i="4"/>
  <c r="X8" i="22"/>
  <c r="X6" i="5"/>
  <c r="X7" i="11"/>
  <c r="X13" i="9"/>
  <c r="J16" i="18"/>
  <c r="J20" i="19"/>
  <c r="J41" i="19"/>
  <c r="J24" i="19"/>
  <c r="J21" i="19"/>
  <c r="J7" i="19"/>
  <c r="J27" i="18"/>
  <c r="J27" i="17"/>
  <c r="X35" i="9"/>
  <c r="X32" i="4"/>
  <c r="X5" i="4"/>
  <c r="X7" i="22"/>
  <c r="X35" i="5"/>
  <c r="X5" i="11"/>
  <c r="X11" i="10"/>
  <c r="X5" i="9"/>
  <c r="X23" i="4"/>
  <c r="X15" i="22"/>
  <c r="X46" i="5"/>
  <c r="X36" i="5"/>
  <c r="X6" i="11"/>
  <c r="X38" i="9"/>
  <c r="X10" i="9"/>
  <c r="J33" i="17"/>
  <c r="J18" i="19"/>
  <c r="J39" i="17"/>
  <c r="X10" i="10"/>
  <c r="X42" i="4"/>
  <c r="X22" i="4"/>
  <c r="X13" i="14"/>
  <c r="X25" i="5"/>
  <c r="J15" i="18"/>
  <c r="J11" i="17"/>
  <c r="J17" i="19"/>
  <c r="J14" i="19"/>
  <c r="E11" i="22"/>
  <c r="E10" i="22"/>
  <c r="E17" i="22"/>
  <c r="E6" i="22"/>
  <c r="E13" i="22"/>
  <c r="E16" i="22"/>
  <c r="E9" i="22"/>
  <c r="E12" i="22"/>
  <c r="E15" i="22"/>
  <c r="E14" i="22"/>
  <c r="E8" i="22"/>
  <c r="E7" i="22"/>
  <c r="J42" i="18"/>
  <c r="J31" i="18"/>
  <c r="J19" i="18"/>
  <c r="J22" i="17"/>
  <c r="X32" i="9"/>
  <c r="X37" i="4"/>
  <c r="X16" i="4"/>
  <c r="X43" i="5"/>
  <c r="X21" i="5"/>
  <c r="X9" i="5"/>
  <c r="X13" i="11"/>
  <c r="X33" i="9"/>
  <c r="X17" i="9"/>
  <c r="J12" i="18"/>
  <c r="J13" i="19"/>
  <c r="J41" i="18"/>
  <c r="J30" i="18"/>
  <c r="J8" i="18"/>
  <c r="J21" i="17"/>
  <c r="X17" i="14"/>
  <c r="X30" i="9"/>
  <c r="X34" i="4"/>
  <c r="X11" i="4"/>
  <c r="X6" i="14"/>
  <c r="X30" i="5"/>
  <c r="X20" i="5"/>
  <c r="J28" i="18"/>
  <c r="J16" i="17"/>
  <c r="J12" i="19"/>
  <c r="X25" i="9"/>
  <c r="X35" i="4"/>
  <c r="X19" i="4"/>
  <c r="X42" i="5"/>
  <c r="X34" i="5"/>
  <c r="X26" i="5"/>
  <c r="X18" i="5"/>
  <c r="X8" i="5"/>
  <c r="J23" i="17"/>
  <c r="J12" i="17"/>
  <c r="X39" i="9"/>
  <c r="X9" i="9"/>
  <c r="X30" i="4"/>
  <c r="X14" i="4"/>
  <c r="X13" i="22"/>
  <c r="X12" i="11"/>
  <c r="X40" i="9"/>
  <c r="X16" i="9"/>
  <c r="J20" i="18"/>
  <c r="J11" i="18"/>
  <c r="J16" i="19"/>
  <c r="X19" i="14"/>
  <c r="X37" i="9"/>
  <c r="X8" i="9"/>
  <c r="X29" i="4"/>
  <c r="X13" i="4"/>
  <c r="X7" i="14"/>
  <c r="X47" i="5"/>
  <c r="X39" i="5"/>
  <c r="X31" i="5"/>
  <c r="X23" i="5"/>
  <c r="X6" i="9"/>
  <c r="J17" i="17"/>
  <c r="J6" i="17"/>
  <c r="J39" i="18"/>
  <c r="J29" i="18"/>
  <c r="J9" i="18"/>
  <c r="J36" i="17"/>
  <c r="J26" i="17"/>
  <c r="J7" i="17"/>
  <c r="X18" i="14"/>
  <c r="X36" i="9"/>
  <c r="X7" i="9"/>
  <c r="X28" i="4"/>
  <c r="X12" i="4"/>
  <c r="X16" i="14"/>
  <c r="X12" i="22"/>
  <c r="X13" i="5"/>
  <c r="X11" i="11"/>
  <c r="X15" i="9"/>
  <c r="J18" i="18"/>
  <c r="J10" i="18"/>
  <c r="J38" i="19"/>
  <c r="J15" i="19"/>
  <c r="F6" i="20"/>
  <c r="F9" i="20"/>
  <c r="F7" i="20"/>
  <c r="F8" i="20"/>
  <c r="F5" i="20"/>
  <c r="F10" i="20"/>
  <c r="F51" i="13"/>
  <c r="F33" i="13"/>
  <c r="F16" i="13"/>
  <c r="F48" i="13"/>
  <c r="F28" i="13"/>
  <c r="F11" i="13"/>
  <c r="F55" i="13"/>
  <c r="F36" i="13"/>
  <c r="F15" i="13"/>
  <c r="F30" i="13"/>
  <c r="F54" i="13"/>
  <c r="F34" i="13"/>
  <c r="F14" i="13"/>
  <c r="F52" i="13"/>
  <c r="F12" i="13"/>
  <c r="F53" i="13"/>
  <c r="F32" i="13"/>
  <c r="F13" i="13"/>
  <c r="F46" i="13"/>
  <c r="F25" i="13"/>
  <c r="F7" i="13"/>
  <c r="F45" i="13"/>
  <c r="F24" i="13"/>
  <c r="F6" i="13"/>
  <c r="F42" i="13"/>
  <c r="F9" i="13"/>
  <c r="F27" i="13"/>
  <c r="F49" i="13"/>
  <c r="F17" i="13"/>
  <c r="F41" i="13"/>
  <c r="F8" i="13"/>
  <c r="F38" i="13"/>
  <c r="F29" i="13"/>
  <c r="F35" i="13"/>
  <c r="F56" i="13"/>
  <c r="F21" i="13"/>
  <c r="F20" i="13"/>
  <c r="F19" i="13"/>
  <c r="F40" i="13"/>
  <c r="F5" i="13"/>
  <c r="F39" i="13"/>
  <c r="F50" i="13"/>
  <c r="F47" i="13"/>
  <c r="F37" i="13"/>
  <c r="F31" i="13"/>
  <c r="F26" i="13"/>
  <c r="F58" i="13"/>
  <c r="F23" i="13"/>
  <c r="F57" i="13"/>
  <c r="F22" i="13"/>
  <c r="F18" i="13"/>
  <c r="F44" i="13"/>
  <c r="D15" i="4"/>
  <c r="D32" i="4"/>
  <c r="D35" i="4"/>
  <c r="D18" i="4"/>
  <c r="D38" i="4"/>
  <c r="D21" i="4"/>
  <c r="D41" i="4"/>
  <c r="D22" i="4"/>
  <c r="E22" i="4" s="1"/>
  <c r="O22" i="4" s="1"/>
  <c r="D39" i="4"/>
  <c r="D17" i="4"/>
  <c r="D36" i="4"/>
  <c r="D25" i="4"/>
  <c r="D6" i="4"/>
  <c r="E6" i="4" s="1"/>
  <c r="O6" i="4" s="1"/>
  <c r="D10" i="4"/>
  <c r="E10" i="4" s="1"/>
  <c r="O10" i="4" s="1"/>
  <c r="D40" i="4"/>
  <c r="D9" i="4"/>
  <c r="D23" i="4"/>
  <c r="D33" i="4"/>
  <c r="D42" i="4"/>
  <c r="D19" i="4"/>
  <c r="D28" i="4"/>
  <c r="E28" i="4" s="1"/>
  <c r="O28" i="4" s="1"/>
  <c r="D24" i="4"/>
  <c r="D16" i="4"/>
  <c r="D11" i="4"/>
  <c r="E18" i="18"/>
  <c r="O18" i="18" s="1"/>
  <c r="E17" i="4"/>
  <c r="O17" i="4" s="1"/>
  <c r="E13" i="9"/>
  <c r="O13" i="9" s="1"/>
  <c r="E6" i="9"/>
  <c r="O6" i="9" s="1"/>
  <c r="E19" i="17"/>
  <c r="O19" i="17" s="1"/>
  <c r="E38" i="18"/>
  <c r="O38" i="18" s="1"/>
  <c r="E26" i="17"/>
  <c r="O26" i="17" s="1"/>
  <c r="D37" i="4"/>
  <c r="E23" i="4"/>
  <c r="O23" i="4" s="1"/>
  <c r="E9" i="4"/>
  <c r="O9" i="4" s="1"/>
  <c r="F5" i="11" a="1"/>
  <c r="E40" i="17"/>
  <c r="O40" i="17" s="1"/>
  <c r="E37" i="4"/>
  <c r="O37" i="4" s="1"/>
  <c r="D30" i="4"/>
  <c r="E5" i="9"/>
  <c r="E30" i="4"/>
  <c r="O30" i="4" s="1"/>
  <c r="E5" i="18"/>
  <c r="F5" i="10" a="1"/>
  <c r="F5" i="14" a="1"/>
  <c r="E12" i="4"/>
  <c r="O12" i="4" s="1"/>
  <c r="E14" i="17"/>
  <c r="O14" i="17" s="1"/>
  <c r="E26" i="18"/>
  <c r="O26" i="18" s="1"/>
  <c r="E5" i="4"/>
  <c r="D8" i="4"/>
  <c r="E8" i="4"/>
  <c r="O8" i="4" s="1"/>
  <c r="E16" i="17"/>
  <c r="O16" i="17" s="1"/>
  <c r="E22" i="18"/>
  <c r="O22" i="18" s="1"/>
  <c r="D13" i="4"/>
  <c r="E13" i="4" s="1"/>
  <c r="O13" i="4" s="1"/>
  <c r="E16" i="9"/>
  <c r="O16" i="9" s="1"/>
  <c r="E26" i="19"/>
  <c r="O26" i="19" s="1"/>
  <c r="E15" i="19"/>
  <c r="O15" i="19" s="1"/>
  <c r="D31" i="4"/>
  <c r="E31" i="4" s="1"/>
  <c r="O31" i="4" s="1"/>
  <c r="D29" i="4"/>
  <c r="E9" i="17"/>
  <c r="O9" i="17" s="1"/>
  <c r="E30" i="17"/>
  <c r="O30" i="17" s="1"/>
  <c r="E34" i="18"/>
  <c r="O34" i="18" s="1"/>
  <c r="E15" i="18"/>
  <c r="O15" i="18" s="1"/>
  <c r="D20" i="4"/>
  <c r="D7" i="4"/>
  <c r="E38" i="9"/>
  <c r="O38" i="9" s="1"/>
  <c r="E31" i="19"/>
  <c r="O31" i="19" s="1"/>
  <c r="E39" i="4"/>
  <c r="O39" i="4" s="1"/>
  <c r="E36" i="4"/>
  <c r="O36" i="4" s="1"/>
  <c r="E15" i="4"/>
  <c r="O15" i="4" s="1"/>
  <c r="E38" i="17"/>
  <c r="O38" i="17" s="1"/>
  <c r="E10" i="18"/>
  <c r="O10" i="18" s="1"/>
  <c r="D14" i="4"/>
  <c r="C5" i="19"/>
  <c r="E5" i="19" s="1"/>
  <c r="C33" i="19"/>
  <c r="E33" i="19" s="1"/>
  <c r="O33" i="19" s="1"/>
  <c r="C36" i="19"/>
  <c r="E36" i="19" s="1"/>
  <c r="O36" i="19" s="1"/>
  <c r="C39" i="19"/>
  <c r="E39" i="19" s="1"/>
  <c r="O39" i="19" s="1"/>
  <c r="C12" i="19"/>
  <c r="E12" i="19" s="1"/>
  <c r="O12" i="19" s="1"/>
  <c r="C16" i="19"/>
  <c r="E16" i="19" s="1"/>
  <c r="O16" i="19" s="1"/>
  <c r="C37" i="19"/>
  <c r="E37" i="19" s="1"/>
  <c r="O37" i="19" s="1"/>
  <c r="C40" i="19"/>
  <c r="E40" i="19" s="1"/>
  <c r="O40" i="19" s="1"/>
  <c r="C7" i="19"/>
  <c r="E7" i="19" s="1"/>
  <c r="O7" i="19" s="1"/>
  <c r="C11" i="19"/>
  <c r="E11" i="19" s="1"/>
  <c r="O11" i="19" s="1"/>
  <c r="C35" i="19"/>
  <c r="E35" i="19" s="1"/>
  <c r="O35" i="19" s="1"/>
  <c r="C30" i="19"/>
  <c r="E30" i="19" s="1"/>
  <c r="O30" i="19" s="1"/>
  <c r="C34" i="19"/>
  <c r="E34" i="19" s="1"/>
  <c r="O34" i="19" s="1"/>
  <c r="C41" i="19"/>
  <c r="E41" i="19" s="1"/>
  <c r="O41" i="19" s="1"/>
  <c r="C38" i="19"/>
  <c r="E38" i="19" s="1"/>
  <c r="O38" i="19" s="1"/>
  <c r="C9" i="19"/>
  <c r="E9" i="19" s="1"/>
  <c r="O9" i="19" s="1"/>
  <c r="C19" i="19"/>
  <c r="E19" i="19" s="1"/>
  <c r="O19" i="19" s="1"/>
  <c r="C14" i="19"/>
  <c r="E14" i="19" s="1"/>
  <c r="O14" i="19" s="1"/>
  <c r="C42" i="19"/>
  <c r="E42" i="19" s="1"/>
  <c r="O42" i="19" s="1"/>
  <c r="C23" i="19"/>
  <c r="E23" i="19" s="1"/>
  <c r="O23" i="19" s="1"/>
  <c r="C10" i="19"/>
  <c r="E10" i="19" s="1"/>
  <c r="O10" i="19" s="1"/>
  <c r="C28" i="19"/>
  <c r="E28" i="19" s="1"/>
  <c r="O28" i="19" s="1"/>
  <c r="C32" i="19"/>
  <c r="E32" i="19" s="1"/>
  <c r="O32" i="19" s="1"/>
  <c r="D34" i="4"/>
  <c r="E34" i="4" s="1"/>
  <c r="O34" i="4" s="1"/>
  <c r="E20" i="4"/>
  <c r="O20" i="4" s="1"/>
  <c r="D41" i="17"/>
  <c r="C36" i="17"/>
  <c r="E36" i="17" s="1"/>
  <c r="O36" i="17" s="1"/>
  <c r="D20" i="17"/>
  <c r="E20" i="17" s="1"/>
  <c r="O20" i="17" s="1"/>
  <c r="E6" i="18"/>
  <c r="O6" i="18" s="1"/>
  <c r="D30" i="17"/>
  <c r="D25" i="17"/>
  <c r="E42" i="18"/>
  <c r="O42" i="18" s="1"/>
  <c r="E16" i="4"/>
  <c r="O16" i="4" s="1"/>
  <c r="E27" i="9"/>
  <c r="O27" i="9" s="1"/>
  <c r="D11" i="17"/>
  <c r="E11" i="17" s="1"/>
  <c r="O11" i="17" s="1"/>
  <c r="D15" i="17"/>
  <c r="E15" i="17" s="1"/>
  <c r="O15" i="17" s="1"/>
  <c r="D19" i="17"/>
  <c r="D23" i="17"/>
  <c r="D27" i="17"/>
  <c r="D31" i="17"/>
  <c r="E31" i="17" s="1"/>
  <c r="O31" i="17" s="1"/>
  <c r="D35" i="17"/>
  <c r="E35" i="17" s="1"/>
  <c r="O35" i="17" s="1"/>
  <c r="D39" i="17"/>
  <c r="D7" i="17"/>
  <c r="D22" i="17"/>
  <c r="E22" i="17" s="1"/>
  <c r="O22" i="17" s="1"/>
  <c r="D32" i="17"/>
  <c r="E32" i="17" s="1"/>
  <c r="O32" i="17" s="1"/>
  <c r="D37" i="17"/>
  <c r="C6" i="17"/>
  <c r="E6" i="17" s="1"/>
  <c r="O6" i="17" s="1"/>
  <c r="C10" i="17"/>
  <c r="E10" i="17" s="1"/>
  <c r="O10" i="17" s="1"/>
  <c r="C7" i="17"/>
  <c r="C13" i="17"/>
  <c r="E13" i="17" s="1"/>
  <c r="O13" i="17" s="1"/>
  <c r="C17" i="17"/>
  <c r="E17" i="17" s="1"/>
  <c r="O17" i="17" s="1"/>
  <c r="C21" i="17"/>
  <c r="E21" i="17" s="1"/>
  <c r="O21" i="17" s="1"/>
  <c r="C25" i="17"/>
  <c r="E25" i="17" s="1"/>
  <c r="O25" i="17" s="1"/>
  <c r="C29" i="17"/>
  <c r="C33" i="17"/>
  <c r="E33" i="17" s="1"/>
  <c r="O33" i="17" s="1"/>
  <c r="C37" i="17"/>
  <c r="E37" i="17" s="1"/>
  <c r="O37" i="17" s="1"/>
  <c r="C41" i="17"/>
  <c r="E41" i="17" s="1"/>
  <c r="O41" i="17" s="1"/>
  <c r="C27" i="17"/>
  <c r="E27" i="17" s="1"/>
  <c r="O27" i="17" s="1"/>
  <c r="C42" i="17"/>
  <c r="E42" i="17" s="1"/>
  <c r="O42" i="17" s="1"/>
  <c r="C39" i="17"/>
  <c r="E39" i="17" s="1"/>
  <c r="O39" i="17" s="1"/>
  <c r="C34" i="17"/>
  <c r="D18" i="17"/>
  <c r="D13" i="17"/>
  <c r="C8" i="17"/>
  <c r="E8" i="17" s="1"/>
  <c r="O8" i="17" s="1"/>
  <c r="D34" i="17"/>
  <c r="C24" i="17"/>
  <c r="E24" i="17" s="1"/>
  <c r="O24" i="17" s="1"/>
  <c r="C23" i="17"/>
  <c r="C18" i="17"/>
  <c r="E18" i="17" s="1"/>
  <c r="O18" i="17" s="1"/>
  <c r="E10" i="9"/>
  <c r="O10" i="9" s="1"/>
  <c r="D29" i="17"/>
  <c r="E29" i="4"/>
  <c r="O29" i="4" s="1"/>
  <c r="E26" i="9"/>
  <c r="O26" i="9" s="1"/>
  <c r="D28" i="17"/>
  <c r="E28" i="17" s="1"/>
  <c r="O28" i="17" s="1"/>
  <c r="D12" i="17"/>
  <c r="E12" i="17" s="1"/>
  <c r="O12" i="17" s="1"/>
  <c r="C11" i="4"/>
  <c r="E11" i="4" s="1"/>
  <c r="O11" i="4" s="1"/>
  <c r="C19" i="4"/>
  <c r="C27" i="4"/>
  <c r="E27" i="4" s="1"/>
  <c r="O27" i="4" s="1"/>
  <c r="C35" i="4"/>
  <c r="C18" i="4"/>
  <c r="C38" i="4"/>
  <c r="C21" i="4"/>
  <c r="E21" i="4" s="1"/>
  <c r="O21" i="4" s="1"/>
  <c r="C41" i="4"/>
  <c r="E41" i="4" s="1"/>
  <c r="O41" i="4" s="1"/>
  <c r="C7" i="4"/>
  <c r="C24" i="4"/>
  <c r="E24" i="4" s="1"/>
  <c r="O24" i="4" s="1"/>
  <c r="C25" i="4"/>
  <c r="C42" i="4"/>
  <c r="E42" i="4" s="1"/>
  <c r="O42" i="4" s="1"/>
  <c r="D35" i="18"/>
  <c r="E35" i="18" s="1"/>
  <c r="O35" i="18" s="1"/>
  <c r="D30" i="18"/>
  <c r="E30" i="18" s="1"/>
  <c r="O30" i="18" s="1"/>
  <c r="C33" i="4"/>
  <c r="E33" i="4" s="1"/>
  <c r="O33" i="4" s="1"/>
  <c r="C14" i="4"/>
  <c r="E14" i="4" s="1"/>
  <c r="O14" i="4" s="1"/>
  <c r="C40" i="4"/>
  <c r="E40" i="4" s="1"/>
  <c r="O40" i="4" s="1"/>
  <c r="D5" i="18"/>
  <c r="D9" i="18"/>
  <c r="E9" i="18" s="1"/>
  <c r="O9" i="18" s="1"/>
  <c r="D13" i="18"/>
  <c r="E13" i="18" s="1"/>
  <c r="O13" i="18" s="1"/>
  <c r="D17" i="18"/>
  <c r="E17" i="18" s="1"/>
  <c r="O17" i="18" s="1"/>
  <c r="D21" i="18"/>
  <c r="E21" i="18" s="1"/>
  <c r="O21" i="18" s="1"/>
  <c r="D25" i="18"/>
  <c r="E25" i="18" s="1"/>
  <c r="O25" i="18" s="1"/>
  <c r="D29" i="18"/>
  <c r="E29" i="18" s="1"/>
  <c r="O29" i="18" s="1"/>
  <c r="D33" i="18"/>
  <c r="E33" i="18" s="1"/>
  <c r="O33" i="18" s="1"/>
  <c r="D37" i="18"/>
  <c r="E37" i="18" s="1"/>
  <c r="O37" i="18" s="1"/>
  <c r="D41" i="18"/>
  <c r="E41" i="18" s="1"/>
  <c r="O41" i="18" s="1"/>
  <c r="C32" i="4"/>
  <c r="E32" i="4" s="1"/>
  <c r="O32" i="4" s="1"/>
  <c r="C22" i="9"/>
  <c r="E22" i="9" s="1"/>
  <c r="O22" i="9" s="1"/>
  <c r="C40" i="9"/>
  <c r="E40" i="9" s="1"/>
  <c r="O40" i="9" s="1"/>
  <c r="C37" i="9"/>
  <c r="E37" i="9" s="1"/>
  <c r="O37" i="9" s="1"/>
  <c r="C34" i="9"/>
  <c r="E34" i="9" s="1"/>
  <c r="O34" i="9" s="1"/>
  <c r="D12" i="9"/>
  <c r="E12" i="9" s="1"/>
  <c r="O12" i="9" s="1"/>
  <c r="D29" i="9"/>
  <c r="E29" i="9" s="1"/>
  <c r="O29" i="9" s="1"/>
  <c r="D5" i="9"/>
  <c r="D16" i="9"/>
  <c r="D36" i="9"/>
  <c r="E36" i="9" s="1"/>
  <c r="O36" i="9" s="1"/>
  <c r="D27" i="9"/>
  <c r="C24" i="9"/>
  <c r="E24" i="9" s="1"/>
  <c r="O24" i="9" s="1"/>
  <c r="D14" i="9"/>
  <c r="E14" i="9" s="1"/>
  <c r="O14" i="9" s="1"/>
  <c r="C11" i="9"/>
  <c r="E11" i="9" s="1"/>
  <c r="O11" i="9" s="1"/>
  <c r="C9" i="9"/>
  <c r="E9" i="9" s="1"/>
  <c r="O9" i="9" s="1"/>
  <c r="C17" i="9"/>
  <c r="E17" i="9" s="1"/>
  <c r="O17" i="9" s="1"/>
  <c r="C25" i="9"/>
  <c r="E25" i="9" s="1"/>
  <c r="O25" i="9" s="1"/>
  <c r="C33" i="9"/>
  <c r="E33" i="9" s="1"/>
  <c r="O33" i="9" s="1"/>
  <c r="C15" i="9"/>
  <c r="E15" i="9" s="1"/>
  <c r="O15" i="9" s="1"/>
  <c r="C32" i="9"/>
  <c r="E32" i="9" s="1"/>
  <c r="O32" i="9" s="1"/>
  <c r="C19" i="9"/>
  <c r="E19" i="9" s="1"/>
  <c r="O19" i="9" s="1"/>
  <c r="C39" i="9"/>
  <c r="E39" i="9" s="1"/>
  <c r="O39" i="9" s="1"/>
  <c r="C12" i="1"/>
  <c r="C13" i="1"/>
  <c r="C14" i="1"/>
  <c r="C19" i="1"/>
  <c r="C21" i="1"/>
  <c r="C18" i="1"/>
  <c r="H7" i="1"/>
  <c r="H17" i="1"/>
  <c r="J17" i="1"/>
  <c r="J15" i="1"/>
  <c r="J12" i="1"/>
  <c r="J21" i="1"/>
  <c r="J5" i="1"/>
  <c r="J22" i="1"/>
  <c r="J16" i="1"/>
  <c r="J10" i="1"/>
  <c r="J13" i="1"/>
  <c r="J8" i="1"/>
  <c r="J7" i="1"/>
  <c r="J11" i="1"/>
  <c r="J20" i="1"/>
  <c r="J19" i="1"/>
  <c r="J6" i="1"/>
  <c r="J9" i="1"/>
  <c r="J14" i="1"/>
  <c r="J18" i="1"/>
  <c r="F4" i="13"/>
  <c r="C4" i="1"/>
  <c r="E25" i="4" l="1"/>
  <c r="O25" i="4" s="1"/>
  <c r="E7" i="4"/>
  <c r="O7" i="4" s="1"/>
  <c r="E23" i="17"/>
  <c r="O23" i="17" s="1"/>
  <c r="F13" i="11"/>
  <c r="F14" i="11"/>
  <c r="F15" i="11"/>
  <c r="F16" i="11"/>
  <c r="F17" i="11"/>
  <c r="F9" i="11"/>
  <c r="F10" i="11"/>
  <c r="F6" i="11"/>
  <c r="F11" i="11"/>
  <c r="F7" i="11"/>
  <c r="F18" i="11"/>
  <c r="F12" i="11"/>
  <c r="F8" i="11"/>
  <c r="F5" i="11"/>
  <c r="F5" i="10"/>
  <c r="F7" i="10"/>
  <c r="F6" i="10"/>
  <c r="F11" i="10"/>
  <c r="F10" i="10"/>
  <c r="F8" i="10"/>
  <c r="F9" i="10"/>
  <c r="F5" i="18" a="1"/>
  <c r="O5" i="18"/>
  <c r="E29" i="17"/>
  <c r="O29" i="17" s="1"/>
  <c r="E38" i="4"/>
  <c r="O38" i="4" s="1"/>
  <c r="E35" i="4"/>
  <c r="O35" i="4" s="1"/>
  <c r="F5" i="19" a="1"/>
  <c r="O5" i="19"/>
  <c r="F5" i="9" a="1"/>
  <c r="O5" i="9"/>
  <c r="E7" i="17"/>
  <c r="O7" i="17" s="1"/>
  <c r="F5" i="17" a="1"/>
  <c r="F5" i="14"/>
  <c r="F10" i="14"/>
  <c r="F7" i="14"/>
  <c r="F8" i="14"/>
  <c r="F9" i="14"/>
  <c r="F11" i="14"/>
  <c r="F15" i="14"/>
  <c r="F16" i="14"/>
  <c r="F14" i="14"/>
  <c r="F17" i="14"/>
  <c r="F13" i="14"/>
  <c r="F18" i="14"/>
  <c r="F19" i="14"/>
  <c r="F6" i="14"/>
  <c r="F12" i="14"/>
  <c r="O5" i="4"/>
  <c r="E18" i="4"/>
  <c r="O18" i="4" s="1"/>
  <c r="E19" i="4"/>
  <c r="O19" i="4" s="1"/>
  <c r="E34" i="17"/>
  <c r="O34" i="17" s="1"/>
  <c r="Q11" i="13"/>
  <c r="Q31" i="13"/>
  <c r="Q49" i="13"/>
  <c r="Q51" i="13"/>
  <c r="Q40" i="13"/>
  <c r="Q57" i="13"/>
  <c r="Q14" i="13"/>
  <c r="Q34" i="13"/>
  <c r="Q46" i="13"/>
  <c r="Q27" i="13"/>
  <c r="Q9" i="13"/>
  <c r="Q38" i="13"/>
  <c r="Q32" i="13"/>
  <c r="Q53" i="13"/>
  <c r="Q42" i="13"/>
  <c r="Q30" i="13"/>
  <c r="Q47" i="13"/>
  <c r="Q33" i="13"/>
  <c r="Q58" i="13"/>
  <c r="Q36" i="13"/>
  <c r="Q41" i="13"/>
  <c r="Q18" i="13"/>
  <c r="Q8" i="13"/>
  <c r="Q22" i="13"/>
  <c r="Q39" i="13"/>
  <c r="Q10" i="13"/>
  <c r="Q37" i="13"/>
  <c r="Q26" i="13"/>
  <c r="Q54" i="13"/>
  <c r="Q29" i="13"/>
  <c r="Q45" i="13"/>
  <c r="Q17" i="13"/>
  <c r="Q19" i="13"/>
  <c r="Q12" i="13"/>
  <c r="Q21" i="13"/>
  <c r="Q5" i="13"/>
  <c r="Q52" i="13"/>
  <c r="Q13" i="13"/>
  <c r="Q15" i="13"/>
  <c r="Q48" i="13"/>
  <c r="Q24" i="13"/>
  <c r="Q28" i="13"/>
  <c r="Q50" i="13"/>
  <c r="Q6" i="13"/>
  <c r="Q44" i="13"/>
  <c r="Q25" i="13"/>
  <c r="Q7" i="13"/>
  <c r="Q23" i="13"/>
  <c r="Q56" i="13"/>
  <c r="Q20" i="13"/>
  <c r="Q35" i="13"/>
  <c r="Q55" i="13"/>
  <c r="Q16" i="13"/>
  <c r="Q43" i="13"/>
  <c r="Q25" i="9"/>
  <c r="Q23" i="9"/>
  <c r="Q34" i="9"/>
  <c r="Q41" i="9"/>
  <c r="Q24" i="9"/>
  <c r="Q19" i="9"/>
  <c r="Q13" i="9"/>
  <c r="Q32" i="9"/>
  <c r="Q17" i="9"/>
  <c r="Q42" i="9"/>
  <c r="Q27" i="9"/>
  <c r="Q7" i="9"/>
  <c r="Q36" i="9"/>
  <c r="Q5" i="9"/>
  <c r="Q14" i="9"/>
  <c r="Q39" i="9"/>
  <c r="Q11" i="9"/>
  <c r="Q33" i="9"/>
  <c r="Q9" i="9"/>
  <c r="Q40" i="9"/>
  <c r="Q38" i="9"/>
  <c r="Q22" i="9"/>
  <c r="Q31" i="9"/>
  <c r="Q18" i="9"/>
  <c r="Q29" i="9"/>
  <c r="Q15" i="9"/>
  <c r="Q8" i="9"/>
  <c r="Q35" i="9"/>
  <c r="Q20" i="9"/>
  <c r="Q6" i="9"/>
  <c r="Q10" i="9"/>
  <c r="Q16" i="9"/>
  <c r="Q30" i="9"/>
  <c r="Q37" i="9"/>
  <c r="Q21" i="9"/>
  <c r="Q28" i="9"/>
  <c r="Q26" i="9"/>
  <c r="Q7" i="10"/>
  <c r="Q6" i="10"/>
  <c r="Q11" i="10"/>
  <c r="Q10" i="10"/>
  <c r="Q8" i="10"/>
  <c r="Q5" i="10"/>
  <c r="Q9" i="10"/>
  <c r="Q18" i="11"/>
  <c r="Q15" i="11"/>
  <c r="Q14" i="11"/>
  <c r="Q6" i="11"/>
  <c r="Q13" i="11"/>
  <c r="Q9" i="11"/>
  <c r="Q17" i="11"/>
  <c r="Q10" i="11"/>
  <c r="Q16" i="11"/>
  <c r="Q5" i="11"/>
  <c r="Q8" i="11"/>
  <c r="Q11" i="11"/>
  <c r="Q7" i="11"/>
  <c r="Q12" i="11"/>
  <c r="Q11" i="14"/>
  <c r="Q14" i="14"/>
  <c r="Q9" i="14"/>
  <c r="Q7" i="14"/>
  <c r="Q12" i="14"/>
  <c r="Q15" i="14"/>
  <c r="Q13" i="14"/>
  <c r="Q8" i="14"/>
  <c r="Q6" i="14"/>
  <c r="Q17" i="14"/>
  <c r="Q16" i="14"/>
  <c r="Q10" i="14"/>
  <c r="Q19" i="14"/>
  <c r="Q18" i="14"/>
  <c r="Q5" i="14"/>
  <c r="C5" i="21"/>
  <c r="F8" i="17" l="1"/>
  <c r="F24" i="17"/>
  <c r="F40" i="17"/>
  <c r="F9" i="17"/>
  <c r="F25" i="17"/>
  <c r="F41" i="17"/>
  <c r="F10" i="17"/>
  <c r="F26" i="17"/>
  <c r="F42" i="17"/>
  <c r="F15" i="17"/>
  <c r="F31" i="17"/>
  <c r="F22" i="17"/>
  <c r="F27" i="17"/>
  <c r="F12" i="17"/>
  <c r="F33" i="17"/>
  <c r="F13" i="17"/>
  <c r="F34" i="17"/>
  <c r="F28" i="17"/>
  <c r="F29" i="17"/>
  <c r="F30" i="17"/>
  <c r="F11" i="17"/>
  <c r="F38" i="17"/>
  <c r="F17" i="17"/>
  <c r="F18" i="17"/>
  <c r="F19" i="17"/>
  <c r="F37" i="17"/>
  <c r="F14" i="17"/>
  <c r="F23" i="17"/>
  <c r="F16" i="17"/>
  <c r="F20" i="17"/>
  <c r="F21" i="17"/>
  <c r="F35" i="17"/>
  <c r="F36" i="17"/>
  <c r="F39" i="17"/>
  <c r="F6" i="17"/>
  <c r="F7" i="17"/>
  <c r="F5" i="17"/>
  <c r="F32" i="17"/>
  <c r="F5" i="4" a="1"/>
  <c r="F7" i="9"/>
  <c r="F23" i="9"/>
  <c r="F39" i="9"/>
  <c r="F15" i="9"/>
  <c r="F32" i="9"/>
  <c r="F14" i="9"/>
  <c r="F33" i="9"/>
  <c r="F16" i="9"/>
  <c r="F34" i="9"/>
  <c r="F18" i="9"/>
  <c r="F5" i="9"/>
  <c r="F17" i="9"/>
  <c r="F35" i="9"/>
  <c r="F36" i="9"/>
  <c r="F22" i="9"/>
  <c r="F41" i="9"/>
  <c r="F24" i="9"/>
  <c r="F42" i="9"/>
  <c r="F25" i="9"/>
  <c r="F31" i="9"/>
  <c r="F13" i="9"/>
  <c r="F20" i="9"/>
  <c r="F26" i="9"/>
  <c r="F28" i="9"/>
  <c r="F30" i="9"/>
  <c r="F6" i="9"/>
  <c r="F11" i="9"/>
  <c r="F27" i="9"/>
  <c r="F29" i="9"/>
  <c r="F19" i="9"/>
  <c r="F12" i="9"/>
  <c r="F8" i="9"/>
  <c r="F37" i="9"/>
  <c r="F9" i="9"/>
  <c r="F38" i="9"/>
  <c r="F10" i="9"/>
  <c r="F40" i="9"/>
  <c r="F21" i="9"/>
  <c r="F21" i="19"/>
  <c r="F37" i="19"/>
  <c r="F10" i="19"/>
  <c r="F27" i="19"/>
  <c r="F11" i="19"/>
  <c r="F28" i="19"/>
  <c r="F5" i="19"/>
  <c r="F13" i="19"/>
  <c r="F12" i="19"/>
  <c r="F29" i="19"/>
  <c r="F30" i="19"/>
  <c r="F17" i="19"/>
  <c r="F34" i="19"/>
  <c r="F18" i="19"/>
  <c r="F35" i="19"/>
  <c r="F24" i="19"/>
  <c r="F16" i="19"/>
  <c r="F19" i="19"/>
  <c r="F22" i="19"/>
  <c r="F25" i="19"/>
  <c r="F31" i="19"/>
  <c r="F32" i="19"/>
  <c r="F6" i="19"/>
  <c r="F36" i="19"/>
  <c r="F15" i="19"/>
  <c r="F41" i="19"/>
  <c r="F26" i="19"/>
  <c r="F33" i="19"/>
  <c r="F7" i="19"/>
  <c r="F8" i="19"/>
  <c r="F38" i="19"/>
  <c r="F9" i="19"/>
  <c r="F39" i="19"/>
  <c r="F14" i="19"/>
  <c r="F40" i="19"/>
  <c r="F42" i="19"/>
  <c r="F20" i="19"/>
  <c r="F23" i="19"/>
  <c r="F11" i="18"/>
  <c r="F27" i="18"/>
  <c r="F5" i="18"/>
  <c r="F7" i="18"/>
  <c r="F24" i="18"/>
  <c r="F41" i="18"/>
  <c r="F12" i="18"/>
  <c r="F30" i="18"/>
  <c r="F33" i="18"/>
  <c r="F13" i="18"/>
  <c r="F31" i="18"/>
  <c r="F14" i="18"/>
  <c r="F32" i="18"/>
  <c r="F15" i="18"/>
  <c r="F19" i="18"/>
  <c r="F37" i="18"/>
  <c r="F20" i="18"/>
  <c r="F38" i="18"/>
  <c r="F35" i="18"/>
  <c r="F17" i="18"/>
  <c r="F23" i="18"/>
  <c r="F6" i="18"/>
  <c r="F36" i="18"/>
  <c r="F9" i="18"/>
  <c r="F10" i="18"/>
  <c r="F16" i="18"/>
  <c r="F26" i="18"/>
  <c r="F8" i="18"/>
  <c r="F39" i="18"/>
  <c r="F40" i="18"/>
  <c r="F42" i="18"/>
  <c r="F25" i="18"/>
  <c r="F28" i="18"/>
  <c r="F18" i="18"/>
  <c r="F21" i="18"/>
  <c r="F22" i="18"/>
  <c r="F29" i="18"/>
  <c r="F34" i="18"/>
  <c r="F5" i="6"/>
  <c r="K5" i="6" s="1" a="1"/>
  <c r="Q27" i="4"/>
  <c r="Q13" i="4"/>
  <c r="Q38" i="4"/>
  <c r="Q23" i="4"/>
  <c r="Q18" i="4"/>
  <c r="Q34" i="4"/>
  <c r="Q40" i="4"/>
  <c r="Q30" i="4"/>
  <c r="Q16" i="4"/>
  <c r="Q8" i="4"/>
  <c r="Q25" i="4"/>
  <c r="Q5" i="4"/>
  <c r="Q7" i="4"/>
  <c r="Q22" i="4"/>
  <c r="Q20" i="4"/>
  <c r="Q28" i="4"/>
  <c r="Q12" i="4"/>
  <c r="Q19" i="4"/>
  <c r="Q33" i="4"/>
  <c r="Q15" i="4"/>
  <c r="Q21" i="4"/>
  <c r="Q35" i="4"/>
  <c r="Q41" i="4"/>
  <c r="Q17" i="4"/>
  <c r="Q9" i="4"/>
  <c r="Q6" i="4"/>
  <c r="Q36" i="4"/>
  <c r="Q42" i="4"/>
  <c r="Q39" i="4"/>
  <c r="Q24" i="4"/>
  <c r="Q31" i="4"/>
  <c r="Q29" i="4"/>
  <c r="Q26" i="4"/>
  <c r="Q14" i="4"/>
  <c r="Q11" i="4"/>
  <c r="Q37" i="4"/>
  <c r="Q10" i="4"/>
  <c r="Q32" i="4"/>
  <c r="Q12" i="9"/>
  <c r="K5" i="6" l="1"/>
  <c r="K6" i="6"/>
  <c r="F17" i="4"/>
  <c r="F33" i="4"/>
  <c r="F11" i="4"/>
  <c r="F28" i="4"/>
  <c r="F13" i="4"/>
  <c r="F31" i="4"/>
  <c r="F16" i="4"/>
  <c r="F5" i="4"/>
  <c r="F14" i="4"/>
  <c r="F32" i="4"/>
  <c r="F35" i="4"/>
  <c r="F15" i="4"/>
  <c r="F34" i="4"/>
  <c r="F21" i="4"/>
  <c r="F39" i="4"/>
  <c r="F22" i="4"/>
  <c r="F40" i="4"/>
  <c r="F12" i="4"/>
  <c r="F36" i="4"/>
  <c r="F37" i="4"/>
  <c r="F8" i="4"/>
  <c r="F41" i="4"/>
  <c r="F18" i="4"/>
  <c r="F24" i="4"/>
  <c r="F25" i="4"/>
  <c r="F30" i="4"/>
  <c r="F7" i="4"/>
  <c r="F19" i="4"/>
  <c r="F20" i="4"/>
  <c r="F23" i="4"/>
  <c r="F9" i="4"/>
  <c r="F26" i="4"/>
  <c r="F27" i="4"/>
  <c r="F29" i="4"/>
  <c r="F6" i="4"/>
  <c r="F38" i="4"/>
  <c r="F10" i="4"/>
  <c r="F42" i="4"/>
  <c r="F3" i="19"/>
  <c r="F3" i="17"/>
  <c r="K5" i="17" a="1"/>
  <c r="L5" i="6"/>
  <c r="L6" i="6"/>
  <c r="K35" i="17" l="1"/>
  <c r="K8" i="17"/>
  <c r="K13" i="17"/>
  <c r="K18" i="17"/>
  <c r="K19" i="17"/>
  <c r="K22" i="17"/>
  <c r="K36" i="17"/>
  <c r="K14" i="17"/>
  <c r="K29" i="17"/>
  <c r="K5" i="17"/>
  <c r="K28" i="17"/>
  <c r="K30" i="17"/>
  <c r="K26" i="17"/>
  <c r="K25" i="17"/>
  <c r="K24" i="17"/>
  <c r="K23" i="17"/>
  <c r="K17" i="17"/>
  <c r="K38" i="17"/>
  <c r="K39" i="17"/>
  <c r="K40" i="17"/>
  <c r="K16" i="17"/>
  <c r="K15" i="17"/>
  <c r="K12" i="17"/>
  <c r="K9" i="17"/>
  <c r="K34" i="17"/>
  <c r="K7" i="17"/>
  <c r="K32" i="17"/>
  <c r="K33" i="17"/>
  <c r="K31" i="17"/>
  <c r="K10" i="17"/>
  <c r="K27" i="17"/>
  <c r="K11" i="17"/>
  <c r="K6" i="17"/>
  <c r="K37" i="17"/>
  <c r="K21" i="17"/>
  <c r="K20" i="17"/>
  <c r="K5" i="19" a="1"/>
  <c r="Q22" i="17"/>
  <c r="Q14" i="17"/>
  <c r="Q26" i="17"/>
  <c r="Q12" i="17"/>
  <c r="Q30" i="17"/>
  <c r="Q5" i="17"/>
  <c r="Q24" i="17"/>
  <c r="Q8" i="17"/>
  <c r="Q13" i="17"/>
  <c r="Q18" i="17"/>
  <c r="Q40" i="17"/>
  <c r="Q34" i="17"/>
  <c r="Q28" i="17"/>
  <c r="Q11" i="17"/>
  <c r="Q38" i="17"/>
  <c r="Q16" i="17"/>
  <c r="Q7" i="17"/>
  <c r="Q35" i="17"/>
  <c r="Q31" i="17"/>
  <c r="Q15" i="17"/>
  <c r="Q19" i="17"/>
  <c r="Q39" i="17"/>
  <c r="Q20" i="17"/>
  <c r="Q17" i="17"/>
  <c r="Q32" i="17"/>
  <c r="Q9" i="17"/>
  <c r="Q33" i="17"/>
  <c r="Q36" i="17"/>
  <c r="Q23" i="17"/>
  <c r="Q29" i="17"/>
  <c r="Q25" i="17"/>
  <c r="Q10" i="17"/>
  <c r="Q21" i="17"/>
  <c r="Q6" i="17"/>
  <c r="Q27" i="17"/>
  <c r="Q37" i="17"/>
  <c r="L3" i="6"/>
  <c r="F4" i="18"/>
  <c r="F4" i="14"/>
  <c r="K41" i="17" l="1"/>
  <c r="K27" i="19"/>
  <c r="K26" i="19"/>
  <c r="K20" i="19"/>
  <c r="K14" i="19"/>
  <c r="K13" i="19"/>
  <c r="K12" i="19"/>
  <c r="K24" i="19"/>
  <c r="K11" i="19"/>
  <c r="K37" i="19"/>
  <c r="K36" i="19"/>
  <c r="K7" i="19"/>
  <c r="K30" i="19"/>
  <c r="K10" i="19"/>
  <c r="K8" i="19"/>
  <c r="K31" i="19"/>
  <c r="K29" i="19"/>
  <c r="K21" i="19"/>
  <c r="K19" i="19"/>
  <c r="K38" i="19"/>
  <c r="K28" i="19"/>
  <c r="K23" i="19"/>
  <c r="K6" i="19"/>
  <c r="K22" i="19"/>
  <c r="K5" i="19"/>
  <c r="K16" i="19"/>
  <c r="K15" i="19"/>
  <c r="K25" i="19"/>
  <c r="K32" i="19"/>
  <c r="K9" i="19"/>
  <c r="K35" i="19"/>
  <c r="K34" i="19"/>
  <c r="K18" i="19"/>
  <c r="K33" i="19"/>
  <c r="K17" i="19"/>
  <c r="F3" i="18"/>
  <c r="K5" i="18" a="1"/>
  <c r="Q20" i="19"/>
  <c r="Q18" i="19"/>
  <c r="Q33" i="19"/>
  <c r="Q7" i="19"/>
  <c r="Q14" i="19"/>
  <c r="Q17" i="19"/>
  <c r="Q25" i="19"/>
  <c r="Q37" i="19"/>
  <c r="Q30" i="19"/>
  <c r="Q32" i="19"/>
  <c r="Q26" i="19"/>
  <c r="Q22" i="19"/>
  <c r="Q36" i="19"/>
  <c r="Q35" i="19"/>
  <c r="Q29" i="19"/>
  <c r="Q13" i="19"/>
  <c r="Q31" i="19"/>
  <c r="Q38" i="19"/>
  <c r="Q8" i="19"/>
  <c r="Q19" i="19"/>
  <c r="Q10" i="19"/>
  <c r="Q6" i="19"/>
  <c r="Q24" i="19"/>
  <c r="Q28" i="19"/>
  <c r="Q12" i="19"/>
  <c r="Q21" i="19"/>
  <c r="Q23" i="19"/>
  <c r="Q5" i="19"/>
  <c r="Q9" i="19"/>
  <c r="Q27" i="19"/>
  <c r="Q11" i="19"/>
  <c r="Q34" i="19"/>
  <c r="Q16" i="19"/>
  <c r="Q15" i="19"/>
  <c r="F4" i="11"/>
  <c r="K39" i="19" l="1"/>
  <c r="K42" i="17"/>
  <c r="K12" i="18"/>
  <c r="K30" i="18"/>
  <c r="K28" i="18"/>
  <c r="K27" i="18"/>
  <c r="K38" i="18"/>
  <c r="K39" i="18" s="1"/>
  <c r="K40" i="18" s="1"/>
  <c r="K8" i="18"/>
  <c r="K7" i="18"/>
  <c r="K20" i="18"/>
  <c r="K10" i="18"/>
  <c r="K36" i="18"/>
  <c r="K31" i="18"/>
  <c r="K25" i="18"/>
  <c r="K24" i="18"/>
  <c r="K19" i="18"/>
  <c r="K11" i="18"/>
  <c r="K37" i="18"/>
  <c r="K9" i="18"/>
  <c r="K26" i="18"/>
  <c r="K21" i="18"/>
  <c r="K14" i="18"/>
  <c r="K23" i="18"/>
  <c r="K6" i="18"/>
  <c r="K22" i="18"/>
  <c r="K5" i="18"/>
  <c r="K35" i="18"/>
  <c r="K34" i="18"/>
  <c r="K33" i="18"/>
  <c r="K32" i="18"/>
  <c r="K17" i="18"/>
  <c r="K16" i="18"/>
  <c r="K15" i="18"/>
  <c r="K13" i="18"/>
  <c r="K29" i="18"/>
  <c r="K18" i="18"/>
  <c r="D6" i="5" a="1"/>
  <c r="Q3" i="13"/>
  <c r="Q41" i="17"/>
  <c r="Q42" i="17"/>
  <c r="Q23" i="18"/>
  <c r="Q11" i="18"/>
  <c r="Q34" i="18"/>
  <c r="Q8" i="18"/>
  <c r="Q24" i="18"/>
  <c r="Q22" i="18"/>
  <c r="Q21" i="18"/>
  <c r="Q36" i="18"/>
  <c r="Q12" i="18"/>
  <c r="Q10" i="18"/>
  <c r="Q18" i="18"/>
  <c r="Q9" i="18"/>
  <c r="Q30" i="18"/>
  <c r="Q37" i="18"/>
  <c r="Q32" i="18"/>
  <c r="Q33" i="18"/>
  <c r="Q16" i="18"/>
  <c r="Q28" i="18"/>
  <c r="Q35" i="18"/>
  <c r="Q20" i="18"/>
  <c r="Q26" i="18"/>
  <c r="Q6" i="18"/>
  <c r="Q31" i="18"/>
  <c r="Q27" i="18"/>
  <c r="Q14" i="18"/>
  <c r="Q40" i="18"/>
  <c r="Q13" i="18"/>
  <c r="Q38" i="18"/>
  <c r="Q25" i="18"/>
  <c r="Q19" i="18"/>
  <c r="Q15" i="18"/>
  <c r="Q39" i="18"/>
  <c r="Q29" i="18"/>
  <c r="Q7" i="18"/>
  <c r="Q17" i="18"/>
  <c r="Q5" i="18"/>
  <c r="Q3" i="14"/>
  <c r="K40" i="19" l="1"/>
  <c r="K41" i="18"/>
  <c r="D43" i="5"/>
  <c r="D9" i="5"/>
  <c r="D30" i="5"/>
  <c r="D29" i="5"/>
  <c r="D28" i="5"/>
  <c r="D41" i="5"/>
  <c r="D40" i="5"/>
  <c r="D34" i="5"/>
  <c r="D6" i="5"/>
  <c r="D32" i="5"/>
  <c r="D25" i="5"/>
  <c r="D23" i="5"/>
  <c r="D18" i="5"/>
  <c r="D16" i="5"/>
  <c r="D15" i="5"/>
  <c r="D36" i="5"/>
  <c r="P36" i="5" s="1"/>
  <c r="D10" i="5"/>
  <c r="D24" i="5"/>
  <c r="D14" i="5"/>
  <c r="D12" i="5"/>
  <c r="D35" i="5"/>
  <c r="D7" i="5"/>
  <c r="D31" i="5"/>
  <c r="D46" i="5"/>
  <c r="D42" i="5"/>
  <c r="D11" i="5"/>
  <c r="D45" i="5"/>
  <c r="D27" i="5"/>
  <c r="D44" i="5"/>
  <c r="D26" i="5"/>
  <c r="D8" i="5"/>
  <c r="D39" i="5"/>
  <c r="D21" i="5"/>
  <c r="D22" i="5"/>
  <c r="P22" i="5" s="1"/>
  <c r="D38" i="5"/>
  <c r="D20" i="5"/>
  <c r="P20" i="5" s="1"/>
  <c r="D37" i="5"/>
  <c r="D19" i="5"/>
  <c r="D47" i="5"/>
  <c r="D13" i="5"/>
  <c r="D33" i="5"/>
  <c r="D17" i="5"/>
  <c r="P6" i="5" a="1"/>
  <c r="Q39" i="19"/>
  <c r="R22" i="5"/>
  <c r="F6" i="5" l="1" a="1"/>
  <c r="F42" i="5" s="1"/>
  <c r="K41" i="19"/>
  <c r="K42" i="18"/>
  <c r="P10" i="5"/>
  <c r="Q40" i="19"/>
  <c r="Q42" i="18"/>
  <c r="Q41" i="18"/>
  <c r="R10" i="5"/>
  <c r="F11" i="5" l="1"/>
  <c r="F14" i="5"/>
  <c r="F6" i="5"/>
  <c r="F44" i="5"/>
  <c r="F31" i="5"/>
  <c r="F20" i="5"/>
  <c r="F28" i="5"/>
  <c r="F9" i="5"/>
  <c r="F17" i="5"/>
  <c r="F40" i="5"/>
  <c r="F39" i="5"/>
  <c r="F27" i="5"/>
  <c r="F16" i="5"/>
  <c r="F23" i="5"/>
  <c r="F30" i="5"/>
  <c r="F12" i="5"/>
  <c r="F18" i="5"/>
  <c r="F24" i="5"/>
  <c r="F34" i="5"/>
  <c r="F25" i="5"/>
  <c r="F37" i="5"/>
  <c r="F36" i="5"/>
  <c r="F8" i="5"/>
  <c r="F45" i="5"/>
  <c r="F19" i="5"/>
  <c r="F33" i="5"/>
  <c r="F43" i="5"/>
  <c r="F41" i="5"/>
  <c r="F29" i="5"/>
  <c r="F10" i="5"/>
  <c r="F7" i="5"/>
  <c r="F38" i="5"/>
  <c r="F32" i="5"/>
  <c r="F15" i="5"/>
  <c r="F13" i="5"/>
  <c r="F26" i="5"/>
  <c r="F35" i="5"/>
  <c r="F21" i="5"/>
  <c r="F46" i="5"/>
  <c r="F22" i="5"/>
  <c r="F47" i="5"/>
  <c r="K42" i="19"/>
  <c r="P38" i="5"/>
  <c r="P11" i="5"/>
  <c r="P27" i="5"/>
  <c r="Q42" i="19"/>
  <c r="Q41" i="19"/>
  <c r="R27" i="5"/>
  <c r="P41" i="5" l="1"/>
  <c r="P13" i="5"/>
  <c r="R13" i="5"/>
  <c r="P28" i="5" l="1"/>
  <c r="P37" i="5"/>
  <c r="P9" i="5"/>
  <c r="P45" i="5"/>
  <c r="R45" i="5"/>
  <c r="P32" i="5" l="1"/>
  <c r="P26" i="5"/>
  <c r="R26" i="5"/>
  <c r="P14" i="5" l="1"/>
  <c r="P29" i="5"/>
  <c r="P46" i="5"/>
  <c r="P19" i="5"/>
  <c r="P8" i="5"/>
  <c r="R8" i="5"/>
  <c r="P17" i="5" l="1"/>
  <c r="R17" i="5"/>
  <c r="P12" i="5" l="1"/>
  <c r="P21" i="5"/>
  <c r="P30" i="5"/>
  <c r="P40" i="5"/>
  <c r="P6" i="5"/>
  <c r="R6" i="5"/>
  <c r="P43" i="5" l="1"/>
  <c r="P24" i="5"/>
  <c r="P33" i="5"/>
  <c r="P42" i="5"/>
  <c r="P16" i="5"/>
  <c r="P25" i="5"/>
  <c r="P34" i="5"/>
  <c r="P18" i="5"/>
  <c r="P35" i="5"/>
  <c r="P44" i="5"/>
  <c r="P7" i="5"/>
  <c r="P15" i="5"/>
  <c r="P23" i="5"/>
  <c r="P31" i="5"/>
  <c r="P39" i="5"/>
  <c r="P47" i="5"/>
  <c r="P6" i="22" a="1"/>
  <c r="D6" i="22" a="1"/>
  <c r="Q3" i="19"/>
  <c r="Q3" i="17"/>
  <c r="Q3" i="4"/>
  <c r="Q3" i="9"/>
  <c r="Q3" i="10"/>
  <c r="Q3" i="11"/>
  <c r="R40" i="5"/>
  <c r="R34" i="5"/>
  <c r="R28" i="5"/>
  <c r="R21" i="5"/>
  <c r="R37" i="5"/>
  <c r="R16" i="5"/>
  <c r="R25" i="5"/>
  <c r="R20" i="5"/>
  <c r="R29" i="5"/>
  <c r="R32" i="5"/>
  <c r="R9" i="5"/>
  <c r="R19" i="5"/>
  <c r="R36" i="5"/>
  <c r="R14" i="5"/>
  <c r="R43" i="5"/>
  <c r="R35" i="5"/>
  <c r="R39" i="5"/>
  <c r="R11" i="5"/>
  <c r="R46" i="5"/>
  <c r="R41" i="5"/>
  <c r="R38" i="5"/>
  <c r="R15" i="5"/>
  <c r="R18" i="5"/>
  <c r="R12" i="5"/>
  <c r="R7" i="5"/>
  <c r="R44" i="5"/>
  <c r="R23" i="5"/>
  <c r="R42" i="5"/>
  <c r="R24" i="5"/>
  <c r="R33" i="5"/>
  <c r="R31" i="5"/>
  <c r="R30" i="5"/>
  <c r="R47" i="5"/>
  <c r="J3" i="1"/>
  <c r="F4" i="17"/>
  <c r="F4" i="10"/>
  <c r="F4" i="19"/>
  <c r="F4" i="20"/>
  <c r="F5" i="5"/>
  <c r="F4" i="9"/>
  <c r="F4" i="4"/>
  <c r="D14" i="22" l="1"/>
  <c r="P14" i="22" s="1"/>
  <c r="D10" i="22"/>
  <c r="P10" i="22" s="1"/>
  <c r="D11" i="22"/>
  <c r="P11" i="22" s="1"/>
  <c r="D16" i="22"/>
  <c r="P16" i="22" s="1"/>
  <c r="D15" i="22"/>
  <c r="P15" i="22" s="1"/>
  <c r="D13" i="22"/>
  <c r="P13" i="22" s="1"/>
  <c r="D12" i="22"/>
  <c r="P12" i="22" s="1"/>
  <c r="D6" i="22"/>
  <c r="D8" i="22"/>
  <c r="P8" i="22" s="1"/>
  <c r="D7" i="22"/>
  <c r="P7" i="22" s="1"/>
  <c r="D9" i="22"/>
  <c r="P9" i="22" s="1"/>
  <c r="D17" i="22"/>
  <c r="P17" i="22" s="1"/>
  <c r="X21" i="17"/>
  <c r="X14" i="17"/>
  <c r="X15" i="17"/>
  <c r="X39" i="17"/>
  <c r="X31" i="17"/>
  <c r="X38" i="17"/>
  <c r="X9" i="17"/>
  <c r="X29" i="17"/>
  <c r="X13" i="17"/>
  <c r="X5" i="17"/>
  <c r="X24" i="17"/>
  <c r="X33" i="17"/>
  <c r="X26" i="17"/>
  <c r="X22" i="17"/>
  <c r="X11" i="17"/>
  <c r="X32" i="17"/>
  <c r="X35" i="17"/>
  <c r="X20" i="17"/>
  <c r="X19" i="17"/>
  <c r="X12" i="17"/>
  <c r="X10" i="17"/>
  <c r="X37" i="17"/>
  <c r="X16" i="17"/>
  <c r="X23" i="17"/>
  <c r="X28" i="17"/>
  <c r="X34" i="17"/>
  <c r="X6" i="17"/>
  <c r="X41" i="17"/>
  <c r="X42" i="17"/>
  <c r="X7" i="17"/>
  <c r="X18" i="17"/>
  <c r="X8" i="17"/>
  <c r="X25" i="17"/>
  <c r="X36" i="17"/>
  <c r="X40" i="17"/>
  <c r="X27" i="17"/>
  <c r="X30" i="17"/>
  <c r="X17" i="17"/>
  <c r="Q3" i="18"/>
  <c r="R4" i="5"/>
  <c r="R10" i="22"/>
  <c r="R15" i="22"/>
  <c r="R8" i="22"/>
  <c r="R9" i="22"/>
  <c r="R14" i="22"/>
  <c r="R16" i="22"/>
  <c r="R13" i="22"/>
  <c r="R17" i="22"/>
  <c r="R11" i="22"/>
  <c r="R12" i="22"/>
  <c r="R7" i="22"/>
  <c r="C4" i="21"/>
  <c r="D7" i="2"/>
  <c r="F6" i="22" l="1" a="1"/>
  <c r="P6" i="22"/>
  <c r="R6" i="22"/>
  <c r="F8" i="22" l="1"/>
  <c r="F13" i="22"/>
  <c r="F12" i="22"/>
  <c r="F9" i="22"/>
  <c r="F17" i="22"/>
  <c r="F15" i="22"/>
  <c r="F6" i="22"/>
  <c r="F16" i="22"/>
  <c r="F14" i="22"/>
  <c r="F11" i="22"/>
  <c r="F7" i="22"/>
  <c r="F10" i="22"/>
  <c r="R4" i="22"/>
  <c r="C3" i="21" s="1"/>
  <c r="F5" i="22" l="1"/>
</calcChain>
</file>

<file path=xl/comments1.xml><?xml version="1.0" encoding="utf-8"?>
<comments xmlns="http://schemas.openxmlformats.org/spreadsheetml/2006/main">
  <authors>
    <author>erik</author>
  </authors>
  <commentList>
    <comment ref="A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<sst xmlns="http://schemas.openxmlformats.org/spreadsheetml/2006/main" count="1183" uniqueCount="181">
  <si>
    <t>BID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</si>
  <si>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</si>
  <si>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</si>
  <si>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</si>
  <si>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</si>
  <si>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</si>
  <si>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</si>
  <si>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</si>
  <si>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</si>
  <si>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</si>
  <si>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</si>
  <si>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</si>
  <si>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</si>
  <si>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</si>
  <si>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Currency</t>
  </si>
  <si>
    <t>EUR</t>
  </si>
  <si>
    <t>Contributors</t>
  </si>
  <si>
    <t>Effective</t>
  </si>
  <si>
    <t>AB</t>
  </si>
  <si>
    <t>6E</t>
  </si>
  <si>
    <t>EXPIRE DATE</t>
  </si>
  <si>
    <t>#</t>
  </si>
  <si>
    <t>Contributor Code</t>
  </si>
  <si>
    <t>Future Code</t>
  </si>
  <si>
    <t>Change</t>
  </si>
  <si>
    <t>LAST</t>
  </si>
  <si>
    <t>HST_CLOSE</t>
  </si>
  <si>
    <t>Mid Equivalent</t>
  </si>
  <si>
    <t>TriggerCounter</t>
  </si>
  <si>
    <t>3E</t>
  </si>
  <si>
    <t>sigma</t>
  </si>
  <si>
    <t>Object ID</t>
  </si>
  <si>
    <t>Main Cycle</t>
  </si>
  <si>
    <t>Live Data Feed</t>
  </si>
  <si>
    <t>_Quote</t>
  </si>
  <si>
    <t>Effective Date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</si>
  <si>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</si>
  <si>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</si>
  <si>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</si>
  <si>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</si>
  <si>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</si>
  <si>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</si>
  <si>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</si>
  <si>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</si>
  <si>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</si>
  <si>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</si>
  <si>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</si>
  <si>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</si>
  <si>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</si>
  <si>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</si>
  <si>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</si>
  <si>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</si>
  <si>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</si>
  <si>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</si>
  <si>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</si>
  <si>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</si>
  <si>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</si>
  <si>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</si>
  <si>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</si>
  <si>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</si>
  <si>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</si>
  <si>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</si>
  <si>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</si>
  <si>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</si>
  <si>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</si>
  <si>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</si>
  <si>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</si>
  <si>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</si>
  <si>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</si>
  <si>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35Y</t>
  </si>
  <si>
    <t>40Y</t>
  </si>
  <si>
    <t>50Y</t>
  </si>
  <si>
    <t>60Y</t>
  </si>
  <si>
    <t>HW parameters</t>
  </si>
  <si>
    <t>mean reversion</t>
  </si>
  <si>
    <t>Trigger</t>
  </si>
  <si>
    <t>SaYieldCurveTweak</t>
  </si>
  <si>
    <t>Last update</t>
  </si>
  <si>
    <t>GENERAL_SETTINGS</t>
  </si>
  <si>
    <t>Quote suffix</t>
  </si>
  <si>
    <t>1S</t>
  </si>
  <si>
    <t>2S</t>
  </si>
  <si>
    <t>3S</t>
  </si>
  <si>
    <t>4S</t>
  </si>
  <si>
    <t>X1S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</si>
  <si>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</si>
  <si>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</si>
  <si>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</si>
  <si>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</si>
  <si>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</si>
  <si>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</si>
  <si>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</si>
  <si>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</si>
  <si>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</si>
  <si>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</si>
  <si>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</si>
  <si>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</si>
  <si>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</si>
  <si>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</si>
  <si>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X</t>
  </si>
  <si>
    <t>1E</t>
  </si>
  <si>
    <t>Mid</t>
  </si>
  <si>
    <t>12E</t>
  </si>
  <si>
    <t>ReutersRtMode</t>
  </si>
  <si>
    <t>MonotonicCubicNaturalSpline</t>
  </si>
  <si>
    <t>InterpolationType</t>
  </si>
  <si>
    <t>E</t>
  </si>
  <si>
    <t>1X</t>
  </si>
  <si>
    <t>2X</t>
  </si>
  <si>
    <t>3X</t>
  </si>
  <si>
    <t>6X</t>
  </si>
  <si>
    <t>5S</t>
  </si>
  <si>
    <t>6S</t>
  </si>
  <si>
    <t>12S</t>
  </si>
  <si>
    <t>TOY</t>
  </si>
  <si>
    <t>Static</t>
  </si>
  <si>
    <t>USD</t>
  </si>
  <si>
    <t>LIFFE</t>
  </si>
  <si>
    <t>CODES</t>
  </si>
  <si>
    <t>FEI</t>
  </si>
  <si>
    <t>ED</t>
  </si>
  <si>
    <t>GBP</t>
  </si>
  <si>
    <t>FSS</t>
  </si>
  <si>
    <t>JPY</t>
  </si>
  <si>
    <t>CHF</t>
  </si>
  <si>
    <t>FES</t>
  </si>
  <si>
    <t>AM</t>
  </si>
  <si>
    <t>3L</t>
  </si>
  <si>
    <t>SB</t>
  </si>
  <si>
    <t>6L</t>
  </si>
  <si>
    <t>1L</t>
  </si>
  <si>
    <t>12L</t>
  </si>
  <si>
    <t>EM</t>
  </si>
  <si>
    <t>EU</t>
  </si>
  <si>
    <t>JP</t>
  </si>
  <si>
    <t>US</t>
  </si>
  <si>
    <t>CH</t>
  </si>
  <si>
    <t>GB</t>
  </si>
  <si>
    <t>Mid Safe</t>
  </si>
  <si>
    <t>ibor</t>
  </si>
  <si>
    <t>Libor</t>
  </si>
  <si>
    <t>FSR</t>
  </si>
  <si>
    <t>Code</t>
  </si>
  <si>
    <t>D</t>
  </si>
  <si>
    <t>ON</t>
  </si>
  <si>
    <t>TN</t>
  </si>
  <si>
    <t>SN</t>
  </si>
  <si>
    <t>Field</t>
  </si>
  <si>
    <t>RIC element1</t>
  </si>
  <si>
    <t>RIC element2</t>
  </si>
  <si>
    <t>IBOR</t>
  </si>
  <si>
    <t>D_Quote</t>
  </si>
  <si>
    <t>ASK-BID</t>
  </si>
  <si>
    <t>Error</t>
  </si>
  <si>
    <t>SMKR</t>
  </si>
  <si>
    <t>OIS</t>
  </si>
  <si>
    <t>13M</t>
  </si>
  <si>
    <t>14M</t>
  </si>
  <si>
    <t>16M</t>
  </si>
  <si>
    <t>17M</t>
  </si>
  <si>
    <t>19M</t>
  </si>
  <si>
    <t>20M</t>
  </si>
  <si>
    <t>22M</t>
  </si>
  <si>
    <t>23M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</si>
  <si>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</si>
  <si>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</si>
  <si>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</si>
  <si>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</si>
  <si>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</si>
  <si>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</si>
  <si>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</si>
  <si>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</si>
  <si>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</si>
  <si>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</si>
  <si>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FRQ:1S</t>
  </si>
  <si>
    <t>The record could not be found</t>
  </si>
  <si>
    <t>ICAP NY</t>
  </si>
  <si>
    <t>GCMN</t>
  </si>
  <si>
    <t>this rules also 3m/6m basis and FRAs</t>
  </si>
  <si>
    <t>ruled by swap 3M</t>
  </si>
  <si>
    <t>ruled by swap 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</si>
</sst>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"/>
    <numFmt numFmtId="165" formatCode="[$-409]d\-mmm\-yy;@"/>
    <numFmt numFmtId="166" formatCode="0.000%"/>
    <numFmt numFmtId="167" formatCode="0.0000%"/>
    <numFmt numFmtId="168" formatCode="0.0000"/>
    <numFmt numFmtId="169" formatCode="ddd\,\ dd\-mmm\-yyyy"/>
    <numFmt numFmtId="170" formatCode="ddd\,\ dd\-mmm\-yyyy\,\ h:mm:ss"/>
    <numFmt numFmtId="171" formatCode="ddd\,\ dd\-mmm\-yyyy\ h:mm:ss"/>
  </numFmts>
  <fonts count="1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12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u/>
      <sz val="8"/>
      <name val="Arial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8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6">
    <xf numFmtId="0" fontId="0" fillId="0" borderId="0" xfId="0"/>
    <xf numFmtId="0" fontId="2" fillId="2" borderId="0" xfId="0" applyFont="1" applyFill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/>
    <xf numFmtId="0" fontId="2" fillId="2" borderId="5" xfId="0" applyFont="1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8" xfId="0" applyFont="1" applyFill="1" applyBorder="1" applyAlignment="1">
      <alignment horizontal="center"/>
    </xf>
    <xf numFmtId="168" fontId="2" fillId="0" borderId="0" xfId="1" applyNumberFormat="1" applyFont="1" applyFill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4" fillId="3" borderId="0" xfId="0" applyFont="1" applyFill="1" applyBorder="1"/>
    <xf numFmtId="0" fontId="5" fillId="2" borderId="0" xfId="0" applyFont="1" applyFill="1" applyBorder="1"/>
    <xf numFmtId="0" fontId="6" fillId="2" borderId="0" xfId="0" applyFont="1" applyFill="1" applyBorder="1"/>
    <xf numFmtId="0" fontId="6" fillId="2" borderId="9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167" fontId="2" fillId="0" borderId="0" xfId="1" applyNumberFormat="1" applyFont="1" applyFill="1" applyBorder="1" applyAlignment="1"/>
    <xf numFmtId="0" fontId="2" fillId="0" borderId="1" xfId="0" applyFont="1" applyFill="1" applyBorder="1"/>
    <xf numFmtId="0" fontId="4" fillId="0" borderId="0" xfId="0" applyFont="1" applyFill="1" applyBorder="1"/>
    <xf numFmtId="0" fontId="4" fillId="0" borderId="0" xfId="0" applyFont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0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165" fontId="2" fillId="2" borderId="0" xfId="1" applyNumberFormat="1" applyFont="1" applyFill="1" applyBorder="1" applyAlignment="1">
      <alignment horizontal="center"/>
    </xf>
    <xf numFmtId="168" fontId="2" fillId="2" borderId="0" xfId="1" applyNumberFormat="1" applyFont="1" applyFill="1" applyBorder="1" applyAlignment="1">
      <alignment horizontal="center"/>
    </xf>
    <xf numFmtId="170" fontId="9" fillId="2" borderId="0" xfId="0" applyNumberFormat="1" applyFont="1" applyFill="1" applyBorder="1" applyAlignment="1">
      <alignment horizontal="left"/>
    </xf>
    <xf numFmtId="0" fontId="2" fillId="0" borderId="0" xfId="1" applyNumberFormat="1" applyFont="1" applyFill="1" applyBorder="1" applyAlignment="1">
      <alignment horizontal="center"/>
    </xf>
    <xf numFmtId="0" fontId="2" fillId="0" borderId="0" xfId="1" applyNumberFormat="1" applyFont="1" applyFill="1" applyBorder="1" applyAlignment="1"/>
    <xf numFmtId="0" fontId="2" fillId="0" borderId="0" xfId="0" applyFont="1"/>
    <xf numFmtId="0" fontId="15" fillId="2" borderId="0" xfId="0" applyFont="1" applyFill="1" applyBorder="1"/>
    <xf numFmtId="0" fontId="3" fillId="4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0" borderId="0" xfId="0" applyFont="1" applyFill="1" applyBorder="1"/>
    <xf numFmtId="167" fontId="2" fillId="0" borderId="0" xfId="0" applyNumberFormat="1" applyFont="1"/>
    <xf numFmtId="167" fontId="2" fillId="0" borderId="0" xfId="1" applyNumberFormat="1" applyFont="1"/>
    <xf numFmtId="2" fontId="2" fillId="0" borderId="0" xfId="1" applyNumberFormat="1" applyFont="1" applyFill="1" applyBorder="1" applyAlignment="1">
      <alignment horizontal="center"/>
    </xf>
    <xf numFmtId="2" fontId="2" fillId="0" borderId="0" xfId="1" applyNumberFormat="1" applyFont="1" applyFill="1" applyBorder="1" applyAlignment="1"/>
    <xf numFmtId="168" fontId="2" fillId="0" borderId="0" xfId="1" applyNumberFormat="1" applyFont="1" applyFill="1" applyBorder="1" applyAlignment="1"/>
    <xf numFmtId="0" fontId="0" fillId="0" borderId="0" xfId="0" applyNumberFormat="1"/>
    <xf numFmtId="0" fontId="4" fillId="2" borderId="2" xfId="0" applyFont="1" applyFill="1" applyBorder="1" applyAlignment="1">
      <alignment horizontal="center"/>
    </xf>
    <xf numFmtId="0" fontId="16" fillId="2" borderId="3" xfId="0" applyFont="1" applyFill="1" applyBorder="1"/>
    <xf numFmtId="0" fontId="17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16" fillId="2" borderId="5" xfId="0" applyFont="1" applyFill="1" applyBorder="1"/>
    <xf numFmtId="0" fontId="16" fillId="2" borderId="4" xfId="0" applyFont="1" applyFill="1" applyBorder="1"/>
    <xf numFmtId="1" fontId="4" fillId="0" borderId="0" xfId="1" applyNumberFormat="1" applyFont="1" applyFill="1" applyBorder="1" applyAlignment="1">
      <alignment horizontal="center"/>
    </xf>
    <xf numFmtId="168" fontId="4" fillId="0" borderId="0" xfId="1" applyNumberFormat="1" applyFont="1" applyFill="1" applyBorder="1" applyAlignment="1">
      <alignment horizontal="center"/>
    </xf>
    <xf numFmtId="169" fontId="4" fillId="0" borderId="0" xfId="1" applyNumberFormat="1" applyFont="1" applyFill="1" applyBorder="1" applyAlignment="1">
      <alignment horizontal="center"/>
    </xf>
    <xf numFmtId="165" fontId="4" fillId="0" borderId="0" xfId="1" applyNumberFormat="1" applyFont="1" applyFill="1" applyBorder="1" applyAlignment="1">
      <alignment horizontal="center"/>
    </xf>
    <xf numFmtId="0" fontId="16" fillId="2" borderId="6" xfId="0" applyFont="1" applyFill="1" applyBorder="1"/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8" fillId="0" borderId="0" xfId="0" applyFont="1" applyFill="1"/>
    <xf numFmtId="0" fontId="2" fillId="0" borderId="4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14" xfId="1" applyNumberFormat="1" applyFont="1" applyFill="1" applyBorder="1" applyAlignment="1">
      <alignment horizontal="center"/>
    </xf>
    <xf numFmtId="168" fontId="2" fillId="0" borderId="15" xfId="1" applyNumberFormat="1" applyFont="1" applyFill="1" applyBorder="1" applyAlignment="1">
      <alignment horizontal="center"/>
    </xf>
    <xf numFmtId="0" fontId="2" fillId="0" borderId="16" xfId="1" applyNumberFormat="1" applyFont="1" applyFill="1" applyBorder="1" applyAlignment="1">
      <alignment horizontal="center"/>
    </xf>
    <xf numFmtId="0" fontId="2" fillId="0" borderId="17" xfId="0" applyFont="1" applyBorder="1"/>
    <xf numFmtId="0" fontId="2" fillId="0" borderId="17" xfId="1" applyNumberFormat="1" applyFont="1" applyFill="1" applyBorder="1" applyAlignment="1"/>
    <xf numFmtId="168" fontId="2" fillId="0" borderId="17" xfId="1" applyNumberFormat="1" applyFont="1" applyFill="1" applyBorder="1" applyAlignment="1">
      <alignment horizontal="center"/>
    </xf>
    <xf numFmtId="168" fontId="2" fillId="0" borderId="18" xfId="1" applyNumberFormat="1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168" fontId="3" fillId="0" borderId="20" xfId="1" applyNumberFormat="1" applyFont="1" applyFill="1" applyBorder="1" applyAlignment="1">
      <alignment horizontal="center" vertical="center" wrapText="1"/>
    </xf>
    <xf numFmtId="167" fontId="3" fillId="0" borderId="21" xfId="1" applyNumberFormat="1" applyFont="1" applyFill="1" applyBorder="1" applyAlignment="1">
      <alignment horizontal="center" vertical="center" wrapText="1"/>
    </xf>
    <xf numFmtId="168" fontId="2" fillId="0" borderId="9" xfId="1" applyNumberFormat="1" applyFont="1" applyBorder="1"/>
    <xf numFmtId="168" fontId="2" fillId="0" borderId="22" xfId="1" applyNumberFormat="1" applyFont="1" applyBorder="1"/>
    <xf numFmtId="168" fontId="3" fillId="0" borderId="23" xfId="1" applyNumberFormat="1" applyFont="1" applyFill="1" applyBorder="1" applyAlignment="1">
      <alignment horizontal="center" vertical="center" wrapText="1"/>
    </xf>
    <xf numFmtId="167" fontId="3" fillId="0" borderId="19" xfId="1" applyNumberFormat="1" applyFont="1" applyFill="1" applyBorder="1" applyAlignment="1">
      <alignment horizontal="center" vertical="center" wrapText="1"/>
    </xf>
    <xf numFmtId="0" fontId="3" fillId="0" borderId="20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167" fontId="2" fillId="0" borderId="24" xfId="1" applyNumberFormat="1" applyFont="1" applyFill="1" applyBorder="1" applyAlignment="1"/>
    <xf numFmtId="168" fontId="2" fillId="0" borderId="25" xfId="1" applyNumberFormat="1" applyFont="1" applyFill="1" applyBorder="1" applyAlignment="1">
      <alignment horizontal="center"/>
    </xf>
    <xf numFmtId="167" fontId="2" fillId="0" borderId="26" xfId="1" applyNumberFormat="1" applyFont="1" applyFill="1" applyBorder="1" applyAlignment="1">
      <alignment horizontal="center"/>
    </xf>
    <xf numFmtId="167" fontId="2" fillId="0" borderId="14" xfId="1" applyNumberFormat="1" applyFont="1" applyFill="1" applyBorder="1" applyAlignment="1"/>
    <xf numFmtId="167" fontId="2" fillId="0" borderId="15" xfId="1" applyNumberFormat="1" applyFont="1" applyFill="1" applyBorder="1" applyAlignment="1">
      <alignment horizontal="center"/>
    </xf>
    <xf numFmtId="167" fontId="2" fillId="0" borderId="16" xfId="1" applyNumberFormat="1" applyFont="1" applyFill="1" applyBorder="1" applyAlignment="1"/>
    <xf numFmtId="167" fontId="2" fillId="0" borderId="18" xfId="1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2" fontId="2" fillId="0" borderId="15" xfId="1" applyNumberFormat="1" applyFont="1" applyFill="1" applyBorder="1" applyAlignment="1">
      <alignment horizontal="center"/>
    </xf>
    <xf numFmtId="2" fontId="2" fillId="5" borderId="15" xfId="1" applyNumberFormat="1" applyFont="1" applyFill="1" applyBorder="1" applyAlignment="1">
      <alignment horizontal="center"/>
    </xf>
    <xf numFmtId="0" fontId="2" fillId="0" borderId="17" xfId="1" applyNumberFormat="1" applyFont="1" applyFill="1" applyBorder="1" applyAlignment="1">
      <alignment horizontal="center"/>
    </xf>
    <xf numFmtId="167" fontId="2" fillId="0" borderId="17" xfId="1" applyNumberFormat="1" applyFont="1" applyFill="1" applyBorder="1" applyAlignment="1"/>
    <xf numFmtId="2" fontId="2" fillId="0" borderId="17" xfId="1" applyNumberFormat="1" applyFont="1" applyFill="1" applyBorder="1" applyAlignment="1"/>
    <xf numFmtId="2" fontId="2" fillId="0" borderId="17" xfId="1" applyNumberFormat="1" applyFont="1" applyFill="1" applyBorder="1" applyAlignment="1">
      <alignment horizontal="center"/>
    </xf>
    <xf numFmtId="2" fontId="2" fillId="5" borderId="18" xfId="1" applyNumberFormat="1" applyFont="1" applyFill="1" applyBorder="1" applyAlignment="1">
      <alignment horizontal="center"/>
    </xf>
    <xf numFmtId="2" fontId="2" fillId="0" borderId="9" xfId="1" applyNumberFormat="1" applyFont="1" applyBorder="1"/>
    <xf numFmtId="2" fontId="2" fillId="0" borderId="22" xfId="1" applyNumberFormat="1" applyFont="1" applyBorder="1"/>
    <xf numFmtId="0" fontId="3" fillId="4" borderId="19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 vertical="center" wrapText="1"/>
    </xf>
    <xf numFmtId="0" fontId="12" fillId="2" borderId="23" xfId="0" applyFont="1" applyFill="1" applyBorder="1" applyAlignment="1">
      <alignment horizontal="center" vertical="center" wrapText="1"/>
    </xf>
    <xf numFmtId="0" fontId="11" fillId="2" borderId="0" xfId="0" quotePrefix="1" applyFont="1" applyFill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0" xfId="0" applyFont="1" applyBorder="1"/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2" fillId="2" borderId="19" xfId="0" applyFont="1" applyFill="1" applyBorder="1" applyAlignment="1">
      <alignment horizontal="center" wrapText="1"/>
    </xf>
    <xf numFmtId="167" fontId="2" fillId="0" borderId="14" xfId="1" applyNumberFormat="1" applyFont="1" applyFill="1" applyBorder="1" applyAlignment="1">
      <alignment horizontal="center"/>
    </xf>
    <xf numFmtId="167" fontId="2" fillId="0" borderId="16" xfId="1" applyNumberFormat="1" applyFont="1" applyFill="1" applyBorder="1" applyAlignment="1">
      <alignment horizontal="center"/>
    </xf>
    <xf numFmtId="168" fontId="4" fillId="0" borderId="9" xfId="1" applyNumberFormat="1" applyFont="1" applyBorder="1"/>
    <xf numFmtId="168" fontId="4" fillId="0" borderId="22" xfId="1" applyNumberFormat="1" applyFont="1" applyBorder="1"/>
    <xf numFmtId="168" fontId="12" fillId="0" borderId="19" xfId="1" applyNumberFormat="1" applyFont="1" applyFill="1" applyBorder="1" applyAlignment="1">
      <alignment horizontal="center" vertical="center" wrapText="1"/>
    </xf>
    <xf numFmtId="168" fontId="12" fillId="0" borderId="20" xfId="1" applyNumberFormat="1" applyFont="1" applyFill="1" applyBorder="1" applyAlignment="1">
      <alignment horizontal="center" vertical="center" wrapText="1"/>
    </xf>
    <xf numFmtId="0" fontId="12" fillId="0" borderId="20" xfId="0" applyFont="1" applyBorder="1" applyAlignment="1">
      <alignment horizontal="center" vertical="center" wrapText="1"/>
    </xf>
    <xf numFmtId="167" fontId="12" fillId="0" borderId="21" xfId="1" applyNumberFormat="1" applyFont="1" applyFill="1" applyBorder="1" applyAlignment="1">
      <alignment horizontal="center" vertical="center" wrapText="1"/>
    </xf>
    <xf numFmtId="168" fontId="12" fillId="0" borderId="23" xfId="1" applyNumberFormat="1" applyFont="1" applyFill="1" applyBorder="1" applyAlignment="1">
      <alignment horizontal="center" vertical="center" wrapText="1"/>
    </xf>
    <xf numFmtId="167" fontId="12" fillId="0" borderId="19" xfId="1" applyNumberFormat="1" applyFont="1" applyFill="1" applyBorder="1" applyAlignment="1">
      <alignment horizontal="center" vertical="center" wrapText="1"/>
    </xf>
    <xf numFmtId="168" fontId="12" fillId="0" borderId="21" xfId="1" applyNumberFormat="1" applyFont="1" applyFill="1" applyBorder="1" applyAlignment="1">
      <alignment horizontal="center" vertical="center" wrapText="1"/>
    </xf>
    <xf numFmtId="168" fontId="12" fillId="0" borderId="24" xfId="1" applyNumberFormat="1" applyFont="1" applyFill="1" applyBorder="1" applyAlignment="1">
      <alignment horizontal="center" vertical="center" wrapText="1"/>
    </xf>
    <xf numFmtId="168" fontId="12" fillId="0" borderId="25" xfId="1" applyNumberFormat="1" applyFont="1" applyFill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167" fontId="12" fillId="0" borderId="26" xfId="1" applyNumberFormat="1" applyFont="1" applyFill="1" applyBorder="1" applyAlignment="1">
      <alignment horizontal="center" vertical="center" wrapText="1"/>
    </xf>
    <xf numFmtId="168" fontId="12" fillId="0" borderId="27" xfId="1" applyNumberFormat="1" applyFont="1" applyFill="1" applyBorder="1" applyAlignment="1">
      <alignment horizontal="center" vertical="center" wrapText="1"/>
    </xf>
    <xf numFmtId="167" fontId="12" fillId="0" borderId="24" xfId="1" applyNumberFormat="1" applyFont="1" applyFill="1" applyBorder="1" applyAlignment="1">
      <alignment horizontal="center" vertical="center" wrapText="1"/>
    </xf>
    <xf numFmtId="168" fontId="12" fillId="0" borderId="26" xfId="1" applyNumberFormat="1" applyFont="1" applyFill="1" applyBorder="1" applyAlignment="1">
      <alignment horizontal="center" vertical="center" wrapText="1"/>
    </xf>
    <xf numFmtId="1" fontId="4" fillId="0" borderId="24" xfId="1" applyNumberFormat="1" applyFont="1" applyFill="1" applyBorder="1" applyAlignment="1">
      <alignment horizontal="center"/>
    </xf>
    <xf numFmtId="1" fontId="4" fillId="0" borderId="25" xfId="1" applyNumberFormat="1" applyFont="1" applyFill="1" applyBorder="1" applyAlignment="1">
      <alignment horizontal="center"/>
    </xf>
    <xf numFmtId="168" fontId="4" fillId="0" borderId="25" xfId="1" applyNumberFormat="1" applyFont="1" applyFill="1" applyBorder="1" applyAlignment="1">
      <alignment horizontal="center"/>
    </xf>
    <xf numFmtId="169" fontId="4" fillId="0" borderId="25" xfId="1" applyNumberFormat="1" applyFont="1" applyFill="1" applyBorder="1" applyAlignment="1">
      <alignment horizontal="center"/>
    </xf>
    <xf numFmtId="165" fontId="4" fillId="0" borderId="25" xfId="1" applyNumberFormat="1" applyFont="1" applyFill="1" applyBorder="1" applyAlignment="1">
      <alignment horizontal="center"/>
    </xf>
    <xf numFmtId="168" fontId="4" fillId="0" borderId="26" xfId="1" applyNumberFormat="1" applyFont="1" applyFill="1" applyBorder="1" applyAlignment="1">
      <alignment horizontal="center"/>
    </xf>
    <xf numFmtId="1" fontId="4" fillId="0" borderId="14" xfId="1" applyNumberFormat="1" applyFont="1" applyFill="1" applyBorder="1" applyAlignment="1">
      <alignment horizontal="center"/>
    </xf>
    <xf numFmtId="168" fontId="4" fillId="0" borderId="15" xfId="1" applyNumberFormat="1" applyFont="1" applyFill="1" applyBorder="1" applyAlignment="1">
      <alignment horizontal="center"/>
    </xf>
    <xf numFmtId="1" fontId="4" fillId="0" borderId="16" xfId="1" applyNumberFormat="1" applyFont="1" applyFill="1" applyBorder="1" applyAlignment="1">
      <alignment horizontal="center"/>
    </xf>
    <xf numFmtId="1" fontId="4" fillId="0" borderId="17" xfId="1" applyNumberFormat="1" applyFont="1" applyFill="1" applyBorder="1" applyAlignment="1">
      <alignment horizontal="center"/>
    </xf>
    <xf numFmtId="168" fontId="4" fillId="0" borderId="17" xfId="1" applyNumberFormat="1" applyFont="1" applyFill="1" applyBorder="1" applyAlignment="1">
      <alignment horizontal="center"/>
    </xf>
    <xf numFmtId="169" fontId="4" fillId="0" borderId="17" xfId="1" applyNumberFormat="1" applyFont="1" applyFill="1" applyBorder="1" applyAlignment="1">
      <alignment horizontal="center"/>
    </xf>
    <xf numFmtId="165" fontId="4" fillId="0" borderId="17" xfId="1" applyNumberFormat="1" applyFont="1" applyFill="1" applyBorder="1" applyAlignment="1">
      <alignment horizontal="center"/>
    </xf>
    <xf numFmtId="168" fontId="4" fillId="0" borderId="18" xfId="1" applyNumberFormat="1" applyFont="1" applyFill="1" applyBorder="1" applyAlignment="1">
      <alignment horizontal="center"/>
    </xf>
    <xf numFmtId="168" fontId="4" fillId="0" borderId="27" xfId="0" applyNumberFormat="1" applyFont="1" applyFill="1" applyBorder="1"/>
    <xf numFmtId="168" fontId="4" fillId="0" borderId="9" xfId="0" applyNumberFormat="1" applyFont="1" applyFill="1" applyBorder="1"/>
    <xf numFmtId="168" fontId="4" fillId="0" borderId="9" xfId="0" applyNumberFormat="1" applyFont="1" applyBorder="1"/>
    <xf numFmtId="168" fontId="4" fillId="0" borderId="22" xfId="0" applyNumberFormat="1" applyFont="1" applyBorder="1"/>
    <xf numFmtId="168" fontId="4" fillId="0" borderId="24" xfId="1" applyNumberFormat="1" applyFont="1" applyFill="1" applyBorder="1" applyAlignment="1">
      <alignment horizontal="center"/>
    </xf>
    <xf numFmtId="168" fontId="4" fillId="0" borderId="14" xfId="1" applyNumberFormat="1" applyFont="1" applyFill="1" applyBorder="1" applyAlignment="1">
      <alignment horizontal="center"/>
    </xf>
    <xf numFmtId="168" fontId="4" fillId="0" borderId="16" xfId="1" applyNumberFormat="1" applyFont="1" applyFill="1" applyBorder="1" applyAlignment="1">
      <alignment horizontal="center"/>
    </xf>
    <xf numFmtId="0" fontId="2" fillId="0" borderId="24" xfId="1" applyNumberFormat="1" applyFont="1" applyFill="1" applyBorder="1" applyAlignment="1">
      <alignment horizontal="center"/>
    </xf>
    <xf numFmtId="0" fontId="2" fillId="0" borderId="25" xfId="1" applyNumberFormat="1" applyFont="1" applyFill="1" applyBorder="1" applyAlignment="1">
      <alignment horizontal="center"/>
    </xf>
    <xf numFmtId="0" fontId="2" fillId="0" borderId="25" xfId="1" applyNumberFormat="1" applyFont="1" applyFill="1" applyBorder="1" applyAlignment="1"/>
    <xf numFmtId="168" fontId="2" fillId="0" borderId="25" xfId="1" applyNumberFormat="1" applyFont="1" applyFill="1" applyBorder="1" applyAlignment="1"/>
    <xf numFmtId="168" fontId="2" fillId="0" borderId="26" xfId="1" applyNumberFormat="1" applyFont="1" applyFill="1" applyBorder="1" applyAlignment="1">
      <alignment horizontal="center"/>
    </xf>
    <xf numFmtId="168" fontId="2" fillId="0" borderId="17" xfId="1" applyNumberFormat="1" applyFont="1" applyFill="1" applyBorder="1" applyAlignment="1"/>
    <xf numFmtId="0" fontId="2" fillId="0" borderId="19" xfId="1" applyNumberFormat="1" applyFont="1" applyFill="1" applyBorder="1" applyAlignment="1">
      <alignment horizontal="center"/>
    </xf>
    <xf numFmtId="0" fontId="2" fillId="0" borderId="20" xfId="1" applyNumberFormat="1" applyFont="1" applyFill="1" applyBorder="1" applyAlignment="1">
      <alignment horizontal="center"/>
    </xf>
    <xf numFmtId="0" fontId="2" fillId="0" borderId="20" xfId="1" applyNumberFormat="1" applyFont="1" applyFill="1" applyBorder="1" applyAlignment="1"/>
    <xf numFmtId="168" fontId="2" fillId="0" borderId="20" xfId="1" applyNumberFormat="1" applyFont="1" applyFill="1" applyBorder="1" applyAlignment="1"/>
    <xf numFmtId="168" fontId="2" fillId="0" borderId="21" xfId="1" applyNumberFormat="1" applyFont="1" applyFill="1" applyBorder="1" applyAlignment="1">
      <alignment horizontal="center"/>
    </xf>
    <xf numFmtId="168" fontId="2" fillId="0" borderId="23" xfId="1" applyNumberFormat="1" applyFont="1" applyFill="1" applyBorder="1" applyAlignment="1">
      <alignment horizontal="center"/>
    </xf>
    <xf numFmtId="168" fontId="2" fillId="0" borderId="27" xfId="1" applyNumberFormat="1" applyFont="1" applyFill="1" applyBorder="1" applyAlignment="1">
      <alignment horizontal="center"/>
    </xf>
    <xf numFmtId="168" fontId="2" fillId="0" borderId="9" xfId="1" applyNumberFormat="1" applyFont="1" applyFill="1" applyBorder="1" applyAlignment="1">
      <alignment horizontal="center"/>
    </xf>
    <xf numFmtId="168" fontId="2" fillId="0" borderId="22" xfId="1" applyNumberFormat="1" applyFont="1" applyFill="1" applyBorder="1" applyAlignment="1">
      <alignment horizontal="center"/>
    </xf>
    <xf numFmtId="167" fontId="2" fillId="0" borderId="19" xfId="1" applyNumberFormat="1" applyFont="1" applyFill="1" applyBorder="1" applyAlignment="1"/>
    <xf numFmtId="168" fontId="2" fillId="0" borderId="20" xfId="1" applyNumberFormat="1" applyFont="1" applyFill="1" applyBorder="1" applyAlignment="1">
      <alignment horizontal="center"/>
    </xf>
    <xf numFmtId="167" fontId="2" fillId="0" borderId="21" xfId="1" applyNumberFormat="1" applyFont="1" applyFill="1" applyBorder="1" applyAlignment="1">
      <alignment horizontal="center"/>
    </xf>
    <xf numFmtId="0" fontId="12" fillId="4" borderId="23" xfId="0" applyFont="1" applyFill="1" applyBorder="1" applyAlignment="1">
      <alignment horizontal="center"/>
    </xf>
    <xf numFmtId="0" fontId="4" fillId="2" borderId="23" xfId="0" applyFont="1" applyFill="1" applyBorder="1" applyAlignment="1">
      <alignment horizontal="center"/>
    </xf>
    <xf numFmtId="168" fontId="3" fillId="0" borderId="21" xfId="1" applyNumberFormat="1" applyFont="1" applyFill="1" applyBorder="1" applyAlignment="1">
      <alignment horizontal="center" vertical="center" wrapText="1"/>
    </xf>
    <xf numFmtId="167" fontId="3" fillId="0" borderId="20" xfId="1" applyNumberFormat="1" applyFont="1" applyFill="1" applyBorder="1" applyAlignment="1">
      <alignment horizontal="center" vertical="center" wrapText="1"/>
    </xf>
    <xf numFmtId="167" fontId="2" fillId="0" borderId="24" xfId="1" applyNumberFormat="1" applyFont="1" applyFill="1" applyBorder="1" applyAlignment="1">
      <alignment horizontal="center"/>
    </xf>
    <xf numFmtId="168" fontId="4" fillId="0" borderId="27" xfId="1" applyNumberFormat="1" applyFont="1" applyBorder="1"/>
    <xf numFmtId="0" fontId="6" fillId="2" borderId="26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6" fillId="2" borderId="23" xfId="0" applyFont="1" applyFill="1" applyBorder="1" applyAlignment="1">
      <alignment horizontal="center"/>
    </xf>
    <xf numFmtId="0" fontId="6" fillId="2" borderId="22" xfId="0" applyFont="1" applyFill="1" applyBorder="1" applyAlignment="1">
      <alignment horizontal="center"/>
    </xf>
    <xf numFmtId="0" fontId="6" fillId="6" borderId="27" xfId="0" applyFont="1" applyFill="1" applyBorder="1"/>
    <xf numFmtId="0" fontId="6" fillId="6" borderId="9" xfId="0" applyFont="1" applyFill="1" applyBorder="1"/>
    <xf numFmtId="171" fontId="6" fillId="2" borderId="15" xfId="0" applyNumberFormat="1" applyFont="1" applyFill="1" applyBorder="1" applyAlignment="1">
      <alignment horizontal="center"/>
    </xf>
    <xf numFmtId="1" fontId="6" fillId="2" borderId="15" xfId="0" applyNumberFormat="1" applyFont="1" applyFill="1" applyBorder="1" applyAlignment="1">
      <alignment horizontal="center"/>
    </xf>
    <xf numFmtId="0" fontId="6" fillId="6" borderId="22" xfId="0" applyFont="1" applyFill="1" applyBorder="1"/>
    <xf numFmtId="1" fontId="6" fillId="2" borderId="18" xfId="0" applyNumberFormat="1" applyFont="1" applyFill="1" applyBorder="1" applyAlignment="1">
      <alignment horizontal="center"/>
    </xf>
    <xf numFmtId="0" fontId="0" fillId="2" borderId="0" xfId="0" applyFill="1" applyBorder="1"/>
    <xf numFmtId="0" fontId="5" fillId="2" borderId="0" xfId="0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0" fontId="5" fillId="2" borderId="4" xfId="0" applyFont="1" applyFill="1" applyBorder="1"/>
    <xf numFmtId="0" fontId="5" fillId="2" borderId="5" xfId="0" applyFont="1" applyFill="1" applyBorder="1"/>
    <xf numFmtId="0" fontId="6" fillId="2" borderId="5" xfId="0" applyFont="1" applyFill="1" applyBorder="1"/>
    <xf numFmtId="0" fontId="0" fillId="2" borderId="6" xfId="0" applyFill="1" applyBorder="1"/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8" fontId="2" fillId="0" borderId="14" xfId="1" applyNumberFormat="1" applyFont="1" applyFill="1" applyBorder="1" applyAlignment="1"/>
    <xf numFmtId="2" fontId="2" fillId="0" borderId="15" xfId="1" applyNumberFormat="1" applyFont="1" applyFill="1" applyBorder="1" applyAlignment="1"/>
    <xf numFmtId="168" fontId="2" fillId="0" borderId="16" xfId="1" applyNumberFormat="1" applyFont="1" applyFill="1" applyBorder="1" applyAlignment="1"/>
    <xf numFmtId="169" fontId="2" fillId="0" borderId="18" xfId="1" applyNumberFormat="1" applyFont="1" applyFill="1" applyBorder="1" applyAlignment="1"/>
    <xf numFmtId="168" fontId="3" fillId="0" borderId="19" xfId="1" applyNumberFormat="1" applyFont="1" applyFill="1" applyBorder="1" applyAlignment="1">
      <alignment horizontal="center" vertical="center" wrapText="1"/>
    </xf>
    <xf numFmtId="169" fontId="3" fillId="0" borderId="21" xfId="1" applyNumberFormat="1" applyFont="1" applyFill="1" applyBorder="1" applyAlignment="1">
      <alignment horizontal="center" vertical="center" wrapText="1"/>
    </xf>
    <xf numFmtId="0" fontId="2" fillId="0" borderId="24" xfId="1" applyNumberFormat="1" applyFont="1" applyFill="1" applyBorder="1" applyAlignment="1"/>
    <xf numFmtId="166" fontId="2" fillId="0" borderId="26" xfId="1" applyNumberFormat="1" applyFont="1" applyFill="1" applyBorder="1" applyAlignment="1"/>
    <xf numFmtId="169" fontId="2" fillId="0" borderId="16" xfId="1" applyNumberFormat="1" applyFont="1" applyFill="1" applyBorder="1" applyAlignment="1"/>
    <xf numFmtId="164" fontId="2" fillId="0" borderId="18" xfId="1" applyNumberFormat="1" applyFont="1" applyFill="1" applyBorder="1" applyAlignment="1"/>
    <xf numFmtId="166" fontId="2" fillId="0" borderId="27" xfId="1" applyNumberFormat="1" applyFont="1" applyFill="1" applyBorder="1" applyAlignment="1"/>
    <xf numFmtId="164" fontId="2" fillId="0" borderId="22" xfId="1" applyNumberFormat="1" applyFont="1" applyFill="1" applyBorder="1" applyAlignment="1"/>
    <xf numFmtId="168" fontId="2" fillId="0" borderId="24" xfId="1" applyNumberFormat="1" applyFont="1" applyFill="1" applyBorder="1" applyAlignment="1"/>
    <xf numFmtId="166" fontId="2" fillId="0" borderId="25" xfId="1" applyNumberFormat="1" applyFont="1" applyFill="1" applyBorder="1" applyAlignment="1"/>
    <xf numFmtId="164" fontId="2" fillId="0" borderId="17" xfId="1" applyNumberFormat="1" applyFont="1" applyFill="1" applyBorder="1" applyAlignment="1"/>
    <xf numFmtId="0" fontId="3" fillId="4" borderId="23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168" fontId="2" fillId="0" borderId="27" xfId="1" applyNumberFormat="1" applyFont="1" applyBorder="1"/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vertical="center" wrapText="1"/>
    </xf>
    <xf numFmtId="0" fontId="3" fillId="4" borderId="23" xfId="0" applyFont="1" applyFill="1" applyBorder="1" applyAlignment="1">
      <alignment horizontal="center"/>
    </xf>
    <xf numFmtId="2" fontId="2" fillId="0" borderId="0" xfId="0" applyNumberFormat="1" applyFont="1"/>
    <xf numFmtId="2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10" fontId="2" fillId="0" borderId="0" xfId="1" applyNumberFormat="1" applyFont="1"/>
    <xf numFmtId="2" fontId="2" fillId="2" borderId="4" xfId="0" applyNumberFormat="1" applyFont="1" applyFill="1" applyBorder="1" applyAlignment="1">
      <alignment horizontal="center"/>
    </xf>
    <xf numFmtId="10" fontId="4" fillId="0" borderId="0" xfId="1" applyNumberFormat="1" applyFont="1"/>
    <xf numFmtId="0" fontId="2" fillId="2" borderId="24" xfId="0" applyFont="1" applyFill="1" applyBorder="1" applyAlignment="1">
      <alignment horizontal="center"/>
    </xf>
    <xf numFmtId="0" fontId="3" fillId="2" borderId="25" xfId="0" applyFont="1" applyFill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168" fontId="3" fillId="0" borderId="25" xfId="1" applyNumberFormat="1" applyFont="1" applyFill="1" applyBorder="1" applyAlignment="1">
      <alignment horizontal="center" vertical="center" wrapText="1"/>
    </xf>
    <xf numFmtId="167" fontId="3" fillId="0" borderId="26" xfId="1" applyNumberFormat="1" applyFont="1" applyFill="1" applyBorder="1" applyAlignment="1">
      <alignment horizontal="center" vertical="center" wrapText="1"/>
    </xf>
    <xf numFmtId="167" fontId="2" fillId="0" borderId="25" xfId="1" applyNumberFormat="1" applyFont="1" applyFill="1" applyBorder="1" applyAlignment="1"/>
    <xf numFmtId="0" fontId="2" fillId="2" borderId="28" xfId="0" applyFont="1" applyFill="1" applyBorder="1"/>
    <xf numFmtId="168" fontId="2" fillId="0" borderId="0" xfId="0" applyNumberFormat="1" applyFont="1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6" fillId="2" borderId="15" xfId="0" applyNumberFormat="1" applyFont="1" applyFill="1" applyBorder="1" applyAlignment="1">
      <alignment horizontal="center"/>
    </xf>
    <xf numFmtId="0" fontId="7" fillId="7" borderId="12" xfId="0" applyFont="1" applyFill="1" applyBorder="1" applyAlignment="1">
      <alignment horizontal="center"/>
    </xf>
    <xf numFmtId="0" fontId="7" fillId="7" borderId="29" xfId="0" applyFont="1" applyFill="1" applyBorder="1" applyAlignment="1">
      <alignment horizontal="center"/>
    </xf>
    <xf numFmtId="0" fontId="7" fillId="7" borderId="13" xfId="0" applyFont="1" applyFill="1" applyBorder="1" applyAlignment="1">
      <alignment horizontal="center"/>
    </xf>
    <xf numFmtId="168" fontId="3" fillId="0" borderId="19" xfId="1" applyNumberFormat="1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7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ECFF"/>
      <rgbColor rgb="00660066"/>
      <rgbColor rgb="00FF8080"/>
      <rgbColor rgb="000066CC"/>
      <rgbColor rgb="00CCCCFF"/>
      <rgbColor rgb="00000080"/>
      <rgbColor rgb="00EAEAEA"/>
      <rgbColor rgb="00DDDDDD"/>
      <rgbColor rgb="006666FF"/>
      <rgbColor rgb="007A8C8A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20:17:02</v>
        <stp/>
        <stp>{D9297FF0-93D8-41DC-85B5-52CD77A1DCF0}</stp>
        <tr r="C4" s="1"/>
      </tp>
      <tp t="s">
        <v>Updated at 20:17:02</v>
        <stp/>
        <stp>{482537C8-6130-40FC-8891-90B50CE578A4}</stp>
        <tr r="F4" s="20"/>
      </tp>
      <tp t="s">
        <v>Updated at 20:17:11</v>
        <stp/>
        <stp>{A0E0911A-7CE8-4CF4-AF2F-2E3E88EBAD0E}</stp>
        <tr r="F4" s="13"/>
      </tp>
      <tp t="s">
        <v>Updated at 20:17:02</v>
        <stp/>
        <stp>{0827DBC1-5A45-4A9B-8D03-DD7B8A8EC896}</stp>
        <tr r="F4" s="18"/>
      </tp>
      <tp t="s">
        <v>Updated at 20:17:02</v>
        <stp/>
        <stp>{245C7CB8-C23B-447D-9421-36CDF8434806}</stp>
        <tr r="F5" s="22"/>
      </tp>
      <tp t="s">
        <v>Updated at 20:17:02</v>
        <stp/>
        <stp>{791317A6-30BF-43C7-B7D1-A2A1E131E625}</stp>
        <tr r="B4" s="6"/>
      </tp>
      <tp t="s">
        <v>Updated at 20:17:02</v>
        <stp/>
        <stp>{B0FCF167-7854-451B-ABE3-7DFF01DAFEF4}</stp>
        <tr r="F4" s="17"/>
      </tp>
      <tp t="s">
        <v>Updated at 20:17:02</v>
        <stp/>
        <stp>{3D0A6B74-FB6F-44C0-8C6B-08030535D78A}</stp>
        <tr r="F4" s="19"/>
      </tp>
      <tp t="s">
        <v>Updated at 20:17:02</v>
        <stp/>
        <stp>{B49C0CB2-B69C-465D-8729-D613C9E8CC84}</stp>
        <tr r="C27" s="1"/>
      </tp>
      <tp t="s">
        <v>Updated at 20:17:02</v>
        <stp/>
        <stp>{3CCB99B3-EC2C-4CBE-9F65-63AE50AEB909}</stp>
        <tr r="F4" s="10"/>
      </tp>
      <tp t="s">
        <v>Updated at 20:17:10</v>
        <stp/>
        <stp>{BD0640D3-EFE4-4114-BA07-F3A65374B367}</stp>
        <tr r="F5" s="5"/>
      </tp>
      <tp t="s">
        <v>Updated at 20:17:02</v>
        <stp/>
        <stp>{E073AF97-53E3-46F4-8812-9046FC9B19C9}</stp>
        <tr r="F4" s="11"/>
      </tp>
      <tp t="s">
        <v>Updated at 20:17:02</v>
        <stp/>
        <stp>{7B23C71E-95BE-48EF-8B0A-3B261D082890}</stp>
        <tr r="F4" s="4"/>
      </tp>
      <tp t="s">
        <v>Updated at 20:17:02</v>
        <stp/>
        <stp>{A2F25646-0F6D-407D-9748-883EDBD52374}</stp>
        <tr r="F4" s="14"/>
      </tp>
      <tp t="s">
        <v>Updated at 20:17:02</v>
        <stp/>
        <stp>{4CDB2B11-C76E-45D3-B4D3-678B51402C6C}</stp>
        <tr r="F4" s="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18</xdr:row>
          <xdr:rowOff>57150</xdr:rowOff>
        </xdr:from>
        <xdr:to>
          <xdr:col>3</xdr:col>
          <xdr:colOff>381000</xdr:colOff>
          <xdr:row>20</xdr:row>
          <xdr:rowOff>47625</xdr:rowOff>
        </xdr:to>
        <xdr:sp macro="" textlink="">
          <xdr:nvSpPr>
            <xdr:cNvPr id="2061" name="CommandButton1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64" name="CommandButton2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6"/>
  <sheetViews>
    <sheetView tabSelected="1" workbookViewId="0">
      <selection activeCell="D18" sqref="D18"/>
    </sheetView>
  </sheetViews>
  <sheetFormatPr defaultRowHeight="12.75" x14ac:dyDescent="0.2"/>
  <cols>
    <col min="1" max="1" width="3" style="17" customWidth="1"/>
    <col min="2" max="2" width="5.140625" style="17" customWidth="1"/>
    <col min="3" max="3" width="14.85546875" style="17" bestFit="1" customWidth="1"/>
    <col min="4" max="4" width="21.42578125" style="17" bestFit="1" customWidth="1"/>
    <col min="5" max="5" width="20.7109375" style="17" bestFit="1" customWidth="1"/>
    <col min="6" max="6" width="5.42578125" style="17" customWidth="1"/>
    <col min="7" max="16384" width="9.140625" style="17"/>
  </cols>
  <sheetData>
    <row r="1" spans="1:36" s="16" customFormat="1" ht="13.5" thickBot="1" x14ac:dyDescent="0.25">
      <c r="B1" s="16" t="str">
        <f>_xll.qlxlVersion(TRUE,Trigger)</f>
        <v>QuantLibXL 1.2.0 - MS VC++ 9.0 - Multithreaded Dynamic Runtime library - Release Configuration - Jan 18 2013 12:11:06</v>
      </c>
    </row>
    <row r="2" spans="1:36" s="16" customFormat="1" ht="15.75" x14ac:dyDescent="0.25">
      <c r="B2" s="261" t="s">
        <v>78</v>
      </c>
      <c r="C2" s="262"/>
      <c r="D2" s="262"/>
      <c r="E2" s="262"/>
      <c r="F2" s="263"/>
    </row>
    <row r="3" spans="1:36" customFormat="1" x14ac:dyDescent="0.2">
      <c r="A3" s="16"/>
      <c r="B3" s="209"/>
      <c r="C3" s="19"/>
      <c r="D3" s="19"/>
      <c r="E3" s="19"/>
      <c r="F3" s="210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</row>
    <row r="4" spans="1:36" customFormat="1" x14ac:dyDescent="0.2">
      <c r="A4" s="16"/>
      <c r="B4" s="209"/>
      <c r="C4" s="200" t="s">
        <v>14</v>
      </c>
      <c r="D4" s="194" t="s">
        <v>116</v>
      </c>
      <c r="E4" s="20"/>
      <c r="F4" s="211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</row>
    <row r="5" spans="1:36" customFormat="1" x14ac:dyDescent="0.2">
      <c r="A5" s="16"/>
      <c r="B5" s="209"/>
      <c r="C5" s="201" t="s">
        <v>75</v>
      </c>
      <c r="D5" s="202">
        <v>41570.845069444447</v>
      </c>
      <c r="E5" s="20"/>
      <c r="F5" s="211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</row>
    <row r="6" spans="1:36" customFormat="1" x14ac:dyDescent="0.2">
      <c r="A6" s="16"/>
      <c r="B6" s="209"/>
      <c r="C6" s="201" t="s">
        <v>103</v>
      </c>
      <c r="D6" s="260" t="s">
        <v>174</v>
      </c>
      <c r="E6" s="20"/>
      <c r="F6" s="211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</row>
    <row r="7" spans="1:36" customFormat="1" x14ac:dyDescent="0.2">
      <c r="A7" s="16"/>
      <c r="B7" s="209"/>
      <c r="C7" s="201" t="s">
        <v>28</v>
      </c>
      <c r="D7" s="203">
        <f>_xll.ohTrigger(Deposits!J3,FRA!Q3,Futures3M!R4,FuturesConvexityAdjustment!L3,Swap1M!Q3,Swap3M!Q3,SwapIMMDated!Q3,Swap6M!Q3,BasisSwap1MXM!Q3,BasisSwap3M6M!Q3,BasisSwapXM12M!Q3,EONIAOIS!Q3)</f>
        <v>85</v>
      </c>
      <c r="E7" s="20"/>
      <c r="F7" s="211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</row>
    <row r="8" spans="1:36" customFormat="1" x14ac:dyDescent="0.2">
      <c r="A8" s="16"/>
      <c r="B8" s="209"/>
      <c r="C8" s="204" t="s">
        <v>105</v>
      </c>
      <c r="D8" s="205" t="s">
        <v>104</v>
      </c>
      <c r="E8" s="20"/>
      <c r="F8" s="211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</row>
    <row r="9" spans="1:36" customFormat="1" x14ac:dyDescent="0.2">
      <c r="A9" s="16"/>
      <c r="B9" s="209"/>
      <c r="C9" s="20"/>
      <c r="D9" s="126"/>
      <c r="E9" s="20"/>
      <c r="F9" s="211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</row>
    <row r="10" spans="1:36" customFormat="1" x14ac:dyDescent="0.2">
      <c r="A10" s="16"/>
      <c r="B10" s="209"/>
      <c r="C10" s="198" t="s">
        <v>16</v>
      </c>
      <c r="D10" s="197" t="s">
        <v>22</v>
      </c>
      <c r="E10" s="20"/>
      <c r="F10" s="211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</row>
    <row r="11" spans="1:36" customFormat="1" x14ac:dyDescent="0.2">
      <c r="A11" s="16"/>
      <c r="B11" s="209"/>
      <c r="C11" s="21" t="s">
        <v>2</v>
      </c>
      <c r="D11" s="195" t="str">
        <f>""</f>
        <v/>
      </c>
      <c r="E11" s="20"/>
      <c r="F11" s="211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</row>
    <row r="12" spans="1:36" customFormat="1" x14ac:dyDescent="0.2">
      <c r="A12" s="16"/>
      <c r="B12" s="209"/>
      <c r="C12" s="21" t="s">
        <v>3</v>
      </c>
      <c r="D12" s="195" t="s">
        <v>4</v>
      </c>
      <c r="E12" s="206"/>
      <c r="F12" s="211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</row>
    <row r="13" spans="1:36" customFormat="1" x14ac:dyDescent="0.2">
      <c r="A13" s="16"/>
      <c r="B13" s="209"/>
      <c r="C13" s="21" t="s">
        <v>5</v>
      </c>
      <c r="D13" s="195" t="s">
        <v>5</v>
      </c>
      <c r="E13" s="206"/>
      <c r="F13" s="211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</row>
    <row r="14" spans="1:36" customFormat="1" x14ac:dyDescent="0.2">
      <c r="A14" s="16"/>
      <c r="B14" s="209"/>
      <c r="C14" s="21" t="s">
        <v>6</v>
      </c>
      <c r="D14" s="195" t="s">
        <v>7</v>
      </c>
      <c r="E14" s="206"/>
      <c r="F14" s="211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</row>
    <row r="15" spans="1:36" customFormat="1" x14ac:dyDescent="0.2">
      <c r="A15" s="16"/>
      <c r="B15" s="209"/>
      <c r="C15" s="21" t="s">
        <v>8</v>
      </c>
      <c r="D15" s="195" t="s">
        <v>9</v>
      </c>
      <c r="E15" s="206"/>
      <c r="F15" s="211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</row>
    <row r="16" spans="1:36" customFormat="1" x14ac:dyDescent="0.2">
      <c r="A16" s="16"/>
      <c r="B16" s="209"/>
      <c r="C16" s="21" t="s">
        <v>10</v>
      </c>
      <c r="D16" s="195" t="s">
        <v>154</v>
      </c>
      <c r="E16" s="206"/>
      <c r="F16" s="211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</row>
    <row r="17" spans="1:36" customFormat="1" x14ac:dyDescent="0.2">
      <c r="A17" s="16"/>
      <c r="B17" s="209"/>
      <c r="C17" s="199" t="s">
        <v>176</v>
      </c>
      <c r="D17" s="196" t="s">
        <v>177</v>
      </c>
      <c r="E17" s="206"/>
      <c r="F17" s="211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</row>
    <row r="18" spans="1:36" customFormat="1" x14ac:dyDescent="0.2">
      <c r="A18" s="16"/>
      <c r="B18" s="209"/>
      <c r="C18" s="22"/>
      <c r="D18" s="22"/>
      <c r="E18" s="22"/>
      <c r="F18" s="211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</row>
    <row r="19" spans="1:36" customFormat="1" x14ac:dyDescent="0.2">
      <c r="A19" s="16"/>
      <c r="B19" s="209"/>
      <c r="C19" s="22"/>
      <c r="D19" s="22"/>
      <c r="E19" s="22"/>
      <c r="F19" s="211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</row>
    <row r="20" spans="1:36" customFormat="1" x14ac:dyDescent="0.2">
      <c r="A20" s="16"/>
      <c r="B20" s="209"/>
      <c r="C20" s="22"/>
      <c r="D20" s="23" t="s">
        <v>77</v>
      </c>
      <c r="E20" s="41">
        <v>41570.838356481479</v>
      </c>
      <c r="F20" s="35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</row>
    <row r="21" spans="1:36" customFormat="1" x14ac:dyDescent="0.2">
      <c r="A21" s="16"/>
      <c r="B21" s="209"/>
      <c r="C21" s="22"/>
      <c r="D21" s="207"/>
      <c r="E21" s="208"/>
      <c r="F21" s="211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</row>
    <row r="22" spans="1:36" customFormat="1" x14ac:dyDescent="0.2">
      <c r="A22" s="16"/>
      <c r="B22" s="209"/>
      <c r="C22" s="22"/>
      <c r="D22" s="23"/>
      <c r="E22" s="208"/>
      <c r="F22" s="35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</row>
    <row r="23" spans="1:36" customFormat="1" x14ac:dyDescent="0.2">
      <c r="A23" s="16"/>
      <c r="B23" s="209"/>
      <c r="C23" s="22"/>
      <c r="D23" s="23" t="s">
        <v>33</v>
      </c>
      <c r="E23" s="120" t="b">
        <v>1</v>
      </c>
      <c r="F23" s="35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</row>
    <row r="24" spans="1:36" customFormat="1" ht="11.25" customHeight="1" thickBot="1" x14ac:dyDescent="0.25">
      <c r="A24" s="16"/>
      <c r="B24" s="212"/>
      <c r="C24" s="37"/>
      <c r="D24" s="37"/>
      <c r="E24" s="37"/>
      <c r="F24" s="38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</row>
    <row r="25" spans="1:36" s="16" customFormat="1" x14ac:dyDescent="0.2">
      <c r="C25" s="18"/>
      <c r="D25" s="18"/>
      <c r="E25" s="18"/>
      <c r="F25" s="18"/>
    </row>
    <row r="26" spans="1:36" s="16" customFormat="1" x14ac:dyDescent="0.2">
      <c r="C26" s="18"/>
      <c r="D26" s="18"/>
      <c r="E26" s="18"/>
      <c r="F26" s="18"/>
    </row>
    <row r="27" spans="1:36" s="16" customFormat="1" x14ac:dyDescent="0.2">
      <c r="C27" s="18"/>
      <c r="D27" s="18"/>
      <c r="E27" s="18"/>
      <c r="F27" s="18"/>
    </row>
    <row r="28" spans="1:36" s="16" customFormat="1" x14ac:dyDescent="0.2">
      <c r="C28" s="18"/>
      <c r="D28" s="18"/>
      <c r="E28" s="18"/>
      <c r="F28" s="18"/>
    </row>
    <row r="29" spans="1:36" s="16" customFormat="1" x14ac:dyDescent="0.2">
      <c r="C29" s="18"/>
      <c r="D29" s="18"/>
      <c r="E29" s="18"/>
      <c r="F29" s="18"/>
    </row>
    <row r="30" spans="1:36" s="16" customFormat="1" x14ac:dyDescent="0.2">
      <c r="C30" s="18"/>
      <c r="D30" s="18"/>
      <c r="E30" s="18"/>
      <c r="F30" s="18"/>
    </row>
    <row r="31" spans="1:36" s="16" customFormat="1" x14ac:dyDescent="0.2"/>
    <row r="32" spans="1:36" s="16" customFormat="1" x14ac:dyDescent="0.2"/>
    <row r="33" s="16" customFormat="1" x14ac:dyDescent="0.2"/>
    <row r="34" s="16" customFormat="1" x14ac:dyDescent="0.2"/>
    <row r="35" s="16" customFormat="1" x14ac:dyDescent="0.2"/>
    <row r="36" s="16" customFormat="1" x14ac:dyDescent="0.2"/>
    <row r="37" s="16" customFormat="1" x14ac:dyDescent="0.2"/>
    <row r="38" s="16" customFormat="1" x14ac:dyDescent="0.2"/>
    <row r="39" s="16" customFormat="1" x14ac:dyDescent="0.2"/>
    <row r="40" s="16" customFormat="1" x14ac:dyDescent="0.2"/>
    <row r="41" s="16" customFormat="1" x14ac:dyDescent="0.2"/>
    <row r="42" s="16" customFormat="1" x14ac:dyDescent="0.2"/>
    <row r="43" s="16" customFormat="1" x14ac:dyDescent="0.2"/>
    <row r="44" s="16" customFormat="1" x14ac:dyDescent="0.2"/>
    <row r="45" s="16" customFormat="1" x14ac:dyDescent="0.2"/>
    <row r="46" s="16" customFormat="1" x14ac:dyDescent="0.2"/>
    <row r="47" s="16" customFormat="1" x14ac:dyDescent="0.2"/>
    <row r="48" s="16" customFormat="1" x14ac:dyDescent="0.2"/>
    <row r="49" s="16" customFormat="1" x14ac:dyDescent="0.2"/>
    <row r="50" s="16" customFormat="1" x14ac:dyDescent="0.2"/>
    <row r="51" s="16" customFormat="1" x14ac:dyDescent="0.2"/>
    <row r="52" s="16" customFormat="1" x14ac:dyDescent="0.2"/>
    <row r="53" s="16" customFormat="1" x14ac:dyDescent="0.2"/>
    <row r="54" s="16" customFormat="1" x14ac:dyDescent="0.2"/>
    <row r="55" s="16" customFormat="1" x14ac:dyDescent="0.2"/>
    <row r="56" s="16" customFormat="1" x14ac:dyDescent="0.2"/>
  </sheetData>
  <mergeCells count="1">
    <mergeCell ref="B2:F2"/>
  </mergeCells>
  <phoneticPr fontId="4" type="noConversion"/>
  <conditionalFormatting sqref="E23">
    <cfRule type="cellIs" dxfId="26" priority="1" stopIfTrue="1" operator="equal">
      <formula>TRUE</formula>
    </cfRule>
  </conditionalFormatting>
  <dataValidations count="2">
    <dataValidation type="list" allowBlank="1" showInputMessage="1" showErrorMessage="1" sqref="D4">
      <formula1>"EUR,USD,GBP,JPY,CHF"</formula1>
    </dataValidation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64" r:id="rId4" name="CommandButton2"/>
      </mc:Fallback>
    </mc:AlternateContent>
    <mc:AlternateContent xmlns:mc="http://schemas.openxmlformats.org/markup-compatibility/2006">
      <mc:Choice Requires="x14">
        <control shapeId="2061" r:id="rId6" name="CommandButton1">
          <controlPr defaultSize="0" autoLine="0" r:id="rId7">
            <anchor moveWithCells="1">
              <from>
                <xdr:col>1</xdr:col>
                <xdr:colOff>333375</xdr:colOff>
                <xdr:row>18</xdr:row>
                <xdr:rowOff>57150</xdr:rowOff>
              </from>
              <to>
                <xdr:col>3</xdr:col>
                <xdr:colOff>381000</xdr:colOff>
                <xdr:row>20</xdr:row>
                <xdr:rowOff>47625</xdr:rowOff>
              </to>
            </anchor>
          </controlPr>
        </control>
      </mc:Choice>
      <mc:Fallback>
        <control shapeId="206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>
      <selection activeCell="C2" sqref="C2"/>
    </sheetView>
  </sheetViews>
  <sheetFormatPr defaultRowHeight="12.75" x14ac:dyDescent="0.2"/>
  <sheetData>
    <row r="2" spans="2:3" x14ac:dyDescent="0.2">
      <c r="B2" t="s">
        <v>114</v>
      </c>
    </row>
    <row r="3" spans="2:3" x14ac:dyDescent="0.2">
      <c r="B3" t="s">
        <v>88</v>
      </c>
      <c r="C3">
        <f>_xll.ohTrigger(ISERROR(Deposits!$J$11),ISERROR(Swap1M!Counter),ISERROR(Futures1M!Counter))</f>
        <v>21</v>
      </c>
    </row>
    <row r="4" spans="2:3" x14ac:dyDescent="0.2">
      <c r="B4" t="s">
        <v>90</v>
      </c>
      <c r="C4">
        <f>_xll.ohTrigger(ISERROR(Deposits!J13),ISERROR(FRA!Q5:Q10),ISERROR(Futures3M!Counter))</f>
        <v>28</v>
      </c>
    </row>
    <row r="5" spans="2:3" x14ac:dyDescent="0.2">
      <c r="B5" t="s">
        <v>93</v>
      </c>
      <c r="C5">
        <f>_xll.ohTrigger(ISERROR(Deposits!J16),ISERROR(FRA!Q11:Q18))</f>
        <v>13</v>
      </c>
    </row>
  </sheetData>
  <phoneticPr fontId="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30"/>
  <sheetViews>
    <sheetView workbookViewId="0">
      <selection activeCell="J3" sqref="J3"/>
    </sheetView>
  </sheetViews>
  <sheetFormatPr defaultRowHeight="11.25" x14ac:dyDescent="0.2"/>
  <cols>
    <col min="1" max="1" width="4.28515625" style="44" customWidth="1"/>
    <col min="2" max="2" width="3.42578125" style="44" bestFit="1" customWidth="1"/>
    <col min="3" max="3" width="12.140625" style="44" bestFit="1" customWidth="1"/>
    <col min="4" max="4" width="26.28515625" style="44" bestFit="1" customWidth="1"/>
    <col min="5" max="6" width="5.7109375" style="44" bestFit="1" customWidth="1"/>
    <col min="7" max="7" width="4.28515625" style="44" customWidth="1"/>
    <col min="8" max="8" width="12.42578125" style="44" bestFit="1" customWidth="1"/>
    <col min="9" max="9" width="26.28515625" style="44" bestFit="1" customWidth="1"/>
    <col min="10" max="10" width="7.7109375" style="44" bestFit="1" customWidth="1"/>
    <col min="11" max="11" width="4.28515625" style="44" customWidth="1"/>
    <col min="12" max="12" width="2.140625" style="44" customWidth="1"/>
    <col min="13" max="13" width="9.42578125" style="44" bestFit="1" customWidth="1"/>
    <col min="14" max="15" width="7.140625" style="44" bestFit="1" customWidth="1"/>
    <col min="16" max="16" width="5.140625" style="44" bestFit="1" customWidth="1"/>
    <col min="17" max="17" width="4.85546875" style="44" bestFit="1" customWidth="1"/>
    <col min="18" max="16384" width="9.140625" style="44"/>
  </cols>
  <sheetData>
    <row r="1" spans="1:28" x14ac:dyDescent="0.2">
      <c r="A1" s="2"/>
      <c r="B1" s="3"/>
      <c r="D1" s="3"/>
      <c r="E1" s="3"/>
      <c r="F1" s="3"/>
      <c r="G1" s="3"/>
      <c r="H1" s="3"/>
      <c r="I1" s="3"/>
      <c r="J1" s="3"/>
      <c r="K1" s="4"/>
    </row>
    <row r="2" spans="1:28" x14ac:dyDescent="0.2">
      <c r="A2" s="5"/>
      <c r="B2" s="45"/>
      <c r="C2" s="117" t="s">
        <v>140</v>
      </c>
      <c r="D2" s="6"/>
      <c r="E2" s="6"/>
      <c r="F2" s="6"/>
      <c r="G2" s="6"/>
      <c r="H2" s="231" t="s">
        <v>79</v>
      </c>
      <c r="I2" s="232" t="s">
        <v>151</v>
      </c>
      <c r="J2" s="1"/>
      <c r="K2" s="8"/>
      <c r="Y2" s="44">
        <v>0</v>
      </c>
      <c r="AB2" s="44">
        <v>1</v>
      </c>
    </row>
    <row r="3" spans="1:28" x14ac:dyDescent="0.2">
      <c r="A3" s="9"/>
      <c r="B3" s="6"/>
      <c r="C3" s="6"/>
      <c r="D3" s="6"/>
      <c r="E3" s="6"/>
      <c r="F3" s="6"/>
      <c r="G3" s="6"/>
      <c r="H3" s="1"/>
      <c r="I3" s="1"/>
      <c r="J3" s="48">
        <f>_xll.ohTrigger(J5:J18)</f>
        <v>13</v>
      </c>
      <c r="K3" s="10"/>
    </row>
    <row r="4" spans="1:28" ht="27" customHeight="1" x14ac:dyDescent="0.2">
      <c r="A4" s="9"/>
      <c r="B4" s="91"/>
      <c r="C4" s="85" t="str">
        <f>_xll.RData(C8:C22,D4,,ReutersRtMode,,D8)</f>
        <v>Updated at 20:17:02</v>
      </c>
      <c r="D4" s="190" t="str">
        <f>VLOOKUP(Contributor,ContributorTable,5,FALSE)</f>
        <v>LAST</v>
      </c>
      <c r="E4" s="6"/>
      <c r="F4" s="90" t="s">
        <v>115</v>
      </c>
      <c r="G4" s="6"/>
      <c r="H4" s="91" t="s">
        <v>31</v>
      </c>
      <c r="I4" s="191" t="s">
        <v>17</v>
      </c>
      <c r="J4" s="87" t="s">
        <v>24</v>
      </c>
      <c r="K4" s="10"/>
      <c r="M4" s="239" t="s">
        <v>16</v>
      </c>
      <c r="N4" s="240" t="s">
        <v>148</v>
      </c>
      <c r="O4" s="240" t="s">
        <v>149</v>
      </c>
      <c r="P4" s="240" t="s">
        <v>142</v>
      </c>
      <c r="Q4" s="241" t="s">
        <v>147</v>
      </c>
    </row>
    <row r="5" spans="1:28" x14ac:dyDescent="0.2">
      <c r="A5" s="9"/>
      <c r="B5" s="170" t="s">
        <v>144</v>
      </c>
      <c r="C5" s="255" t="str">
        <f t="array" ref="C5:C7">Currency&amp;VLOOKUP(C25,ContributorTable,2,FALSE)&amp;B5:B7&amp;VLOOKUP(C25,ContributorTable,3,FALSE)&amp;"="&amp;VLOOKUP(C25,ContributorTable,4,FALSE)</f>
        <v>USDOND=CKCC</v>
      </c>
      <c r="D5" s="174">
        <f>F28</f>
        <v>0.16</v>
      </c>
      <c r="E5" s="6"/>
      <c r="F5" s="233">
        <v>0.16</v>
      </c>
      <c r="G5" s="6"/>
      <c r="H5" s="192" t="str">
        <f t="array" ref="H5:H22">Currency&amp;B5:B22&amp;$I$2</f>
        <v>USDOND_Quote</v>
      </c>
      <c r="I5" s="95">
        <f t="array" ref="I5:I22">QuoteLive</f>
        <v>0.16</v>
      </c>
      <c r="J5" s="96">
        <f>_xll.qlSimpleQuoteSetValue($H5,$I5/100,Trigger)</f>
        <v>0</v>
      </c>
      <c r="K5" s="10"/>
      <c r="M5" s="234" t="s">
        <v>139</v>
      </c>
      <c r="N5" s="103" t="s">
        <v>150</v>
      </c>
      <c r="O5" s="103" t="s">
        <v>143</v>
      </c>
      <c r="P5" s="103" t="str">
        <f>""</f>
        <v/>
      </c>
      <c r="Q5" s="235" t="s">
        <v>25</v>
      </c>
    </row>
    <row r="6" spans="1:28" x14ac:dyDescent="0.2">
      <c r="A6" s="9"/>
      <c r="B6" s="76" t="s">
        <v>145</v>
      </c>
      <c r="C6" s="26" t="str">
        <v>USDTND=CKCC</v>
      </c>
      <c r="D6" s="77">
        <f>F29</f>
        <v>0.16</v>
      </c>
      <c r="E6" s="6"/>
      <c r="F6" s="88">
        <v>0.16</v>
      </c>
      <c r="G6" s="6"/>
      <c r="H6" s="131" t="str">
        <v>USDTND_Quote</v>
      </c>
      <c r="I6" s="15">
        <v>0.16</v>
      </c>
      <c r="J6" s="98">
        <f>_xll.qlSimpleQuoteSetValue($H6,$I6/100,Trigger)</f>
        <v>0</v>
      </c>
      <c r="K6" s="10"/>
      <c r="M6" s="234" t="s">
        <v>140</v>
      </c>
      <c r="N6" s="103"/>
      <c r="O6" s="103" t="s">
        <v>141</v>
      </c>
      <c r="P6" s="103"/>
      <c r="Q6" s="235" t="s">
        <v>25</v>
      </c>
    </row>
    <row r="7" spans="1:28" x14ac:dyDescent="0.2">
      <c r="A7" s="9"/>
      <c r="B7" s="78" t="s">
        <v>146</v>
      </c>
      <c r="C7" s="110" t="str">
        <v>USDSND=CKCC</v>
      </c>
      <c r="D7" s="82">
        <f>F30</f>
        <v>0.16</v>
      </c>
      <c r="E7" s="6"/>
      <c r="F7" s="89">
        <v>0.16</v>
      </c>
      <c r="G7" s="6"/>
      <c r="H7" s="132" t="str">
        <v>USDSND_Quote</v>
      </c>
      <c r="I7" s="81">
        <v>0.16</v>
      </c>
      <c r="J7" s="100">
        <f>_xll.qlSimpleQuoteSetValue($H7,$I7/100,Trigger)</f>
        <v>0</v>
      </c>
      <c r="K7" s="10"/>
      <c r="M7" s="234" t="s">
        <v>2</v>
      </c>
      <c r="N7" s="103"/>
      <c r="O7" s="103" t="s">
        <v>143</v>
      </c>
      <c r="P7" s="103"/>
      <c r="Q7" s="235" t="s">
        <v>1</v>
      </c>
    </row>
    <row r="8" spans="1:28" x14ac:dyDescent="0.2">
      <c r="A8" s="9"/>
      <c r="B8" s="76" t="s">
        <v>85</v>
      </c>
      <c r="C8" s="26" t="str">
        <f t="array" ref="C8:C22">Currency&amp;VLOOKUP(Contributor,ContributorTable,2,FALSE)&amp;B8:B22&amp;VLOOKUP(Contributor,ContributorTable,3,FALSE)&amp;"="&amp;VLOOKUP(Contributor,ContributorTable,4,FALSE)</f>
        <v>USDSWFSR=</v>
      </c>
      <c r="D8" s="77">
        <v>0.1389</v>
      </c>
      <c r="E8" s="6"/>
      <c r="F8" s="88">
        <v>0.1389</v>
      </c>
      <c r="G8" s="6"/>
      <c r="H8" s="131" t="str">
        <v>USDSWD_Quote</v>
      </c>
      <c r="I8" s="15">
        <v>0.1389</v>
      </c>
      <c r="J8" s="98">
        <f>_xll.qlSimpleQuoteSetValue($H8,$I8/100,Trigger)</f>
        <v>0</v>
      </c>
      <c r="K8" s="10"/>
      <c r="M8" s="234" t="s">
        <v>3</v>
      </c>
      <c r="N8" s="103"/>
      <c r="O8" s="103" t="s">
        <v>143</v>
      </c>
      <c r="P8" s="103" t="s">
        <v>4</v>
      </c>
      <c r="Q8" s="235" t="s">
        <v>1</v>
      </c>
    </row>
    <row r="9" spans="1:28" x14ac:dyDescent="0.2">
      <c r="A9" s="9"/>
      <c r="B9" s="76" t="s">
        <v>86</v>
      </c>
      <c r="C9" s="26" t="str">
        <v>USD2WFSR=</v>
      </c>
      <c r="D9" s="77">
        <v>0</v>
      </c>
      <c r="E9" s="6"/>
      <c r="F9" s="88">
        <v>0</v>
      </c>
      <c r="G9" s="6"/>
      <c r="H9" s="131" t="str">
        <v>USD2WD_Quote</v>
      </c>
      <c r="I9" s="15">
        <v>0</v>
      </c>
      <c r="J9" s="98">
        <f>_xll.qlSimpleQuoteSetValue($H9,$I9/100,Trigger)</f>
        <v>0</v>
      </c>
      <c r="K9" s="10"/>
      <c r="M9" s="234" t="s">
        <v>5</v>
      </c>
      <c r="N9" s="103"/>
      <c r="O9" s="103" t="s">
        <v>143</v>
      </c>
      <c r="P9" s="103" t="s">
        <v>5</v>
      </c>
      <c r="Q9" s="235" t="s">
        <v>1</v>
      </c>
    </row>
    <row r="10" spans="1:28" x14ac:dyDescent="0.2">
      <c r="A10" s="9"/>
      <c r="B10" s="76" t="s">
        <v>87</v>
      </c>
      <c r="C10" s="26" t="str">
        <v>USD3WFSR=</v>
      </c>
      <c r="D10" s="77" t="s">
        <v>175</v>
      </c>
      <c r="E10" s="6"/>
      <c r="F10" s="88" t="s">
        <v>175</v>
      </c>
      <c r="G10" s="6"/>
      <c r="H10" s="131" t="str">
        <v>USD3WD_Quote</v>
      </c>
      <c r="I10" s="15" t="str">
        <v>The record could not be found</v>
      </c>
      <c r="J10" s="98" t="e">
        <f>_xll.qlSimpleQuoteSetValue($H10,$I10/100,Trigger)</f>
        <v>#NUM!</v>
      </c>
      <c r="K10" s="10"/>
      <c r="M10" s="234" t="s">
        <v>6</v>
      </c>
      <c r="N10" s="103"/>
      <c r="O10" s="103" t="s">
        <v>143</v>
      </c>
      <c r="P10" s="103" t="s">
        <v>7</v>
      </c>
      <c r="Q10" s="235" t="s">
        <v>1</v>
      </c>
    </row>
    <row r="11" spans="1:28" x14ac:dyDescent="0.2">
      <c r="A11" s="9"/>
      <c r="B11" s="76" t="s">
        <v>88</v>
      </c>
      <c r="C11" s="26" t="str">
        <v>USD1MFSR=</v>
      </c>
      <c r="D11" s="77">
        <v>0.17019999999999999</v>
      </c>
      <c r="E11" s="6"/>
      <c r="F11" s="88">
        <v>0.17019999999999999</v>
      </c>
      <c r="G11" s="6"/>
      <c r="H11" s="131" t="str">
        <v>USD1MD_Quote</v>
      </c>
      <c r="I11" s="15">
        <v>0.17019999999999999</v>
      </c>
      <c r="J11" s="98">
        <f>_xll.qlSimpleQuoteSetValue($H11,$I11/100,Trigger)</f>
        <v>0</v>
      </c>
      <c r="K11" s="10"/>
      <c r="M11" s="234" t="s">
        <v>8</v>
      </c>
      <c r="N11" s="103"/>
      <c r="O11" s="103" t="s">
        <v>143</v>
      </c>
      <c r="P11" s="103" t="s">
        <v>9</v>
      </c>
      <c r="Q11" s="235" t="s">
        <v>1</v>
      </c>
    </row>
    <row r="12" spans="1:28" x14ac:dyDescent="0.2">
      <c r="A12" s="9"/>
      <c r="B12" s="76" t="s">
        <v>89</v>
      </c>
      <c r="C12" s="26" t="str">
        <v>USD2MFSR=</v>
      </c>
      <c r="D12" s="77">
        <v>0.20974999999999999</v>
      </c>
      <c r="E12" s="6"/>
      <c r="F12" s="88">
        <v>0.20974999999999999</v>
      </c>
      <c r="G12" s="6"/>
      <c r="H12" s="131" t="str">
        <v>USD2MD_Quote</v>
      </c>
      <c r="I12" s="15">
        <v>0.20974999999999999</v>
      </c>
      <c r="J12" s="98">
        <f>_xll.qlSimpleQuoteSetValue($H12,$I12/100,Trigger)</f>
        <v>0</v>
      </c>
      <c r="K12" s="10"/>
      <c r="M12" s="234" t="s">
        <v>10</v>
      </c>
      <c r="N12" s="103"/>
      <c r="O12" s="103" t="s">
        <v>143</v>
      </c>
      <c r="P12" s="103" t="s">
        <v>11</v>
      </c>
      <c r="Q12" s="235" t="s">
        <v>1</v>
      </c>
    </row>
    <row r="13" spans="1:28" x14ac:dyDescent="0.2">
      <c r="A13" s="9"/>
      <c r="B13" s="76" t="s">
        <v>90</v>
      </c>
      <c r="C13" s="26" t="str">
        <v>USD3MFSR=</v>
      </c>
      <c r="D13" s="77">
        <v>0.23835000000000001</v>
      </c>
      <c r="E13" s="6"/>
      <c r="F13" s="88">
        <v>0.23835000000000001</v>
      </c>
      <c r="G13" s="6"/>
      <c r="H13" s="131" t="str">
        <v>USD3MD_Quote</v>
      </c>
      <c r="I13" s="15">
        <v>0.23835000000000001</v>
      </c>
      <c r="J13" s="98">
        <f>_xll.qlSimpleQuoteSetValue($H13,$I13/100,Trigger)</f>
        <v>0</v>
      </c>
      <c r="K13" s="10"/>
      <c r="M13" s="236" t="s">
        <v>12</v>
      </c>
      <c r="N13" s="237"/>
      <c r="O13" s="237" t="s">
        <v>143</v>
      </c>
      <c r="P13" s="237" t="s">
        <v>13</v>
      </c>
      <c r="Q13" s="238" t="s">
        <v>1</v>
      </c>
    </row>
    <row r="14" spans="1:28" x14ac:dyDescent="0.2">
      <c r="A14" s="9"/>
      <c r="B14" s="76" t="s">
        <v>91</v>
      </c>
      <c r="C14" s="26" t="str">
        <v>USD4MFSR=</v>
      </c>
      <c r="D14" s="77">
        <v>0</v>
      </c>
      <c r="E14" s="6"/>
      <c r="F14" s="88">
        <v>0</v>
      </c>
      <c r="G14" s="6"/>
      <c r="H14" s="131" t="str">
        <v>USD4MD_Quote</v>
      </c>
      <c r="I14" s="15">
        <v>0</v>
      </c>
      <c r="J14" s="98">
        <f>_xll.qlSimpleQuoteSetValue($H14,$I14/100,Trigger)</f>
        <v>0</v>
      </c>
      <c r="K14" s="10"/>
    </row>
    <row r="15" spans="1:28" x14ac:dyDescent="0.2">
      <c r="A15" s="9"/>
      <c r="B15" s="76" t="s">
        <v>92</v>
      </c>
      <c r="C15" s="26" t="str">
        <v>USD5MFSR=</v>
      </c>
      <c r="D15" s="77">
        <v>0</v>
      </c>
      <c r="E15" s="6"/>
      <c r="F15" s="88">
        <v>0</v>
      </c>
      <c r="G15" s="6"/>
      <c r="H15" s="131" t="str">
        <v>USD5MD_Quote</v>
      </c>
      <c r="I15" s="15">
        <v>0</v>
      </c>
      <c r="J15" s="98">
        <f>_xll.qlSimpleQuoteSetValue($H15,$I15/100,Trigger)</f>
        <v>0</v>
      </c>
      <c r="K15" s="10"/>
    </row>
    <row r="16" spans="1:28" x14ac:dyDescent="0.2">
      <c r="A16" s="9"/>
      <c r="B16" s="76" t="s">
        <v>93</v>
      </c>
      <c r="C16" s="26" t="str">
        <v>USD6MFSR=</v>
      </c>
      <c r="D16" s="77">
        <v>0.35570000000000002</v>
      </c>
      <c r="E16" s="6"/>
      <c r="F16" s="88">
        <v>0.35570000000000002</v>
      </c>
      <c r="G16" s="6"/>
      <c r="H16" s="131" t="str">
        <v>USD6MD_Quote</v>
      </c>
      <c r="I16" s="15">
        <v>0.35570000000000002</v>
      </c>
      <c r="J16" s="98">
        <f>_xll.qlSimpleQuoteSetValue($H16,$I16/100,Trigger)</f>
        <v>0</v>
      </c>
      <c r="K16" s="10"/>
    </row>
    <row r="17" spans="1:11" x14ac:dyDescent="0.2">
      <c r="A17" s="9"/>
      <c r="B17" s="76" t="s">
        <v>94</v>
      </c>
      <c r="C17" s="26" t="str">
        <v>USD7MFSR=</v>
      </c>
      <c r="D17" s="77">
        <v>0</v>
      </c>
      <c r="E17" s="6"/>
      <c r="F17" s="88">
        <v>0</v>
      </c>
      <c r="G17" s="6"/>
      <c r="H17" s="131" t="str">
        <v>USD7MD_Quote</v>
      </c>
      <c r="I17" s="15">
        <v>0</v>
      </c>
      <c r="J17" s="98">
        <f>_xll.qlSimpleQuoteSetValue($H17,$I17/100,Trigger)</f>
        <v>0</v>
      </c>
      <c r="K17" s="10"/>
    </row>
    <row r="18" spans="1:11" x14ac:dyDescent="0.2">
      <c r="A18" s="9"/>
      <c r="B18" s="76" t="s">
        <v>95</v>
      </c>
      <c r="C18" s="26" t="str">
        <v>USD8MFSR=</v>
      </c>
      <c r="D18" s="77">
        <v>0</v>
      </c>
      <c r="E18" s="6"/>
      <c r="F18" s="88">
        <v>0</v>
      </c>
      <c r="G18" s="6"/>
      <c r="H18" s="131" t="str">
        <v>USD8MD_Quote</v>
      </c>
      <c r="I18" s="15">
        <v>0</v>
      </c>
      <c r="J18" s="98">
        <f>_xll.qlSimpleQuoteSetValue($H18,$I18/100,Trigger)</f>
        <v>0</v>
      </c>
      <c r="K18" s="10"/>
    </row>
    <row r="19" spans="1:11" x14ac:dyDescent="0.2">
      <c r="A19" s="9"/>
      <c r="B19" s="76" t="s">
        <v>96</v>
      </c>
      <c r="C19" s="26" t="str">
        <v>USD9MFSR=</v>
      </c>
      <c r="D19" s="77">
        <v>0</v>
      </c>
      <c r="E19" s="6"/>
      <c r="F19" s="88">
        <v>0.71250000000000002</v>
      </c>
      <c r="G19" s="6"/>
      <c r="H19" s="131" t="str">
        <v>USD9MD_Quote</v>
      </c>
      <c r="I19" s="15">
        <v>0</v>
      </c>
      <c r="J19" s="98" t="e">
        <f>_xll.qlSimpleQuoteSetValue($H19,$I19/100,Trigger)</f>
        <v>#N/A</v>
      </c>
      <c r="K19" s="10"/>
    </row>
    <row r="20" spans="1:11" x14ac:dyDescent="0.2">
      <c r="A20" s="9"/>
      <c r="B20" s="76" t="s">
        <v>97</v>
      </c>
      <c r="C20" s="26" t="str">
        <v>USD10MFSR=</v>
      </c>
      <c r="D20" s="77">
        <v>0</v>
      </c>
      <c r="E20" s="6"/>
      <c r="F20" s="88">
        <v>0.76349999999999996</v>
      </c>
      <c r="G20" s="6"/>
      <c r="H20" s="131" t="str">
        <v>USD10MD_Quote</v>
      </c>
      <c r="I20" s="15">
        <v>0</v>
      </c>
      <c r="J20" s="98" t="e">
        <f>_xll.qlSimpleQuoteSetValue($H20,$I20/100,Trigger)</f>
        <v>#N/A</v>
      </c>
      <c r="K20" s="10"/>
    </row>
    <row r="21" spans="1:11" x14ac:dyDescent="0.2">
      <c r="A21" s="9"/>
      <c r="B21" s="76" t="s">
        <v>98</v>
      </c>
      <c r="C21" s="26" t="str">
        <v>USD11MFSR=</v>
      </c>
      <c r="D21" s="77">
        <v>0</v>
      </c>
      <c r="E21" s="6"/>
      <c r="F21" s="88">
        <v>0.8145</v>
      </c>
      <c r="G21" s="6"/>
      <c r="H21" s="131" t="str">
        <v>USD11MD_Quote</v>
      </c>
      <c r="I21" s="15">
        <v>0</v>
      </c>
      <c r="J21" s="98" t="e">
        <f>_xll.qlSimpleQuoteSetValue($H21,$I21/100,Trigger)</f>
        <v>#N/A</v>
      </c>
      <c r="K21" s="10"/>
    </row>
    <row r="22" spans="1:11" x14ac:dyDescent="0.2">
      <c r="A22" s="9"/>
      <c r="B22" s="76" t="s">
        <v>36</v>
      </c>
      <c r="C22" s="26" t="str">
        <v>USD1YFSR=</v>
      </c>
      <c r="D22" s="77">
        <v>0.60860000000000003</v>
      </c>
      <c r="E22" s="6"/>
      <c r="F22" s="88">
        <v>0.87150000000000005</v>
      </c>
      <c r="G22" s="6"/>
      <c r="H22" s="131" t="str">
        <v>USD1YD_Quote</v>
      </c>
      <c r="I22" s="15">
        <v>0.60860000000000003</v>
      </c>
      <c r="J22" s="98" t="e">
        <f>_xll.qlSimpleQuoteSetValue($H22,$I22/100,Trigger)</f>
        <v>#N/A</v>
      </c>
      <c r="K22" s="10"/>
    </row>
    <row r="23" spans="1:11" ht="12" thickBot="1" x14ac:dyDescent="0.25">
      <c r="A23" s="11"/>
      <c r="B23" s="256"/>
      <c r="C23" s="256"/>
      <c r="D23" s="256"/>
      <c r="E23" s="12"/>
      <c r="F23" s="256"/>
      <c r="G23" s="12"/>
      <c r="H23" s="256"/>
      <c r="I23" s="256"/>
      <c r="J23" s="256"/>
      <c r="K23" s="13"/>
    </row>
    <row r="25" spans="1:11" x14ac:dyDescent="0.2">
      <c r="C25" s="117" t="s">
        <v>3</v>
      </c>
    </row>
    <row r="26" spans="1:11" hidden="1" x14ac:dyDescent="0.2">
      <c r="A26" s="44" t="s">
        <v>76</v>
      </c>
    </row>
    <row r="27" spans="1:11" ht="22.5" x14ac:dyDescent="0.2">
      <c r="C27" s="85" t="str">
        <f>_xll.RData(C5:C7,D27:E27,"RTFEED:IDN",ReutersRtMode,,D28)</f>
        <v>Updated at 20:17:02</v>
      </c>
      <c r="D27" s="258" t="s">
        <v>0</v>
      </c>
      <c r="E27" s="259" t="s">
        <v>1</v>
      </c>
    </row>
    <row r="28" spans="1:11" x14ac:dyDescent="0.2">
      <c r="D28" s="257">
        <v>0.11</v>
      </c>
      <c r="E28" s="257">
        <v>0.21</v>
      </c>
      <c r="F28" s="257">
        <f>(D28+E28)/2</f>
        <v>0.16</v>
      </c>
    </row>
    <row r="29" spans="1:11" x14ac:dyDescent="0.2">
      <c r="D29" s="257">
        <v>0.11</v>
      </c>
      <c r="E29" s="257">
        <v>0.21</v>
      </c>
      <c r="F29" s="257">
        <f>(D29+E29)/2</f>
        <v>0.16</v>
      </c>
    </row>
    <row r="30" spans="1:11" x14ac:dyDescent="0.2">
      <c r="D30" s="257">
        <v>0.11</v>
      </c>
      <c r="E30" s="257">
        <v>0.21</v>
      </c>
      <c r="F30" s="257">
        <f>(D30+E30)/2</f>
        <v>0.16</v>
      </c>
    </row>
  </sheetData>
  <phoneticPr fontId="4" type="noConversion"/>
  <conditionalFormatting sqref="J5:J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C2 C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20"/>
  <sheetViews>
    <sheetView workbookViewId="0">
      <selection activeCell="Q3" sqref="Q3"/>
    </sheetView>
  </sheetViews>
  <sheetFormatPr defaultRowHeight="11.25" x14ac:dyDescent="0.2"/>
  <cols>
    <col min="1" max="1" width="5" style="44" customWidth="1"/>
    <col min="2" max="3" width="2.7109375" style="44" bestFit="1" customWidth="1"/>
    <col min="4" max="4" width="2" style="44" bestFit="1" customWidth="1"/>
    <col min="5" max="5" width="9.140625" style="44"/>
    <col min="6" max="6" width="13.42578125" style="44" bestFit="1" customWidth="1"/>
    <col min="7" max="8" width="5.7109375" style="44" bestFit="1" customWidth="1"/>
    <col min="9" max="9" width="5.140625" style="44" bestFit="1" customWidth="1"/>
    <col min="10" max="10" width="10.28515625" style="44" customWidth="1"/>
    <col min="11" max="11" width="5.7109375" style="44" bestFit="1" customWidth="1"/>
    <col min="12" max="12" width="7.5703125" style="44" customWidth="1"/>
    <col min="13" max="13" width="5.7109375" style="44" bestFit="1" customWidth="1"/>
    <col min="14" max="14" width="7.5703125" style="44" customWidth="1"/>
    <col min="15" max="15" width="14.28515625" style="44" bestFit="1" customWidth="1"/>
    <col min="16" max="17" width="7.7109375" style="44" bestFit="1" customWidth="1"/>
    <col min="18" max="18" width="5" style="44" customWidth="1"/>
    <col min="19" max="23" width="4.28515625" style="44" customWidth="1"/>
    <col min="24" max="16384" width="9.140625" style="44"/>
  </cols>
  <sheetData>
    <row r="1" spans="1:24" x14ac:dyDescent="0.2">
      <c r="A1" s="27"/>
      <c r="B1" s="3"/>
      <c r="C1" s="3"/>
      <c r="D1" s="3"/>
      <c r="E1" s="3"/>
      <c r="F1" s="3" t="s">
        <v>180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x14ac:dyDescent="0.2">
      <c r="A2" s="5"/>
      <c r="B2" s="7"/>
      <c r="D2" s="7"/>
      <c r="E2" s="7"/>
      <c r="F2" s="117" t="str">
        <f>Swap3M!Contributor</f>
        <v>ICAP</v>
      </c>
      <c r="G2" s="7"/>
      <c r="H2" s="7"/>
      <c r="I2" s="7"/>
      <c r="J2" s="7"/>
      <c r="K2" s="6"/>
      <c r="L2" s="6"/>
      <c r="M2" s="6"/>
      <c r="N2" s="6"/>
      <c r="O2" s="242" t="s">
        <v>79</v>
      </c>
      <c r="P2" s="117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_xll.ohTrigger(Q5:Q19)</f>
        <v>13</v>
      </c>
      <c r="R3" s="10"/>
    </row>
    <row r="4" spans="1:24" ht="22.5" x14ac:dyDescent="0.2">
      <c r="A4" s="9"/>
      <c r="B4" s="83"/>
      <c r="C4" s="84"/>
      <c r="D4" s="84"/>
      <c r="E4" s="84"/>
      <c r="F4" s="85" t="str">
        <f>_xll.RData(F5:F19,G4:J4,"RTFEED:IDN",ReutersRtMode,,G5)</f>
        <v>Updated at 20:17:02</v>
      </c>
      <c r="G4" s="86" t="s">
        <v>0</v>
      </c>
      <c r="H4" s="86" t="s">
        <v>1</v>
      </c>
      <c r="I4" s="86" t="s">
        <v>25</v>
      </c>
      <c r="J4" s="86" t="s">
        <v>26</v>
      </c>
      <c r="K4" s="87" t="s">
        <v>138</v>
      </c>
      <c r="L4" s="6"/>
      <c r="M4" s="90" t="s">
        <v>115</v>
      </c>
      <c r="N4" s="6"/>
      <c r="O4" s="91" t="s">
        <v>31</v>
      </c>
      <c r="P4" s="92" t="s">
        <v>17</v>
      </c>
      <c r="Q4" s="93" t="s">
        <v>24</v>
      </c>
      <c r="R4" s="10"/>
      <c r="X4" s="246" t="s">
        <v>152</v>
      </c>
    </row>
    <row r="5" spans="1:24" x14ac:dyDescent="0.2">
      <c r="A5" s="9"/>
      <c r="B5" s="76">
        <v>4</v>
      </c>
      <c r="C5" s="42">
        <v>1</v>
      </c>
      <c r="D5" s="42" t="s">
        <v>99</v>
      </c>
      <c r="E5" s="43" t="str">
        <f t="shared" ref="E5:E19" si="0">Currency&amp;$C5&amp;$D5&amp;$B5&amp;"F"</f>
        <v>USD1X4F</v>
      </c>
      <c r="F5" s="43" t="str">
        <f t="array" ref="F5:F19">Instruments&amp;"="&amp;VLOOKUP(Contributor,ContributorTable,2,FALSE)</f>
        <v>USD1X4F=ICAP</v>
      </c>
      <c r="G5" s="53">
        <v>0.218</v>
      </c>
      <c r="H5" s="53">
        <v>0.26800000000000002</v>
      </c>
      <c r="I5" s="43">
        <v>0</v>
      </c>
      <c r="J5" s="43">
        <v>0</v>
      </c>
      <c r="K5" s="77">
        <f>_xll.qlMidSafe($G5,$H5)</f>
        <v>0.24299999999999999</v>
      </c>
      <c r="L5" s="6"/>
      <c r="M5" s="182">
        <v>0.24299999999999999</v>
      </c>
      <c r="N5" s="6"/>
      <c r="O5" s="94" t="str">
        <f t="shared" ref="O5:O19" si="1">$E5&amp;$P$2</f>
        <v>USD1X4F_Quote</v>
      </c>
      <c r="P5" s="95">
        <f t="array" ref="P5:P19">QuoteLive</f>
        <v>0.24299999999999999</v>
      </c>
      <c r="Q5" s="96">
        <f>_xll.qlSimpleQuoteSetValue($O5,$P5/100,Trigger)</f>
        <v>0</v>
      </c>
      <c r="R5" s="10"/>
      <c r="T5" s="243"/>
      <c r="X5" s="247">
        <f>(H5-K5)/50</f>
        <v>5.0000000000000044E-4</v>
      </c>
    </row>
    <row r="6" spans="1:24" x14ac:dyDescent="0.2">
      <c r="A6" s="9"/>
      <c r="B6" s="76">
        <v>5</v>
      </c>
      <c r="C6" s="42">
        <v>2</v>
      </c>
      <c r="D6" s="42" t="s">
        <v>99</v>
      </c>
      <c r="E6" s="43" t="str">
        <f t="shared" si="0"/>
        <v>USD2X5F</v>
      </c>
      <c r="F6" s="43" t="str">
        <v>USD2X5F=ICAP</v>
      </c>
      <c r="G6" s="53">
        <v>0.23100000000000001</v>
      </c>
      <c r="H6" s="53">
        <v>0.28100000000000003</v>
      </c>
      <c r="I6" s="43">
        <v>0</v>
      </c>
      <c r="J6" s="43">
        <v>0</v>
      </c>
      <c r="K6" s="77">
        <f>_xll.qlMidSafe($G6,$H6)</f>
        <v>0.25600000000000001</v>
      </c>
      <c r="L6" s="6"/>
      <c r="M6" s="183">
        <v>0.25600000000000001</v>
      </c>
      <c r="N6" s="6"/>
      <c r="O6" s="97" t="str">
        <f t="shared" si="1"/>
        <v>USD2X5F_Quote</v>
      </c>
      <c r="P6" s="15">
        <v>0.25600000000000001</v>
      </c>
      <c r="Q6" s="98">
        <f>_xll.qlSimpleQuoteSetValue($O6,$P6/100,Trigger)</f>
        <v>0</v>
      </c>
      <c r="R6" s="10"/>
      <c r="T6" s="243"/>
      <c r="X6" s="247">
        <f t="shared" ref="X6:X19" si="2">(H6-K6)/50</f>
        <v>5.0000000000000044E-4</v>
      </c>
    </row>
    <row r="7" spans="1:24" x14ac:dyDescent="0.2">
      <c r="A7" s="9"/>
      <c r="B7" s="76">
        <v>6</v>
      </c>
      <c r="C7" s="42">
        <v>3</v>
      </c>
      <c r="D7" s="42" t="s">
        <v>99</v>
      </c>
      <c r="E7" s="43" t="str">
        <f t="shared" si="0"/>
        <v>USD3X6F</v>
      </c>
      <c r="F7" s="43" t="str">
        <v>USD3X6F=ICAP</v>
      </c>
      <c r="G7" s="53">
        <v>0.24299999999999999</v>
      </c>
      <c r="H7" s="53">
        <v>0.29299999999999998</v>
      </c>
      <c r="I7" s="43">
        <v>0</v>
      </c>
      <c r="J7" s="43">
        <v>0</v>
      </c>
      <c r="K7" s="77">
        <f>_xll.qlMidSafe($G7,$H7)</f>
        <v>0.26800000000000002</v>
      </c>
      <c r="L7" s="6"/>
      <c r="M7" s="183">
        <v>0.26800000000000002</v>
      </c>
      <c r="N7" s="6"/>
      <c r="O7" s="97" t="str">
        <f t="shared" si="1"/>
        <v>USD3X6F_Quote</v>
      </c>
      <c r="P7" s="15">
        <v>0.26800000000000002</v>
      </c>
      <c r="Q7" s="98">
        <f>_xll.qlSimpleQuoteSetValue($O7,$P7/100,Trigger)</f>
        <v>0</v>
      </c>
      <c r="R7" s="10"/>
      <c r="T7" s="243"/>
      <c r="X7" s="247">
        <f t="shared" si="2"/>
        <v>4.9999999999999936E-4</v>
      </c>
    </row>
    <row r="8" spans="1:24" x14ac:dyDescent="0.2">
      <c r="A8" s="9"/>
      <c r="B8" s="76">
        <v>7</v>
      </c>
      <c r="C8" s="42">
        <v>4</v>
      </c>
      <c r="D8" s="42" t="s">
        <v>99</v>
      </c>
      <c r="E8" s="43" t="str">
        <f t="shared" si="0"/>
        <v>USD4X7F</v>
      </c>
      <c r="F8" s="43" t="str">
        <v>USD4X7F=ICAP</v>
      </c>
      <c r="G8" s="53" t="s">
        <v>175</v>
      </c>
      <c r="H8" s="53" t="s">
        <v>175</v>
      </c>
      <c r="I8" s="43" t="s">
        <v>175</v>
      </c>
      <c r="J8" s="43" t="s">
        <v>175</v>
      </c>
      <c r="K8" s="77" t="e">
        <f>_xll.qlMidSafe($G8,$H8)</f>
        <v>#NUM!</v>
      </c>
      <c r="L8" s="6"/>
      <c r="M8" s="183" t="e">
        <v>#NUM!</v>
      </c>
      <c r="N8" s="6"/>
      <c r="O8" s="97" t="str">
        <f t="shared" si="1"/>
        <v>USD4X7F_Quote</v>
      </c>
      <c r="P8" s="15" t="e">
        <v>#NUM!</v>
      </c>
      <c r="Q8" s="98" t="e">
        <f>_xll.qlSimpleQuoteSetValue($O8,$P8/100,Trigger)</f>
        <v>#NUM!</v>
      </c>
      <c r="R8" s="10"/>
      <c r="T8" s="243"/>
      <c r="X8" s="247" t="e">
        <f t="shared" si="2"/>
        <v>#VALUE!</v>
      </c>
    </row>
    <row r="9" spans="1:24" x14ac:dyDescent="0.2">
      <c r="A9" s="9"/>
      <c r="B9" s="76">
        <v>8</v>
      </c>
      <c r="C9" s="42">
        <v>5</v>
      </c>
      <c r="D9" s="42" t="s">
        <v>99</v>
      </c>
      <c r="E9" s="43" t="str">
        <f t="shared" si="0"/>
        <v>USD5X8F</v>
      </c>
      <c r="F9" s="43" t="str">
        <v>USD5X8F=ICAP</v>
      </c>
      <c r="G9" s="53" t="s">
        <v>175</v>
      </c>
      <c r="H9" s="53" t="s">
        <v>175</v>
      </c>
      <c r="I9" s="43" t="s">
        <v>175</v>
      </c>
      <c r="J9" s="43" t="s">
        <v>175</v>
      </c>
      <c r="K9" s="77" t="e">
        <f>_xll.qlMidSafe($G9,$H9)</f>
        <v>#NUM!</v>
      </c>
      <c r="L9" s="6"/>
      <c r="M9" s="183" t="e">
        <v>#NUM!</v>
      </c>
      <c r="N9" s="6"/>
      <c r="O9" s="97" t="str">
        <f t="shared" si="1"/>
        <v>USD5X8F_Quote</v>
      </c>
      <c r="P9" s="15" t="e">
        <v>#NUM!</v>
      </c>
      <c r="Q9" s="98" t="e">
        <f>_xll.qlSimpleQuoteSetValue($O9,$P9/100,Trigger)</f>
        <v>#NUM!</v>
      </c>
      <c r="R9" s="10"/>
      <c r="T9" s="243"/>
      <c r="X9" s="247" t="e">
        <f t="shared" si="2"/>
        <v>#VALUE!</v>
      </c>
    </row>
    <row r="10" spans="1:24" x14ac:dyDescent="0.2">
      <c r="A10" s="9"/>
      <c r="B10" s="78">
        <v>9</v>
      </c>
      <c r="C10" s="109">
        <v>6</v>
      </c>
      <c r="D10" s="109" t="s">
        <v>99</v>
      </c>
      <c r="E10" s="80" t="str">
        <f t="shared" si="0"/>
        <v>USD6X9F</v>
      </c>
      <c r="F10" s="80" t="str">
        <v>USD6X9F=ICAP</v>
      </c>
      <c r="G10" s="175" t="s">
        <v>175</v>
      </c>
      <c r="H10" s="175" t="s">
        <v>175</v>
      </c>
      <c r="I10" s="80" t="s">
        <v>175</v>
      </c>
      <c r="J10" s="80" t="s">
        <v>175</v>
      </c>
      <c r="K10" s="82" t="e">
        <f>_xll.qlMidSafe($G10,$H10)</f>
        <v>#NUM!</v>
      </c>
      <c r="L10" s="6"/>
      <c r="M10" s="184" t="e">
        <v>#NUM!</v>
      </c>
      <c r="N10" s="6"/>
      <c r="O10" s="99" t="str">
        <f t="shared" si="1"/>
        <v>USD6X9F_Quote</v>
      </c>
      <c r="P10" s="81" t="e">
        <v>#NUM!</v>
      </c>
      <c r="Q10" s="100" t="e">
        <f>_xll.qlSimpleQuoteSetValue($O10,$P10/100,Trigger)</f>
        <v>#NUM!</v>
      </c>
      <c r="R10" s="10"/>
      <c r="T10" s="243"/>
      <c r="X10" s="247" t="e">
        <f t="shared" si="2"/>
        <v>#VALUE!</v>
      </c>
    </row>
    <row r="11" spans="1:24" x14ac:dyDescent="0.2">
      <c r="A11" s="9"/>
      <c r="B11" s="170">
        <v>7</v>
      </c>
      <c r="C11" s="171">
        <v>1</v>
      </c>
      <c r="D11" s="171" t="s">
        <v>99</v>
      </c>
      <c r="E11" s="172" t="str">
        <f t="shared" si="0"/>
        <v>USD1X7F</v>
      </c>
      <c r="F11" s="172" t="str">
        <v>USD1X7F=ICAP</v>
      </c>
      <c r="G11" s="173">
        <v>0.33500000000000002</v>
      </c>
      <c r="H11" s="173">
        <v>0.38500000000000001</v>
      </c>
      <c r="I11" s="172">
        <v>0</v>
      </c>
      <c r="J11" s="172">
        <v>0</v>
      </c>
      <c r="K11" s="174">
        <f>_xll.qlMidSafe($G11,$H11)</f>
        <v>0.36</v>
      </c>
      <c r="L11" s="6"/>
      <c r="M11" s="182">
        <v>0.36</v>
      </c>
      <c r="N11" s="6"/>
      <c r="O11" s="94" t="str">
        <f t="shared" si="1"/>
        <v>USD1X7F_Quote</v>
      </c>
      <c r="P11" s="95">
        <v>0.36</v>
      </c>
      <c r="Q11" s="96">
        <f>_xll.qlSimpleQuoteSetValue($O11,$P11/100,Trigger)</f>
        <v>0</v>
      </c>
      <c r="R11" s="10"/>
      <c r="T11" s="243"/>
      <c r="X11" s="247">
        <f t="shared" si="2"/>
        <v>5.0000000000000044E-4</v>
      </c>
    </row>
    <row r="12" spans="1:24" x14ac:dyDescent="0.2">
      <c r="A12" s="9"/>
      <c r="B12" s="76">
        <v>8</v>
      </c>
      <c r="C12" s="42">
        <v>2</v>
      </c>
      <c r="D12" s="42" t="s">
        <v>99</v>
      </c>
      <c r="E12" s="43" t="str">
        <f t="shared" si="0"/>
        <v>USD2X8F</v>
      </c>
      <c r="F12" s="43" t="str">
        <v>USD2X8F=ICAP</v>
      </c>
      <c r="G12" s="53">
        <v>0.35099999999999998</v>
      </c>
      <c r="H12" s="53">
        <v>0.40100000000000002</v>
      </c>
      <c r="I12" s="43">
        <v>0</v>
      </c>
      <c r="J12" s="43">
        <v>0</v>
      </c>
      <c r="K12" s="77">
        <f>_xll.qlMidSafe($G12,$H12)</f>
        <v>0.376</v>
      </c>
      <c r="L12" s="6"/>
      <c r="M12" s="183">
        <v>0.376</v>
      </c>
      <c r="N12" s="6"/>
      <c r="O12" s="97" t="str">
        <f t="shared" si="1"/>
        <v>USD2X8F_Quote</v>
      </c>
      <c r="P12" s="15">
        <v>0.376</v>
      </c>
      <c r="Q12" s="98">
        <f>_xll.qlSimpleQuoteSetValue($O12,$P12/100,Trigger)</f>
        <v>0</v>
      </c>
      <c r="R12" s="10"/>
      <c r="T12" s="243"/>
      <c r="X12" s="247">
        <f t="shared" si="2"/>
        <v>5.0000000000000044E-4</v>
      </c>
    </row>
    <row r="13" spans="1:24" x14ac:dyDescent="0.2">
      <c r="A13" s="9"/>
      <c r="B13" s="76">
        <v>9</v>
      </c>
      <c r="C13" s="42">
        <v>3</v>
      </c>
      <c r="D13" s="42" t="s">
        <v>99</v>
      </c>
      <c r="E13" s="43" t="str">
        <f t="shared" si="0"/>
        <v>USD3X9F</v>
      </c>
      <c r="F13" s="43" t="str">
        <v>USD3X9F=ICAP</v>
      </c>
      <c r="G13" s="53">
        <v>0.36499999999999999</v>
      </c>
      <c r="H13" s="53">
        <v>0.41499999999999998</v>
      </c>
      <c r="I13" s="43">
        <v>0</v>
      </c>
      <c r="J13" s="43">
        <v>0</v>
      </c>
      <c r="K13" s="77">
        <f>_xll.qlMidSafe($G13,$H13)</f>
        <v>0.39</v>
      </c>
      <c r="L13" s="6"/>
      <c r="M13" s="183">
        <v>0.39</v>
      </c>
      <c r="N13" s="6"/>
      <c r="O13" s="97" t="str">
        <f t="shared" si="1"/>
        <v>USD3X9F_Quote</v>
      </c>
      <c r="P13" s="15">
        <v>0.39</v>
      </c>
      <c r="Q13" s="98">
        <f>_xll.qlSimpleQuoteSetValue($O13,$P13/100,Trigger)</f>
        <v>0</v>
      </c>
      <c r="R13" s="10"/>
      <c r="T13" s="243"/>
      <c r="X13" s="247">
        <f t="shared" si="2"/>
        <v>4.9999999999999936E-4</v>
      </c>
    </row>
    <row r="14" spans="1:24" x14ac:dyDescent="0.2">
      <c r="A14" s="9"/>
      <c r="B14" s="76">
        <v>10</v>
      </c>
      <c r="C14" s="42">
        <v>4</v>
      </c>
      <c r="D14" s="42" t="s">
        <v>99</v>
      </c>
      <c r="E14" s="43" t="str">
        <f t="shared" si="0"/>
        <v>USD4X10F</v>
      </c>
      <c r="F14" s="43" t="str">
        <v>USD4X10F=ICAP</v>
      </c>
      <c r="G14" s="53">
        <v>0.379</v>
      </c>
      <c r="H14" s="53">
        <v>0.42899999999999999</v>
      </c>
      <c r="I14" s="43">
        <v>0</v>
      </c>
      <c r="J14" s="43">
        <v>0</v>
      </c>
      <c r="K14" s="77">
        <f>_xll.qlMidSafe($G14,$H14)</f>
        <v>0.40400000000000003</v>
      </c>
      <c r="L14" s="6"/>
      <c r="M14" s="183">
        <v>0.40400000000000003</v>
      </c>
      <c r="N14" s="6"/>
      <c r="O14" s="97" t="str">
        <f t="shared" si="1"/>
        <v>USD4X10F_Quote</v>
      </c>
      <c r="P14" s="15">
        <v>0.40400000000000003</v>
      </c>
      <c r="Q14" s="98">
        <f>_xll.qlSimpleQuoteSetValue($O14,$P14/100,Trigger)</f>
        <v>0</v>
      </c>
      <c r="R14" s="10"/>
      <c r="T14" s="243"/>
      <c r="X14" s="247">
        <f t="shared" si="2"/>
        <v>4.9999999999999936E-4</v>
      </c>
    </row>
    <row r="15" spans="1:24" x14ac:dyDescent="0.2">
      <c r="A15" s="9"/>
      <c r="B15" s="76">
        <v>11</v>
      </c>
      <c r="C15" s="42">
        <v>5</v>
      </c>
      <c r="D15" s="42" t="s">
        <v>99</v>
      </c>
      <c r="E15" s="43" t="str">
        <f t="shared" si="0"/>
        <v>USD5X11F</v>
      </c>
      <c r="F15" s="43" t="str">
        <v>USD5X11F=ICAP</v>
      </c>
      <c r="G15" s="53">
        <v>0.39500000000000002</v>
      </c>
      <c r="H15" s="53">
        <v>0.44500000000000001</v>
      </c>
      <c r="I15" s="43">
        <v>0</v>
      </c>
      <c r="J15" s="43">
        <v>0</v>
      </c>
      <c r="K15" s="77">
        <f>_xll.qlMidSafe($G15,$H15)</f>
        <v>0.42000000000000004</v>
      </c>
      <c r="L15" s="6"/>
      <c r="M15" s="183">
        <v>0.42000000000000004</v>
      </c>
      <c r="N15" s="6"/>
      <c r="O15" s="97" t="str">
        <f t="shared" si="1"/>
        <v>USD5X11F_Quote</v>
      </c>
      <c r="P15" s="15">
        <v>0.42000000000000004</v>
      </c>
      <c r="Q15" s="98">
        <f>_xll.qlSimpleQuoteSetValue($O15,$P15/100,Trigger)</f>
        <v>0</v>
      </c>
      <c r="R15" s="10"/>
      <c r="T15" s="243"/>
      <c r="X15" s="247">
        <f t="shared" si="2"/>
        <v>4.9999999999999936E-4</v>
      </c>
    </row>
    <row r="16" spans="1:24" x14ac:dyDescent="0.2">
      <c r="A16" s="9"/>
      <c r="B16" s="76">
        <v>12</v>
      </c>
      <c r="C16" s="42">
        <v>6</v>
      </c>
      <c r="D16" s="42" t="s">
        <v>99</v>
      </c>
      <c r="E16" s="43" t="str">
        <f t="shared" si="0"/>
        <v>USD6X12F</v>
      </c>
      <c r="F16" s="43" t="str">
        <v>USD6X12F=ICAP</v>
      </c>
      <c r="G16" s="53">
        <v>0.41299999999999998</v>
      </c>
      <c r="H16" s="53">
        <v>0.46300000000000002</v>
      </c>
      <c r="I16" s="43">
        <v>0</v>
      </c>
      <c r="J16" s="43">
        <v>0</v>
      </c>
      <c r="K16" s="77">
        <f>_xll.qlMidSafe($G16,$H16)</f>
        <v>0.438</v>
      </c>
      <c r="L16" s="6"/>
      <c r="M16" s="183">
        <v>0.438</v>
      </c>
      <c r="N16" s="6"/>
      <c r="O16" s="97" t="str">
        <f t="shared" si="1"/>
        <v>USD6X12F_Quote</v>
      </c>
      <c r="P16" s="15">
        <v>0.438</v>
      </c>
      <c r="Q16" s="98">
        <f>_xll.qlSimpleQuoteSetValue($O16,$P16/100,Trigger)</f>
        <v>0</v>
      </c>
      <c r="R16" s="10"/>
      <c r="T16" s="243"/>
      <c r="X16" s="247">
        <f t="shared" si="2"/>
        <v>5.0000000000000044E-4</v>
      </c>
    </row>
    <row r="17" spans="1:24" x14ac:dyDescent="0.2">
      <c r="A17" s="9"/>
      <c r="B17" s="76">
        <v>18</v>
      </c>
      <c r="C17" s="42">
        <v>12</v>
      </c>
      <c r="D17" s="42" t="s">
        <v>99</v>
      </c>
      <c r="E17" s="43" t="str">
        <f t="shared" si="0"/>
        <v>USD12X18F</v>
      </c>
      <c r="F17" s="43" t="str">
        <v>USD12X18F=ICAP</v>
      </c>
      <c r="G17" s="53" t="s">
        <v>175</v>
      </c>
      <c r="H17" s="53" t="s">
        <v>175</v>
      </c>
      <c r="I17" s="43" t="s">
        <v>175</v>
      </c>
      <c r="J17" s="43" t="s">
        <v>175</v>
      </c>
      <c r="K17" s="77" t="e">
        <f>_xll.qlMidSafe($G17,$H17)</f>
        <v>#NUM!</v>
      </c>
      <c r="L17" s="6"/>
      <c r="M17" s="183" t="e">
        <v>#NUM!</v>
      </c>
      <c r="N17" s="6"/>
      <c r="O17" s="97" t="str">
        <f t="shared" si="1"/>
        <v>USD12X18F_Quote</v>
      </c>
      <c r="P17" s="15" t="e">
        <v>#NUM!</v>
      </c>
      <c r="Q17" s="98" t="e">
        <f>_xll.qlSimpleQuoteSetValue($O17,$P17/100,Trigger)</f>
        <v>#NUM!</v>
      </c>
      <c r="R17" s="10"/>
      <c r="T17" s="243"/>
      <c r="X17" s="247" t="e">
        <f t="shared" si="2"/>
        <v>#VALUE!</v>
      </c>
    </row>
    <row r="18" spans="1:24" x14ac:dyDescent="0.2">
      <c r="A18" s="9"/>
      <c r="B18" s="78">
        <v>24</v>
      </c>
      <c r="C18" s="109">
        <v>18</v>
      </c>
      <c r="D18" s="109" t="s">
        <v>99</v>
      </c>
      <c r="E18" s="80" t="str">
        <f t="shared" si="0"/>
        <v>USD18X24F</v>
      </c>
      <c r="F18" s="80" t="str">
        <v>USD18X24F=ICAP</v>
      </c>
      <c r="G18" s="175" t="s">
        <v>175</v>
      </c>
      <c r="H18" s="175" t="s">
        <v>175</v>
      </c>
      <c r="I18" s="80" t="s">
        <v>175</v>
      </c>
      <c r="J18" s="80" t="s">
        <v>175</v>
      </c>
      <c r="K18" s="82" t="e">
        <f>_xll.qlMidSafe($G18,$H18)</f>
        <v>#NUM!</v>
      </c>
      <c r="L18" s="6"/>
      <c r="M18" s="184" t="e">
        <v>#NUM!</v>
      </c>
      <c r="N18" s="6"/>
      <c r="O18" s="99" t="str">
        <f t="shared" si="1"/>
        <v>USD18X24F_Quote</v>
      </c>
      <c r="P18" s="81" t="e">
        <v>#NUM!</v>
      </c>
      <c r="Q18" s="100" t="e">
        <f>_xll.qlSimpleQuoteSetValue($O18,$P18/100,Trigger)</f>
        <v>#NUM!</v>
      </c>
      <c r="R18" s="10"/>
      <c r="T18" s="243"/>
      <c r="X18" s="247" t="e">
        <f t="shared" si="2"/>
        <v>#VALUE!</v>
      </c>
    </row>
    <row r="19" spans="1:24" x14ac:dyDescent="0.2">
      <c r="A19" s="9"/>
      <c r="B19" s="176">
        <v>24</v>
      </c>
      <c r="C19" s="177">
        <v>12</v>
      </c>
      <c r="D19" s="177" t="s">
        <v>99</v>
      </c>
      <c r="E19" s="178" t="str">
        <f t="shared" si="0"/>
        <v>USD12X24F</v>
      </c>
      <c r="F19" s="178" t="str">
        <v>USD12X24F=ICAP</v>
      </c>
      <c r="G19" s="179" t="s">
        <v>175</v>
      </c>
      <c r="H19" s="179" t="s">
        <v>175</v>
      </c>
      <c r="I19" s="178" t="s">
        <v>175</v>
      </c>
      <c r="J19" s="178" t="s">
        <v>175</v>
      </c>
      <c r="K19" s="180" t="e">
        <f>_xll.qlMidSafe($G19,$H19)</f>
        <v>#NUM!</v>
      </c>
      <c r="L19" s="6"/>
      <c r="M19" s="181" t="e">
        <v>#NUM!</v>
      </c>
      <c r="N19" s="6"/>
      <c r="O19" s="185" t="str">
        <f t="shared" si="1"/>
        <v>USD12X24F_Quote</v>
      </c>
      <c r="P19" s="186" t="e">
        <v>#NUM!</v>
      </c>
      <c r="Q19" s="187" t="e">
        <f>_xll.qlSimpleQuoteSetValue($O19,$P19/100,Trigger)</f>
        <v>#NUM!</v>
      </c>
      <c r="R19" s="10"/>
      <c r="T19" s="243"/>
      <c r="X19" s="247" t="e">
        <f t="shared" si="2"/>
        <v>#VALUE!</v>
      </c>
    </row>
    <row r="20" spans="1:24" ht="12" thickBot="1" x14ac:dyDescent="0.25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4"/>
      <c r="T20" s="243"/>
      <c r="X20" s="247"/>
    </row>
  </sheetData>
  <phoneticPr fontId="4" type="noConversion"/>
  <conditionalFormatting sqref="Q5:Q19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18"/>
  <sheetViews>
    <sheetView workbookViewId="0">
      <selection activeCell="R4" sqref="R4"/>
    </sheetView>
  </sheetViews>
  <sheetFormatPr defaultRowHeight="11.25" x14ac:dyDescent="0.2"/>
  <cols>
    <col min="1" max="1" width="2.85546875" style="29" customWidth="1"/>
    <col min="2" max="2" width="2.7109375" style="29" bestFit="1" customWidth="1"/>
    <col min="3" max="3" width="5.7109375" style="29" customWidth="1"/>
    <col min="4" max="4" width="6.140625" style="29" bestFit="1" customWidth="1"/>
    <col min="5" max="5" width="14.28515625" style="29" bestFit="1" customWidth="1"/>
    <col min="6" max="6" width="8.85546875" style="29" bestFit="1" customWidth="1"/>
    <col min="7" max="7" width="10.5703125" style="29" bestFit="1" customWidth="1"/>
    <col min="8" max="10" width="6.5703125" style="29" bestFit="1" customWidth="1"/>
    <col min="11" max="11" width="9.7109375" style="29" customWidth="1"/>
    <col min="12" max="12" width="6.5703125" style="29" bestFit="1" customWidth="1"/>
    <col min="13" max="13" width="2.85546875" style="29" customWidth="1"/>
    <col min="14" max="14" width="6.5703125" style="29" customWidth="1"/>
    <col min="15" max="15" width="2.85546875" style="29" customWidth="1"/>
    <col min="16" max="16" width="15.85546875" style="29" bestFit="1" customWidth="1"/>
    <col min="17" max="17" width="7.7109375" style="29" bestFit="1" customWidth="1"/>
    <col min="18" max="18" width="7" style="29" bestFit="1" customWidth="1"/>
    <col min="19" max="20" width="2.85546875" style="29" customWidth="1"/>
    <col min="21" max="21" width="4.7109375" style="29" bestFit="1" customWidth="1"/>
    <col min="22" max="22" width="6" style="29" bestFit="1" customWidth="1"/>
    <col min="23" max="16384" width="9.140625" style="29"/>
  </cols>
  <sheetData>
    <row r="1" spans="1:24" ht="12.75" customHeight="1" x14ac:dyDescent="0.2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55"/>
      <c r="N1" s="55"/>
      <c r="O1" s="31"/>
      <c r="P1" s="31"/>
      <c r="Q1" s="31"/>
      <c r="R1" s="31"/>
      <c r="S1" s="56"/>
    </row>
    <row r="2" spans="1:24" ht="12.75" customHeight="1" x14ac:dyDescent="0.2">
      <c r="A2" s="33"/>
      <c r="B2" s="34"/>
      <c r="C2" s="57"/>
      <c r="D2" s="57"/>
      <c r="E2" s="34"/>
      <c r="F2" s="34"/>
      <c r="G2" s="34"/>
      <c r="H2" s="34"/>
      <c r="I2" s="34"/>
      <c r="J2" s="34"/>
      <c r="K2" s="34"/>
      <c r="L2" s="34"/>
      <c r="M2" s="58"/>
      <c r="N2" s="58"/>
      <c r="O2" s="34"/>
      <c r="P2" s="119" t="s">
        <v>79</v>
      </c>
      <c r="Q2" s="118" t="s">
        <v>34</v>
      </c>
      <c r="R2" s="34"/>
      <c r="S2" s="59"/>
    </row>
    <row r="3" spans="1:24" ht="12.75" customHeight="1" x14ac:dyDescent="0.2">
      <c r="A3" s="33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58"/>
      <c r="N3" s="58"/>
      <c r="O3" s="34"/>
      <c r="Q3" s="34"/>
      <c r="R3" s="34"/>
      <c r="S3" s="59"/>
    </row>
    <row r="4" spans="1:24" ht="12.75" customHeight="1" thickBot="1" x14ac:dyDescent="0.25">
      <c r="A4" s="33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58"/>
      <c r="N4" s="58"/>
      <c r="O4" s="34"/>
      <c r="P4" s="34"/>
      <c r="Q4" s="34"/>
      <c r="R4" s="28">
        <f>_xll.ohTrigger(R6:R17)</f>
        <v>13</v>
      </c>
      <c r="S4" s="59"/>
    </row>
    <row r="5" spans="1:24" ht="22.5" x14ac:dyDescent="0.2">
      <c r="A5" s="33"/>
      <c r="B5" s="135" t="s">
        <v>21</v>
      </c>
      <c r="C5" s="136" t="s">
        <v>32</v>
      </c>
      <c r="D5" s="136" t="s">
        <v>23</v>
      </c>
      <c r="E5" s="136" t="s">
        <v>35</v>
      </c>
      <c r="F5" s="137" t="str">
        <f>_xll.RData(F6:F17,G5:K5,"RTFEED:IDN",ReutersRtMode,,G6)</f>
        <v>Updated at 20:17:02</v>
      </c>
      <c r="G5" s="136" t="s">
        <v>20</v>
      </c>
      <c r="H5" s="136" t="s">
        <v>0</v>
      </c>
      <c r="I5" s="136" t="s">
        <v>1</v>
      </c>
      <c r="J5" s="136" t="s">
        <v>25</v>
      </c>
      <c r="K5" s="136" t="s">
        <v>26</v>
      </c>
      <c r="L5" s="138" t="s">
        <v>138</v>
      </c>
      <c r="M5" s="58"/>
      <c r="N5" s="139" t="s">
        <v>115</v>
      </c>
      <c r="O5" s="58"/>
      <c r="P5" s="140" t="s">
        <v>31</v>
      </c>
      <c r="Q5" s="136" t="s">
        <v>17</v>
      </c>
      <c r="R5" s="141" t="s">
        <v>24</v>
      </c>
      <c r="S5" s="35"/>
      <c r="U5" s="70" t="s">
        <v>117</v>
      </c>
      <c r="V5" s="71" t="s">
        <v>118</v>
      </c>
      <c r="X5" s="246" t="s">
        <v>152</v>
      </c>
    </row>
    <row r="6" spans="1:24" ht="12.75" customHeight="1" x14ac:dyDescent="0.2">
      <c r="A6" s="60"/>
      <c r="B6" s="149">
        <v>1</v>
      </c>
      <c r="C6" s="150" t="b">
        <v>0</v>
      </c>
      <c r="D6" s="151" t="str">
        <f t="array" ref="D6:D17">_xll.qlIMMcode(FuturesDates)</f>
        <v>X3</v>
      </c>
      <c r="E6" s="152">
        <f t="array" ref="E6:E17">_xll.qlIMMNextDates(_xll.qlSettingsEvaluationDate(Trigger)-1,$C6:$C17)</f>
        <v>41598</v>
      </c>
      <c r="F6" s="151" t="str">
        <f t="array" ref="F6:F17">VLOOKUP(Currency,LiffeCodes,2)&amp;FuturesCodes</f>
        <v>EMX3</v>
      </c>
      <c r="G6" s="153">
        <v>41596</v>
      </c>
      <c r="H6" s="151">
        <v>99.825000000000003</v>
      </c>
      <c r="I6" s="151">
        <v>99.832499999999996</v>
      </c>
      <c r="J6" s="151">
        <v>0</v>
      </c>
      <c r="K6" s="151">
        <v>99.83</v>
      </c>
      <c r="L6" s="154">
        <f>_xll.qlMidSafe($H6,$I6)</f>
        <v>99.828749999999999</v>
      </c>
      <c r="M6" s="58"/>
      <c r="N6" s="163">
        <v>99.828749999999999</v>
      </c>
      <c r="O6" s="58"/>
      <c r="P6" s="167" t="str">
        <f t="array" ref="P6:P17">Currency&amp;"FUT1M"&amp;FuturesCodes&amp;$Q$2</f>
        <v>USDFUT1MX3_Quote</v>
      </c>
      <c r="Q6" s="151">
        <f t="array" ref="Q6:Q17">QuoteLive</f>
        <v>99.828749999999999</v>
      </c>
      <c r="R6" s="154">
        <f>_xll.qlSimpleQuoteSetValue($P6,$Q6,Trigger)</f>
        <v>0</v>
      </c>
      <c r="S6" s="35"/>
      <c r="U6" s="66" t="s">
        <v>124</v>
      </c>
      <c r="V6" s="67"/>
      <c r="X6" s="249">
        <f>(I6-L6)/50</f>
        <v>7.4999999999931784E-5</v>
      </c>
    </row>
    <row r="7" spans="1:24" x14ac:dyDescent="0.2">
      <c r="A7" s="60"/>
      <c r="B7" s="155">
        <v>2</v>
      </c>
      <c r="C7" s="61" t="b">
        <v>0</v>
      </c>
      <c r="D7" s="62" t="str">
        <v>Z3</v>
      </c>
      <c r="E7" s="63">
        <v>41626</v>
      </c>
      <c r="F7" s="62" t="str">
        <v>EMZ3</v>
      </c>
      <c r="G7" s="64">
        <v>41624</v>
      </c>
      <c r="H7" s="62">
        <v>99.817499999999995</v>
      </c>
      <c r="I7" s="62">
        <v>99.825000000000003</v>
      </c>
      <c r="J7" s="62">
        <v>0</v>
      </c>
      <c r="K7" s="62">
        <v>99.825000000000003</v>
      </c>
      <c r="L7" s="156">
        <f>_xll.qlMidSafe($H7,$I7)</f>
        <v>99.821249999999992</v>
      </c>
      <c r="M7" s="58"/>
      <c r="N7" s="164">
        <v>99.821249999999992</v>
      </c>
      <c r="O7" s="58"/>
      <c r="P7" s="168" t="str">
        <v>USDFUT1MZ3_Quote</v>
      </c>
      <c r="Q7" s="62">
        <v>99.821249999999992</v>
      </c>
      <c r="R7" s="156">
        <f>_xll.qlSimpleQuoteSetValue($P7,$Q7,Trigger)</f>
        <v>0</v>
      </c>
      <c r="S7" s="35"/>
      <c r="U7" s="66" t="s">
        <v>15</v>
      </c>
      <c r="V7" s="67"/>
      <c r="X7" s="249">
        <f t="shared" ref="X7:X17" si="0">(I7-L7)/50</f>
        <v>7.5000000000216007E-5</v>
      </c>
    </row>
    <row r="8" spans="1:24" x14ac:dyDescent="0.2">
      <c r="A8" s="60"/>
      <c r="B8" s="155">
        <v>3</v>
      </c>
      <c r="C8" s="61" t="b">
        <v>0</v>
      </c>
      <c r="D8" s="62" t="str">
        <v>F4</v>
      </c>
      <c r="E8" s="63">
        <v>41654</v>
      </c>
      <c r="F8" s="62" t="str">
        <v>EMF4</v>
      </c>
      <c r="G8" s="64">
        <v>41652</v>
      </c>
      <c r="H8" s="62">
        <v>99.8125</v>
      </c>
      <c r="I8" s="62">
        <v>99.825000000000003</v>
      </c>
      <c r="J8" s="62">
        <v>0</v>
      </c>
      <c r="K8" s="62">
        <v>99.817499999999995</v>
      </c>
      <c r="L8" s="156">
        <f>_xll.qlMidSafe($H8,$I8)</f>
        <v>99.818749999999994</v>
      </c>
      <c r="M8" s="58"/>
      <c r="N8" s="164">
        <v>99.818749999999994</v>
      </c>
      <c r="O8" s="58"/>
      <c r="P8" s="168" t="str">
        <v>USDFUT1MF4_Quote</v>
      </c>
      <c r="Q8" s="62">
        <v>99.818749999999994</v>
      </c>
      <c r="R8" s="156">
        <f>_xll.qlSimpleQuoteSetValue($P8,$Q8,Trigger)</f>
        <v>0</v>
      </c>
      <c r="S8" s="35"/>
      <c r="U8" s="66" t="s">
        <v>121</v>
      </c>
      <c r="V8" s="67"/>
      <c r="X8" s="249">
        <f t="shared" si="0"/>
        <v>1.2500000000017052E-4</v>
      </c>
    </row>
    <row r="9" spans="1:24" x14ac:dyDescent="0.2">
      <c r="A9" s="60"/>
      <c r="B9" s="155">
        <v>4</v>
      </c>
      <c r="C9" s="61" t="b">
        <v>0</v>
      </c>
      <c r="D9" s="62" t="str">
        <v>G4</v>
      </c>
      <c r="E9" s="63">
        <v>41689</v>
      </c>
      <c r="F9" s="62" t="str">
        <v>EMG4</v>
      </c>
      <c r="G9" s="64">
        <v>41688</v>
      </c>
      <c r="H9" s="62">
        <v>99.805000000000007</v>
      </c>
      <c r="I9" s="62">
        <v>99.82</v>
      </c>
      <c r="J9" s="62">
        <v>0</v>
      </c>
      <c r="K9" s="62">
        <v>99.8125</v>
      </c>
      <c r="L9" s="156">
        <f>_xll.qlMidSafe($H9,$I9)</f>
        <v>99.8125</v>
      </c>
      <c r="M9" s="58"/>
      <c r="N9" s="164">
        <v>99.8125</v>
      </c>
      <c r="O9" s="58"/>
      <c r="P9" s="168" t="str">
        <v>USDFUT1MG4_Quote</v>
      </c>
      <c r="Q9" s="62">
        <v>99.8125</v>
      </c>
      <c r="R9" s="156">
        <f>_xll.qlSimpleQuoteSetValue($P9,$Q9,Trigger)</f>
        <v>0</v>
      </c>
      <c r="S9" s="35"/>
      <c r="U9" s="66" t="s">
        <v>123</v>
      </c>
      <c r="V9" s="67"/>
      <c r="X9" s="249">
        <f t="shared" si="0"/>
        <v>1.4999999999986357E-4</v>
      </c>
    </row>
    <row r="10" spans="1:24" ht="12" thickBot="1" x14ac:dyDescent="0.25">
      <c r="A10" s="60"/>
      <c r="B10" s="155">
        <v>5</v>
      </c>
      <c r="C10" s="61" t="b">
        <v>0</v>
      </c>
      <c r="D10" s="62" t="str">
        <v>H4</v>
      </c>
      <c r="E10" s="63">
        <v>41717</v>
      </c>
      <c r="F10" s="62" t="str">
        <v>EMH4</v>
      </c>
      <c r="G10" s="64">
        <v>41715</v>
      </c>
      <c r="H10" s="62">
        <v>99.787499999999994</v>
      </c>
      <c r="I10" s="62">
        <v>99.802499999999995</v>
      </c>
      <c r="J10" s="62">
        <v>0</v>
      </c>
      <c r="K10" s="62">
        <v>99.8</v>
      </c>
      <c r="L10" s="156">
        <f>_xll.qlMidSafe($H10,$I10)</f>
        <v>99.794999999999987</v>
      </c>
      <c r="M10" s="58"/>
      <c r="N10" s="165">
        <v>99.794999999999987</v>
      </c>
      <c r="O10" s="58"/>
      <c r="P10" s="168" t="str">
        <v>USDFUT1MH4_Quote</v>
      </c>
      <c r="Q10" s="62">
        <v>99.794999999999987</v>
      </c>
      <c r="R10" s="156">
        <f>_xll.qlSimpleQuoteSetValue($P10,$Q10,Trigger)</f>
        <v>0</v>
      </c>
      <c r="S10" s="35"/>
      <c r="U10" s="68" t="s">
        <v>116</v>
      </c>
      <c r="V10" s="69" t="s">
        <v>132</v>
      </c>
      <c r="X10" s="249">
        <f t="shared" si="0"/>
        <v>1.5000000000014779E-4</v>
      </c>
    </row>
    <row r="11" spans="1:24" x14ac:dyDescent="0.2">
      <c r="A11" s="60"/>
      <c r="B11" s="155">
        <v>6</v>
      </c>
      <c r="C11" s="61" t="b">
        <v>0</v>
      </c>
      <c r="D11" s="62" t="str">
        <v>J4</v>
      </c>
      <c r="E11" s="63">
        <v>41745</v>
      </c>
      <c r="F11" s="62" t="str">
        <v>EMJ4</v>
      </c>
      <c r="G11" s="64">
        <v>41743</v>
      </c>
      <c r="H11" s="62">
        <v>99.78</v>
      </c>
      <c r="I11" s="62">
        <v>99.792500000000004</v>
      </c>
      <c r="J11" s="62">
        <v>0</v>
      </c>
      <c r="K11" s="62">
        <v>99.79</v>
      </c>
      <c r="L11" s="156">
        <f>_xll.qlMidSafe($H11,$I11)</f>
        <v>99.786249999999995</v>
      </c>
      <c r="M11" s="58"/>
      <c r="N11" s="165">
        <v>99.786249999999995</v>
      </c>
      <c r="O11" s="58"/>
      <c r="P11" s="168" t="str">
        <v>USDFUT1MJ4_Quote</v>
      </c>
      <c r="Q11" s="62">
        <v>99.786249999999995</v>
      </c>
      <c r="R11" s="156">
        <f>_xll.qlSimpleQuoteSetValue($P11,$Q11,Trigger)</f>
        <v>0</v>
      </c>
      <c r="S11" s="35"/>
      <c r="X11" s="249">
        <f t="shared" si="0"/>
        <v>1.2500000000017052E-4</v>
      </c>
    </row>
    <row r="12" spans="1:24" x14ac:dyDescent="0.2">
      <c r="A12" s="60"/>
      <c r="B12" s="155">
        <v>7</v>
      </c>
      <c r="C12" s="61" t="b">
        <v>0</v>
      </c>
      <c r="D12" s="62" t="str">
        <v>K4</v>
      </c>
      <c r="E12" s="63">
        <v>41780</v>
      </c>
      <c r="F12" s="62" t="str">
        <v>EMK4</v>
      </c>
      <c r="G12" s="64">
        <v>41778</v>
      </c>
      <c r="H12" s="62">
        <v>99.765000000000001</v>
      </c>
      <c r="I12" s="62">
        <v>99.782499999999999</v>
      </c>
      <c r="J12" s="62">
        <v>0</v>
      </c>
      <c r="K12" s="62">
        <v>99.78</v>
      </c>
      <c r="L12" s="156">
        <f>_xll.qlMidSafe($H12,$I12)</f>
        <v>99.773750000000007</v>
      </c>
      <c r="M12" s="58"/>
      <c r="N12" s="165">
        <v>99.773750000000007</v>
      </c>
      <c r="O12" s="58"/>
      <c r="P12" s="168" t="str">
        <v>USDFUT1MK4_Quote</v>
      </c>
      <c r="Q12" s="62">
        <v>99.773750000000007</v>
      </c>
      <c r="R12" s="156">
        <f>_xll.qlSimpleQuoteSetValue($P12,$Q12,Trigger)</f>
        <v>0</v>
      </c>
      <c r="S12" s="35"/>
      <c r="X12" s="249">
        <f t="shared" si="0"/>
        <v>1.7499999999984084E-4</v>
      </c>
    </row>
    <row r="13" spans="1:24" x14ac:dyDescent="0.2">
      <c r="A13" s="60"/>
      <c r="B13" s="155">
        <v>8</v>
      </c>
      <c r="C13" s="61" t="b">
        <v>0</v>
      </c>
      <c r="D13" s="62" t="str">
        <v>M4</v>
      </c>
      <c r="E13" s="63">
        <v>41808</v>
      </c>
      <c r="F13" s="62" t="str">
        <v>EMM4</v>
      </c>
      <c r="G13" s="64">
        <v>41806</v>
      </c>
      <c r="H13" s="62">
        <v>99.745000000000005</v>
      </c>
      <c r="I13" s="62">
        <v>99.762500000000003</v>
      </c>
      <c r="J13" s="62">
        <v>0</v>
      </c>
      <c r="K13" s="62">
        <v>99.754999999999995</v>
      </c>
      <c r="L13" s="156">
        <f>_xll.qlMidSafe($H13,$I13)</f>
        <v>99.753749999999997</v>
      </c>
      <c r="M13" s="58"/>
      <c r="N13" s="165">
        <v>99.753749999999997</v>
      </c>
      <c r="O13" s="58"/>
      <c r="P13" s="168" t="str">
        <v>USDFUT1MM4_Quote</v>
      </c>
      <c r="Q13" s="62">
        <v>99.753749999999997</v>
      </c>
      <c r="R13" s="156">
        <f>_xll.qlSimpleQuoteSetValue($P13,$Q13,Trigger)</f>
        <v>0</v>
      </c>
      <c r="S13" s="35"/>
      <c r="X13" s="249">
        <f t="shared" si="0"/>
        <v>1.7500000000012506E-4</v>
      </c>
    </row>
    <row r="14" spans="1:24" x14ac:dyDescent="0.2">
      <c r="A14" s="60"/>
      <c r="B14" s="155">
        <v>9</v>
      </c>
      <c r="C14" s="61" t="b">
        <v>0</v>
      </c>
      <c r="D14" s="62" t="str">
        <v>N4</v>
      </c>
      <c r="E14" s="63">
        <v>41836</v>
      </c>
      <c r="F14" s="62" t="str">
        <v>EMN4</v>
      </c>
      <c r="G14" s="64">
        <v>41834</v>
      </c>
      <c r="H14" s="62">
        <v>99.734999999999999</v>
      </c>
      <c r="I14" s="62">
        <v>99.752499999999998</v>
      </c>
      <c r="J14" s="62">
        <v>0</v>
      </c>
      <c r="K14" s="62">
        <v>99.747500000000002</v>
      </c>
      <c r="L14" s="156">
        <f>_xll.qlMidSafe($H14,$I14)</f>
        <v>99.743750000000006</v>
      </c>
      <c r="M14" s="58"/>
      <c r="N14" s="165">
        <v>99.743750000000006</v>
      </c>
      <c r="O14" s="58"/>
      <c r="P14" s="168" t="str">
        <v>USDFUT1MN4_Quote</v>
      </c>
      <c r="Q14" s="62">
        <v>99.743750000000006</v>
      </c>
      <c r="R14" s="156">
        <f>_xll.qlSimpleQuoteSetValue($P14,$Q14,Trigger)</f>
        <v>0</v>
      </c>
      <c r="S14" s="35"/>
      <c r="X14" s="249">
        <f t="shared" si="0"/>
        <v>1.7499999999984084E-4</v>
      </c>
    </row>
    <row r="15" spans="1:24" x14ac:dyDescent="0.2">
      <c r="A15" s="60"/>
      <c r="B15" s="155">
        <v>10</v>
      </c>
      <c r="C15" s="61" t="b">
        <v>0</v>
      </c>
      <c r="D15" s="62" t="str">
        <v>Q4</v>
      </c>
      <c r="E15" s="63">
        <v>41871</v>
      </c>
      <c r="F15" s="62" t="str">
        <v>EMQ4</v>
      </c>
      <c r="G15" s="64">
        <v>41869</v>
      </c>
      <c r="H15" s="62">
        <v>99.722499999999997</v>
      </c>
      <c r="I15" s="62">
        <v>99.737499999999997</v>
      </c>
      <c r="J15" s="62">
        <v>0</v>
      </c>
      <c r="K15" s="62">
        <v>99.734999999999999</v>
      </c>
      <c r="L15" s="156">
        <f>_xll.qlMidSafe($H15,$I15)</f>
        <v>99.72999999999999</v>
      </c>
      <c r="M15" s="58"/>
      <c r="N15" s="165">
        <v>99.72999999999999</v>
      </c>
      <c r="O15" s="58"/>
      <c r="P15" s="168" t="str">
        <v>USDFUT1MQ4_Quote</v>
      </c>
      <c r="Q15" s="62">
        <v>99.72999999999999</v>
      </c>
      <c r="R15" s="156">
        <f>_xll.qlSimpleQuoteSetValue($P15,$Q15,Trigger)</f>
        <v>0</v>
      </c>
      <c r="S15" s="35"/>
      <c r="X15" s="249">
        <f t="shared" si="0"/>
        <v>1.5000000000014779E-4</v>
      </c>
    </row>
    <row r="16" spans="1:24" x14ac:dyDescent="0.2">
      <c r="A16" s="60"/>
      <c r="B16" s="155">
        <v>11</v>
      </c>
      <c r="C16" s="61" t="b">
        <v>0</v>
      </c>
      <c r="D16" s="62" t="str">
        <v>U4</v>
      </c>
      <c r="E16" s="63">
        <v>41899</v>
      </c>
      <c r="F16" s="62" t="str">
        <v>EMU4</v>
      </c>
      <c r="G16" s="64">
        <v>41897</v>
      </c>
      <c r="H16" s="62">
        <v>99.694999999999993</v>
      </c>
      <c r="I16" s="62">
        <v>99.715000000000003</v>
      </c>
      <c r="J16" s="62">
        <v>0</v>
      </c>
      <c r="K16" s="62">
        <v>99.71</v>
      </c>
      <c r="L16" s="156">
        <f>_xll.qlMidSafe($H16,$I16)</f>
        <v>99.704999999999998</v>
      </c>
      <c r="M16" s="58"/>
      <c r="N16" s="165">
        <v>99.704999999999998</v>
      </c>
      <c r="O16" s="58"/>
      <c r="P16" s="168" t="str">
        <v>USDFUT1MU4_Quote</v>
      </c>
      <c r="Q16" s="62">
        <v>99.704999999999998</v>
      </c>
      <c r="R16" s="156">
        <f>_xll.qlSimpleQuoteSetValue($P16,$Q16,Trigger)</f>
        <v>0</v>
      </c>
      <c r="S16" s="35"/>
      <c r="X16" s="249">
        <f t="shared" si="0"/>
        <v>2.0000000000010233E-4</v>
      </c>
    </row>
    <row r="17" spans="1:24" x14ac:dyDescent="0.2">
      <c r="A17" s="60"/>
      <c r="B17" s="157">
        <v>12</v>
      </c>
      <c r="C17" s="158" t="b">
        <v>0</v>
      </c>
      <c r="D17" s="159" t="str">
        <v>V4</v>
      </c>
      <c r="E17" s="160">
        <v>41927</v>
      </c>
      <c r="F17" s="159" t="str">
        <v>EMV4</v>
      </c>
      <c r="G17" s="161">
        <v>41926</v>
      </c>
      <c r="H17" s="159">
        <v>99.6875</v>
      </c>
      <c r="I17" s="159">
        <v>99.704999999999998</v>
      </c>
      <c r="J17" s="159">
        <v>0</v>
      </c>
      <c r="K17" s="159">
        <v>99.7</v>
      </c>
      <c r="L17" s="162">
        <f>_xll.qlMidSafe($H17,$I17)</f>
        <v>99.696249999999992</v>
      </c>
      <c r="M17" s="58"/>
      <c r="N17" s="166">
        <v>99.696249999999992</v>
      </c>
      <c r="O17" s="58"/>
      <c r="P17" s="169" t="str">
        <v>USDFUT1MV4_Quote</v>
      </c>
      <c r="Q17" s="159">
        <v>99.696249999999992</v>
      </c>
      <c r="R17" s="162">
        <f>_xll.qlSimpleQuoteSetValue($P17,$Q17,Trigger)</f>
        <v>0</v>
      </c>
      <c r="S17" s="35"/>
      <c r="X17" s="249">
        <f t="shared" si="0"/>
        <v>1.7500000000012506E-4</v>
      </c>
    </row>
    <row r="18" spans="1:24" ht="12" thickBot="1" x14ac:dyDescent="0.25">
      <c r="A18" s="65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8"/>
    </row>
  </sheetData>
  <phoneticPr fontId="4" type="noConversion"/>
  <conditionalFormatting sqref="R6:R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48"/>
  <sheetViews>
    <sheetView workbookViewId="0">
      <selection activeCell="R4" sqref="R4"/>
    </sheetView>
  </sheetViews>
  <sheetFormatPr defaultRowHeight="11.25" x14ac:dyDescent="0.2"/>
  <cols>
    <col min="1" max="1" width="2.85546875" style="29" customWidth="1"/>
    <col min="2" max="2" width="2.7109375" style="29" bestFit="1" customWidth="1"/>
    <col min="3" max="3" width="5.7109375" style="29" customWidth="1"/>
    <col min="4" max="4" width="6.140625" style="29" bestFit="1" customWidth="1"/>
    <col min="5" max="5" width="14.28515625" style="29" bestFit="1" customWidth="1"/>
    <col min="6" max="6" width="8.85546875" style="29" bestFit="1" customWidth="1"/>
    <col min="7" max="7" width="9" style="29" customWidth="1"/>
    <col min="8" max="10" width="6.5703125" style="29" bestFit="1" customWidth="1"/>
    <col min="11" max="11" width="9.85546875" style="29" customWidth="1"/>
    <col min="12" max="12" width="6.5703125" style="29" bestFit="1" customWidth="1"/>
    <col min="13" max="13" width="2.85546875" style="29" customWidth="1"/>
    <col min="14" max="14" width="6.5703125" style="29" customWidth="1"/>
    <col min="15" max="15" width="2.85546875" style="29" customWidth="1"/>
    <col min="16" max="16" width="15.85546875" style="29" bestFit="1" customWidth="1"/>
    <col min="17" max="17" width="7.7109375" style="29" bestFit="1" customWidth="1"/>
    <col min="18" max="18" width="7" style="29" bestFit="1" customWidth="1"/>
    <col min="19" max="20" width="2.85546875" style="29" customWidth="1"/>
    <col min="21" max="21" width="4.7109375" style="29" bestFit="1" customWidth="1"/>
    <col min="22" max="22" width="6" style="29" bestFit="1" customWidth="1"/>
    <col min="23" max="16384" width="9.140625" style="29"/>
  </cols>
  <sheetData>
    <row r="1" spans="1:24" ht="12.75" customHeight="1" x14ac:dyDescent="0.2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55"/>
      <c r="N1" s="55"/>
      <c r="O1" s="31"/>
      <c r="P1" s="31"/>
      <c r="Q1" s="31"/>
      <c r="R1" s="31"/>
      <c r="S1" s="56"/>
    </row>
    <row r="2" spans="1:24" ht="12.75" customHeight="1" x14ac:dyDescent="0.2">
      <c r="A2" s="33"/>
      <c r="B2" s="34"/>
      <c r="C2" s="57"/>
      <c r="D2" s="57"/>
      <c r="E2" s="34"/>
      <c r="F2" s="34"/>
      <c r="G2" s="34"/>
      <c r="H2" s="34"/>
      <c r="I2" s="34"/>
      <c r="J2" s="34"/>
      <c r="K2" s="34"/>
      <c r="L2" s="34"/>
      <c r="M2" s="58"/>
      <c r="N2" s="58"/>
      <c r="O2" s="34"/>
      <c r="P2" s="119" t="s">
        <v>79</v>
      </c>
      <c r="Q2" s="118" t="s">
        <v>34</v>
      </c>
      <c r="R2" s="34"/>
      <c r="S2" s="59"/>
    </row>
    <row r="3" spans="1:24" ht="12.75" customHeight="1" x14ac:dyDescent="0.2">
      <c r="A3" s="33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58"/>
      <c r="N3" s="58"/>
      <c r="O3" s="34"/>
      <c r="Q3" s="34"/>
      <c r="R3" s="34"/>
      <c r="S3" s="59"/>
    </row>
    <row r="4" spans="1:24" ht="12.75" customHeight="1" thickBot="1" x14ac:dyDescent="0.25">
      <c r="A4" s="33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58"/>
      <c r="N4" s="58"/>
      <c r="O4" s="34"/>
      <c r="P4" s="34"/>
      <c r="Q4" s="34"/>
      <c r="R4" s="28">
        <f>_xll.ohTrigger(R6:R47)</f>
        <v>24</v>
      </c>
      <c r="S4" s="59"/>
    </row>
    <row r="5" spans="1:24" ht="22.5" x14ac:dyDescent="0.2">
      <c r="A5" s="33"/>
      <c r="B5" s="142" t="s">
        <v>21</v>
      </c>
      <c r="C5" s="143" t="s">
        <v>32</v>
      </c>
      <c r="D5" s="143" t="s">
        <v>23</v>
      </c>
      <c r="E5" s="143" t="s">
        <v>35</v>
      </c>
      <c r="F5" s="144" t="str">
        <f>_xll.RData(F6:F47,G5:K5,"RTFEED:IDN",ReutersRtMode,,G6)</f>
        <v>Updated at 20:17:10</v>
      </c>
      <c r="G5" s="143" t="s">
        <v>20</v>
      </c>
      <c r="H5" s="143" t="s">
        <v>0</v>
      </c>
      <c r="I5" s="143" t="s">
        <v>1</v>
      </c>
      <c r="J5" s="143" t="s">
        <v>25</v>
      </c>
      <c r="K5" s="143" t="s">
        <v>26</v>
      </c>
      <c r="L5" s="145" t="s">
        <v>138</v>
      </c>
      <c r="M5" s="58"/>
      <c r="N5" s="146" t="s">
        <v>115</v>
      </c>
      <c r="O5" s="58"/>
      <c r="P5" s="147" t="s">
        <v>31</v>
      </c>
      <c r="Q5" s="143" t="s">
        <v>17</v>
      </c>
      <c r="R5" s="148" t="s">
        <v>24</v>
      </c>
      <c r="S5" s="35"/>
      <c r="U5" s="70" t="s">
        <v>117</v>
      </c>
      <c r="V5" s="71" t="s">
        <v>118</v>
      </c>
      <c r="X5" s="246" t="s">
        <v>152</v>
      </c>
    </row>
    <row r="6" spans="1:24" ht="12.75" customHeight="1" x14ac:dyDescent="0.2">
      <c r="A6" s="60"/>
      <c r="B6" s="149">
        <v>1</v>
      </c>
      <c r="C6" s="150" t="b">
        <v>0</v>
      </c>
      <c r="D6" s="151" t="str">
        <f t="array" ref="D6:D47">_xll.qlIMMcode(FuturesDates)</f>
        <v>X3</v>
      </c>
      <c r="E6" s="152">
        <f t="array" ref="E6:E47">_xll.qlIMMNextDates(_xll.qlSettingsEvaluationDate(Trigger)-1,$C6:$C47)</f>
        <v>41598</v>
      </c>
      <c r="F6" s="151" t="str">
        <f t="array" ref="F6:F47">VLOOKUP(Currency,LiffeCodes,2)&amp;FuturesCodes</f>
        <v>EDX3</v>
      </c>
      <c r="G6" s="153">
        <v>41596</v>
      </c>
      <c r="H6" s="151">
        <v>99.757499999999993</v>
      </c>
      <c r="I6" s="151">
        <v>99.76</v>
      </c>
      <c r="J6" s="151">
        <v>99.757499999999993</v>
      </c>
      <c r="K6" s="151">
        <v>99.762500000000003</v>
      </c>
      <c r="L6" s="154">
        <f>_xll.qlMidSafe($H6,$I6)</f>
        <v>99.758749999999992</v>
      </c>
      <c r="M6" s="58"/>
      <c r="N6" s="163">
        <v>99.758749999999992</v>
      </c>
      <c r="O6" s="58"/>
      <c r="P6" s="167" t="str">
        <f t="array" ref="P6:P47">Currency&amp;"FUT3M"&amp;FuturesCodes&amp;$Q$2</f>
        <v>USDFUT3MX3_Quote</v>
      </c>
      <c r="Q6" s="151">
        <f t="array" ref="Q6:Q47">QuoteLive</f>
        <v>99.758749999999992</v>
      </c>
      <c r="R6" s="154">
        <f>_xll.qlSimpleQuoteSetValue($P6,$Q6,Trigger)</f>
        <v>0</v>
      </c>
      <c r="S6" s="35"/>
      <c r="U6" s="66" t="s">
        <v>124</v>
      </c>
      <c r="V6" s="67" t="s">
        <v>125</v>
      </c>
      <c r="X6" s="249">
        <f>(I6-L6)/50</f>
        <v>2.500000000026148E-5</v>
      </c>
    </row>
    <row r="7" spans="1:24" x14ac:dyDescent="0.2">
      <c r="A7" s="60"/>
      <c r="B7" s="155">
        <v>2</v>
      </c>
      <c r="C7" s="61" t="b">
        <v>0</v>
      </c>
      <c r="D7" s="62" t="str">
        <v>Z3</v>
      </c>
      <c r="E7" s="63">
        <v>41626</v>
      </c>
      <c r="F7" s="62" t="str">
        <v>EDZ3</v>
      </c>
      <c r="G7" s="64">
        <v>41624</v>
      </c>
      <c r="H7" s="62">
        <v>99.745000000000005</v>
      </c>
      <c r="I7" s="62">
        <v>99.75</v>
      </c>
      <c r="J7" s="62">
        <v>99.75</v>
      </c>
      <c r="K7" s="62">
        <v>99.75</v>
      </c>
      <c r="L7" s="156">
        <f>_xll.qlMidSafe($H7,$I7)</f>
        <v>99.747500000000002</v>
      </c>
      <c r="M7" s="58"/>
      <c r="N7" s="164">
        <v>99.747500000000002</v>
      </c>
      <c r="O7" s="58"/>
      <c r="P7" s="168" t="str">
        <v>USDFUT3MZ3_Quote</v>
      </c>
      <c r="Q7" s="62">
        <v>99.747500000000002</v>
      </c>
      <c r="R7" s="156">
        <f>_xll.qlSimpleQuoteSetValue($P7,$Q7,Trigger)</f>
        <v>0</v>
      </c>
      <c r="S7" s="35"/>
      <c r="U7" s="66" t="s">
        <v>15</v>
      </c>
      <c r="V7" s="67" t="s">
        <v>119</v>
      </c>
      <c r="X7" s="249">
        <f t="shared" ref="X7:X47" si="0">(I7-L7)/50</f>
        <v>4.9999999999954527E-5</v>
      </c>
    </row>
    <row r="8" spans="1:24" x14ac:dyDescent="0.2">
      <c r="A8" s="60"/>
      <c r="B8" s="155">
        <v>3</v>
      </c>
      <c r="C8" s="61" t="b">
        <v>0</v>
      </c>
      <c r="D8" s="62" t="str">
        <v>F4</v>
      </c>
      <c r="E8" s="63">
        <v>41654</v>
      </c>
      <c r="F8" s="62" t="str">
        <v>EDF4</v>
      </c>
      <c r="G8" s="64">
        <v>41652</v>
      </c>
      <c r="H8" s="62">
        <v>99.734999999999999</v>
      </c>
      <c r="I8" s="62">
        <v>99.74</v>
      </c>
      <c r="J8" s="62">
        <v>99.74</v>
      </c>
      <c r="K8" s="62">
        <v>99.74</v>
      </c>
      <c r="L8" s="156">
        <f>_xll.qlMidSafe($H8,$I8)</f>
        <v>99.737499999999997</v>
      </c>
      <c r="M8" s="58"/>
      <c r="N8" s="164">
        <v>99.737499999999997</v>
      </c>
      <c r="O8" s="58"/>
      <c r="P8" s="168" t="str">
        <v>USDFUT3MF4_Quote</v>
      </c>
      <c r="Q8" s="62">
        <v>99.737499999999997</v>
      </c>
      <c r="R8" s="156">
        <f>_xll.qlSimpleQuoteSetValue($P8,$Q8,Trigger)</f>
        <v>0</v>
      </c>
      <c r="S8" s="35"/>
      <c r="U8" s="66" t="s">
        <v>121</v>
      </c>
      <c r="V8" s="67" t="s">
        <v>122</v>
      </c>
      <c r="X8" s="249">
        <f t="shared" si="0"/>
        <v>4.9999999999954527E-5</v>
      </c>
    </row>
    <row r="9" spans="1:24" x14ac:dyDescent="0.2">
      <c r="A9" s="60"/>
      <c r="B9" s="155">
        <v>4</v>
      </c>
      <c r="C9" s="61" t="b">
        <v>0</v>
      </c>
      <c r="D9" s="62" t="str">
        <v>G4</v>
      </c>
      <c r="E9" s="63">
        <v>41689</v>
      </c>
      <c r="F9" s="62" t="str">
        <v>EDG4</v>
      </c>
      <c r="G9" s="64">
        <v>41687</v>
      </c>
      <c r="H9" s="62">
        <v>99.72</v>
      </c>
      <c r="I9" s="62">
        <v>99.734999999999999</v>
      </c>
      <c r="J9" s="62">
        <v>0</v>
      </c>
      <c r="K9" s="62">
        <v>99.724999999999994</v>
      </c>
      <c r="L9" s="156">
        <f>_xll.qlMidSafe($H9,$I9)</f>
        <v>99.727499999999992</v>
      </c>
      <c r="M9" s="58"/>
      <c r="N9" s="164">
        <v>99.727499999999992</v>
      </c>
      <c r="O9" s="58"/>
      <c r="P9" s="168" t="str">
        <v>USDFUT3MG4_Quote</v>
      </c>
      <c r="Q9" s="62">
        <v>99.727499999999992</v>
      </c>
      <c r="R9" s="156">
        <f>_xll.qlSimpleQuoteSetValue($P9,$Q9,Trigger)</f>
        <v>0</v>
      </c>
      <c r="S9" s="35"/>
      <c r="U9" s="66" t="s">
        <v>123</v>
      </c>
      <c r="V9" s="67"/>
      <c r="X9" s="249">
        <f t="shared" si="0"/>
        <v>1.5000000000014779E-4</v>
      </c>
    </row>
    <row r="10" spans="1:24" ht="12" thickBot="1" x14ac:dyDescent="0.25">
      <c r="A10" s="60"/>
      <c r="B10" s="155">
        <v>5</v>
      </c>
      <c r="C10" s="61" t="b">
        <v>0</v>
      </c>
      <c r="D10" s="62" t="str">
        <v>H4</v>
      </c>
      <c r="E10" s="63">
        <v>41717</v>
      </c>
      <c r="F10" s="62" t="str">
        <v>EDH4</v>
      </c>
      <c r="G10" s="64">
        <v>41715</v>
      </c>
      <c r="H10" s="62">
        <v>99.704999999999998</v>
      </c>
      <c r="I10" s="62">
        <v>99.71</v>
      </c>
      <c r="J10" s="62">
        <v>99.704999999999998</v>
      </c>
      <c r="K10" s="62">
        <v>99.71</v>
      </c>
      <c r="L10" s="156">
        <f>_xll.qlMidSafe($H10,$I10)</f>
        <v>99.707499999999996</v>
      </c>
      <c r="M10" s="58"/>
      <c r="N10" s="165">
        <v>99.707499999999996</v>
      </c>
      <c r="O10" s="58"/>
      <c r="P10" s="168" t="str">
        <v>USDFUT3MH4_Quote</v>
      </c>
      <c r="Q10" s="62">
        <v>99.707499999999996</v>
      </c>
      <c r="R10" s="156">
        <f>_xll.qlSimpleQuoteSetValue($P10,$Q10,Trigger)</f>
        <v>0</v>
      </c>
      <c r="S10" s="35"/>
      <c r="U10" s="68" t="s">
        <v>116</v>
      </c>
      <c r="V10" s="69" t="s">
        <v>120</v>
      </c>
      <c r="X10" s="249">
        <f t="shared" si="0"/>
        <v>4.9999999999954527E-5</v>
      </c>
    </row>
    <row r="11" spans="1:24" x14ac:dyDescent="0.2">
      <c r="A11" s="60"/>
      <c r="B11" s="155">
        <v>6</v>
      </c>
      <c r="C11" s="61" t="b">
        <v>0</v>
      </c>
      <c r="D11" s="62" t="str">
        <v>J4</v>
      </c>
      <c r="E11" s="63">
        <v>41745</v>
      </c>
      <c r="F11" s="62" t="str">
        <v>EDJ4</v>
      </c>
      <c r="G11" s="64">
        <v>41743</v>
      </c>
      <c r="H11" s="62">
        <v>99.685000000000002</v>
      </c>
      <c r="I11" s="62">
        <v>99.704999999999998</v>
      </c>
      <c r="J11" s="62">
        <v>0</v>
      </c>
      <c r="K11" s="62">
        <v>99.694999999999993</v>
      </c>
      <c r="L11" s="156">
        <f>_xll.qlMidSafe($H11,$I11)</f>
        <v>99.694999999999993</v>
      </c>
      <c r="M11" s="58"/>
      <c r="N11" s="165">
        <v>99.694999999999993</v>
      </c>
      <c r="O11" s="58"/>
      <c r="P11" s="168" t="str">
        <v>USDFUT3MJ4_Quote</v>
      </c>
      <c r="Q11" s="62">
        <v>99.694999999999993</v>
      </c>
      <c r="R11" s="156">
        <f>_xll.qlSimpleQuoteSetValue($P11,$Q11,Trigger)</f>
        <v>0</v>
      </c>
      <c r="S11" s="35"/>
      <c r="X11" s="249">
        <f t="shared" si="0"/>
        <v>2.0000000000010233E-4</v>
      </c>
    </row>
    <row r="12" spans="1:24" x14ac:dyDescent="0.2">
      <c r="A12" s="60"/>
      <c r="B12" s="155">
        <v>7</v>
      </c>
      <c r="C12" s="61" t="b">
        <v>0</v>
      </c>
      <c r="D12" s="62" t="str">
        <v>K4</v>
      </c>
      <c r="E12" s="63">
        <v>41780</v>
      </c>
      <c r="F12" s="62" t="str">
        <v>EDK4</v>
      </c>
      <c r="G12" s="64" t="s">
        <v>175</v>
      </c>
      <c r="H12" s="62" t="s">
        <v>175</v>
      </c>
      <c r="I12" s="62" t="s">
        <v>175</v>
      </c>
      <c r="J12" s="62" t="s">
        <v>175</v>
      </c>
      <c r="K12" s="62" t="s">
        <v>175</v>
      </c>
      <c r="L12" s="156" t="e">
        <f>_xll.qlMidSafe($H12,$I12)</f>
        <v>#NUM!</v>
      </c>
      <c r="M12" s="58"/>
      <c r="N12" s="165" t="e">
        <v>#NUM!</v>
      </c>
      <c r="O12" s="58"/>
      <c r="P12" s="168" t="str">
        <v>USDFUT3MK4_Quote</v>
      </c>
      <c r="Q12" s="62" t="e">
        <v>#NUM!</v>
      </c>
      <c r="R12" s="156" t="e">
        <f>_xll.qlSimpleQuoteSetValue($P12,$Q12,Trigger)</f>
        <v>#NUM!</v>
      </c>
      <c r="S12" s="35"/>
      <c r="X12" s="249" t="e">
        <f t="shared" si="0"/>
        <v>#VALUE!</v>
      </c>
    </row>
    <row r="13" spans="1:24" x14ac:dyDescent="0.2">
      <c r="A13" s="60"/>
      <c r="B13" s="155">
        <v>8</v>
      </c>
      <c r="C13" s="61" t="b">
        <v>0</v>
      </c>
      <c r="D13" s="62" t="str">
        <v>M4</v>
      </c>
      <c r="E13" s="63">
        <v>41808</v>
      </c>
      <c r="F13" s="62" t="str">
        <v>EDM4</v>
      </c>
      <c r="G13" s="64">
        <v>41806</v>
      </c>
      <c r="H13" s="62">
        <v>99.66</v>
      </c>
      <c r="I13" s="62">
        <v>99.665000000000006</v>
      </c>
      <c r="J13" s="62">
        <v>99.665000000000006</v>
      </c>
      <c r="K13" s="62">
        <v>99.665000000000006</v>
      </c>
      <c r="L13" s="156">
        <f>_xll.qlMidSafe($H13,$I13)</f>
        <v>99.662499999999994</v>
      </c>
      <c r="M13" s="58"/>
      <c r="N13" s="165">
        <v>99.662499999999994</v>
      </c>
      <c r="O13" s="58"/>
      <c r="P13" s="168" t="str">
        <v>USDFUT3MM4_Quote</v>
      </c>
      <c r="Q13" s="62">
        <v>99.662499999999994</v>
      </c>
      <c r="R13" s="156">
        <f>_xll.qlSimpleQuoteSetValue($P13,$Q13,Trigger)</f>
        <v>0</v>
      </c>
      <c r="S13" s="35"/>
      <c r="X13" s="249">
        <f t="shared" si="0"/>
        <v>5.0000000000238744E-5</v>
      </c>
    </row>
    <row r="14" spans="1:24" x14ac:dyDescent="0.2">
      <c r="A14" s="60"/>
      <c r="B14" s="155">
        <v>9</v>
      </c>
      <c r="C14" s="61" t="b">
        <v>0</v>
      </c>
      <c r="D14" s="62" t="str">
        <v>N4</v>
      </c>
      <c r="E14" s="63">
        <v>41836</v>
      </c>
      <c r="F14" s="62" t="str">
        <v>EDN4</v>
      </c>
      <c r="G14" s="64" t="s">
        <v>175</v>
      </c>
      <c r="H14" s="62" t="s">
        <v>175</v>
      </c>
      <c r="I14" s="62" t="s">
        <v>175</v>
      </c>
      <c r="J14" s="62" t="s">
        <v>175</v>
      </c>
      <c r="K14" s="62" t="s">
        <v>175</v>
      </c>
      <c r="L14" s="156" t="e">
        <f>_xll.qlMidSafe($H14,$I14)</f>
        <v>#NUM!</v>
      </c>
      <c r="M14" s="58"/>
      <c r="N14" s="165" t="e">
        <v>#NUM!</v>
      </c>
      <c r="O14" s="58"/>
      <c r="P14" s="168" t="str">
        <v>USDFUT3MN4_Quote</v>
      </c>
      <c r="Q14" s="62" t="e">
        <v>#NUM!</v>
      </c>
      <c r="R14" s="156" t="e">
        <f>_xll.qlSimpleQuoteSetValue($P14,$Q14,Trigger)</f>
        <v>#NUM!</v>
      </c>
      <c r="S14" s="35"/>
      <c r="X14" s="249" t="e">
        <f t="shared" si="0"/>
        <v>#VALUE!</v>
      </c>
    </row>
    <row r="15" spans="1:24" x14ac:dyDescent="0.2">
      <c r="A15" s="60"/>
      <c r="B15" s="155">
        <v>10</v>
      </c>
      <c r="C15" s="61" t="b">
        <v>0</v>
      </c>
      <c r="D15" s="62" t="str">
        <v>Q4</v>
      </c>
      <c r="E15" s="63">
        <v>41871</v>
      </c>
      <c r="F15" s="62" t="str">
        <v>EDQ4</v>
      </c>
      <c r="G15" s="64" t="s">
        <v>175</v>
      </c>
      <c r="H15" s="62" t="s">
        <v>175</v>
      </c>
      <c r="I15" s="62" t="s">
        <v>175</v>
      </c>
      <c r="J15" s="62" t="s">
        <v>175</v>
      </c>
      <c r="K15" s="62" t="s">
        <v>175</v>
      </c>
      <c r="L15" s="156" t="e">
        <f>_xll.qlMidSafe($H15,$I15)</f>
        <v>#NUM!</v>
      </c>
      <c r="M15" s="58"/>
      <c r="N15" s="165" t="e">
        <v>#NUM!</v>
      </c>
      <c r="O15" s="58"/>
      <c r="P15" s="168" t="str">
        <v>USDFUT3MQ4_Quote</v>
      </c>
      <c r="Q15" s="62" t="e">
        <v>#NUM!</v>
      </c>
      <c r="R15" s="156" t="e">
        <f>_xll.qlSimpleQuoteSetValue($P15,$Q15,Trigger)</f>
        <v>#NUM!</v>
      </c>
      <c r="S15" s="35"/>
      <c r="X15" s="249" t="e">
        <f t="shared" si="0"/>
        <v>#VALUE!</v>
      </c>
    </row>
    <row r="16" spans="1:24" x14ac:dyDescent="0.2">
      <c r="A16" s="60"/>
      <c r="B16" s="155">
        <v>11</v>
      </c>
      <c r="C16" s="61" t="b">
        <v>0</v>
      </c>
      <c r="D16" s="62" t="str">
        <v>U4</v>
      </c>
      <c r="E16" s="63">
        <v>41899</v>
      </c>
      <c r="F16" s="62" t="str">
        <v>EDU4</v>
      </c>
      <c r="G16" s="64">
        <v>41897</v>
      </c>
      <c r="H16" s="62">
        <v>99.61</v>
      </c>
      <c r="I16" s="62">
        <v>99.614999999999995</v>
      </c>
      <c r="J16" s="62">
        <v>99.61</v>
      </c>
      <c r="K16" s="62">
        <v>99.614999999999995</v>
      </c>
      <c r="L16" s="156">
        <f>_xll.qlMidSafe($H16,$I16)</f>
        <v>99.612499999999997</v>
      </c>
      <c r="M16" s="58"/>
      <c r="N16" s="165">
        <v>99.612499999999997</v>
      </c>
      <c r="O16" s="58"/>
      <c r="P16" s="168" t="str">
        <v>USDFUT3MU4_Quote</v>
      </c>
      <c r="Q16" s="62">
        <v>99.612499999999997</v>
      </c>
      <c r="R16" s="156">
        <f>_xll.qlSimpleQuoteSetValue($P16,$Q16,Trigger)</f>
        <v>0</v>
      </c>
      <c r="S16" s="35"/>
      <c r="X16" s="249">
        <f t="shared" si="0"/>
        <v>4.9999999999954527E-5</v>
      </c>
    </row>
    <row r="17" spans="1:24" x14ac:dyDescent="0.2">
      <c r="A17" s="60"/>
      <c r="B17" s="155">
        <v>12</v>
      </c>
      <c r="C17" s="61" t="b">
        <v>0</v>
      </c>
      <c r="D17" s="62" t="str">
        <v>V4</v>
      </c>
      <c r="E17" s="63">
        <v>41927</v>
      </c>
      <c r="F17" s="62" t="str">
        <v>EDV4</v>
      </c>
      <c r="G17" s="64" t="s">
        <v>175</v>
      </c>
      <c r="H17" s="62" t="s">
        <v>175</v>
      </c>
      <c r="I17" s="62" t="s">
        <v>175</v>
      </c>
      <c r="J17" s="62" t="s">
        <v>175</v>
      </c>
      <c r="K17" s="62" t="s">
        <v>175</v>
      </c>
      <c r="L17" s="156" t="e">
        <f>_xll.qlMidSafe($H17,$I17)</f>
        <v>#NUM!</v>
      </c>
      <c r="M17" s="58"/>
      <c r="N17" s="165" t="e">
        <v>#NUM!</v>
      </c>
      <c r="O17" s="58"/>
      <c r="P17" s="168" t="str">
        <v>USDFUT3MV4_Quote</v>
      </c>
      <c r="Q17" s="62" t="e">
        <v>#NUM!</v>
      </c>
      <c r="R17" s="156" t="e">
        <f>_xll.qlSimpleQuoteSetValue($P17,$Q17,Trigger)</f>
        <v>#NUM!</v>
      </c>
      <c r="S17" s="35"/>
      <c r="X17" s="249" t="e">
        <f t="shared" si="0"/>
        <v>#VALUE!</v>
      </c>
    </row>
    <row r="18" spans="1:24" x14ac:dyDescent="0.2">
      <c r="A18" s="60"/>
      <c r="B18" s="155">
        <v>13</v>
      </c>
      <c r="C18" s="61" t="b">
        <v>1</v>
      </c>
      <c r="D18" s="62" t="str">
        <v>Z4</v>
      </c>
      <c r="E18" s="63">
        <v>41990</v>
      </c>
      <c r="F18" s="62" t="str">
        <v>EDZ4</v>
      </c>
      <c r="G18" s="64">
        <v>41988</v>
      </c>
      <c r="H18" s="62">
        <v>99.534999999999997</v>
      </c>
      <c r="I18" s="62">
        <v>99.54</v>
      </c>
      <c r="J18" s="62">
        <v>99.54</v>
      </c>
      <c r="K18" s="62">
        <v>99.54</v>
      </c>
      <c r="L18" s="156">
        <f>_xll.qlMidSafe($H18,$I18)</f>
        <v>99.537499999999994</v>
      </c>
      <c r="M18" s="58"/>
      <c r="N18" s="165">
        <v>99.537499999999994</v>
      </c>
      <c r="O18" s="58"/>
      <c r="P18" s="168" t="str">
        <v>USDFUT3MZ4_Quote</v>
      </c>
      <c r="Q18" s="62">
        <v>99.537499999999994</v>
      </c>
      <c r="R18" s="156">
        <f>_xll.qlSimpleQuoteSetValue($P18,$Q18,Trigger)</f>
        <v>0</v>
      </c>
      <c r="S18" s="35"/>
      <c r="X18" s="249">
        <f t="shared" si="0"/>
        <v>5.0000000000238744E-5</v>
      </c>
    </row>
    <row r="19" spans="1:24" x14ac:dyDescent="0.2">
      <c r="A19" s="60"/>
      <c r="B19" s="155">
        <v>14</v>
      </c>
      <c r="C19" s="61" t="b">
        <v>1</v>
      </c>
      <c r="D19" s="62" t="str">
        <v>H5</v>
      </c>
      <c r="E19" s="63">
        <v>42081</v>
      </c>
      <c r="F19" s="62" t="str">
        <v>EDH5</v>
      </c>
      <c r="G19" s="64">
        <v>42079</v>
      </c>
      <c r="H19" s="62">
        <v>99.435000000000002</v>
      </c>
      <c r="I19" s="62">
        <v>99.44</v>
      </c>
      <c r="J19" s="62">
        <v>99.44</v>
      </c>
      <c r="K19" s="62">
        <v>99.444999999999993</v>
      </c>
      <c r="L19" s="156">
        <f>_xll.qlMidSafe($H19,$I19)</f>
        <v>99.4375</v>
      </c>
      <c r="M19" s="58"/>
      <c r="N19" s="165">
        <v>99.442499999999995</v>
      </c>
      <c r="O19" s="58"/>
      <c r="P19" s="168" t="str">
        <v>USDFUT3MH5_Quote</v>
      </c>
      <c r="Q19" s="62">
        <v>99.4375</v>
      </c>
      <c r="R19" s="156">
        <f>_xll.qlSimpleQuoteSetValue($P19,$Q19,Trigger)</f>
        <v>-4.9999999999954525E-3</v>
      </c>
      <c r="S19" s="35"/>
      <c r="X19" s="249">
        <f t="shared" si="0"/>
        <v>4.9999999999954527E-5</v>
      </c>
    </row>
    <row r="20" spans="1:24" x14ac:dyDescent="0.2">
      <c r="A20" s="60"/>
      <c r="B20" s="155">
        <v>15</v>
      </c>
      <c r="C20" s="61" t="b">
        <v>1</v>
      </c>
      <c r="D20" s="62" t="str">
        <v>M5</v>
      </c>
      <c r="E20" s="63">
        <v>42172</v>
      </c>
      <c r="F20" s="62" t="str">
        <v>EDM5</v>
      </c>
      <c r="G20" s="64">
        <v>42170</v>
      </c>
      <c r="H20" s="62">
        <v>99.314999999999998</v>
      </c>
      <c r="I20" s="62">
        <v>99.325000000000003</v>
      </c>
      <c r="J20" s="62">
        <v>99.32</v>
      </c>
      <c r="K20" s="62">
        <v>99.32</v>
      </c>
      <c r="L20" s="156">
        <f>_xll.qlMidSafe($H20,$I20)</f>
        <v>99.32</v>
      </c>
      <c r="M20" s="58"/>
      <c r="N20" s="165">
        <v>99.322499999999991</v>
      </c>
      <c r="O20" s="58"/>
      <c r="P20" s="168" t="str">
        <v>USDFUT3MM5_Quote</v>
      </c>
      <c r="Q20" s="62">
        <v>99.32</v>
      </c>
      <c r="R20" s="156">
        <f>_xll.qlSimpleQuoteSetValue($P20,$Q20,Trigger)</f>
        <v>-2.4999999999977263E-3</v>
      </c>
      <c r="S20" s="35"/>
      <c r="X20" s="249">
        <f t="shared" si="0"/>
        <v>1.0000000000019326E-4</v>
      </c>
    </row>
    <row r="21" spans="1:24" x14ac:dyDescent="0.2">
      <c r="A21" s="60"/>
      <c r="B21" s="155">
        <v>16</v>
      </c>
      <c r="C21" s="61" t="b">
        <v>1</v>
      </c>
      <c r="D21" s="62" t="str">
        <v>U5</v>
      </c>
      <c r="E21" s="63">
        <v>42263</v>
      </c>
      <c r="F21" s="62" t="str">
        <v>EDU5</v>
      </c>
      <c r="G21" s="64">
        <v>42261</v>
      </c>
      <c r="H21" s="62">
        <v>99.174999999999997</v>
      </c>
      <c r="I21" s="62">
        <v>99.18</v>
      </c>
      <c r="J21" s="62">
        <v>99.18</v>
      </c>
      <c r="K21" s="62">
        <v>99.165000000000006</v>
      </c>
      <c r="L21" s="156">
        <f>_xll.qlMidSafe($H21,$I21)</f>
        <v>99.177500000000009</v>
      </c>
      <c r="M21" s="58"/>
      <c r="N21" s="165">
        <v>99.182500000000005</v>
      </c>
      <c r="O21" s="58"/>
      <c r="P21" s="168" t="str">
        <v>USDFUT3MU5_Quote</v>
      </c>
      <c r="Q21" s="62">
        <v>99.177500000000009</v>
      </c>
      <c r="R21" s="156">
        <f>_xll.qlSimpleQuoteSetValue($P21,$Q21,Trigger)</f>
        <v>-4.9999999999954525E-3</v>
      </c>
      <c r="S21" s="35"/>
      <c r="X21" s="249">
        <f t="shared" si="0"/>
        <v>4.9999999999954527E-5</v>
      </c>
    </row>
    <row r="22" spans="1:24" x14ac:dyDescent="0.2">
      <c r="A22" s="60"/>
      <c r="B22" s="155">
        <v>17</v>
      </c>
      <c r="C22" s="61" t="b">
        <v>1</v>
      </c>
      <c r="D22" s="62" t="str">
        <v>Z5</v>
      </c>
      <c r="E22" s="63">
        <v>42354</v>
      </c>
      <c r="F22" s="62" t="str">
        <v>EDZ5</v>
      </c>
      <c r="G22" s="64">
        <v>42352</v>
      </c>
      <c r="H22" s="62">
        <v>98.99</v>
      </c>
      <c r="I22" s="62">
        <v>98.995000000000005</v>
      </c>
      <c r="J22" s="62">
        <v>98.99</v>
      </c>
      <c r="K22" s="62">
        <v>98.965000000000003</v>
      </c>
      <c r="L22" s="156">
        <f>_xll.qlMidSafe($H22,$I22)</f>
        <v>98.992500000000007</v>
      </c>
      <c r="M22" s="58"/>
      <c r="N22" s="165">
        <v>98.997500000000002</v>
      </c>
      <c r="O22" s="58"/>
      <c r="P22" s="168" t="str">
        <v>USDFUT3MZ5_Quote</v>
      </c>
      <c r="Q22" s="62">
        <v>98.992500000000007</v>
      </c>
      <c r="R22" s="156">
        <f>_xll.qlSimpleQuoteSetValue($P22,$Q22,Trigger)</f>
        <v>-4.9999999999954525E-3</v>
      </c>
      <c r="S22" s="35"/>
      <c r="X22" s="249">
        <f t="shared" si="0"/>
        <v>4.9999999999954527E-5</v>
      </c>
    </row>
    <row r="23" spans="1:24" x14ac:dyDescent="0.2">
      <c r="A23" s="60"/>
      <c r="B23" s="155">
        <v>18</v>
      </c>
      <c r="C23" s="61" t="b">
        <v>1</v>
      </c>
      <c r="D23" s="62" t="str">
        <v>H6</v>
      </c>
      <c r="E23" s="63">
        <v>42445</v>
      </c>
      <c r="F23" s="62" t="str">
        <v>EDH6</v>
      </c>
      <c r="G23" s="64">
        <v>42443</v>
      </c>
      <c r="H23" s="62">
        <v>98.77</v>
      </c>
      <c r="I23" s="62">
        <v>98.78</v>
      </c>
      <c r="J23" s="62">
        <v>98.775000000000006</v>
      </c>
      <c r="K23" s="62">
        <v>98.734999999999999</v>
      </c>
      <c r="L23" s="156">
        <f>_xll.qlMidSafe($H23,$I23)</f>
        <v>98.775000000000006</v>
      </c>
      <c r="M23" s="58"/>
      <c r="N23" s="165">
        <v>98.782499999999999</v>
      </c>
      <c r="O23" s="58"/>
      <c r="P23" s="168" t="str">
        <v>USDFUT3MH6_Quote</v>
      </c>
      <c r="Q23" s="62">
        <v>98.775000000000006</v>
      </c>
      <c r="R23" s="156">
        <f>_xll.qlSimpleQuoteSetValue($P23,$Q23,Trigger)</f>
        <v>-7.4999999999931788E-3</v>
      </c>
      <c r="S23" s="35"/>
      <c r="X23" s="249">
        <f t="shared" si="0"/>
        <v>9.9999999999909054E-5</v>
      </c>
    </row>
    <row r="24" spans="1:24" x14ac:dyDescent="0.2">
      <c r="A24" s="60"/>
      <c r="B24" s="155">
        <v>19</v>
      </c>
      <c r="C24" s="61" t="b">
        <v>1</v>
      </c>
      <c r="D24" s="62" t="str">
        <v>M6</v>
      </c>
      <c r="E24" s="63">
        <v>42536</v>
      </c>
      <c r="F24" s="62" t="str">
        <v>EDM6</v>
      </c>
      <c r="G24" s="64">
        <v>42534</v>
      </c>
      <c r="H24" s="62">
        <v>98.534999999999997</v>
      </c>
      <c r="I24" s="62">
        <v>98.54</v>
      </c>
      <c r="J24" s="62">
        <v>98.54</v>
      </c>
      <c r="K24" s="62">
        <v>98.49</v>
      </c>
      <c r="L24" s="156">
        <f>_xll.qlMidSafe($H24,$I24)</f>
        <v>98.537499999999994</v>
      </c>
      <c r="M24" s="58"/>
      <c r="N24" s="165">
        <v>98.542500000000004</v>
      </c>
      <c r="O24" s="58"/>
      <c r="P24" s="168" t="str">
        <v>USDFUT3MM6_Quote</v>
      </c>
      <c r="Q24" s="62">
        <v>98.537499999999994</v>
      </c>
      <c r="R24" s="156">
        <f>_xll.qlSimpleQuoteSetValue($P24,$Q24,Trigger)</f>
        <v>-5.0000000000096634E-3</v>
      </c>
      <c r="S24" s="35"/>
      <c r="X24" s="249">
        <f t="shared" si="0"/>
        <v>5.0000000000238744E-5</v>
      </c>
    </row>
    <row r="25" spans="1:24" x14ac:dyDescent="0.2">
      <c r="A25" s="60"/>
      <c r="B25" s="155">
        <v>20</v>
      </c>
      <c r="C25" s="61" t="b">
        <v>1</v>
      </c>
      <c r="D25" s="62" t="str">
        <v>U6</v>
      </c>
      <c r="E25" s="63">
        <v>42634</v>
      </c>
      <c r="F25" s="62" t="str">
        <v>EDU6</v>
      </c>
      <c r="G25" s="64">
        <v>42632</v>
      </c>
      <c r="H25" s="62">
        <v>98.275000000000006</v>
      </c>
      <c r="I25" s="62">
        <v>98.28</v>
      </c>
      <c r="J25" s="62">
        <v>98.28</v>
      </c>
      <c r="K25" s="62">
        <v>98.224999999999994</v>
      </c>
      <c r="L25" s="156">
        <f>_xll.qlMidSafe($H25,$I25)</f>
        <v>98.277500000000003</v>
      </c>
      <c r="M25" s="58"/>
      <c r="N25" s="165">
        <v>98.282499999999999</v>
      </c>
      <c r="O25" s="58"/>
      <c r="P25" s="168" t="str">
        <v>USDFUT3MU6_Quote</v>
      </c>
      <c r="Q25" s="62">
        <v>98.277500000000003</v>
      </c>
      <c r="R25" s="156">
        <f>_xll.qlSimpleQuoteSetValue($P25,$Q25,Trigger)</f>
        <v>-4.9999999999954525E-3</v>
      </c>
      <c r="S25" s="35"/>
      <c r="X25" s="249">
        <f t="shared" si="0"/>
        <v>4.9999999999954527E-5</v>
      </c>
    </row>
    <row r="26" spans="1:24" x14ac:dyDescent="0.2">
      <c r="A26" s="60"/>
      <c r="B26" s="155">
        <v>21</v>
      </c>
      <c r="C26" s="61" t="b">
        <v>1</v>
      </c>
      <c r="D26" s="62" t="str">
        <v>Z6</v>
      </c>
      <c r="E26" s="63">
        <v>42725</v>
      </c>
      <c r="F26" s="62" t="str">
        <v>EDZ6</v>
      </c>
      <c r="G26" s="64">
        <v>42723</v>
      </c>
      <c r="H26" s="62">
        <v>98.02</v>
      </c>
      <c r="I26" s="62">
        <v>98.025000000000006</v>
      </c>
      <c r="J26" s="62">
        <v>98.02</v>
      </c>
      <c r="K26" s="62">
        <v>97.965000000000003</v>
      </c>
      <c r="L26" s="156">
        <f>_xll.qlMidSafe($H26,$I26)</f>
        <v>98.022500000000008</v>
      </c>
      <c r="M26" s="58"/>
      <c r="N26" s="165">
        <v>98.022500000000008</v>
      </c>
      <c r="O26" s="58"/>
      <c r="P26" s="168" t="str">
        <v>USDFUT3MZ6_Quote</v>
      </c>
      <c r="Q26" s="62">
        <v>98.022500000000008</v>
      </c>
      <c r="R26" s="156">
        <f>_xll.qlSimpleQuoteSetValue($P26,$Q26,Trigger)</f>
        <v>0</v>
      </c>
      <c r="S26" s="35"/>
      <c r="X26" s="249">
        <f t="shared" si="0"/>
        <v>4.9999999999954527E-5</v>
      </c>
    </row>
    <row r="27" spans="1:24" x14ac:dyDescent="0.2">
      <c r="A27" s="60"/>
      <c r="B27" s="155">
        <v>22</v>
      </c>
      <c r="C27" s="61" t="b">
        <v>1</v>
      </c>
      <c r="D27" s="62" t="str">
        <v>H7</v>
      </c>
      <c r="E27" s="63">
        <v>42809</v>
      </c>
      <c r="F27" s="62" t="str">
        <v>EDH7</v>
      </c>
      <c r="G27" s="64">
        <v>42807</v>
      </c>
      <c r="H27" s="62">
        <v>97.79</v>
      </c>
      <c r="I27" s="62">
        <v>97.795000000000002</v>
      </c>
      <c r="J27" s="62">
        <v>97.79</v>
      </c>
      <c r="K27" s="62">
        <v>97.734999999999999</v>
      </c>
      <c r="L27" s="156">
        <f>_xll.qlMidSafe($H27,$I27)</f>
        <v>97.792500000000004</v>
      </c>
      <c r="M27" s="58"/>
      <c r="N27" s="165">
        <v>97.797499999999999</v>
      </c>
      <c r="O27" s="58"/>
      <c r="P27" s="168" t="str">
        <v>USDFUT3MH7_Quote</v>
      </c>
      <c r="Q27" s="62">
        <v>97.792500000000004</v>
      </c>
      <c r="R27" s="156">
        <f>_xll.qlSimpleQuoteSetValue($P27,$Q27,Trigger)</f>
        <v>-4.9999999999954525E-3</v>
      </c>
      <c r="S27" s="35"/>
      <c r="X27" s="249">
        <f t="shared" si="0"/>
        <v>4.9999999999954527E-5</v>
      </c>
    </row>
    <row r="28" spans="1:24" x14ac:dyDescent="0.2">
      <c r="A28" s="60"/>
      <c r="B28" s="155">
        <v>23</v>
      </c>
      <c r="C28" s="61" t="b">
        <v>1</v>
      </c>
      <c r="D28" s="62" t="str">
        <v>M7</v>
      </c>
      <c r="E28" s="63">
        <v>42907</v>
      </c>
      <c r="F28" s="62" t="str">
        <v>EDM7</v>
      </c>
      <c r="G28" s="64">
        <v>42905</v>
      </c>
      <c r="H28" s="62">
        <v>97.555000000000007</v>
      </c>
      <c r="I28" s="62">
        <v>97.56</v>
      </c>
      <c r="J28" s="62">
        <v>97.555000000000007</v>
      </c>
      <c r="K28" s="62">
        <v>97.495000000000005</v>
      </c>
      <c r="L28" s="156">
        <f>_xll.qlMidSafe($H28,$I28)</f>
        <v>97.557500000000005</v>
      </c>
      <c r="M28" s="58"/>
      <c r="N28" s="165">
        <v>97.56</v>
      </c>
      <c r="O28" s="58"/>
      <c r="P28" s="168" t="str">
        <v>USDFUT3MM7_Quote</v>
      </c>
      <c r="Q28" s="62">
        <v>97.557500000000005</v>
      </c>
      <c r="R28" s="156">
        <f>_xll.qlSimpleQuoteSetValue($P28,$Q28,Trigger)</f>
        <v>-2.4999999999977263E-3</v>
      </c>
      <c r="S28" s="35"/>
      <c r="X28" s="249">
        <f t="shared" si="0"/>
        <v>4.9999999999954527E-5</v>
      </c>
    </row>
    <row r="29" spans="1:24" x14ac:dyDescent="0.2">
      <c r="A29" s="60"/>
      <c r="B29" s="155">
        <v>24</v>
      </c>
      <c r="C29" s="61" t="b">
        <v>1</v>
      </c>
      <c r="D29" s="62" t="str">
        <v>U7</v>
      </c>
      <c r="E29" s="63">
        <v>42998</v>
      </c>
      <c r="F29" s="62" t="str">
        <v>EDU7</v>
      </c>
      <c r="G29" s="64">
        <v>42996</v>
      </c>
      <c r="H29" s="62">
        <v>97.334999999999994</v>
      </c>
      <c r="I29" s="62">
        <v>97.34</v>
      </c>
      <c r="J29" s="62">
        <v>97.34</v>
      </c>
      <c r="K29" s="62">
        <v>97.275000000000006</v>
      </c>
      <c r="L29" s="156">
        <f>_xll.qlMidSafe($H29,$I29)</f>
        <v>97.337500000000006</v>
      </c>
      <c r="M29" s="58"/>
      <c r="N29" s="165">
        <v>97.342500000000001</v>
      </c>
      <c r="O29" s="58"/>
      <c r="P29" s="168" t="str">
        <v>USDFUT3MU7_Quote</v>
      </c>
      <c r="Q29" s="62">
        <v>97.337500000000006</v>
      </c>
      <c r="R29" s="156">
        <f>_xll.qlSimpleQuoteSetValue($P29,$Q29,Trigger)</f>
        <v>-4.9999999999954525E-3</v>
      </c>
      <c r="S29" s="35"/>
      <c r="X29" s="249">
        <f t="shared" si="0"/>
        <v>4.9999999999954527E-5</v>
      </c>
    </row>
    <row r="30" spans="1:24" x14ac:dyDescent="0.2">
      <c r="A30" s="60"/>
      <c r="B30" s="155">
        <v>25</v>
      </c>
      <c r="C30" s="61" t="b">
        <v>1</v>
      </c>
      <c r="D30" s="62" t="str">
        <v>Z7</v>
      </c>
      <c r="E30" s="63">
        <v>43089</v>
      </c>
      <c r="F30" s="62" t="str">
        <v>EDZ7</v>
      </c>
      <c r="G30" s="64">
        <v>43087</v>
      </c>
      <c r="H30" s="62">
        <v>97.11</v>
      </c>
      <c r="I30" s="62">
        <v>97.12</v>
      </c>
      <c r="J30" s="62">
        <v>97.114999999999995</v>
      </c>
      <c r="K30" s="62">
        <v>97.05</v>
      </c>
      <c r="L30" s="156">
        <f>_xll.qlMidSafe($H30,$I30)</f>
        <v>97.115000000000009</v>
      </c>
      <c r="M30" s="58"/>
      <c r="N30" s="165">
        <v>97.12</v>
      </c>
      <c r="O30" s="58"/>
      <c r="P30" s="168" t="str">
        <v>USDFUT3MZ7_Quote</v>
      </c>
      <c r="Q30" s="62">
        <v>97.115000000000009</v>
      </c>
      <c r="R30" s="156">
        <f>_xll.qlSimpleQuoteSetValue($P30,$Q30,Trigger)</f>
        <v>-4.9999999999954525E-3</v>
      </c>
      <c r="S30" s="35"/>
      <c r="X30" s="249">
        <f t="shared" si="0"/>
        <v>9.9999999999909054E-5</v>
      </c>
    </row>
    <row r="31" spans="1:24" x14ac:dyDescent="0.2">
      <c r="A31" s="60"/>
      <c r="B31" s="155">
        <v>26</v>
      </c>
      <c r="C31" s="61" t="b">
        <v>1</v>
      </c>
      <c r="D31" s="62" t="str">
        <v>H8</v>
      </c>
      <c r="E31" s="63">
        <v>43180</v>
      </c>
      <c r="F31" s="62" t="str">
        <v>EDH8</v>
      </c>
      <c r="G31" s="64">
        <v>43178</v>
      </c>
      <c r="H31" s="62">
        <v>96.924999999999997</v>
      </c>
      <c r="I31" s="62">
        <v>96.93</v>
      </c>
      <c r="J31" s="62">
        <v>96.93</v>
      </c>
      <c r="K31" s="62">
        <v>96.86</v>
      </c>
      <c r="L31" s="156">
        <f>_xll.qlMidSafe($H31,$I31)</f>
        <v>96.927500000000009</v>
      </c>
      <c r="M31" s="58"/>
      <c r="N31" s="165">
        <v>96.932500000000005</v>
      </c>
      <c r="O31" s="58"/>
      <c r="P31" s="168" t="str">
        <v>USDFUT3MH8_Quote</v>
      </c>
      <c r="Q31" s="62">
        <v>96.927500000000009</v>
      </c>
      <c r="R31" s="156">
        <f>_xll.qlSimpleQuoteSetValue($P31,$Q31,Trigger)</f>
        <v>-4.9999999999954525E-3</v>
      </c>
      <c r="S31" s="35"/>
      <c r="X31" s="249">
        <f t="shared" si="0"/>
        <v>4.9999999999954527E-5</v>
      </c>
    </row>
    <row r="32" spans="1:24" x14ac:dyDescent="0.2">
      <c r="A32" s="60"/>
      <c r="B32" s="155">
        <v>27</v>
      </c>
      <c r="C32" s="61" t="b">
        <v>1</v>
      </c>
      <c r="D32" s="62" t="str">
        <v>M8</v>
      </c>
      <c r="E32" s="63">
        <v>43271</v>
      </c>
      <c r="F32" s="62" t="str">
        <v>EDM8</v>
      </c>
      <c r="G32" s="64">
        <v>43269</v>
      </c>
      <c r="H32" s="62">
        <v>96.745000000000005</v>
      </c>
      <c r="I32" s="62">
        <v>96.75</v>
      </c>
      <c r="J32" s="62">
        <v>96.75</v>
      </c>
      <c r="K32" s="62">
        <v>96.68</v>
      </c>
      <c r="L32" s="156">
        <f>_xll.qlMidSafe($H32,$I32)</f>
        <v>96.747500000000002</v>
      </c>
      <c r="M32" s="58"/>
      <c r="N32" s="165">
        <v>96.752499999999998</v>
      </c>
      <c r="O32" s="58"/>
      <c r="P32" s="168" t="str">
        <v>USDFUT3MM8_Quote</v>
      </c>
      <c r="Q32" s="62">
        <v>96.747500000000002</v>
      </c>
      <c r="R32" s="156">
        <f>_xll.qlSimpleQuoteSetValue($P32,$Q32,Trigger)</f>
        <v>-4.9999999999954525E-3</v>
      </c>
      <c r="S32" s="35"/>
      <c r="X32" s="249">
        <f t="shared" si="0"/>
        <v>4.9999999999954527E-5</v>
      </c>
    </row>
    <row r="33" spans="1:24" x14ac:dyDescent="0.2">
      <c r="A33" s="60"/>
      <c r="B33" s="155">
        <v>28</v>
      </c>
      <c r="C33" s="61" t="b">
        <v>1</v>
      </c>
      <c r="D33" s="62" t="str">
        <v>U8</v>
      </c>
      <c r="E33" s="63">
        <v>43362</v>
      </c>
      <c r="F33" s="62" t="str">
        <v>EDU8</v>
      </c>
      <c r="G33" s="64">
        <v>43360</v>
      </c>
      <c r="H33" s="62">
        <v>96.584999999999994</v>
      </c>
      <c r="I33" s="62">
        <v>96.59</v>
      </c>
      <c r="J33" s="62">
        <v>96.59</v>
      </c>
      <c r="K33" s="62">
        <v>96.52</v>
      </c>
      <c r="L33" s="156">
        <f>_xll.qlMidSafe($H33,$I33)</f>
        <v>96.587500000000006</v>
      </c>
      <c r="M33" s="58"/>
      <c r="N33" s="165">
        <v>96.592500000000001</v>
      </c>
      <c r="O33" s="58"/>
      <c r="P33" s="168" t="str">
        <v>USDFUT3MU8_Quote</v>
      </c>
      <c r="Q33" s="62">
        <v>96.587500000000006</v>
      </c>
      <c r="R33" s="156">
        <f>_xll.qlSimpleQuoteSetValue($P33,$Q33,Trigger)</f>
        <v>-4.9999999999954525E-3</v>
      </c>
      <c r="S33" s="35"/>
      <c r="X33" s="249">
        <f t="shared" si="0"/>
        <v>4.9999999999954527E-5</v>
      </c>
    </row>
    <row r="34" spans="1:24" x14ac:dyDescent="0.2">
      <c r="A34" s="60"/>
      <c r="B34" s="155">
        <v>29</v>
      </c>
      <c r="C34" s="61" t="b">
        <v>1</v>
      </c>
      <c r="D34" s="62" t="str">
        <v>Z8</v>
      </c>
      <c r="E34" s="63">
        <v>43453</v>
      </c>
      <c r="F34" s="62" t="str">
        <v>EDZ8</v>
      </c>
      <c r="G34" s="64">
        <v>43451</v>
      </c>
      <c r="H34" s="62">
        <v>96.435000000000002</v>
      </c>
      <c r="I34" s="62">
        <v>96.44</v>
      </c>
      <c r="J34" s="62">
        <v>96.44</v>
      </c>
      <c r="K34" s="62">
        <v>96.37</v>
      </c>
      <c r="L34" s="156">
        <f>_xll.qlMidSafe($H34,$I34)</f>
        <v>96.4375</v>
      </c>
      <c r="M34" s="58"/>
      <c r="N34" s="165">
        <v>96.442499999999995</v>
      </c>
      <c r="O34" s="58"/>
      <c r="P34" s="168" t="str">
        <v>USDFUT3MZ8_Quote</v>
      </c>
      <c r="Q34" s="62">
        <v>96.4375</v>
      </c>
      <c r="R34" s="156">
        <f>_xll.qlSimpleQuoteSetValue($P34,$Q34,Trigger)</f>
        <v>-4.9999999999954525E-3</v>
      </c>
      <c r="S34" s="35"/>
      <c r="X34" s="249">
        <f t="shared" si="0"/>
        <v>4.9999999999954527E-5</v>
      </c>
    </row>
    <row r="35" spans="1:24" x14ac:dyDescent="0.2">
      <c r="A35" s="60"/>
      <c r="B35" s="155">
        <v>30</v>
      </c>
      <c r="C35" s="61" t="b">
        <v>1</v>
      </c>
      <c r="D35" s="62" t="str">
        <v>H9</v>
      </c>
      <c r="E35" s="63">
        <v>43544</v>
      </c>
      <c r="F35" s="62" t="str">
        <v>EDH9</v>
      </c>
      <c r="G35" s="64">
        <v>43542</v>
      </c>
      <c r="H35" s="62">
        <v>96.305000000000007</v>
      </c>
      <c r="I35" s="62">
        <v>96.314999999999998</v>
      </c>
      <c r="J35" s="62">
        <v>96.31</v>
      </c>
      <c r="K35" s="62">
        <v>96.245000000000005</v>
      </c>
      <c r="L35" s="156">
        <f>_xll.qlMidSafe($H35,$I35)</f>
        <v>96.31</v>
      </c>
      <c r="M35" s="58"/>
      <c r="N35" s="165">
        <v>96.3125</v>
      </c>
      <c r="O35" s="58"/>
      <c r="P35" s="168" t="str">
        <v>USDFUT3MH9_Quote</v>
      </c>
      <c r="Q35" s="62">
        <v>96.31</v>
      </c>
      <c r="R35" s="156">
        <f>_xll.qlSimpleQuoteSetValue($P35,$Q35,Trigger)</f>
        <v>-2.4999999999977263E-3</v>
      </c>
      <c r="S35" s="35"/>
      <c r="X35" s="249">
        <f t="shared" si="0"/>
        <v>9.9999999999909054E-5</v>
      </c>
    </row>
    <row r="36" spans="1:24" x14ac:dyDescent="0.2">
      <c r="A36" s="60"/>
      <c r="B36" s="155">
        <v>31</v>
      </c>
      <c r="C36" s="61" t="b">
        <v>1</v>
      </c>
      <c r="D36" s="62" t="str">
        <v>M9</v>
      </c>
      <c r="E36" s="63">
        <v>43635</v>
      </c>
      <c r="F36" s="62" t="str">
        <v>EDM9</v>
      </c>
      <c r="G36" s="64">
        <v>43633</v>
      </c>
      <c r="H36" s="62">
        <v>96.19</v>
      </c>
      <c r="I36" s="62">
        <v>96.194999999999993</v>
      </c>
      <c r="J36" s="62">
        <v>96.194999999999993</v>
      </c>
      <c r="K36" s="62">
        <v>96.13</v>
      </c>
      <c r="L36" s="156">
        <f>_xll.qlMidSafe($H36,$I36)</f>
        <v>96.192499999999995</v>
      </c>
      <c r="M36" s="58"/>
      <c r="N36" s="165">
        <v>96.197499999999991</v>
      </c>
      <c r="O36" s="58"/>
      <c r="P36" s="168" t="str">
        <v>USDFUT3MM9_Quote</v>
      </c>
      <c r="Q36" s="62">
        <v>96.192499999999995</v>
      </c>
      <c r="R36" s="156">
        <f>_xll.qlSimpleQuoteSetValue($P36,$Q36,Trigger)</f>
        <v>-4.9999999999954525E-3</v>
      </c>
      <c r="S36" s="35"/>
      <c r="X36" s="249">
        <f t="shared" si="0"/>
        <v>4.9999999999954527E-5</v>
      </c>
    </row>
    <row r="37" spans="1:24" x14ac:dyDescent="0.2">
      <c r="A37" s="60"/>
      <c r="B37" s="155">
        <v>32</v>
      </c>
      <c r="C37" s="61" t="b">
        <v>1</v>
      </c>
      <c r="D37" s="62" t="str">
        <v>U9</v>
      </c>
      <c r="E37" s="63">
        <v>43726</v>
      </c>
      <c r="F37" s="62" t="str">
        <v>EDU9</v>
      </c>
      <c r="G37" s="64">
        <v>43724</v>
      </c>
      <c r="H37" s="62">
        <v>96.08</v>
      </c>
      <c r="I37" s="62">
        <v>96.084999999999994</v>
      </c>
      <c r="J37" s="62">
        <v>96.084999999999994</v>
      </c>
      <c r="K37" s="62">
        <v>96.02</v>
      </c>
      <c r="L37" s="156">
        <f>_xll.qlMidSafe($H37,$I37)</f>
        <v>96.082499999999996</v>
      </c>
      <c r="M37" s="58"/>
      <c r="N37" s="165">
        <v>96.087500000000006</v>
      </c>
      <c r="O37" s="58"/>
      <c r="P37" s="168" t="str">
        <v>USDFUT3MU9_Quote</v>
      </c>
      <c r="Q37" s="62">
        <v>96.082499999999996</v>
      </c>
      <c r="R37" s="156">
        <f>_xll.qlSimpleQuoteSetValue($P37,$Q37,Trigger)</f>
        <v>-5.0000000000096634E-3</v>
      </c>
      <c r="S37" s="35"/>
      <c r="X37" s="249">
        <f t="shared" si="0"/>
        <v>4.9999999999954527E-5</v>
      </c>
    </row>
    <row r="38" spans="1:24" x14ac:dyDescent="0.2">
      <c r="A38" s="60"/>
      <c r="B38" s="155">
        <v>33</v>
      </c>
      <c r="C38" s="61" t="b">
        <v>1</v>
      </c>
      <c r="D38" s="62" t="str">
        <v>Z9</v>
      </c>
      <c r="E38" s="63">
        <v>43817</v>
      </c>
      <c r="F38" s="62" t="str">
        <v>EDZ9</v>
      </c>
      <c r="G38" s="64">
        <v>43815</v>
      </c>
      <c r="H38" s="62">
        <v>95.974999999999994</v>
      </c>
      <c r="I38" s="62">
        <v>95.984999999999999</v>
      </c>
      <c r="J38" s="62">
        <v>95.965000000000003</v>
      </c>
      <c r="K38" s="62">
        <v>95.92</v>
      </c>
      <c r="L38" s="156">
        <f>_xll.qlMidSafe($H38,$I38)</f>
        <v>95.97999999999999</v>
      </c>
      <c r="M38" s="58"/>
      <c r="N38" s="165">
        <v>95.982500000000002</v>
      </c>
      <c r="O38" s="58"/>
      <c r="P38" s="168" t="str">
        <v>USDFUT3MZ9_Quote</v>
      </c>
      <c r="Q38" s="62">
        <v>95.97999999999999</v>
      </c>
      <c r="R38" s="156">
        <f>_xll.qlSimpleQuoteSetValue($P38,$Q38,Trigger)</f>
        <v>-2.5000000000119371E-3</v>
      </c>
      <c r="S38" s="35"/>
      <c r="X38" s="249">
        <f t="shared" si="0"/>
        <v>1.0000000000019326E-4</v>
      </c>
    </row>
    <row r="39" spans="1:24" x14ac:dyDescent="0.2">
      <c r="A39" s="60"/>
      <c r="B39" s="155">
        <v>34</v>
      </c>
      <c r="C39" s="61" t="b">
        <v>1</v>
      </c>
      <c r="D39" s="62" t="str">
        <v>H0</v>
      </c>
      <c r="E39" s="63">
        <v>43908</v>
      </c>
      <c r="F39" s="62" t="str">
        <v>EDH0</v>
      </c>
      <c r="G39" s="64">
        <v>43906</v>
      </c>
      <c r="H39" s="62">
        <v>95.894999999999996</v>
      </c>
      <c r="I39" s="62">
        <v>95.905000000000001</v>
      </c>
      <c r="J39" s="62">
        <v>95.885000000000005</v>
      </c>
      <c r="K39" s="62">
        <v>95.844999999999999</v>
      </c>
      <c r="L39" s="156">
        <f>_xll.qlMidSafe($H39,$I39)</f>
        <v>95.9</v>
      </c>
      <c r="M39" s="58"/>
      <c r="N39" s="165">
        <v>95.905000000000001</v>
      </c>
      <c r="O39" s="58"/>
      <c r="P39" s="168" t="str">
        <v>USDFUT3MH0_Quote</v>
      </c>
      <c r="Q39" s="62">
        <v>95.9</v>
      </c>
      <c r="R39" s="156">
        <f>_xll.qlSimpleQuoteSetValue($P39,$Q39,Trigger)</f>
        <v>-4.9999999999954525E-3</v>
      </c>
      <c r="S39" s="35"/>
      <c r="X39" s="249">
        <f t="shared" si="0"/>
        <v>9.9999999999909054E-5</v>
      </c>
    </row>
    <row r="40" spans="1:24" x14ac:dyDescent="0.2">
      <c r="A40" s="60"/>
      <c r="B40" s="155">
        <v>35</v>
      </c>
      <c r="C40" s="61" t="b">
        <v>1</v>
      </c>
      <c r="D40" s="62" t="str">
        <v>M0</v>
      </c>
      <c r="E40" s="63">
        <v>43999</v>
      </c>
      <c r="F40" s="62" t="str">
        <v>EDM0</v>
      </c>
      <c r="G40" s="64">
        <v>43997</v>
      </c>
      <c r="H40" s="62">
        <v>95.82</v>
      </c>
      <c r="I40" s="62">
        <v>95.825000000000003</v>
      </c>
      <c r="J40" s="62">
        <v>95.82</v>
      </c>
      <c r="K40" s="62">
        <v>95.77</v>
      </c>
      <c r="L40" s="156">
        <f>_xll.qlMidSafe($H40,$I40)</f>
        <v>95.822499999999991</v>
      </c>
      <c r="M40" s="58"/>
      <c r="N40" s="165">
        <v>95.827500000000001</v>
      </c>
      <c r="O40" s="58"/>
      <c r="P40" s="168" t="str">
        <v>USDFUT3MM0_Quote</v>
      </c>
      <c r="Q40" s="62">
        <v>95.822499999999991</v>
      </c>
      <c r="R40" s="156">
        <f>_xll.qlSimpleQuoteSetValue($P40,$Q40,Trigger)</f>
        <v>-5.0000000000096634E-3</v>
      </c>
      <c r="S40" s="35"/>
      <c r="X40" s="249">
        <f t="shared" si="0"/>
        <v>5.0000000000238744E-5</v>
      </c>
    </row>
    <row r="41" spans="1:24" x14ac:dyDescent="0.2">
      <c r="A41" s="60"/>
      <c r="B41" s="155">
        <v>36</v>
      </c>
      <c r="C41" s="61" t="b">
        <v>1</v>
      </c>
      <c r="D41" s="62" t="str">
        <v>U0</v>
      </c>
      <c r="E41" s="63">
        <v>44090</v>
      </c>
      <c r="F41" s="62" t="str">
        <v>EDU0</v>
      </c>
      <c r="G41" s="64">
        <v>44088</v>
      </c>
      <c r="H41" s="62">
        <v>95.75</v>
      </c>
      <c r="I41" s="62">
        <v>95.76</v>
      </c>
      <c r="J41" s="62">
        <v>95.704999999999998</v>
      </c>
      <c r="K41" s="62">
        <v>95.704999999999998</v>
      </c>
      <c r="L41" s="156">
        <f>_xll.qlMidSafe($H41,$I41)</f>
        <v>95.754999999999995</v>
      </c>
      <c r="M41" s="58"/>
      <c r="N41" s="165">
        <v>95.759999999999991</v>
      </c>
      <c r="O41" s="58"/>
      <c r="P41" s="168" t="str">
        <v>USDFUT3MU0_Quote</v>
      </c>
      <c r="Q41" s="62">
        <v>95.754999999999995</v>
      </c>
      <c r="R41" s="156">
        <f>_xll.qlSimpleQuoteSetValue($P41,$Q41,Trigger)</f>
        <v>-4.9999999999954525E-3</v>
      </c>
      <c r="S41" s="35"/>
      <c r="X41" s="249">
        <f t="shared" si="0"/>
        <v>1.0000000000019326E-4</v>
      </c>
    </row>
    <row r="42" spans="1:24" x14ac:dyDescent="0.2">
      <c r="A42" s="60"/>
      <c r="B42" s="155">
        <v>37</v>
      </c>
      <c r="C42" s="61" t="b">
        <v>1</v>
      </c>
      <c r="D42" s="62" t="str">
        <v>Z0</v>
      </c>
      <c r="E42" s="63">
        <v>44181</v>
      </c>
      <c r="F42" s="62" t="str">
        <v>EDZ0</v>
      </c>
      <c r="G42" s="64">
        <v>44179</v>
      </c>
      <c r="H42" s="62">
        <v>95.674999999999997</v>
      </c>
      <c r="I42" s="62">
        <v>95.704999999999998</v>
      </c>
      <c r="J42" s="62">
        <v>0</v>
      </c>
      <c r="K42" s="62">
        <v>95.64</v>
      </c>
      <c r="L42" s="156">
        <f>_xll.qlMidSafe($H42,$I42)</f>
        <v>95.69</v>
      </c>
      <c r="M42" s="58"/>
      <c r="N42" s="165">
        <v>95.69</v>
      </c>
      <c r="O42" s="58"/>
      <c r="P42" s="168" t="str">
        <v>USDFUT3MZ0_Quote</v>
      </c>
      <c r="Q42" s="62">
        <v>95.69</v>
      </c>
      <c r="R42" s="156">
        <f>_xll.qlSimpleQuoteSetValue($P42,$Q42,Trigger)</f>
        <v>0</v>
      </c>
      <c r="S42" s="35"/>
      <c r="X42" s="249">
        <f t="shared" si="0"/>
        <v>3.0000000000001136E-4</v>
      </c>
    </row>
    <row r="43" spans="1:24" x14ac:dyDescent="0.2">
      <c r="A43" s="60"/>
      <c r="B43" s="155">
        <v>38</v>
      </c>
      <c r="C43" s="61" t="b">
        <v>1</v>
      </c>
      <c r="D43" s="62" t="str">
        <v>H1</v>
      </c>
      <c r="E43" s="63">
        <v>44272</v>
      </c>
      <c r="F43" s="62" t="str">
        <v>EDH1</v>
      </c>
      <c r="G43" s="64">
        <v>44270</v>
      </c>
      <c r="H43" s="62">
        <v>95.625</v>
      </c>
      <c r="I43" s="62">
        <v>95.69</v>
      </c>
      <c r="J43" s="62">
        <v>0</v>
      </c>
      <c r="K43" s="62">
        <v>95.6</v>
      </c>
      <c r="L43" s="156">
        <f>_xll.qlMidSafe($H43,$I43)</f>
        <v>95.657499999999999</v>
      </c>
      <c r="M43" s="58"/>
      <c r="N43" s="165">
        <v>95.66</v>
      </c>
      <c r="O43" s="58"/>
      <c r="P43" s="168" t="str">
        <v>USDFUT3MH1_Quote</v>
      </c>
      <c r="Q43" s="62">
        <v>95.657499999999999</v>
      </c>
      <c r="R43" s="156">
        <f>_xll.qlSimpleQuoteSetValue($P43,$Q43,Trigger)</f>
        <v>-2.4999999999977263E-3</v>
      </c>
      <c r="S43" s="35"/>
      <c r="X43" s="249">
        <f t="shared" si="0"/>
        <v>6.4999999999997731E-4</v>
      </c>
    </row>
    <row r="44" spans="1:24" x14ac:dyDescent="0.2">
      <c r="A44" s="60"/>
      <c r="B44" s="155">
        <v>39</v>
      </c>
      <c r="C44" s="61" t="b">
        <v>1</v>
      </c>
      <c r="D44" s="62" t="str">
        <v>M1</v>
      </c>
      <c r="E44" s="63">
        <v>44363</v>
      </c>
      <c r="F44" s="62" t="str">
        <v>EDM1</v>
      </c>
      <c r="G44" s="64">
        <v>44361</v>
      </c>
      <c r="H44" s="62">
        <v>95.564999999999998</v>
      </c>
      <c r="I44" s="62">
        <v>95.625</v>
      </c>
      <c r="J44" s="62">
        <v>0</v>
      </c>
      <c r="K44" s="62">
        <v>95.545000000000002</v>
      </c>
      <c r="L44" s="156">
        <f>_xll.qlMidSafe($H44,$I44)</f>
        <v>95.594999999999999</v>
      </c>
      <c r="M44" s="58"/>
      <c r="N44" s="165">
        <v>95.6</v>
      </c>
      <c r="O44" s="58"/>
      <c r="P44" s="168" t="str">
        <v>USDFUT3MM1_Quote</v>
      </c>
      <c r="Q44" s="62">
        <v>95.594999999999999</v>
      </c>
      <c r="R44" s="156">
        <f>_xll.qlSimpleQuoteSetValue($P44,$Q44,Trigger)</f>
        <v>-4.9999999999954525E-3</v>
      </c>
      <c r="S44" s="35"/>
      <c r="X44" s="249">
        <f t="shared" si="0"/>
        <v>6.0000000000002272E-4</v>
      </c>
    </row>
    <row r="45" spans="1:24" x14ac:dyDescent="0.2">
      <c r="A45" s="60"/>
      <c r="B45" s="155">
        <v>40</v>
      </c>
      <c r="C45" s="61" t="b">
        <v>1</v>
      </c>
      <c r="D45" s="62" t="str">
        <v>U1</v>
      </c>
      <c r="E45" s="63">
        <v>44454</v>
      </c>
      <c r="F45" s="62" t="str">
        <v>EDU1</v>
      </c>
      <c r="G45" s="64">
        <v>44452</v>
      </c>
      <c r="H45" s="62">
        <v>95.52</v>
      </c>
      <c r="I45" s="62">
        <v>95.68</v>
      </c>
      <c r="J45" s="62">
        <v>0</v>
      </c>
      <c r="K45" s="62">
        <v>95.5</v>
      </c>
      <c r="L45" s="156">
        <f>_xll.qlMidSafe($H45,$I45)</f>
        <v>95.6</v>
      </c>
      <c r="M45" s="58"/>
      <c r="N45" s="165">
        <v>95.602500000000006</v>
      </c>
      <c r="O45" s="58"/>
      <c r="P45" s="168" t="str">
        <v>USDFUT3MU1_Quote</v>
      </c>
      <c r="Q45" s="62">
        <v>95.6</v>
      </c>
      <c r="R45" s="156">
        <f>_xll.qlSimpleQuoteSetValue($P45,$Q45,Trigger)</f>
        <v>-2.5000000000119371E-3</v>
      </c>
      <c r="S45" s="35"/>
      <c r="X45" s="249">
        <f t="shared" si="0"/>
        <v>1.6000000000002501E-3</v>
      </c>
    </row>
    <row r="46" spans="1:24" x14ac:dyDescent="0.2">
      <c r="A46" s="60"/>
      <c r="B46" s="155">
        <v>41</v>
      </c>
      <c r="C46" s="61" t="b">
        <v>1</v>
      </c>
      <c r="D46" s="62" t="str">
        <v>Z1</v>
      </c>
      <c r="E46" s="63">
        <v>44545</v>
      </c>
      <c r="F46" s="62" t="str">
        <v>EDZ1</v>
      </c>
      <c r="G46" s="64">
        <v>44543</v>
      </c>
      <c r="H46" s="62">
        <v>95.465000000000003</v>
      </c>
      <c r="I46" s="62">
        <v>95.644999999999996</v>
      </c>
      <c r="J46" s="62">
        <v>0</v>
      </c>
      <c r="K46" s="62">
        <v>95.45</v>
      </c>
      <c r="L46" s="156">
        <f>_xll.qlMidSafe($H46,$I46)</f>
        <v>95.555000000000007</v>
      </c>
      <c r="M46" s="58"/>
      <c r="N46" s="165">
        <v>95.557500000000005</v>
      </c>
      <c r="O46" s="58"/>
      <c r="P46" s="168" t="str">
        <v>USDFUT3MZ1_Quote</v>
      </c>
      <c r="Q46" s="62">
        <v>95.555000000000007</v>
      </c>
      <c r="R46" s="156">
        <f>_xll.qlSimpleQuoteSetValue($P46,$Q46,Trigger)</f>
        <v>-2.4999999999977263E-3</v>
      </c>
      <c r="S46" s="35"/>
      <c r="X46" s="249">
        <f t="shared" si="0"/>
        <v>1.799999999999784E-3</v>
      </c>
    </row>
    <row r="47" spans="1:24" x14ac:dyDescent="0.2">
      <c r="A47" s="60"/>
      <c r="B47" s="157">
        <v>42</v>
      </c>
      <c r="C47" s="158" t="b">
        <v>1</v>
      </c>
      <c r="D47" s="159" t="str">
        <v>H2</v>
      </c>
      <c r="E47" s="160">
        <v>44636</v>
      </c>
      <c r="F47" s="159" t="str">
        <v>EDH2</v>
      </c>
      <c r="G47" s="161">
        <v>44634</v>
      </c>
      <c r="H47" s="159">
        <v>95.42</v>
      </c>
      <c r="I47" s="159">
        <v>95.59</v>
      </c>
      <c r="J47" s="159">
        <v>0</v>
      </c>
      <c r="K47" s="159">
        <v>95.43</v>
      </c>
      <c r="L47" s="162">
        <f>_xll.qlMidSafe($H47,$I47)</f>
        <v>95.504999999999995</v>
      </c>
      <c r="M47" s="58"/>
      <c r="N47" s="166">
        <v>95.51</v>
      </c>
      <c r="O47" s="58"/>
      <c r="P47" s="169" t="str">
        <v>USDFUT3MH2_Quote</v>
      </c>
      <c r="Q47" s="159">
        <v>95.504999999999995</v>
      </c>
      <c r="R47" s="162">
        <f>_xll.qlSimpleQuoteSetValue($P47,$Q47,Trigger)</f>
        <v>-5.0000000000096634E-3</v>
      </c>
      <c r="S47" s="35"/>
      <c r="X47" s="249">
        <f t="shared" si="0"/>
        <v>1.7000000000001591E-3</v>
      </c>
    </row>
    <row r="48" spans="1:24" ht="12" thickBot="1" x14ac:dyDescent="0.25">
      <c r="A48" s="65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8"/>
    </row>
  </sheetData>
  <phoneticPr fontId="4" type="noConversion"/>
  <conditionalFormatting sqref="R6:R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"/>
  <sheetViews>
    <sheetView workbookViewId="0">
      <selection activeCell="F6" sqref="F6"/>
    </sheetView>
  </sheetViews>
  <sheetFormatPr defaultRowHeight="11.25" x14ac:dyDescent="0.2"/>
  <cols>
    <col min="1" max="1" width="4.28515625" style="29" customWidth="1"/>
    <col min="2" max="2" width="14.140625" style="29" customWidth="1"/>
    <col min="3" max="3" width="4.85546875" style="29" bestFit="1" customWidth="1"/>
    <col min="4" max="4" width="4.28515625" style="29" customWidth="1"/>
    <col min="5" max="5" width="11.7109375" style="29" bestFit="1" customWidth="1"/>
    <col min="6" max="6" width="6.28515625" style="29" bestFit="1" customWidth="1"/>
    <col min="7" max="7" width="4.28515625" style="29" customWidth="1"/>
    <col min="8" max="8" width="6.28515625" style="29" bestFit="1" customWidth="1"/>
    <col min="9" max="9" width="4.28515625" style="29" customWidth="1"/>
    <col min="10" max="10" width="23.42578125" style="29" bestFit="1" customWidth="1"/>
    <col min="11" max="11" width="7.7109375" style="29" bestFit="1" customWidth="1"/>
    <col min="12" max="12" width="7" style="29" bestFit="1" customWidth="1"/>
    <col min="13" max="13" width="4.28515625" style="29" customWidth="1"/>
    <col min="14" max="14" width="2.28515625" style="29" customWidth="1"/>
    <col min="15" max="15" width="4" style="29" bestFit="1" customWidth="1"/>
    <col min="16" max="16" width="3.140625" style="29" bestFit="1" customWidth="1"/>
    <col min="17" max="17" width="2.7109375" style="29" bestFit="1" customWidth="1"/>
    <col min="18" max="16384" width="9.140625" style="29"/>
  </cols>
  <sheetData>
    <row r="1" spans="1:17" x14ac:dyDescent="0.2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7" x14ac:dyDescent="0.2">
      <c r="A2" s="33"/>
      <c r="B2" s="117" t="s">
        <v>5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5"/>
    </row>
    <row r="3" spans="1:17" x14ac:dyDescent="0.2">
      <c r="A3" s="33"/>
      <c r="B3" s="34"/>
      <c r="C3" s="34"/>
      <c r="D3" s="34"/>
      <c r="E3" s="34"/>
      <c r="F3" s="34"/>
      <c r="G3" s="34"/>
      <c r="H3" s="34"/>
      <c r="I3" s="34"/>
      <c r="J3" s="34"/>
      <c r="K3" s="34"/>
      <c r="L3" s="28">
        <f>_xll.ohTrigger(L5:L46)</f>
        <v>15</v>
      </c>
      <c r="M3" s="35"/>
      <c r="P3" s="29" t="s">
        <v>42</v>
      </c>
    </row>
    <row r="4" spans="1:17" ht="23.25" thickBot="1" x14ac:dyDescent="0.25">
      <c r="A4" s="33"/>
      <c r="B4" s="220" t="str">
        <f>_xll.RData(B5,C4,"RTFEED:IDN",ReutersRtMode,,C5)</f>
        <v>Updated at 20:17:02</v>
      </c>
      <c r="C4" s="221" t="s">
        <v>0</v>
      </c>
      <c r="D4" s="39"/>
      <c r="E4" s="264" t="s">
        <v>73</v>
      </c>
      <c r="F4" s="265"/>
      <c r="G4" s="39"/>
      <c r="H4" s="90" t="s">
        <v>115</v>
      </c>
      <c r="I4" s="40"/>
      <c r="J4" s="220" t="s">
        <v>31</v>
      </c>
      <c r="K4" s="86" t="s">
        <v>17</v>
      </c>
      <c r="L4" s="190" t="s">
        <v>24</v>
      </c>
      <c r="M4" s="35"/>
    </row>
    <row r="5" spans="1:17" x14ac:dyDescent="0.2">
      <c r="A5" s="33"/>
      <c r="B5" s="216" t="str">
        <f>VLOOKUP(Currency,$O$5:$Q$9,2)&amp;P3&amp;VLOOKUP(Currency,$O$5:$Q$9,3)&amp;"ATM="&amp;VLOOKUP(Contributor,ContributorTable,2,FALSE)</f>
        <v>US4Y3LATM=ICAP</v>
      </c>
      <c r="C5" s="217">
        <v>66.400000000000006</v>
      </c>
      <c r="D5" s="39"/>
      <c r="E5" s="222" t="s">
        <v>30</v>
      </c>
      <c r="F5" s="223">
        <f>C5/100*IF(ISNUMBER(Swap3M4Y),Swap3M4Y/100,Swap6M4Y/100)*0</f>
        <v>0</v>
      </c>
      <c r="G5" s="39"/>
      <c r="H5" s="226">
        <v>0</v>
      </c>
      <c r="I5" s="40"/>
      <c r="J5" s="228" t="str">
        <f>Currency&amp;"HW_Volatility_Quote"</f>
        <v>USDHW_Volatility_Quote</v>
      </c>
      <c r="K5" s="229">
        <f t="array" ref="K5:K6">QuoteLive</f>
        <v>0</v>
      </c>
      <c r="L5" s="223">
        <f>_xll.qlSimpleQuoteSetValue(J5,K5,Trigger)</f>
        <v>0</v>
      </c>
      <c r="M5" s="35"/>
      <c r="O5" s="123" t="s">
        <v>124</v>
      </c>
      <c r="P5" s="124" t="s">
        <v>136</v>
      </c>
      <c r="Q5" s="125" t="s">
        <v>129</v>
      </c>
    </row>
    <row r="6" spans="1:17" x14ac:dyDescent="0.2">
      <c r="A6" s="33"/>
      <c r="B6" s="218"/>
      <c r="C6" s="219"/>
      <c r="D6" s="39"/>
      <c r="E6" s="224" t="s">
        <v>74</v>
      </c>
      <c r="F6" s="225">
        <v>0.03</v>
      </c>
      <c r="G6" s="39"/>
      <c r="H6" s="227">
        <v>0.03</v>
      </c>
      <c r="I6" s="40"/>
      <c r="J6" s="218" t="str">
        <f>Currency&amp;"HW_MeanReversion_Quote"</f>
        <v>USDHW_MeanReversion_Quote</v>
      </c>
      <c r="K6" s="230">
        <v>0.03</v>
      </c>
      <c r="L6" s="225">
        <f>_xll.qlSimpleQuoteSetValue(J6,K6,Trigger)</f>
        <v>0</v>
      </c>
      <c r="M6" s="35"/>
      <c r="O6" s="66" t="s">
        <v>15</v>
      </c>
      <c r="P6" s="126" t="s">
        <v>133</v>
      </c>
      <c r="Q6" s="127" t="s">
        <v>129</v>
      </c>
    </row>
    <row r="7" spans="1:17" ht="12" thickBot="1" x14ac:dyDescent="0.25">
      <c r="A7" s="36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8"/>
      <c r="O7" s="66" t="s">
        <v>121</v>
      </c>
      <c r="P7" s="126" t="s">
        <v>137</v>
      </c>
      <c r="Q7" s="127" t="s">
        <v>127</v>
      </c>
    </row>
    <row r="8" spans="1:17" x14ac:dyDescent="0.2">
      <c r="O8" s="66" t="s">
        <v>123</v>
      </c>
      <c r="P8" s="126" t="s">
        <v>134</v>
      </c>
      <c r="Q8" s="127" t="s">
        <v>129</v>
      </c>
    </row>
    <row r="9" spans="1:17" ht="12" thickBot="1" x14ac:dyDescent="0.25">
      <c r="O9" s="68" t="s">
        <v>116</v>
      </c>
      <c r="P9" s="128" t="s">
        <v>135</v>
      </c>
      <c r="Q9" s="129" t="s">
        <v>127</v>
      </c>
    </row>
  </sheetData>
  <mergeCells count="1">
    <mergeCell ref="E4:F4"/>
  </mergeCells>
  <phoneticPr fontId="4" type="noConversion"/>
  <dataValidations disablePrompts="1" count="1">
    <dataValidation type="list" showInputMessage="1" showErrorMessage="1" sqref="B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19"/>
  <sheetViews>
    <sheetView workbookViewId="0">
      <selection activeCell="Q3" sqref="Q3"/>
    </sheetView>
  </sheetViews>
  <sheetFormatPr defaultRowHeight="12.75" x14ac:dyDescent="0.2"/>
  <cols>
    <col min="1" max="1" width="5" customWidth="1"/>
    <col min="2" max="2" width="2.28515625" customWidth="1"/>
    <col min="3" max="3" width="2.7109375" bestFit="1" customWidth="1"/>
    <col min="4" max="4" width="3.85546875" bestFit="1" customWidth="1"/>
    <col min="5" max="5" width="8.5703125" bestFit="1" customWidth="1"/>
    <col min="6" max="6" width="12.7109375" bestFit="1" customWidth="1"/>
    <col min="7" max="9" width="5.7109375" bestFit="1" customWidth="1"/>
    <col min="10" max="10" width="10" bestFit="1" customWidth="1"/>
    <col min="11" max="11" width="5.7109375" bestFit="1" customWidth="1"/>
    <col min="12" max="12" width="5" customWidth="1"/>
    <col min="13" max="13" width="5.7109375" bestFit="1" customWidth="1"/>
    <col min="14" max="14" width="5" customWidth="1"/>
    <col min="15" max="15" width="13.7109375" bestFit="1" customWidth="1"/>
    <col min="16" max="17" width="7.7109375" bestFit="1" customWidth="1"/>
    <col min="18" max="18" width="5" customWidth="1"/>
    <col min="19" max="19" width="5.140625" customWidth="1"/>
    <col min="24" max="24" width="7" bestFit="1" customWidth="1"/>
  </cols>
  <sheetData>
    <row r="1" spans="1:24" ht="13.5" thickBot="1" x14ac:dyDescent="0.25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ht="13.5" thickBot="1" x14ac:dyDescent="0.25">
      <c r="A2" s="5"/>
      <c r="B2" s="6"/>
      <c r="C2" s="6"/>
      <c r="D2" s="6"/>
      <c r="E2" s="6"/>
      <c r="F2" s="117" t="s">
        <v>5</v>
      </c>
      <c r="G2" s="6"/>
      <c r="H2" s="6"/>
      <c r="I2" s="6"/>
      <c r="J2" s="6"/>
      <c r="K2" s="7"/>
      <c r="L2" s="6"/>
      <c r="M2" s="6"/>
      <c r="N2" s="6"/>
      <c r="O2" s="24" t="s">
        <v>79</v>
      </c>
      <c r="P2" s="25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_xll.ohTrigger(Q5:Q15)</f>
        <v>13</v>
      </c>
      <c r="R3" s="10"/>
    </row>
    <row r="4" spans="1:24" ht="22.5" x14ac:dyDescent="0.2">
      <c r="A4" s="9"/>
      <c r="B4" s="83"/>
      <c r="C4" s="84"/>
      <c r="D4" s="84"/>
      <c r="E4" s="84"/>
      <c r="F4" s="85" t="str">
        <f>_xll.RData(F5:F18,G4:J4,"RTFEED:IDN",ReutersRtMode,,G5)</f>
        <v>Updated at 20:17:02</v>
      </c>
      <c r="G4" s="86" t="s">
        <v>0</v>
      </c>
      <c r="H4" s="86" t="s">
        <v>1</v>
      </c>
      <c r="I4" s="86" t="s">
        <v>25</v>
      </c>
      <c r="J4" s="86" t="s">
        <v>26</v>
      </c>
      <c r="K4" s="87" t="s">
        <v>138</v>
      </c>
      <c r="L4" s="6"/>
      <c r="M4" s="90" t="s">
        <v>115</v>
      </c>
      <c r="N4" s="6"/>
      <c r="O4" s="91" t="s">
        <v>31</v>
      </c>
      <c r="P4" s="92" t="s">
        <v>17</v>
      </c>
      <c r="Q4" s="93" t="s">
        <v>24</v>
      </c>
      <c r="R4" s="10"/>
      <c r="X4" s="246" t="s">
        <v>152</v>
      </c>
    </row>
    <row r="5" spans="1:24" x14ac:dyDescent="0.2">
      <c r="A5" s="9"/>
      <c r="B5" s="131"/>
      <c r="C5" s="42">
        <v>2</v>
      </c>
      <c r="D5" s="42" t="s">
        <v>84</v>
      </c>
      <c r="E5" s="26" t="str">
        <f t="shared" ref="E5:E18" si="0">Currency&amp;$C5&amp;$D5&amp;$B5</f>
        <v>USD2X1S</v>
      </c>
      <c r="F5" s="26" t="str">
        <f t="array" ref="F5:F18">Instruments&amp;"="&amp;VLOOKUP(Contributor,ContributorTable,2,FALSE)</f>
        <v>USD2X1S=ICAP</v>
      </c>
      <c r="G5" s="15">
        <v>0.14699999999999999</v>
      </c>
      <c r="H5" s="15">
        <v>0.19700000000000001</v>
      </c>
      <c r="I5" s="15">
        <v>0</v>
      </c>
      <c r="J5" s="15">
        <v>0</v>
      </c>
      <c r="K5" s="77">
        <f>_xll.qlMidSafe($G5,$H5)</f>
        <v>0.17199999999999999</v>
      </c>
      <c r="L5" s="6"/>
      <c r="M5" s="133">
        <v>0.17199999999999999</v>
      </c>
      <c r="N5" s="6"/>
      <c r="O5" s="97" t="str">
        <f>$E5&amp;$P$2</f>
        <v>USD2X1S_Quote</v>
      </c>
      <c r="P5" s="15">
        <f t="array" ref="P5:P18">QuoteLive</f>
        <v>0.17199999999999999</v>
      </c>
      <c r="Q5" s="98">
        <f>_xll.qlSimpleQuoteSetValue($O5,$P5/100,Trigger)</f>
        <v>0</v>
      </c>
      <c r="R5" s="10"/>
      <c r="T5" s="244"/>
      <c r="X5" s="247">
        <f>(H5-K5)/50</f>
        <v>5.0000000000000044E-4</v>
      </c>
    </row>
    <row r="6" spans="1:24" x14ac:dyDescent="0.2">
      <c r="A6" s="9"/>
      <c r="B6" s="131"/>
      <c r="C6" s="42">
        <v>3</v>
      </c>
      <c r="D6" s="42" t="s">
        <v>84</v>
      </c>
      <c r="E6" s="26" t="str">
        <f t="shared" si="0"/>
        <v>USD3X1S</v>
      </c>
      <c r="F6" s="26" t="str">
        <v>USD3X1S=ICAP</v>
      </c>
      <c r="G6" s="15">
        <v>0.14899999999999999</v>
      </c>
      <c r="H6" s="15">
        <v>0.19900000000000001</v>
      </c>
      <c r="I6" s="15">
        <v>0</v>
      </c>
      <c r="J6" s="15">
        <v>0</v>
      </c>
      <c r="K6" s="77">
        <f>_xll.qlMidSafe($G6,$H6)</f>
        <v>0.17399999999999999</v>
      </c>
      <c r="L6" s="6"/>
      <c r="M6" s="133">
        <v>0.17399999999999999</v>
      </c>
      <c r="N6" s="6"/>
      <c r="O6" s="97" t="str">
        <f t="shared" ref="O6:O18" si="1">$E6&amp;$P$2</f>
        <v>USD3X1S_Quote</v>
      </c>
      <c r="P6" s="15">
        <v>0.17399999999999999</v>
      </c>
      <c r="Q6" s="98">
        <f>_xll.qlSimpleQuoteSetValue($O6,$P6/100,Trigger)</f>
        <v>0</v>
      </c>
      <c r="R6" s="10"/>
      <c r="T6" s="244"/>
      <c r="X6" s="247">
        <f t="shared" ref="X6:X15" si="2">(H6-K6)/50</f>
        <v>5.0000000000000044E-4</v>
      </c>
    </row>
    <row r="7" spans="1:24" x14ac:dyDescent="0.2">
      <c r="A7" s="9"/>
      <c r="B7" s="131"/>
      <c r="C7" s="42">
        <v>4</v>
      </c>
      <c r="D7" s="42" t="s">
        <v>84</v>
      </c>
      <c r="E7" s="26" t="str">
        <f t="shared" si="0"/>
        <v>USD4X1S</v>
      </c>
      <c r="F7" s="26" t="str">
        <v>USD4X1S=ICAP</v>
      </c>
      <c r="G7" s="15">
        <v>0.152</v>
      </c>
      <c r="H7" s="15">
        <v>0.20200000000000001</v>
      </c>
      <c r="I7" s="15">
        <v>0</v>
      </c>
      <c r="J7" s="15">
        <v>0</v>
      </c>
      <c r="K7" s="77">
        <f>_xll.qlMidSafe($G7,$H7)</f>
        <v>0.17699999999999999</v>
      </c>
      <c r="L7" s="6"/>
      <c r="M7" s="133">
        <v>0.17699999999999999</v>
      </c>
      <c r="N7" s="6"/>
      <c r="O7" s="97" t="str">
        <f t="shared" si="1"/>
        <v>USD4X1S_Quote</v>
      </c>
      <c r="P7" s="15">
        <v>0.17699999999999999</v>
      </c>
      <c r="Q7" s="98">
        <f>_xll.qlSimpleQuoteSetValue($O7,$P7/100,Trigger)</f>
        <v>0</v>
      </c>
      <c r="R7" s="10"/>
      <c r="T7" s="244"/>
      <c r="X7" s="247">
        <f t="shared" si="2"/>
        <v>5.0000000000000044E-4</v>
      </c>
    </row>
    <row r="8" spans="1:24" x14ac:dyDescent="0.2">
      <c r="A8" s="9"/>
      <c r="B8" s="131"/>
      <c r="C8" s="42">
        <v>5</v>
      </c>
      <c r="D8" s="42" t="s">
        <v>84</v>
      </c>
      <c r="E8" s="26" t="str">
        <f t="shared" si="0"/>
        <v>USD5X1S</v>
      </c>
      <c r="F8" s="26" t="str">
        <v>USD5X1S=ICAP</v>
      </c>
      <c r="G8" s="15">
        <v>0.155</v>
      </c>
      <c r="H8" s="15">
        <v>0.20499999999999999</v>
      </c>
      <c r="I8" s="15">
        <v>0</v>
      </c>
      <c r="J8" s="15">
        <v>0</v>
      </c>
      <c r="K8" s="77">
        <f>_xll.qlMidSafe($G8,$H8)</f>
        <v>0.18</v>
      </c>
      <c r="L8" s="6"/>
      <c r="M8" s="133">
        <v>0.18</v>
      </c>
      <c r="N8" s="6"/>
      <c r="O8" s="97" t="str">
        <f t="shared" si="1"/>
        <v>USD5X1S_Quote</v>
      </c>
      <c r="P8" s="15">
        <v>0.18</v>
      </c>
      <c r="Q8" s="98">
        <f>_xll.qlSimpleQuoteSetValue($O8,$P8/100,Trigger)</f>
        <v>0</v>
      </c>
      <c r="R8" s="10"/>
      <c r="T8" s="244"/>
      <c r="X8" s="247">
        <f t="shared" si="2"/>
        <v>4.999999999999999E-4</v>
      </c>
    </row>
    <row r="9" spans="1:24" x14ac:dyDescent="0.2">
      <c r="A9" s="9"/>
      <c r="B9" s="131"/>
      <c r="C9" s="42">
        <v>6</v>
      </c>
      <c r="D9" s="42" t="s">
        <v>84</v>
      </c>
      <c r="E9" s="26" t="str">
        <f t="shared" si="0"/>
        <v>USD6X1S</v>
      </c>
      <c r="F9" s="26" t="str">
        <v>USD6X1S=ICAP</v>
      </c>
      <c r="G9" s="15">
        <v>0.159</v>
      </c>
      <c r="H9" s="15">
        <v>0.20899999999999999</v>
      </c>
      <c r="I9" s="15">
        <v>0</v>
      </c>
      <c r="J9" s="15">
        <v>0</v>
      </c>
      <c r="K9" s="77">
        <f>_xll.qlMidSafe($G9,$H9)</f>
        <v>0.184</v>
      </c>
      <c r="L9" s="6"/>
      <c r="M9" s="133">
        <v>0.185</v>
      </c>
      <c r="N9" s="6"/>
      <c r="O9" s="97" t="str">
        <f t="shared" si="1"/>
        <v>USD6X1S_Quote</v>
      </c>
      <c r="P9" s="15">
        <v>0.184</v>
      </c>
      <c r="Q9" s="98">
        <f>_xll.qlSimpleQuoteSetValue($O9,$P9/100,Trigger)</f>
        <v>-1.0000000000000026E-5</v>
      </c>
      <c r="R9" s="10"/>
      <c r="T9" s="244"/>
      <c r="X9" s="247">
        <f t="shared" si="2"/>
        <v>4.999999999999999E-4</v>
      </c>
    </row>
    <row r="10" spans="1:24" x14ac:dyDescent="0.2">
      <c r="A10" s="9"/>
      <c r="B10" s="131"/>
      <c r="C10" s="42">
        <v>7</v>
      </c>
      <c r="D10" s="42" t="s">
        <v>84</v>
      </c>
      <c r="E10" s="26" t="str">
        <f t="shared" si="0"/>
        <v>USD7X1S</v>
      </c>
      <c r="F10" s="26" t="str">
        <v>USD7X1S=ICAP</v>
      </c>
      <c r="G10" s="15">
        <v>0.16500000000000001</v>
      </c>
      <c r="H10" s="15">
        <v>0.215</v>
      </c>
      <c r="I10" s="15">
        <v>0</v>
      </c>
      <c r="J10" s="15">
        <v>0</v>
      </c>
      <c r="K10" s="77">
        <f>_xll.qlMidSafe($G10,$H10)</f>
        <v>0.19</v>
      </c>
      <c r="L10" s="6"/>
      <c r="M10" s="133">
        <v>0.19</v>
      </c>
      <c r="N10" s="6"/>
      <c r="O10" s="97" t="str">
        <f t="shared" si="1"/>
        <v>USD7X1S_Quote</v>
      </c>
      <c r="P10" s="15">
        <v>0.19</v>
      </c>
      <c r="Q10" s="98">
        <f>_xll.qlSimpleQuoteSetValue($O10,$P10/100,Trigger)</f>
        <v>0</v>
      </c>
      <c r="R10" s="10"/>
      <c r="T10" s="244"/>
      <c r="X10" s="247">
        <f t="shared" si="2"/>
        <v>4.999999999999999E-4</v>
      </c>
    </row>
    <row r="11" spans="1:24" x14ac:dyDescent="0.2">
      <c r="A11" s="9"/>
      <c r="B11" s="131"/>
      <c r="C11" s="42">
        <v>8</v>
      </c>
      <c r="D11" s="42" t="s">
        <v>84</v>
      </c>
      <c r="E11" s="26" t="str">
        <f t="shared" si="0"/>
        <v>USD8X1S</v>
      </c>
      <c r="F11" s="26" t="str">
        <v>USD8X1S=ICAP</v>
      </c>
      <c r="G11" s="15">
        <v>0.17</v>
      </c>
      <c r="H11" s="15">
        <v>0.22</v>
      </c>
      <c r="I11" s="15">
        <v>0</v>
      </c>
      <c r="J11" s="15">
        <v>0</v>
      </c>
      <c r="K11" s="77">
        <f>_xll.qlMidSafe($G11,$H11)</f>
        <v>0.19500000000000001</v>
      </c>
      <c r="L11" s="6"/>
      <c r="M11" s="133">
        <v>0.19500000000000001</v>
      </c>
      <c r="N11" s="6"/>
      <c r="O11" s="97" t="str">
        <f t="shared" si="1"/>
        <v>USD8X1S_Quote</v>
      </c>
      <c r="P11" s="15">
        <v>0.19500000000000001</v>
      </c>
      <c r="Q11" s="98">
        <f>_xll.qlSimpleQuoteSetValue($O11,$P11/100,Trigger)</f>
        <v>0</v>
      </c>
      <c r="R11" s="10"/>
      <c r="T11" s="244"/>
      <c r="X11" s="247">
        <f t="shared" si="2"/>
        <v>4.999999999999999E-4</v>
      </c>
    </row>
    <row r="12" spans="1:24" x14ac:dyDescent="0.2">
      <c r="A12" s="9"/>
      <c r="B12" s="131"/>
      <c r="C12" s="42">
        <v>9</v>
      </c>
      <c r="D12" s="42" t="s">
        <v>84</v>
      </c>
      <c r="E12" s="26" t="str">
        <f t="shared" si="0"/>
        <v>USD9X1S</v>
      </c>
      <c r="F12" s="26" t="str">
        <v>USD9X1S=ICAP</v>
      </c>
      <c r="G12" s="15">
        <v>0.17599999999999999</v>
      </c>
      <c r="H12" s="15">
        <v>0.22600000000000001</v>
      </c>
      <c r="I12" s="15">
        <v>0</v>
      </c>
      <c r="J12" s="15">
        <v>0</v>
      </c>
      <c r="K12" s="77">
        <f>_xll.qlMidSafe($G12,$H12)</f>
        <v>0.20100000000000001</v>
      </c>
      <c r="L12" s="6"/>
      <c r="M12" s="133">
        <v>0.20100000000000001</v>
      </c>
      <c r="N12" s="6"/>
      <c r="O12" s="97" t="str">
        <f t="shared" si="1"/>
        <v>USD9X1S_Quote</v>
      </c>
      <c r="P12" s="15">
        <v>0.20100000000000001</v>
      </c>
      <c r="Q12" s="98">
        <f>_xll.qlSimpleQuoteSetValue($O12,$P12/100,Trigger)</f>
        <v>0</v>
      </c>
      <c r="R12" s="10"/>
      <c r="T12" s="244"/>
      <c r="X12" s="247">
        <f t="shared" si="2"/>
        <v>4.999999999999999E-4</v>
      </c>
    </row>
    <row r="13" spans="1:24" x14ac:dyDescent="0.2">
      <c r="A13" s="9"/>
      <c r="B13" s="131"/>
      <c r="C13" s="42">
        <v>10</v>
      </c>
      <c r="D13" s="42" t="s">
        <v>84</v>
      </c>
      <c r="E13" s="26" t="str">
        <f t="shared" si="0"/>
        <v>USD10X1S</v>
      </c>
      <c r="F13" s="26" t="str">
        <v>USD10X1S=ICAP</v>
      </c>
      <c r="G13" s="15">
        <v>0.182</v>
      </c>
      <c r="H13" s="15">
        <v>0.23200000000000001</v>
      </c>
      <c r="I13" s="15">
        <v>0</v>
      </c>
      <c r="J13" s="15">
        <v>0</v>
      </c>
      <c r="K13" s="77">
        <f>_xll.qlMidSafe($G13,$H13)</f>
        <v>0.20700000000000002</v>
      </c>
      <c r="L13" s="6"/>
      <c r="M13" s="133">
        <v>0.20700000000000002</v>
      </c>
      <c r="N13" s="6"/>
      <c r="O13" s="97" t="str">
        <f t="shared" si="1"/>
        <v>USD10X1S_Quote</v>
      </c>
      <c r="P13" s="15">
        <v>0.20700000000000002</v>
      </c>
      <c r="Q13" s="98">
        <f>_xll.qlSimpleQuoteSetValue($O13,$P13/100,Trigger)</f>
        <v>0</v>
      </c>
      <c r="R13" s="10"/>
      <c r="T13" s="244"/>
      <c r="X13" s="247">
        <f t="shared" si="2"/>
        <v>4.999999999999999E-4</v>
      </c>
    </row>
    <row r="14" spans="1:24" x14ac:dyDescent="0.2">
      <c r="A14" s="9"/>
      <c r="B14" s="131"/>
      <c r="C14" s="42">
        <v>11</v>
      </c>
      <c r="D14" s="42" t="s">
        <v>84</v>
      </c>
      <c r="E14" s="26" t="str">
        <f t="shared" si="0"/>
        <v>USD11X1S</v>
      </c>
      <c r="F14" s="26" t="str">
        <v>USD11X1S=ICAP</v>
      </c>
      <c r="G14" s="15">
        <v>0.188</v>
      </c>
      <c r="H14" s="15">
        <v>0.23799999999999999</v>
      </c>
      <c r="I14" s="15">
        <v>0</v>
      </c>
      <c r="J14" s="15">
        <v>0</v>
      </c>
      <c r="K14" s="77">
        <f>_xll.qlMidSafe($G14,$H14)</f>
        <v>0.21299999999999999</v>
      </c>
      <c r="L14" s="6"/>
      <c r="M14" s="133">
        <v>0.21299999999999999</v>
      </c>
      <c r="N14" s="6"/>
      <c r="O14" s="97" t="str">
        <f t="shared" si="1"/>
        <v>USD11X1S_Quote</v>
      </c>
      <c r="P14" s="15">
        <v>0.21299999999999999</v>
      </c>
      <c r="Q14" s="98">
        <f>_xll.qlSimpleQuoteSetValue($O14,$P14/100,Trigger)</f>
        <v>0</v>
      </c>
      <c r="R14" s="10"/>
      <c r="T14" s="244"/>
      <c r="X14" s="247">
        <f t="shared" si="2"/>
        <v>4.999999999999999E-4</v>
      </c>
    </row>
    <row r="15" spans="1:24" x14ac:dyDescent="0.2">
      <c r="A15" s="9"/>
      <c r="B15" s="131"/>
      <c r="C15" s="42">
        <v>12</v>
      </c>
      <c r="D15" s="42" t="s">
        <v>84</v>
      </c>
      <c r="E15" s="26" t="str">
        <f t="shared" si="0"/>
        <v>USD12X1S</v>
      </c>
      <c r="F15" s="26" t="str">
        <v>USD12X1S=ICAP</v>
      </c>
      <c r="G15" s="15">
        <v>0.19600000000000001</v>
      </c>
      <c r="H15" s="15">
        <v>0.246</v>
      </c>
      <c r="I15" s="15">
        <v>0</v>
      </c>
      <c r="J15" s="15">
        <v>0</v>
      </c>
      <c r="K15" s="77">
        <f>_xll.qlMidSafe($G15,$H15)</f>
        <v>0.221</v>
      </c>
      <c r="L15" s="6"/>
      <c r="M15" s="133">
        <v>0.22</v>
      </c>
      <c r="N15" s="6"/>
      <c r="O15" s="97" t="str">
        <f t="shared" si="1"/>
        <v>USD12X1S_Quote</v>
      </c>
      <c r="P15" s="15">
        <v>0.221</v>
      </c>
      <c r="Q15" s="98">
        <f>_xll.qlSimpleQuoteSetValue($O15,$P15/100,Trigger)</f>
        <v>1.0000000000000026E-5</v>
      </c>
      <c r="R15" s="10"/>
      <c r="T15" s="244"/>
      <c r="X15" s="247">
        <f t="shared" si="2"/>
        <v>4.999999999999999E-4</v>
      </c>
    </row>
    <row r="16" spans="1:24" x14ac:dyDescent="0.2">
      <c r="A16" s="9"/>
      <c r="B16" s="131"/>
      <c r="C16" s="42">
        <v>15</v>
      </c>
      <c r="D16" s="42" t="s">
        <v>84</v>
      </c>
      <c r="E16" s="26" t="str">
        <f t="shared" si="0"/>
        <v>USD15X1S</v>
      </c>
      <c r="F16" s="26" t="str">
        <v>USD15X1S=ICAP</v>
      </c>
      <c r="G16" s="15">
        <v>0.219</v>
      </c>
      <c r="H16" s="15">
        <v>0.26900000000000002</v>
      </c>
      <c r="I16" s="15">
        <v>0</v>
      </c>
      <c r="J16" s="15">
        <v>0</v>
      </c>
      <c r="K16" s="77">
        <f>_xll.qlMidSafe($G16,$H16)</f>
        <v>0.24399999999999999</v>
      </c>
      <c r="L16" s="6"/>
      <c r="M16" s="133">
        <v>0.24399999999999999</v>
      </c>
      <c r="N16" s="6"/>
      <c r="O16" s="97" t="str">
        <f t="shared" si="1"/>
        <v>USD15X1S_Quote</v>
      </c>
      <c r="P16" s="15">
        <v>0.24399999999999999</v>
      </c>
      <c r="Q16" s="98" t="e">
        <f>_xll.qlSimpleQuoteSetValue($O16,$P16/100,Trigger)</f>
        <v>#NUM!</v>
      </c>
      <c r="R16" s="10"/>
    </row>
    <row r="17" spans="1:18" x14ac:dyDescent="0.2">
      <c r="A17" s="9"/>
      <c r="B17" s="131"/>
      <c r="C17" s="42">
        <v>18</v>
      </c>
      <c r="D17" s="42" t="s">
        <v>84</v>
      </c>
      <c r="E17" s="26" t="str">
        <f t="shared" si="0"/>
        <v>USD18X1S</v>
      </c>
      <c r="F17" s="26" t="str">
        <v>USD18X1S=ICAP</v>
      </c>
      <c r="G17" s="15">
        <v>0.248</v>
      </c>
      <c r="H17" s="15">
        <v>0.29799999999999999</v>
      </c>
      <c r="I17" s="15">
        <v>0</v>
      </c>
      <c r="J17" s="15">
        <v>0</v>
      </c>
      <c r="K17" s="77">
        <f>_xll.qlMidSafe($G17,$H17)</f>
        <v>0.27300000000000002</v>
      </c>
      <c r="L17" s="6"/>
      <c r="M17" s="133">
        <v>0.27300000000000002</v>
      </c>
      <c r="N17" s="6"/>
      <c r="O17" s="97" t="str">
        <f t="shared" si="1"/>
        <v>USD18X1S_Quote</v>
      </c>
      <c r="P17" s="15">
        <v>0.27300000000000002</v>
      </c>
      <c r="Q17" s="98" t="e">
        <f>_xll.qlSimpleQuoteSetValue($O17,$P17/100,Trigger)</f>
        <v>#NUM!</v>
      </c>
      <c r="R17" s="10"/>
    </row>
    <row r="18" spans="1:18" x14ac:dyDescent="0.2">
      <c r="A18" s="9"/>
      <c r="B18" s="131"/>
      <c r="C18" s="42">
        <v>24</v>
      </c>
      <c r="D18" s="42" t="s">
        <v>84</v>
      </c>
      <c r="E18" s="26" t="str">
        <f t="shared" si="0"/>
        <v>USD24X1S</v>
      </c>
      <c r="F18" s="26" t="str">
        <v>USD24X1S=ICAP</v>
      </c>
      <c r="G18" s="15">
        <v>0.32700000000000001</v>
      </c>
      <c r="H18" s="15">
        <v>0.377</v>
      </c>
      <c r="I18" s="15">
        <v>0</v>
      </c>
      <c r="J18" s="15">
        <v>0</v>
      </c>
      <c r="K18" s="77">
        <f>_xll.qlMidSafe($G18,$H18)</f>
        <v>0.35199999999999998</v>
      </c>
      <c r="L18" s="6"/>
      <c r="M18" s="133">
        <v>0.35099999999999998</v>
      </c>
      <c r="N18" s="6"/>
      <c r="O18" s="97" t="str">
        <f t="shared" si="1"/>
        <v>USD24X1S_Quote</v>
      </c>
      <c r="P18" s="15">
        <v>0.35199999999999998</v>
      </c>
      <c r="Q18" s="98" t="e">
        <f>_xll.qlSimpleQuoteSetValue($O18,$P18/100,Trigger)</f>
        <v>#NUM!</v>
      </c>
      <c r="R18" s="10"/>
    </row>
    <row r="19" spans="1:18" ht="13.5" thickBot="1" x14ac:dyDescent="0.25">
      <c r="A19" s="11"/>
      <c r="B19" s="256"/>
      <c r="C19" s="256"/>
      <c r="D19" s="256"/>
      <c r="E19" s="256"/>
      <c r="F19" s="256"/>
      <c r="G19" s="256"/>
      <c r="H19" s="256"/>
      <c r="I19" s="256"/>
      <c r="J19" s="256"/>
      <c r="K19" s="256"/>
      <c r="L19" s="12"/>
      <c r="M19" s="256"/>
      <c r="N19" s="256"/>
      <c r="O19" s="256"/>
      <c r="P19" s="256"/>
      <c r="Q19" s="256"/>
      <c r="R19" s="14"/>
    </row>
  </sheetData>
  <phoneticPr fontId="4" type="noConversion"/>
  <conditionalFormatting sqref="Q5:Q1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12"/>
  <sheetViews>
    <sheetView workbookViewId="0">
      <selection activeCell="Q3" sqref="Q3"/>
    </sheetView>
  </sheetViews>
  <sheetFormatPr defaultRowHeight="12.75" x14ac:dyDescent="0.2"/>
  <cols>
    <col min="1" max="1" width="5" customWidth="1"/>
    <col min="2" max="2" width="3.85546875" bestFit="1" customWidth="1"/>
    <col min="3" max="3" width="2.85546875" bestFit="1" customWidth="1"/>
    <col min="4" max="4" width="2.7109375" bestFit="1" customWidth="1"/>
    <col min="5" max="5" width="7.5703125" bestFit="1" customWidth="1"/>
    <col min="6" max="6" width="11.7109375" bestFit="1" customWidth="1"/>
    <col min="7" max="9" width="5.7109375" bestFit="1" customWidth="1"/>
    <col min="10" max="10" width="10" bestFit="1" customWidth="1"/>
    <col min="11" max="11" width="5.7109375" bestFit="1" customWidth="1"/>
    <col min="12" max="12" width="5" customWidth="1"/>
    <col min="13" max="13" width="5.7109375" bestFit="1" customWidth="1"/>
    <col min="14" max="14" width="5" customWidth="1"/>
    <col min="15" max="15" width="12.5703125" bestFit="1" customWidth="1"/>
    <col min="16" max="17" width="7.7109375" bestFit="1" customWidth="1"/>
    <col min="18" max="18" width="5" customWidth="1"/>
    <col min="19" max="19" width="5.140625" customWidth="1"/>
    <col min="24" max="24" width="7" bestFit="1" customWidth="1"/>
  </cols>
  <sheetData>
    <row r="1" spans="1:24" ht="13.5" thickBot="1" x14ac:dyDescent="0.25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ht="13.5" thickBot="1" x14ac:dyDescent="0.25">
      <c r="A2" s="5"/>
      <c r="B2" s="7"/>
      <c r="C2" s="6"/>
      <c r="D2" s="6"/>
      <c r="E2" s="6"/>
      <c r="F2" s="117" t="s">
        <v>5</v>
      </c>
      <c r="G2" s="6"/>
      <c r="H2" s="6"/>
      <c r="I2" s="6"/>
      <c r="J2" s="6"/>
      <c r="K2" s="7"/>
      <c r="L2" s="6"/>
      <c r="M2" s="6"/>
      <c r="N2" s="6"/>
      <c r="O2" s="24" t="s">
        <v>79</v>
      </c>
      <c r="P2" s="25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_xll.ohTrigger(Q5:Q11)</f>
        <v>13</v>
      </c>
      <c r="R3" s="10"/>
    </row>
    <row r="4" spans="1:24" ht="22.5" x14ac:dyDescent="0.2">
      <c r="A4" s="9"/>
      <c r="B4" s="83"/>
      <c r="C4" s="84"/>
      <c r="D4" s="84"/>
      <c r="E4" s="84"/>
      <c r="F4" s="85" t="str">
        <f>_xll.RData(F5:F11,G4:J4,"RTFEED:IDN",ReutersRtMode,,G5)</f>
        <v>Updated at 20:17:02</v>
      </c>
      <c r="G4" s="86" t="s">
        <v>0</v>
      </c>
      <c r="H4" s="86" t="s">
        <v>1</v>
      </c>
      <c r="I4" s="86" t="s">
        <v>25</v>
      </c>
      <c r="J4" s="86" t="s">
        <v>26</v>
      </c>
      <c r="K4" s="87" t="s">
        <v>138</v>
      </c>
      <c r="L4" s="6"/>
      <c r="M4" s="90" t="s">
        <v>115</v>
      </c>
      <c r="N4" s="6"/>
      <c r="O4" s="91" t="s">
        <v>31</v>
      </c>
      <c r="P4" s="92" t="s">
        <v>17</v>
      </c>
      <c r="Q4" s="93" t="s">
        <v>24</v>
      </c>
      <c r="R4" s="10"/>
      <c r="X4" s="246" t="s">
        <v>152</v>
      </c>
    </row>
    <row r="5" spans="1:24" x14ac:dyDescent="0.2">
      <c r="A5" s="9"/>
      <c r="B5" s="131"/>
      <c r="C5" s="42" t="s">
        <v>80</v>
      </c>
      <c r="D5" s="42">
        <v>12</v>
      </c>
      <c r="E5" s="26" t="str">
        <f t="shared" ref="E5:E11" si="0">Currency&amp;$C5&amp;$D5&amp;$B5</f>
        <v>USD1S12</v>
      </c>
      <c r="F5" s="26" t="str">
        <f t="array" ref="F5:F11">Instruments&amp;"="&amp;VLOOKUP(Contributor,ContributorTable,2,FALSE)</f>
        <v>USD1S12=ICAP</v>
      </c>
      <c r="G5" s="15">
        <v>0.29199999999999998</v>
      </c>
      <c r="H5" s="15">
        <v>0.34200000000000003</v>
      </c>
      <c r="I5" s="15">
        <v>0</v>
      </c>
      <c r="J5" s="15">
        <v>0</v>
      </c>
      <c r="K5" s="77">
        <f>_xll.qlMidSafe($G5,$H5)</f>
        <v>0.317</v>
      </c>
      <c r="L5" s="6"/>
      <c r="M5" s="133">
        <v>0.317</v>
      </c>
      <c r="N5" s="6"/>
      <c r="O5" s="97" t="str">
        <f>$E5&amp;$P$2</f>
        <v>USD1S12_Quote</v>
      </c>
      <c r="P5" s="15">
        <f t="array" ref="P5:P11">QuoteLive</f>
        <v>0.317</v>
      </c>
      <c r="Q5" s="98">
        <f>_xll.qlSimpleQuoteSetValue($O5,$P5/100,Trigger)</f>
        <v>0</v>
      </c>
      <c r="R5" s="10"/>
      <c r="X5" s="247">
        <f>(H5-K5)/50</f>
        <v>5.0000000000000044E-4</v>
      </c>
    </row>
    <row r="6" spans="1:24" x14ac:dyDescent="0.2">
      <c r="A6" s="9"/>
      <c r="B6" s="131"/>
      <c r="C6" s="42" t="s">
        <v>81</v>
      </c>
      <c r="D6" s="42">
        <v>12</v>
      </c>
      <c r="E6" s="26" t="str">
        <f t="shared" si="0"/>
        <v>USD2S12</v>
      </c>
      <c r="F6" s="26" t="str">
        <v>USD2S12=ICAP</v>
      </c>
      <c r="G6" s="15">
        <v>0.34399999999999997</v>
      </c>
      <c r="H6" s="15">
        <v>0.39400000000000002</v>
      </c>
      <c r="I6" s="15">
        <v>0</v>
      </c>
      <c r="J6" s="15">
        <v>0</v>
      </c>
      <c r="K6" s="77">
        <f>_xll.qlMidSafe($G6,$H6)</f>
        <v>0.36899999999999999</v>
      </c>
      <c r="L6" s="6"/>
      <c r="M6" s="133">
        <v>0.36899999999999999</v>
      </c>
      <c r="N6" s="6"/>
      <c r="O6" s="97" t="str">
        <f t="shared" ref="O6:O11" si="1">$E6&amp;$P$2</f>
        <v>USD2S12_Quote</v>
      </c>
      <c r="P6" s="15">
        <v>0.36899999999999999</v>
      </c>
      <c r="Q6" s="98">
        <f>_xll.qlSimpleQuoteSetValue($O6,$P6/100,Trigger)</f>
        <v>0</v>
      </c>
      <c r="R6" s="10"/>
      <c r="X6" s="247">
        <f t="shared" ref="X6:X11" si="2">(H6-K6)/50</f>
        <v>5.0000000000000044E-4</v>
      </c>
    </row>
    <row r="7" spans="1:24" x14ac:dyDescent="0.2">
      <c r="A7" s="9"/>
      <c r="B7" s="131"/>
      <c r="C7" s="42" t="s">
        <v>82</v>
      </c>
      <c r="D7" s="42">
        <v>12</v>
      </c>
      <c r="E7" s="26" t="str">
        <f t="shared" si="0"/>
        <v>USD3S12</v>
      </c>
      <c r="F7" s="26" t="str">
        <v>USD3S12=ICAP</v>
      </c>
      <c r="G7" s="15">
        <v>0.41099999999999998</v>
      </c>
      <c r="H7" s="15">
        <v>0.46100000000000002</v>
      </c>
      <c r="I7" s="15">
        <v>0</v>
      </c>
      <c r="J7" s="15">
        <v>0</v>
      </c>
      <c r="K7" s="77">
        <f>_xll.qlMidSafe($G7,$H7)</f>
        <v>0.436</v>
      </c>
      <c r="L7" s="6"/>
      <c r="M7" s="133">
        <v>0.434</v>
      </c>
      <c r="N7" s="6"/>
      <c r="O7" s="97" t="str">
        <f t="shared" si="1"/>
        <v>USD3S12_Quote</v>
      </c>
      <c r="P7" s="15">
        <v>0.436</v>
      </c>
      <c r="Q7" s="98">
        <f>_xll.qlSimpleQuoteSetValue($O7,$P7/100,Trigger)</f>
        <v>2.0000000000000052E-5</v>
      </c>
      <c r="R7" s="10"/>
      <c r="X7" s="247">
        <f t="shared" si="2"/>
        <v>5.0000000000000044E-4</v>
      </c>
    </row>
    <row r="8" spans="1:24" x14ac:dyDescent="0.2">
      <c r="A8" s="9"/>
      <c r="B8" s="131"/>
      <c r="C8" s="42" t="s">
        <v>83</v>
      </c>
      <c r="D8" s="42">
        <v>12</v>
      </c>
      <c r="E8" s="26" t="str">
        <f t="shared" si="0"/>
        <v>USD4S12</v>
      </c>
      <c r="F8" s="26" t="str">
        <v>USD4S12=ICAP</v>
      </c>
      <c r="G8" s="15">
        <v>0.496</v>
      </c>
      <c r="H8" s="15">
        <v>0.54600000000000004</v>
      </c>
      <c r="I8" s="15">
        <v>0</v>
      </c>
      <c r="J8" s="15">
        <v>0</v>
      </c>
      <c r="K8" s="77">
        <f>_xll.qlMidSafe($G8,$H8)</f>
        <v>0.52100000000000002</v>
      </c>
      <c r="L8" s="6"/>
      <c r="M8" s="133">
        <v>0.51900000000000002</v>
      </c>
      <c r="N8" s="6"/>
      <c r="O8" s="97" t="str">
        <f t="shared" si="1"/>
        <v>USD4S12_Quote</v>
      </c>
      <c r="P8" s="15">
        <v>0.52100000000000002</v>
      </c>
      <c r="Q8" s="98">
        <f>_xll.qlSimpleQuoteSetValue($O8,$P8/100,Trigger)</f>
        <v>2.0000000000000052E-5</v>
      </c>
      <c r="R8" s="10"/>
      <c r="X8" s="247">
        <f t="shared" si="2"/>
        <v>5.0000000000000044E-4</v>
      </c>
    </row>
    <row r="9" spans="1:24" x14ac:dyDescent="0.2">
      <c r="A9" s="9"/>
      <c r="B9" s="131"/>
      <c r="C9" s="42" t="s">
        <v>80</v>
      </c>
      <c r="D9" s="42">
        <v>24</v>
      </c>
      <c r="E9" s="26" t="str">
        <f t="shared" si="0"/>
        <v>USD1S24</v>
      </c>
      <c r="F9" s="26" t="str">
        <v>USD1S24=ICAP</v>
      </c>
      <c r="G9" s="15" t="s">
        <v>175</v>
      </c>
      <c r="H9" s="15" t="s">
        <v>175</v>
      </c>
      <c r="I9" s="15" t="s">
        <v>175</v>
      </c>
      <c r="J9" s="15" t="s">
        <v>175</v>
      </c>
      <c r="K9" s="77" t="e">
        <f>_xll.qlMidSafe($G9,$H9)</f>
        <v>#NUM!</v>
      </c>
      <c r="L9" s="6"/>
      <c r="M9" s="133" t="e">
        <v>#NUM!</v>
      </c>
      <c r="N9" s="6"/>
      <c r="O9" s="97" t="str">
        <f t="shared" si="1"/>
        <v>USD1S24_Quote</v>
      </c>
      <c r="P9" s="15" t="e">
        <v>#NUM!</v>
      </c>
      <c r="Q9" s="98" t="e">
        <f>_xll.qlSimpleQuoteSetValue($O9,$P9/100,Trigger)</f>
        <v>#NUM!</v>
      </c>
      <c r="R9" s="10"/>
      <c r="X9" s="247" t="e">
        <f t="shared" si="2"/>
        <v>#VALUE!</v>
      </c>
    </row>
    <row r="10" spans="1:24" x14ac:dyDescent="0.2">
      <c r="A10" s="9"/>
      <c r="B10" s="131"/>
      <c r="C10" s="42" t="s">
        <v>81</v>
      </c>
      <c r="D10" s="42">
        <v>24</v>
      </c>
      <c r="E10" s="26" t="str">
        <f t="shared" si="0"/>
        <v>USD2S24</v>
      </c>
      <c r="F10" s="26" t="str">
        <v>USD2S24=ICAP</v>
      </c>
      <c r="G10" s="15" t="s">
        <v>175</v>
      </c>
      <c r="H10" s="15" t="s">
        <v>175</v>
      </c>
      <c r="I10" s="15" t="s">
        <v>175</v>
      </c>
      <c r="J10" s="15" t="s">
        <v>175</v>
      </c>
      <c r="K10" s="77" t="e">
        <f>_xll.qlMidSafe($G10,$H10)</f>
        <v>#NUM!</v>
      </c>
      <c r="L10" s="6"/>
      <c r="M10" s="133" t="e">
        <v>#NUM!</v>
      </c>
      <c r="N10" s="6"/>
      <c r="O10" s="97" t="str">
        <f t="shared" si="1"/>
        <v>USD2S24_Quote</v>
      </c>
      <c r="P10" s="15" t="e">
        <v>#NUM!</v>
      </c>
      <c r="Q10" s="98" t="e">
        <f>_xll.qlSimpleQuoteSetValue($O10,$P10/100,Trigger)</f>
        <v>#NUM!</v>
      </c>
      <c r="R10" s="10"/>
      <c r="X10" s="247" t="e">
        <f t="shared" si="2"/>
        <v>#VALUE!</v>
      </c>
    </row>
    <row r="11" spans="1:24" x14ac:dyDescent="0.2">
      <c r="A11" s="9"/>
      <c r="B11" s="132"/>
      <c r="C11" s="109" t="s">
        <v>80</v>
      </c>
      <c r="D11" s="109">
        <v>36</v>
      </c>
      <c r="E11" s="110" t="str">
        <f t="shared" si="0"/>
        <v>USD1S36</v>
      </c>
      <c r="F11" s="110" t="str">
        <v>USD1S36=ICAP</v>
      </c>
      <c r="G11" s="81" t="s">
        <v>175</v>
      </c>
      <c r="H11" s="81" t="s">
        <v>175</v>
      </c>
      <c r="I11" s="81" t="s">
        <v>175</v>
      </c>
      <c r="J11" s="81" t="s">
        <v>175</v>
      </c>
      <c r="K11" s="82" t="e">
        <f>_xll.qlMidSafe($G11,$H11)</f>
        <v>#NUM!</v>
      </c>
      <c r="L11" s="6"/>
      <c r="M11" s="134" t="e">
        <v>#NUM!</v>
      </c>
      <c r="N11" s="6"/>
      <c r="O11" s="99" t="str">
        <f t="shared" si="1"/>
        <v>USD1S36_Quote</v>
      </c>
      <c r="P11" s="81" t="e">
        <v>#NUM!</v>
      </c>
      <c r="Q11" s="100" t="e">
        <f>_xll.qlSimpleQuoteSetValue($O11,$P11/100,Trigger)</f>
        <v>#NUM!</v>
      </c>
      <c r="R11" s="10"/>
      <c r="X11" s="247" t="e">
        <f t="shared" si="2"/>
        <v>#VALUE!</v>
      </c>
    </row>
    <row r="12" spans="1:24" ht="13.5" thickBot="1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4"/>
    </row>
  </sheetData>
  <phoneticPr fontId="4" type="noConversion"/>
  <conditionalFormatting sqref="Q5:Q11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43"/>
  <sheetViews>
    <sheetView workbookViewId="0">
      <selection activeCell="K10" sqref="K10"/>
    </sheetView>
  </sheetViews>
  <sheetFormatPr defaultRowHeight="11.25" x14ac:dyDescent="0.2"/>
  <cols>
    <col min="1" max="1" width="5" style="44" customWidth="1"/>
    <col min="2" max="2" width="3.85546875" style="44" bestFit="1" customWidth="1"/>
    <col min="3" max="3" width="3.28515625" style="44" bestFit="1" customWidth="1"/>
    <col min="4" max="4" width="2.7109375" style="44" bestFit="1" customWidth="1"/>
    <col min="5" max="5" width="10.85546875" style="44" bestFit="1" customWidth="1"/>
    <col min="6" max="6" width="15.140625" style="44" bestFit="1" customWidth="1"/>
    <col min="7" max="9" width="5.7109375" style="44" bestFit="1" customWidth="1"/>
    <col min="10" max="10" width="10" style="44" bestFit="1" customWidth="1"/>
    <col min="11" max="11" width="5.7109375" style="44" bestFit="1" customWidth="1"/>
    <col min="12" max="12" width="5" style="44" customWidth="1"/>
    <col min="13" max="13" width="5.7109375" style="44" bestFit="1" customWidth="1"/>
    <col min="14" max="14" width="5" style="44" customWidth="1"/>
    <col min="15" max="15" width="16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4" style="44" bestFit="1" customWidth="1"/>
    <col min="21" max="21" width="3.28515625" style="44" bestFit="1" customWidth="1"/>
    <col min="22" max="22" width="2.7109375" style="44" bestFit="1" customWidth="1"/>
    <col min="23" max="23" width="9.140625" style="44"/>
    <col min="24" max="24" width="7.140625" style="44" bestFit="1" customWidth="1"/>
    <col min="25" max="16384" width="9.140625" style="44"/>
  </cols>
  <sheetData>
    <row r="1" spans="1:24" ht="12" thickBot="1" x14ac:dyDescent="0.25">
      <c r="A1" s="27"/>
      <c r="B1" s="3"/>
      <c r="C1" s="3"/>
      <c r="D1" s="3"/>
      <c r="E1" s="3"/>
      <c r="F1" s="3" t="s">
        <v>178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ht="15" customHeight="1" thickBot="1" x14ac:dyDescent="0.25">
      <c r="A2" s="5"/>
      <c r="B2" s="7"/>
      <c r="C2" s="6"/>
      <c r="D2" s="6"/>
      <c r="E2" s="6"/>
      <c r="F2" s="117" t="s">
        <v>5</v>
      </c>
      <c r="G2" s="6"/>
      <c r="H2" s="6"/>
      <c r="I2" s="6"/>
      <c r="J2" s="6"/>
      <c r="K2" s="7"/>
      <c r="L2" s="6"/>
      <c r="M2" s="6"/>
      <c r="N2" s="6"/>
      <c r="O2" s="46" t="s">
        <v>79</v>
      </c>
      <c r="P2" s="47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_xll.ohTrigger(Q5:Q42)</f>
        <v>13</v>
      </c>
      <c r="R3" s="10"/>
    </row>
    <row r="4" spans="1:24" ht="23.25" thickBot="1" x14ac:dyDescent="0.25">
      <c r="A4" s="9"/>
      <c r="B4" s="83"/>
      <c r="C4" s="84"/>
      <c r="D4" s="84"/>
      <c r="E4" s="84"/>
      <c r="F4" s="85" t="str">
        <f>_xll.RData(F5:F42,G4:J4,"RTFEED:IDN",ReutersRtMode,,G5)</f>
        <v>Updated at 20:17:02</v>
      </c>
      <c r="G4" s="86" t="s">
        <v>0</v>
      </c>
      <c r="H4" s="86" t="s">
        <v>1</v>
      </c>
      <c r="I4" s="86" t="s">
        <v>25</v>
      </c>
      <c r="J4" s="86" t="s">
        <v>26</v>
      </c>
      <c r="K4" s="87" t="s">
        <v>138</v>
      </c>
      <c r="L4" s="6"/>
      <c r="M4" s="90" t="s">
        <v>115</v>
      </c>
      <c r="N4" s="6"/>
      <c r="O4" s="91" t="s">
        <v>31</v>
      </c>
      <c r="P4" s="92" t="s">
        <v>17</v>
      </c>
      <c r="Q4" s="93" t="s">
        <v>24</v>
      </c>
      <c r="R4" s="10"/>
      <c r="X4" s="246" t="s">
        <v>152</v>
      </c>
    </row>
    <row r="5" spans="1:24" x14ac:dyDescent="0.2">
      <c r="A5" s="9"/>
      <c r="B5" s="76" t="s">
        <v>93</v>
      </c>
      <c r="C5" s="42" t="str">
        <f t="array" ref="C5:C42">VLOOKUP(Currency,Conventions,2)</f>
        <v>AM</v>
      </c>
      <c r="D5" s="42" t="str">
        <f t="array" ref="D5:D42">VLOOKUP(Currency,Conventions,3)</f>
        <v>3L</v>
      </c>
      <c r="E5" s="43" t="str">
        <f t="shared" ref="E5:E42" si="0">Currency&amp;$C5&amp;$D5&amp;$B5</f>
        <v>USDAM3L6M</v>
      </c>
      <c r="F5" s="43" t="str">
        <f t="array" ref="F5:F42">Instruments&amp;"="&amp;VLOOKUP(Contributor,ContributorTable,2,FALSE)</f>
        <v>USDAM3L6M=ICAP</v>
      </c>
      <c r="G5" s="15" t="s">
        <v>175</v>
      </c>
      <c r="H5" s="15" t="s">
        <v>175</v>
      </c>
      <c r="I5" s="15" t="s">
        <v>175</v>
      </c>
      <c r="J5" s="15" t="s">
        <v>175</v>
      </c>
      <c r="K5" s="77" t="e">
        <f>_xll.qlMidSafe($G5,$H5)</f>
        <v>#NUM!</v>
      </c>
      <c r="L5" s="6"/>
      <c r="M5" s="88" t="e">
        <v>#NUM!</v>
      </c>
      <c r="N5" s="6"/>
      <c r="O5" s="97" t="str">
        <f t="shared" ref="O5:O10" si="1">$E5&amp;$P$2</f>
        <v>USDAM3L6M_Quote</v>
      </c>
      <c r="P5" s="15" t="e">
        <f t="array" ref="P5:P42">QuoteLive</f>
        <v>#NUM!</v>
      </c>
      <c r="Q5" s="98" t="e">
        <f>_xll.qlSimpleQuoteSetValue($O5,$P5/100,Trigger)</f>
        <v>#NUM!</v>
      </c>
      <c r="R5" s="10"/>
      <c r="T5" s="213" t="s">
        <v>124</v>
      </c>
      <c r="U5" s="214" t="s">
        <v>18</v>
      </c>
      <c r="V5" s="215" t="s">
        <v>127</v>
      </c>
      <c r="X5" s="247" t="e">
        <f>(H5-K5)/50</f>
        <v>#VALUE!</v>
      </c>
    </row>
    <row r="6" spans="1:24" x14ac:dyDescent="0.2">
      <c r="A6" s="9"/>
      <c r="B6" s="76" t="s">
        <v>36</v>
      </c>
      <c r="C6" s="42" t="str">
        <v>AM</v>
      </c>
      <c r="D6" s="42" t="str">
        <v>3L</v>
      </c>
      <c r="E6" s="43" t="str">
        <f t="shared" si="0"/>
        <v>USDAM3L1Y</v>
      </c>
      <c r="F6" s="43" t="str">
        <v>USDAM3L1Y=ICAP</v>
      </c>
      <c r="G6" s="15">
        <v>0.27900000000000003</v>
      </c>
      <c r="H6" s="15">
        <v>0.309</v>
      </c>
      <c r="I6" s="15">
        <v>0</v>
      </c>
      <c r="J6" s="15">
        <v>0</v>
      </c>
      <c r="K6" s="77">
        <f>_xll.qlMidSafe($G6,$H6)</f>
        <v>0.29400000000000004</v>
      </c>
      <c r="L6" s="6"/>
      <c r="M6" s="88">
        <v>0.29400000000000004</v>
      </c>
      <c r="N6" s="6"/>
      <c r="O6" s="97" t="str">
        <f t="shared" si="1"/>
        <v>USDAM3L1Y_Quote</v>
      </c>
      <c r="P6" s="15">
        <v>0.29400000000000004</v>
      </c>
      <c r="Q6" s="98">
        <f>_xll.qlSimpleQuoteSetValue($O6,$P6/100,Trigger)</f>
        <v>0</v>
      </c>
      <c r="R6" s="10"/>
      <c r="T6" s="73" t="s">
        <v>15</v>
      </c>
      <c r="U6" s="103" t="s">
        <v>18</v>
      </c>
      <c r="V6" s="104" t="s">
        <v>29</v>
      </c>
      <c r="X6" s="247">
        <f t="shared" ref="X6:X42" si="2">(H6-K6)/50</f>
        <v>2.9999999999999916E-4</v>
      </c>
    </row>
    <row r="7" spans="1:24" x14ac:dyDescent="0.2">
      <c r="A7" s="9"/>
      <c r="B7" s="76" t="s">
        <v>37</v>
      </c>
      <c r="C7" s="42" t="str">
        <v>AM</v>
      </c>
      <c r="D7" s="42" t="str">
        <v>3L</v>
      </c>
      <c r="E7" s="43" t="str">
        <f t="shared" si="0"/>
        <v>USDAM3L15M</v>
      </c>
      <c r="F7" s="43" t="str">
        <v>USDAM3L15M=ICAP</v>
      </c>
      <c r="G7" s="15" t="s">
        <v>175</v>
      </c>
      <c r="H7" s="15" t="s">
        <v>175</v>
      </c>
      <c r="I7" s="15" t="s">
        <v>175</v>
      </c>
      <c r="J7" s="15" t="s">
        <v>175</v>
      </c>
      <c r="K7" s="77" t="e">
        <f>_xll.qlMidSafe($G7,$H7)</f>
        <v>#NUM!</v>
      </c>
      <c r="L7" s="6"/>
      <c r="M7" s="88" t="e">
        <v>#NUM!</v>
      </c>
      <c r="N7" s="6"/>
      <c r="O7" s="97" t="str">
        <f t="shared" si="1"/>
        <v>USDAM3L15M_Quote</v>
      </c>
      <c r="P7" s="15" t="e">
        <v>#NUM!</v>
      </c>
      <c r="Q7" s="98" t="e">
        <f>_xll.qlSimpleQuoteSetValue($O7,$P7/100,Trigger)</f>
        <v>#NUM!</v>
      </c>
      <c r="R7" s="10"/>
      <c r="T7" s="73" t="s">
        <v>121</v>
      </c>
      <c r="U7" s="103" t="s">
        <v>126</v>
      </c>
      <c r="V7" s="104" t="s">
        <v>127</v>
      </c>
      <c r="X7" s="247" t="e">
        <f t="shared" si="2"/>
        <v>#VALUE!</v>
      </c>
    </row>
    <row r="8" spans="1:24" x14ac:dyDescent="0.2">
      <c r="A8" s="9"/>
      <c r="B8" s="76" t="s">
        <v>38</v>
      </c>
      <c r="C8" s="42" t="str">
        <v>AM</v>
      </c>
      <c r="D8" s="42" t="str">
        <v>3L</v>
      </c>
      <c r="E8" s="43" t="str">
        <f t="shared" si="0"/>
        <v>USDAM3L18M</v>
      </c>
      <c r="F8" s="43" t="str">
        <v>USDAM3L18M=ICAP</v>
      </c>
      <c r="G8" s="15" t="s">
        <v>175</v>
      </c>
      <c r="H8" s="15" t="s">
        <v>175</v>
      </c>
      <c r="I8" s="15" t="s">
        <v>175</v>
      </c>
      <c r="J8" s="15" t="s">
        <v>175</v>
      </c>
      <c r="K8" s="77" t="e">
        <f>_xll.qlMidSafe($G8,$H8)</f>
        <v>#NUM!</v>
      </c>
      <c r="L8" s="6"/>
      <c r="M8" s="88" t="e">
        <v>#NUM!</v>
      </c>
      <c r="N8" s="6"/>
      <c r="O8" s="97" t="str">
        <f t="shared" si="1"/>
        <v>USDAM3L18M_Quote</v>
      </c>
      <c r="P8" s="15" t="e">
        <v>#NUM!</v>
      </c>
      <c r="Q8" s="98" t="e">
        <f>_xll.qlSimpleQuoteSetValue($O8,$P8/100,Trigger)</f>
        <v>#NUM!</v>
      </c>
      <c r="R8" s="10"/>
      <c r="T8" s="73" t="s">
        <v>123</v>
      </c>
      <c r="U8" s="103" t="s">
        <v>128</v>
      </c>
      <c r="V8" s="104" t="s">
        <v>127</v>
      </c>
      <c r="X8" s="247" t="e">
        <f t="shared" si="2"/>
        <v>#VALUE!</v>
      </c>
    </row>
    <row r="9" spans="1:24" ht="12" thickBot="1" x14ac:dyDescent="0.25">
      <c r="A9" s="9"/>
      <c r="B9" s="76" t="s">
        <v>39</v>
      </c>
      <c r="C9" s="42" t="str">
        <v>AM</v>
      </c>
      <c r="D9" s="42" t="str">
        <v>3L</v>
      </c>
      <c r="E9" s="43" t="str">
        <f t="shared" si="0"/>
        <v>USDAM3L21M</v>
      </c>
      <c r="F9" s="43" t="str">
        <v>USDAM3L21M=ICAP</v>
      </c>
      <c r="G9" s="15" t="s">
        <v>175</v>
      </c>
      <c r="H9" s="15" t="s">
        <v>175</v>
      </c>
      <c r="I9" s="15" t="s">
        <v>175</v>
      </c>
      <c r="J9" s="15" t="s">
        <v>175</v>
      </c>
      <c r="K9" s="77" t="e">
        <f>_xll.qlMidSafe($G9,$H9)</f>
        <v>#NUM!</v>
      </c>
      <c r="L9" s="6"/>
      <c r="M9" s="88" t="e">
        <v>#NUM!</v>
      </c>
      <c r="N9" s="6"/>
      <c r="O9" s="97" t="str">
        <f t="shared" si="1"/>
        <v>USDAM3L21M_Quote</v>
      </c>
      <c r="P9" s="15" t="e">
        <v>#NUM!</v>
      </c>
      <c r="Q9" s="98" t="e">
        <f>_xll.qlSimpleQuoteSetValue($O9,$P9/100,Trigger)</f>
        <v>#NUM!</v>
      </c>
      <c r="R9" s="10"/>
      <c r="T9" s="75" t="s">
        <v>116</v>
      </c>
      <c r="U9" s="105" t="s">
        <v>126</v>
      </c>
      <c r="V9" s="106" t="s">
        <v>127</v>
      </c>
      <c r="X9" s="247" t="e">
        <f t="shared" si="2"/>
        <v>#VALUE!</v>
      </c>
    </row>
    <row r="10" spans="1:24" x14ac:dyDescent="0.2">
      <c r="A10" s="9"/>
      <c r="B10" s="76" t="s">
        <v>40</v>
      </c>
      <c r="C10" s="42" t="str">
        <v>AM</v>
      </c>
      <c r="D10" s="42" t="str">
        <v>3L</v>
      </c>
      <c r="E10" s="43" t="str">
        <f t="shared" si="0"/>
        <v>USDAM3L2Y</v>
      </c>
      <c r="F10" s="43" t="str">
        <v>USDAM3L2Y=ICAP</v>
      </c>
      <c r="G10" s="15">
        <v>0.41299999999999998</v>
      </c>
      <c r="H10" s="15">
        <v>0.443</v>
      </c>
      <c r="I10" s="15">
        <v>0</v>
      </c>
      <c r="J10" s="15">
        <v>0</v>
      </c>
      <c r="K10" s="77">
        <f>_xll.qlMidSafe($G10,$H10)</f>
        <v>0.42799999999999999</v>
      </c>
      <c r="L10" s="6"/>
      <c r="M10" s="88">
        <v>0.42799999999999999</v>
      </c>
      <c r="N10" s="6"/>
      <c r="O10" s="97" t="str">
        <f t="shared" si="1"/>
        <v>USDAM3L2Y_Quote</v>
      </c>
      <c r="P10" s="15">
        <v>0.42799999999999999</v>
      </c>
      <c r="Q10" s="98">
        <f>_xll.qlSimpleQuoteSetValue($O10,$P10/100,Trigger)</f>
        <v>0</v>
      </c>
      <c r="R10" s="10"/>
      <c r="X10" s="247">
        <f t="shared" si="2"/>
        <v>3.0000000000000024E-4</v>
      </c>
    </row>
    <row r="11" spans="1:24" x14ac:dyDescent="0.2">
      <c r="A11" s="9"/>
      <c r="B11" s="76" t="s">
        <v>41</v>
      </c>
      <c r="C11" s="74" t="str">
        <v>AM</v>
      </c>
      <c r="D11" s="74" t="str">
        <v>3L</v>
      </c>
      <c r="E11" s="43" t="str">
        <f t="shared" si="0"/>
        <v>USDAM3L3Y</v>
      </c>
      <c r="F11" s="43" t="str">
        <v>USDAM3L3Y=ICAP</v>
      </c>
      <c r="G11" s="15">
        <v>0.66900000000000004</v>
      </c>
      <c r="H11" s="15">
        <v>0.69899999999999995</v>
      </c>
      <c r="I11" s="15">
        <v>0</v>
      </c>
      <c r="J11" s="15">
        <v>0</v>
      </c>
      <c r="K11" s="77">
        <f>_xll.qlMidSafe($G11,$H11)</f>
        <v>0.68399999999999994</v>
      </c>
      <c r="L11" s="6"/>
      <c r="M11" s="88">
        <v>0.68399999999999994</v>
      </c>
      <c r="N11" s="6"/>
      <c r="O11" s="97" t="str">
        <f t="shared" ref="O11:O42" si="3">$E11&amp;$P$2</f>
        <v>USDAM3L3Y_Quote</v>
      </c>
      <c r="P11" s="15">
        <v>0.68399999999999994</v>
      </c>
      <c r="Q11" s="98">
        <f>_xll.qlSimpleQuoteSetValue($O11,$P11/100,Trigger)</f>
        <v>0</v>
      </c>
      <c r="R11" s="10"/>
      <c r="X11" s="247">
        <f t="shared" si="2"/>
        <v>3.0000000000000024E-4</v>
      </c>
    </row>
    <row r="12" spans="1:24" x14ac:dyDescent="0.2">
      <c r="A12" s="9"/>
      <c r="B12" s="76" t="s">
        <v>42</v>
      </c>
      <c r="C12" s="74" t="str">
        <v>AM</v>
      </c>
      <c r="D12" s="74" t="str">
        <v>3L</v>
      </c>
      <c r="E12" s="43" t="str">
        <f t="shared" si="0"/>
        <v>USDAM3L4Y</v>
      </c>
      <c r="F12" s="43" t="str">
        <v>USDAM3L4Y=ICAP</v>
      </c>
      <c r="G12" s="15">
        <v>1.0229999999999999</v>
      </c>
      <c r="H12" s="15">
        <v>1.0529999999999999</v>
      </c>
      <c r="I12" s="15">
        <v>0</v>
      </c>
      <c r="J12" s="15">
        <v>0</v>
      </c>
      <c r="K12" s="77">
        <f>_xll.qlMidSafe($G12,$H12)</f>
        <v>1.0379999999999998</v>
      </c>
      <c r="L12" s="6"/>
      <c r="M12" s="88">
        <v>1.0379999999999998</v>
      </c>
      <c r="N12" s="6"/>
      <c r="O12" s="97" t="str">
        <f t="shared" si="3"/>
        <v>USDAM3L4Y_Quote</v>
      </c>
      <c r="P12" s="15">
        <v>1.0379999999999998</v>
      </c>
      <c r="Q12" s="98">
        <f>_xll.qlSimpleQuoteSetValue($O12,$P12/100,Trigger)</f>
        <v>0</v>
      </c>
      <c r="R12" s="10"/>
      <c r="X12" s="247">
        <f t="shared" si="2"/>
        <v>3.0000000000000247E-4</v>
      </c>
    </row>
    <row r="13" spans="1:24" x14ac:dyDescent="0.2">
      <c r="A13" s="9"/>
      <c r="B13" s="76" t="s">
        <v>43</v>
      </c>
      <c r="C13" s="74" t="str">
        <v>AM</v>
      </c>
      <c r="D13" s="74" t="str">
        <v>3L</v>
      </c>
      <c r="E13" s="43" t="str">
        <f t="shared" si="0"/>
        <v>USDAM3L5Y</v>
      </c>
      <c r="F13" s="43" t="str">
        <v>USDAM3L5Y=ICAP</v>
      </c>
      <c r="G13" s="15">
        <v>1.385</v>
      </c>
      <c r="H13" s="15">
        <v>1.415</v>
      </c>
      <c r="I13" s="15">
        <v>0</v>
      </c>
      <c r="J13" s="15">
        <v>0</v>
      </c>
      <c r="K13" s="77">
        <f>_xll.qlMidSafe($G13,$H13)</f>
        <v>1.4</v>
      </c>
      <c r="L13" s="6"/>
      <c r="M13" s="88">
        <v>1.4</v>
      </c>
      <c r="N13" s="6"/>
      <c r="O13" s="97" t="str">
        <f t="shared" si="3"/>
        <v>USDAM3L5Y_Quote</v>
      </c>
      <c r="P13" s="15">
        <v>1.4</v>
      </c>
      <c r="Q13" s="98">
        <f>_xll.qlSimpleQuoteSetValue($O13,$P13/100,Trigger)</f>
        <v>0</v>
      </c>
      <c r="R13" s="10"/>
      <c r="X13" s="247">
        <f t="shared" si="2"/>
        <v>3.0000000000000247E-4</v>
      </c>
    </row>
    <row r="14" spans="1:24" x14ac:dyDescent="0.2">
      <c r="A14" s="9"/>
      <c r="B14" s="76" t="s">
        <v>44</v>
      </c>
      <c r="C14" s="74" t="str">
        <v>AM</v>
      </c>
      <c r="D14" s="74" t="str">
        <v>3L</v>
      </c>
      <c r="E14" s="43" t="str">
        <f t="shared" si="0"/>
        <v>USDAM3L6Y</v>
      </c>
      <c r="F14" s="43" t="str">
        <v>USDAM3L6Y=ICAP</v>
      </c>
      <c r="G14" s="15">
        <v>1.7150000000000001</v>
      </c>
      <c r="H14" s="15">
        <v>1.7450000000000001</v>
      </c>
      <c r="I14" s="15">
        <v>0</v>
      </c>
      <c r="J14" s="15">
        <v>0</v>
      </c>
      <c r="K14" s="77">
        <f>_xll.qlMidSafe($G14,$H14)</f>
        <v>1.73</v>
      </c>
      <c r="L14" s="6"/>
      <c r="M14" s="88">
        <v>1.73</v>
      </c>
      <c r="N14" s="6"/>
      <c r="O14" s="97" t="str">
        <f t="shared" si="3"/>
        <v>USDAM3L6Y_Quote</v>
      </c>
      <c r="P14" s="15">
        <v>1.73</v>
      </c>
      <c r="Q14" s="98">
        <f>_xll.qlSimpleQuoteSetValue($O14,$P14/100,Trigger)</f>
        <v>0</v>
      </c>
      <c r="R14" s="10"/>
      <c r="X14" s="247">
        <f t="shared" si="2"/>
        <v>3.0000000000000247E-4</v>
      </c>
    </row>
    <row r="15" spans="1:24" x14ac:dyDescent="0.2">
      <c r="A15" s="9"/>
      <c r="B15" s="76" t="s">
        <v>45</v>
      </c>
      <c r="C15" s="74" t="str">
        <v>AM</v>
      </c>
      <c r="D15" s="74" t="str">
        <v>3L</v>
      </c>
      <c r="E15" s="43" t="str">
        <f t="shared" si="0"/>
        <v>USDAM3L7Y</v>
      </c>
      <c r="F15" s="43" t="str">
        <v>USDAM3L7Y=ICAP</v>
      </c>
      <c r="G15" s="15">
        <v>1.9930000000000001</v>
      </c>
      <c r="H15" s="15">
        <v>2.0230000000000001</v>
      </c>
      <c r="I15" s="15">
        <v>0</v>
      </c>
      <c r="J15" s="15">
        <v>0</v>
      </c>
      <c r="K15" s="77">
        <f>_xll.qlMidSafe($G15,$H15)</f>
        <v>2.008</v>
      </c>
      <c r="L15" s="6"/>
      <c r="M15" s="88">
        <v>2.008</v>
      </c>
      <c r="N15" s="6"/>
      <c r="O15" s="97" t="str">
        <f t="shared" si="3"/>
        <v>USDAM3L7Y_Quote</v>
      </c>
      <c r="P15" s="15">
        <v>2.008</v>
      </c>
      <c r="Q15" s="98">
        <f>_xll.qlSimpleQuoteSetValue($O15,$P15/100,Trigger)</f>
        <v>0</v>
      </c>
      <c r="R15" s="10"/>
      <c r="X15" s="247">
        <f t="shared" si="2"/>
        <v>3.0000000000000247E-4</v>
      </c>
    </row>
    <row r="16" spans="1:24" x14ac:dyDescent="0.2">
      <c r="A16" s="9"/>
      <c r="B16" s="76" t="s">
        <v>46</v>
      </c>
      <c r="C16" s="74" t="str">
        <v>AM</v>
      </c>
      <c r="D16" s="74" t="str">
        <v>3L</v>
      </c>
      <c r="E16" s="43" t="str">
        <f t="shared" si="0"/>
        <v>USDAM3L8Y</v>
      </c>
      <c r="F16" s="43" t="str">
        <v>USDAM3L8Y=ICAP</v>
      </c>
      <c r="G16" s="15">
        <v>2.226</v>
      </c>
      <c r="H16" s="15">
        <v>2.2559999999999998</v>
      </c>
      <c r="I16" s="15">
        <v>0</v>
      </c>
      <c r="J16" s="15">
        <v>0</v>
      </c>
      <c r="K16" s="77">
        <f>_xll.qlMidSafe($G16,$H16)</f>
        <v>2.2409999999999997</v>
      </c>
      <c r="L16" s="6"/>
      <c r="M16" s="88">
        <v>2.2409999999999997</v>
      </c>
      <c r="N16" s="6"/>
      <c r="O16" s="97" t="str">
        <f t="shared" si="3"/>
        <v>USDAM3L8Y_Quote</v>
      </c>
      <c r="P16" s="15">
        <v>2.2409999999999997</v>
      </c>
      <c r="Q16" s="98">
        <f>_xll.qlSimpleQuoteSetValue($O16,$P16/100,Trigger)</f>
        <v>0</v>
      </c>
      <c r="R16" s="10"/>
      <c r="X16" s="247">
        <f t="shared" si="2"/>
        <v>3.0000000000000247E-4</v>
      </c>
    </row>
    <row r="17" spans="1:24" x14ac:dyDescent="0.2">
      <c r="A17" s="9"/>
      <c r="B17" s="76" t="s">
        <v>47</v>
      </c>
      <c r="C17" s="74" t="str">
        <v>AM</v>
      </c>
      <c r="D17" s="74" t="str">
        <v>3L</v>
      </c>
      <c r="E17" s="43" t="str">
        <f t="shared" si="0"/>
        <v>USDAM3L9Y</v>
      </c>
      <c r="F17" s="43" t="str">
        <v>USDAM3L9Y=ICAP</v>
      </c>
      <c r="G17" s="15">
        <v>2.4220000000000002</v>
      </c>
      <c r="H17" s="15">
        <v>2.452</v>
      </c>
      <c r="I17" s="15">
        <v>0</v>
      </c>
      <c r="J17" s="15">
        <v>0</v>
      </c>
      <c r="K17" s="77">
        <f>_xll.qlMidSafe($G17,$H17)</f>
        <v>2.4370000000000003</v>
      </c>
      <c r="L17" s="6"/>
      <c r="M17" s="88">
        <v>2.4370000000000003</v>
      </c>
      <c r="N17" s="6"/>
      <c r="O17" s="97" t="str">
        <f t="shared" si="3"/>
        <v>USDAM3L9Y_Quote</v>
      </c>
      <c r="P17" s="15">
        <v>2.4370000000000003</v>
      </c>
      <c r="Q17" s="98">
        <f>_xll.qlSimpleQuoteSetValue($O17,$P17/100,Trigger)</f>
        <v>0</v>
      </c>
      <c r="R17" s="10"/>
      <c r="X17" s="247">
        <f t="shared" si="2"/>
        <v>2.9999999999999363E-4</v>
      </c>
    </row>
    <row r="18" spans="1:24" x14ac:dyDescent="0.2">
      <c r="A18" s="9"/>
      <c r="B18" s="76" t="s">
        <v>48</v>
      </c>
      <c r="C18" s="74" t="str">
        <v>AM</v>
      </c>
      <c r="D18" s="74" t="str">
        <v>3L</v>
      </c>
      <c r="E18" s="43" t="str">
        <f t="shared" si="0"/>
        <v>USDAM3L10Y</v>
      </c>
      <c r="F18" s="43" t="str">
        <v>USDAM3L10Y=ICAP</v>
      </c>
      <c r="G18" s="15">
        <v>2.5870000000000002</v>
      </c>
      <c r="H18" s="15">
        <v>2.617</v>
      </c>
      <c r="I18" s="15">
        <v>0</v>
      </c>
      <c r="J18" s="15">
        <v>0</v>
      </c>
      <c r="K18" s="77">
        <f>_xll.qlMidSafe($G18,$H18)</f>
        <v>2.6020000000000003</v>
      </c>
      <c r="L18" s="6"/>
      <c r="M18" s="88">
        <v>2.6020000000000003</v>
      </c>
      <c r="N18" s="6"/>
      <c r="O18" s="97" t="str">
        <f t="shared" si="3"/>
        <v>USDAM3L10Y_Quote</v>
      </c>
      <c r="P18" s="15">
        <v>2.6020000000000003</v>
      </c>
      <c r="Q18" s="98">
        <f>_xll.qlSimpleQuoteSetValue($O18,$P18/100,Trigger)</f>
        <v>0</v>
      </c>
      <c r="R18" s="10"/>
      <c r="X18" s="247">
        <f t="shared" si="2"/>
        <v>2.9999999999999363E-4</v>
      </c>
    </row>
    <row r="19" spans="1:24" x14ac:dyDescent="0.2">
      <c r="A19" s="9"/>
      <c r="B19" s="76" t="s">
        <v>49</v>
      </c>
      <c r="C19" s="74" t="str">
        <v>AM</v>
      </c>
      <c r="D19" s="74" t="str">
        <v>3L</v>
      </c>
      <c r="E19" s="43" t="str">
        <f t="shared" si="0"/>
        <v>USDAM3L11Y</v>
      </c>
      <c r="F19" s="43" t="str">
        <v>USDAM3L11Y=ICAP</v>
      </c>
      <c r="G19" s="15" t="s">
        <v>175</v>
      </c>
      <c r="H19" s="15" t="s">
        <v>175</v>
      </c>
      <c r="I19" s="15" t="s">
        <v>175</v>
      </c>
      <c r="J19" s="15" t="s">
        <v>175</v>
      </c>
      <c r="K19" s="77" t="e">
        <f>_xll.qlMidSafe($G19,$H19)</f>
        <v>#NUM!</v>
      </c>
      <c r="L19" s="6"/>
      <c r="M19" s="88" t="e">
        <v>#NUM!</v>
      </c>
      <c r="N19" s="6"/>
      <c r="O19" s="97" t="str">
        <f t="shared" si="3"/>
        <v>USDAM3L11Y_Quote</v>
      </c>
      <c r="P19" s="15" t="e">
        <v>#NUM!</v>
      </c>
      <c r="Q19" s="98" t="e">
        <f>_xll.qlSimpleQuoteSetValue($O19,$P19/100,Trigger)</f>
        <v>#NUM!</v>
      </c>
      <c r="R19" s="10"/>
      <c r="X19" s="247" t="e">
        <f t="shared" si="2"/>
        <v>#VALUE!</v>
      </c>
    </row>
    <row r="20" spans="1:24" x14ac:dyDescent="0.2">
      <c r="A20" s="9"/>
      <c r="B20" s="76" t="s">
        <v>50</v>
      </c>
      <c r="C20" s="74" t="str">
        <v>AM</v>
      </c>
      <c r="D20" s="74" t="str">
        <v>3L</v>
      </c>
      <c r="E20" s="43" t="str">
        <f t="shared" si="0"/>
        <v>USDAM3L12Y</v>
      </c>
      <c r="F20" s="43" t="str">
        <v>USDAM3L12Y=ICAP</v>
      </c>
      <c r="G20" s="15">
        <v>2.8519999999999999</v>
      </c>
      <c r="H20" s="15">
        <v>2.8820000000000001</v>
      </c>
      <c r="I20" s="15">
        <v>0</v>
      </c>
      <c r="J20" s="15">
        <v>0</v>
      </c>
      <c r="K20" s="77">
        <f>_xll.qlMidSafe($G20,$H20)</f>
        <v>2.867</v>
      </c>
      <c r="L20" s="6"/>
      <c r="M20" s="88">
        <v>2.867</v>
      </c>
      <c r="N20" s="6"/>
      <c r="O20" s="97" t="str">
        <f t="shared" si="3"/>
        <v>USDAM3L12Y_Quote</v>
      </c>
      <c r="P20" s="15">
        <v>2.867</v>
      </c>
      <c r="Q20" s="98">
        <f>_xll.qlSimpleQuoteSetValue($O20,$P20/100,Trigger)</f>
        <v>0</v>
      </c>
      <c r="R20" s="10"/>
      <c r="X20" s="247">
        <f t="shared" si="2"/>
        <v>3.0000000000000247E-4</v>
      </c>
    </row>
    <row r="21" spans="1:24" x14ac:dyDescent="0.2">
      <c r="A21" s="9"/>
      <c r="B21" s="76" t="s">
        <v>51</v>
      </c>
      <c r="C21" s="74" t="str">
        <v>AM</v>
      </c>
      <c r="D21" s="74" t="str">
        <v>3L</v>
      </c>
      <c r="E21" s="43" t="str">
        <f t="shared" si="0"/>
        <v>USDAM3L13Y</v>
      </c>
      <c r="F21" s="43" t="str">
        <v>USDAM3L13Y=ICAP</v>
      </c>
      <c r="G21" s="15" t="s">
        <v>175</v>
      </c>
      <c r="H21" s="15" t="s">
        <v>175</v>
      </c>
      <c r="I21" s="15" t="s">
        <v>175</v>
      </c>
      <c r="J21" s="15" t="s">
        <v>175</v>
      </c>
      <c r="K21" s="77" t="e">
        <f>_xll.qlMidSafe($G21,$H21)</f>
        <v>#NUM!</v>
      </c>
      <c r="L21" s="6"/>
      <c r="M21" s="88" t="e">
        <v>#NUM!</v>
      </c>
      <c r="N21" s="6"/>
      <c r="O21" s="97" t="str">
        <f t="shared" si="3"/>
        <v>USDAM3L13Y_Quote</v>
      </c>
      <c r="P21" s="15" t="e">
        <v>#NUM!</v>
      </c>
      <c r="Q21" s="98" t="e">
        <f>_xll.qlSimpleQuoteSetValue($O21,$P21/100,Trigger)</f>
        <v>#NUM!</v>
      </c>
      <c r="R21" s="10"/>
      <c r="X21" s="247" t="e">
        <f t="shared" si="2"/>
        <v>#VALUE!</v>
      </c>
    </row>
    <row r="22" spans="1:24" x14ac:dyDescent="0.2">
      <c r="A22" s="9"/>
      <c r="B22" s="76" t="s">
        <v>52</v>
      </c>
      <c r="C22" s="74" t="str">
        <v>AM</v>
      </c>
      <c r="D22" s="74" t="str">
        <v>3L</v>
      </c>
      <c r="E22" s="43" t="str">
        <f t="shared" si="0"/>
        <v>USDAM3L14Y</v>
      </c>
      <c r="F22" s="43" t="str">
        <v>USDAM3L14Y=ICAP</v>
      </c>
      <c r="G22" s="15" t="s">
        <v>175</v>
      </c>
      <c r="H22" s="15" t="s">
        <v>175</v>
      </c>
      <c r="I22" s="15" t="s">
        <v>175</v>
      </c>
      <c r="J22" s="15" t="s">
        <v>175</v>
      </c>
      <c r="K22" s="77" t="e">
        <f>_xll.qlMidSafe($G22,$H22)</f>
        <v>#NUM!</v>
      </c>
      <c r="L22" s="6"/>
      <c r="M22" s="88" t="e">
        <v>#NUM!</v>
      </c>
      <c r="N22" s="6"/>
      <c r="O22" s="97" t="str">
        <f t="shared" si="3"/>
        <v>USDAM3L14Y_Quote</v>
      </c>
      <c r="P22" s="15" t="e">
        <v>#NUM!</v>
      </c>
      <c r="Q22" s="98" t="e">
        <f>_xll.qlSimpleQuoteSetValue($O22,$P22/100,Trigger)</f>
        <v>#NUM!</v>
      </c>
      <c r="R22" s="10"/>
      <c r="X22" s="247" t="e">
        <f t="shared" si="2"/>
        <v>#VALUE!</v>
      </c>
    </row>
    <row r="23" spans="1:24" x14ac:dyDescent="0.2">
      <c r="A23" s="9"/>
      <c r="B23" s="76" t="s">
        <v>53</v>
      </c>
      <c r="C23" s="74" t="str">
        <v>AM</v>
      </c>
      <c r="D23" s="74" t="str">
        <v>3L</v>
      </c>
      <c r="E23" s="43" t="str">
        <f t="shared" si="0"/>
        <v>USDAM3L15Y</v>
      </c>
      <c r="F23" s="43" t="str">
        <v>USDAM3L15Y=ICAP</v>
      </c>
      <c r="G23" s="15">
        <v>3.1110000000000002</v>
      </c>
      <c r="H23" s="15">
        <v>3.141</v>
      </c>
      <c r="I23" s="15">
        <v>0</v>
      </c>
      <c r="J23" s="15">
        <v>0</v>
      </c>
      <c r="K23" s="77">
        <f>_xll.qlMidSafe($G23,$H23)</f>
        <v>3.1260000000000003</v>
      </c>
      <c r="L23" s="6"/>
      <c r="M23" s="88">
        <v>3.1260000000000003</v>
      </c>
      <c r="N23" s="6"/>
      <c r="O23" s="97" t="str">
        <f t="shared" si="3"/>
        <v>USDAM3L15Y_Quote</v>
      </c>
      <c r="P23" s="15">
        <v>3.1260000000000003</v>
      </c>
      <c r="Q23" s="98">
        <f>_xll.qlSimpleQuoteSetValue($O23,$P23/100,Trigger)</f>
        <v>0</v>
      </c>
      <c r="R23" s="10"/>
      <c r="X23" s="247">
        <f t="shared" si="2"/>
        <v>2.9999999999999363E-4</v>
      </c>
    </row>
    <row r="24" spans="1:24" x14ac:dyDescent="0.2">
      <c r="A24" s="9"/>
      <c r="B24" s="76" t="s">
        <v>54</v>
      </c>
      <c r="C24" s="74" t="str">
        <v>AM</v>
      </c>
      <c r="D24" s="74" t="str">
        <v>3L</v>
      </c>
      <c r="E24" s="43" t="str">
        <f t="shared" si="0"/>
        <v>USDAM3L16Y</v>
      </c>
      <c r="F24" s="43" t="str">
        <v>USDAM3L16Y=ICAP</v>
      </c>
      <c r="G24" s="15" t="s">
        <v>175</v>
      </c>
      <c r="H24" s="15" t="s">
        <v>175</v>
      </c>
      <c r="I24" s="15" t="s">
        <v>175</v>
      </c>
      <c r="J24" s="15" t="s">
        <v>175</v>
      </c>
      <c r="K24" s="77" t="e">
        <f>_xll.qlMidSafe($G24,$H24)</f>
        <v>#NUM!</v>
      </c>
      <c r="L24" s="6"/>
      <c r="M24" s="88" t="e">
        <v>#NUM!</v>
      </c>
      <c r="N24" s="6"/>
      <c r="O24" s="97" t="str">
        <f t="shared" si="3"/>
        <v>USDAM3L16Y_Quote</v>
      </c>
      <c r="P24" s="15" t="e">
        <v>#NUM!</v>
      </c>
      <c r="Q24" s="98" t="e">
        <f>_xll.qlSimpleQuoteSetValue($O24,$P24/100,Trigger)</f>
        <v>#NUM!</v>
      </c>
      <c r="R24" s="10"/>
      <c r="X24" s="247" t="e">
        <f t="shared" si="2"/>
        <v>#VALUE!</v>
      </c>
    </row>
    <row r="25" spans="1:24" x14ac:dyDescent="0.2">
      <c r="A25" s="9"/>
      <c r="B25" s="76" t="s">
        <v>55</v>
      </c>
      <c r="C25" s="74" t="str">
        <v>AM</v>
      </c>
      <c r="D25" s="74" t="str">
        <v>3L</v>
      </c>
      <c r="E25" s="43" t="str">
        <f t="shared" si="0"/>
        <v>USDAM3L17Y</v>
      </c>
      <c r="F25" s="43" t="str">
        <v>USDAM3L17Y=ICAP</v>
      </c>
      <c r="G25" s="15" t="s">
        <v>175</v>
      </c>
      <c r="H25" s="15" t="s">
        <v>175</v>
      </c>
      <c r="I25" s="15" t="s">
        <v>175</v>
      </c>
      <c r="J25" s="15" t="s">
        <v>175</v>
      </c>
      <c r="K25" s="77" t="e">
        <f>_xll.qlMidSafe($G25,$H25)</f>
        <v>#NUM!</v>
      </c>
      <c r="L25" s="6"/>
      <c r="M25" s="88" t="e">
        <v>#NUM!</v>
      </c>
      <c r="N25" s="6"/>
      <c r="O25" s="97" t="str">
        <f t="shared" si="3"/>
        <v>USDAM3L17Y_Quote</v>
      </c>
      <c r="P25" s="15" t="e">
        <v>#NUM!</v>
      </c>
      <c r="Q25" s="98" t="e">
        <f>_xll.qlSimpleQuoteSetValue($O25,$P25/100,Trigger)</f>
        <v>#NUM!</v>
      </c>
      <c r="R25" s="10"/>
      <c r="X25" s="247" t="e">
        <f t="shared" si="2"/>
        <v>#VALUE!</v>
      </c>
    </row>
    <row r="26" spans="1:24" x14ac:dyDescent="0.2">
      <c r="A26" s="9"/>
      <c r="B26" s="76" t="s">
        <v>56</v>
      </c>
      <c r="C26" s="74" t="str">
        <v>AM</v>
      </c>
      <c r="D26" s="74" t="str">
        <v>3L</v>
      </c>
      <c r="E26" s="43" t="str">
        <f t="shared" si="0"/>
        <v>USDAM3L18Y</v>
      </c>
      <c r="F26" s="43" t="str">
        <v>USDAM3L18Y=ICAP</v>
      </c>
      <c r="G26" s="15" t="s">
        <v>175</v>
      </c>
      <c r="H26" s="15" t="s">
        <v>175</v>
      </c>
      <c r="I26" s="15" t="s">
        <v>175</v>
      </c>
      <c r="J26" s="15" t="s">
        <v>175</v>
      </c>
      <c r="K26" s="77" t="e">
        <f>_xll.qlMidSafe($G26,$H26)</f>
        <v>#NUM!</v>
      </c>
      <c r="L26" s="6"/>
      <c r="M26" s="88" t="e">
        <v>#NUM!</v>
      </c>
      <c r="N26" s="6"/>
      <c r="O26" s="97" t="str">
        <f t="shared" si="3"/>
        <v>USDAM3L18Y_Quote</v>
      </c>
      <c r="P26" s="15" t="e">
        <v>#NUM!</v>
      </c>
      <c r="Q26" s="98" t="e">
        <f>_xll.qlSimpleQuoteSetValue($O26,$P26/100,Trigger)</f>
        <v>#NUM!</v>
      </c>
      <c r="R26" s="10"/>
      <c r="X26" s="247" t="e">
        <f t="shared" si="2"/>
        <v>#VALUE!</v>
      </c>
    </row>
    <row r="27" spans="1:24" x14ac:dyDescent="0.2">
      <c r="A27" s="9"/>
      <c r="B27" s="76" t="s">
        <v>57</v>
      </c>
      <c r="C27" s="74" t="str">
        <v>AM</v>
      </c>
      <c r="D27" s="74" t="str">
        <v>3L</v>
      </c>
      <c r="E27" s="43" t="str">
        <f t="shared" si="0"/>
        <v>USDAM3L19Y</v>
      </c>
      <c r="F27" s="43" t="str">
        <v>USDAM3L19Y=ICAP</v>
      </c>
      <c r="G27" s="15" t="s">
        <v>175</v>
      </c>
      <c r="H27" s="15" t="s">
        <v>175</v>
      </c>
      <c r="I27" s="15" t="s">
        <v>175</v>
      </c>
      <c r="J27" s="15" t="s">
        <v>175</v>
      </c>
      <c r="K27" s="77" t="e">
        <f>_xll.qlMidSafe($G27,$H27)</f>
        <v>#NUM!</v>
      </c>
      <c r="L27" s="6"/>
      <c r="M27" s="88" t="e">
        <v>#NUM!</v>
      </c>
      <c r="N27" s="6"/>
      <c r="O27" s="97" t="str">
        <f t="shared" si="3"/>
        <v>USDAM3L19Y_Quote</v>
      </c>
      <c r="P27" s="15" t="e">
        <v>#NUM!</v>
      </c>
      <c r="Q27" s="98" t="e">
        <f>_xll.qlSimpleQuoteSetValue($O27,$P27/100,Trigger)</f>
        <v>#NUM!</v>
      </c>
      <c r="R27" s="10"/>
      <c r="X27" s="247" t="e">
        <f t="shared" si="2"/>
        <v>#VALUE!</v>
      </c>
    </row>
    <row r="28" spans="1:24" x14ac:dyDescent="0.2">
      <c r="A28" s="9"/>
      <c r="B28" s="76" t="s">
        <v>58</v>
      </c>
      <c r="C28" s="74" t="str">
        <v>AM</v>
      </c>
      <c r="D28" s="74" t="str">
        <v>3L</v>
      </c>
      <c r="E28" s="43" t="str">
        <f t="shared" si="0"/>
        <v>USDAM3L20Y</v>
      </c>
      <c r="F28" s="43" t="str">
        <v>USDAM3L20Y=ICAP</v>
      </c>
      <c r="G28" s="15">
        <v>3.335</v>
      </c>
      <c r="H28" s="15">
        <v>3.3650000000000002</v>
      </c>
      <c r="I28" s="15">
        <v>0</v>
      </c>
      <c r="J28" s="15">
        <v>0</v>
      </c>
      <c r="K28" s="77">
        <f>_xll.qlMidSafe($G28,$H28)</f>
        <v>3.35</v>
      </c>
      <c r="L28" s="6"/>
      <c r="M28" s="88">
        <v>3.35</v>
      </c>
      <c r="N28" s="6"/>
      <c r="O28" s="97" t="str">
        <f t="shared" si="3"/>
        <v>USDAM3L20Y_Quote</v>
      </c>
      <c r="P28" s="15">
        <v>3.35</v>
      </c>
      <c r="Q28" s="98">
        <f>_xll.qlSimpleQuoteSetValue($O28,$P28/100,Trigger)</f>
        <v>0</v>
      </c>
      <c r="R28" s="10"/>
      <c r="X28" s="247">
        <f t="shared" si="2"/>
        <v>3.0000000000000247E-4</v>
      </c>
    </row>
    <row r="29" spans="1:24" x14ac:dyDescent="0.2">
      <c r="A29" s="9"/>
      <c r="B29" s="76" t="s">
        <v>59</v>
      </c>
      <c r="C29" s="6" t="str">
        <v>AM</v>
      </c>
      <c r="D29" s="6" t="str">
        <v>3L</v>
      </c>
      <c r="E29" s="43" t="str">
        <f t="shared" si="0"/>
        <v>USDAM3L21Y</v>
      </c>
      <c r="F29" s="43" t="str">
        <v>USDAM3L21Y=ICAP</v>
      </c>
      <c r="G29" s="15" t="s">
        <v>175</v>
      </c>
      <c r="H29" s="15" t="s">
        <v>175</v>
      </c>
      <c r="I29" s="15" t="s">
        <v>175</v>
      </c>
      <c r="J29" s="15" t="s">
        <v>175</v>
      </c>
      <c r="K29" s="77" t="e">
        <f>_xll.qlMidSafe($G29,$H29)</f>
        <v>#NUM!</v>
      </c>
      <c r="L29" s="6"/>
      <c r="M29" s="88" t="e">
        <v>#NUM!</v>
      </c>
      <c r="N29" s="6"/>
      <c r="O29" s="97" t="str">
        <f t="shared" si="3"/>
        <v>USDAM3L21Y_Quote</v>
      </c>
      <c r="P29" s="15" t="e">
        <v>#NUM!</v>
      </c>
      <c r="Q29" s="98" t="e">
        <f>_xll.qlSimpleQuoteSetValue($O29,$P29/100,Trigger)</f>
        <v>#NUM!</v>
      </c>
      <c r="R29" s="10"/>
      <c r="X29" s="247" t="e">
        <f t="shared" si="2"/>
        <v>#VALUE!</v>
      </c>
    </row>
    <row r="30" spans="1:24" x14ac:dyDescent="0.2">
      <c r="A30" s="9"/>
      <c r="B30" s="76" t="s">
        <v>60</v>
      </c>
      <c r="C30" s="74" t="str">
        <v>AM</v>
      </c>
      <c r="D30" s="74" t="str">
        <v>3L</v>
      </c>
      <c r="E30" s="43" t="str">
        <f t="shared" si="0"/>
        <v>USDAM3L22Y</v>
      </c>
      <c r="F30" s="43" t="str">
        <v>USDAM3L22Y=ICAP</v>
      </c>
      <c r="G30" s="15" t="s">
        <v>175</v>
      </c>
      <c r="H30" s="15" t="s">
        <v>175</v>
      </c>
      <c r="I30" s="15" t="s">
        <v>175</v>
      </c>
      <c r="J30" s="15" t="s">
        <v>175</v>
      </c>
      <c r="K30" s="77" t="e">
        <f>_xll.qlMidSafe($G30,$H30)</f>
        <v>#NUM!</v>
      </c>
      <c r="L30" s="6"/>
      <c r="M30" s="88" t="e">
        <v>#NUM!</v>
      </c>
      <c r="N30" s="6"/>
      <c r="O30" s="97" t="str">
        <f t="shared" si="3"/>
        <v>USDAM3L22Y_Quote</v>
      </c>
      <c r="P30" s="15" t="e">
        <v>#NUM!</v>
      </c>
      <c r="Q30" s="98" t="e">
        <f>_xll.qlSimpleQuoteSetValue($O30,$P30/100,Trigger)</f>
        <v>#NUM!</v>
      </c>
      <c r="R30" s="10"/>
      <c r="X30" s="247" t="e">
        <f t="shared" si="2"/>
        <v>#VALUE!</v>
      </c>
    </row>
    <row r="31" spans="1:24" x14ac:dyDescent="0.2">
      <c r="A31" s="9"/>
      <c r="B31" s="76" t="s">
        <v>61</v>
      </c>
      <c r="C31" s="74" t="str">
        <v>AM</v>
      </c>
      <c r="D31" s="74" t="str">
        <v>3L</v>
      </c>
      <c r="E31" s="43" t="str">
        <f t="shared" si="0"/>
        <v>USDAM3L23Y</v>
      </c>
      <c r="F31" s="43" t="str">
        <v>USDAM3L23Y=ICAP</v>
      </c>
      <c r="G31" s="15" t="s">
        <v>175</v>
      </c>
      <c r="H31" s="15" t="s">
        <v>175</v>
      </c>
      <c r="I31" s="15" t="s">
        <v>175</v>
      </c>
      <c r="J31" s="15" t="s">
        <v>175</v>
      </c>
      <c r="K31" s="77" t="e">
        <f>_xll.qlMidSafe($G31,$H31)</f>
        <v>#NUM!</v>
      </c>
      <c r="L31" s="6"/>
      <c r="M31" s="88" t="e">
        <v>#NUM!</v>
      </c>
      <c r="N31" s="6"/>
      <c r="O31" s="97" t="str">
        <f t="shared" si="3"/>
        <v>USDAM3L23Y_Quote</v>
      </c>
      <c r="P31" s="15" t="e">
        <v>#NUM!</v>
      </c>
      <c r="Q31" s="98" t="e">
        <f>_xll.qlSimpleQuoteSetValue($O31,$P31/100,Trigger)</f>
        <v>#NUM!</v>
      </c>
      <c r="R31" s="10"/>
      <c r="X31" s="247" t="e">
        <f t="shared" si="2"/>
        <v>#VALUE!</v>
      </c>
    </row>
    <row r="32" spans="1:24" x14ac:dyDescent="0.2">
      <c r="A32" s="9"/>
      <c r="B32" s="76" t="s">
        <v>62</v>
      </c>
      <c r="C32" s="74" t="str">
        <v>AM</v>
      </c>
      <c r="D32" s="74" t="str">
        <v>3L</v>
      </c>
      <c r="E32" s="43" t="str">
        <f t="shared" si="0"/>
        <v>USDAM3L24Y</v>
      </c>
      <c r="F32" s="43" t="str">
        <v>USDAM3L24Y=ICAP</v>
      </c>
      <c r="G32" s="15" t="s">
        <v>175</v>
      </c>
      <c r="H32" s="15" t="s">
        <v>175</v>
      </c>
      <c r="I32" s="15" t="s">
        <v>175</v>
      </c>
      <c r="J32" s="15" t="s">
        <v>175</v>
      </c>
      <c r="K32" s="77" t="e">
        <f>_xll.qlMidSafe($G32,$H32)</f>
        <v>#NUM!</v>
      </c>
      <c r="L32" s="6"/>
      <c r="M32" s="88" t="e">
        <v>#NUM!</v>
      </c>
      <c r="N32" s="6"/>
      <c r="O32" s="97" t="str">
        <f t="shared" si="3"/>
        <v>USDAM3L24Y_Quote</v>
      </c>
      <c r="P32" s="15" t="e">
        <v>#NUM!</v>
      </c>
      <c r="Q32" s="98" t="e">
        <f>_xll.qlSimpleQuoteSetValue($O32,$P32/100,Trigger)</f>
        <v>#NUM!</v>
      </c>
      <c r="R32" s="10"/>
      <c r="X32" s="247" t="e">
        <f t="shared" si="2"/>
        <v>#VALUE!</v>
      </c>
    </row>
    <row r="33" spans="1:24" x14ac:dyDescent="0.2">
      <c r="A33" s="9"/>
      <c r="B33" s="76" t="s">
        <v>63</v>
      </c>
      <c r="C33" s="74" t="str">
        <v>AM</v>
      </c>
      <c r="D33" s="74" t="str">
        <v>3L</v>
      </c>
      <c r="E33" s="43" t="str">
        <f t="shared" si="0"/>
        <v>USDAM3L25Y</v>
      </c>
      <c r="F33" s="43" t="str">
        <v>USDAM3L25Y=ICAP</v>
      </c>
      <c r="G33" s="15">
        <v>3.4470000000000001</v>
      </c>
      <c r="H33" s="15">
        <v>3.4769999999999999</v>
      </c>
      <c r="I33" s="15">
        <v>0</v>
      </c>
      <c r="J33" s="15">
        <v>0</v>
      </c>
      <c r="K33" s="77">
        <f>_xll.qlMidSafe($G33,$H33)</f>
        <v>3.4619999999999997</v>
      </c>
      <c r="L33" s="6"/>
      <c r="M33" s="88">
        <v>3.4619999999999997</v>
      </c>
      <c r="N33" s="6"/>
      <c r="O33" s="97" t="str">
        <f t="shared" si="3"/>
        <v>USDAM3L25Y_Quote</v>
      </c>
      <c r="P33" s="15">
        <v>3.4619999999999997</v>
      </c>
      <c r="Q33" s="98">
        <f>_xll.qlSimpleQuoteSetValue($O33,$P33/100,Trigger)</f>
        <v>0</v>
      </c>
      <c r="R33" s="10"/>
      <c r="X33" s="247">
        <f t="shared" si="2"/>
        <v>3.0000000000000247E-4</v>
      </c>
    </row>
    <row r="34" spans="1:24" x14ac:dyDescent="0.2">
      <c r="A34" s="9"/>
      <c r="B34" s="76" t="s">
        <v>64</v>
      </c>
      <c r="C34" s="74" t="str">
        <v>AM</v>
      </c>
      <c r="D34" s="74" t="str">
        <v>3L</v>
      </c>
      <c r="E34" s="43" t="str">
        <f t="shared" si="0"/>
        <v>USDAM3L26Y</v>
      </c>
      <c r="F34" s="43" t="str">
        <v>USDAM3L26Y=ICAP</v>
      </c>
      <c r="G34" s="15" t="s">
        <v>175</v>
      </c>
      <c r="H34" s="15" t="s">
        <v>175</v>
      </c>
      <c r="I34" s="15" t="s">
        <v>175</v>
      </c>
      <c r="J34" s="15" t="s">
        <v>175</v>
      </c>
      <c r="K34" s="77" t="e">
        <f>_xll.qlMidSafe($G34,$H34)</f>
        <v>#NUM!</v>
      </c>
      <c r="L34" s="6"/>
      <c r="M34" s="88" t="e">
        <v>#NUM!</v>
      </c>
      <c r="N34" s="6"/>
      <c r="O34" s="97" t="str">
        <f t="shared" si="3"/>
        <v>USDAM3L26Y_Quote</v>
      </c>
      <c r="P34" s="15" t="e">
        <v>#NUM!</v>
      </c>
      <c r="Q34" s="98" t="e">
        <f>_xll.qlSimpleQuoteSetValue($O34,$P34/100,Trigger)</f>
        <v>#NUM!</v>
      </c>
      <c r="R34" s="10"/>
      <c r="X34" s="247" t="e">
        <f t="shared" si="2"/>
        <v>#VALUE!</v>
      </c>
    </row>
    <row r="35" spans="1:24" x14ac:dyDescent="0.2">
      <c r="A35" s="9"/>
      <c r="B35" s="76" t="s">
        <v>65</v>
      </c>
      <c r="C35" s="74" t="str">
        <v>AM</v>
      </c>
      <c r="D35" s="74" t="str">
        <v>3L</v>
      </c>
      <c r="E35" s="43" t="str">
        <f t="shared" si="0"/>
        <v>USDAM3L27Y</v>
      </c>
      <c r="F35" s="43" t="str">
        <v>USDAM3L27Y=ICAP</v>
      </c>
      <c r="G35" s="15" t="s">
        <v>175</v>
      </c>
      <c r="H35" s="15" t="s">
        <v>175</v>
      </c>
      <c r="I35" s="15" t="s">
        <v>175</v>
      </c>
      <c r="J35" s="15" t="s">
        <v>175</v>
      </c>
      <c r="K35" s="77" t="e">
        <f>_xll.qlMidSafe($G35,$H35)</f>
        <v>#NUM!</v>
      </c>
      <c r="L35" s="6"/>
      <c r="M35" s="88" t="e">
        <v>#NUM!</v>
      </c>
      <c r="N35" s="6"/>
      <c r="O35" s="97" t="str">
        <f t="shared" si="3"/>
        <v>USDAM3L27Y_Quote</v>
      </c>
      <c r="P35" s="15" t="e">
        <v>#NUM!</v>
      </c>
      <c r="Q35" s="98" t="e">
        <f>_xll.qlSimpleQuoteSetValue($O35,$P35/100,Trigger)</f>
        <v>#NUM!</v>
      </c>
      <c r="R35" s="10"/>
      <c r="X35" s="247" t="e">
        <f t="shared" si="2"/>
        <v>#VALUE!</v>
      </c>
    </row>
    <row r="36" spans="1:24" x14ac:dyDescent="0.2">
      <c r="A36" s="9"/>
      <c r="B36" s="76" t="s">
        <v>66</v>
      </c>
      <c r="C36" s="74" t="str">
        <v>AM</v>
      </c>
      <c r="D36" s="74" t="str">
        <v>3L</v>
      </c>
      <c r="E36" s="43" t="str">
        <f t="shared" si="0"/>
        <v>USDAM3L28Y</v>
      </c>
      <c r="F36" s="43" t="str">
        <v>USDAM3L28Y=ICAP</v>
      </c>
      <c r="G36" s="15" t="s">
        <v>175</v>
      </c>
      <c r="H36" s="15" t="s">
        <v>175</v>
      </c>
      <c r="I36" s="15" t="s">
        <v>175</v>
      </c>
      <c r="J36" s="15" t="s">
        <v>175</v>
      </c>
      <c r="K36" s="77" t="e">
        <f>_xll.qlMidSafe($G36,$H36)</f>
        <v>#NUM!</v>
      </c>
      <c r="L36" s="6"/>
      <c r="M36" s="88" t="e">
        <v>#NUM!</v>
      </c>
      <c r="N36" s="6"/>
      <c r="O36" s="97" t="str">
        <f t="shared" si="3"/>
        <v>USDAM3L28Y_Quote</v>
      </c>
      <c r="P36" s="15" t="e">
        <v>#NUM!</v>
      </c>
      <c r="Q36" s="98" t="e">
        <f>_xll.qlSimpleQuoteSetValue($O36,$P36/100,Trigger)</f>
        <v>#NUM!</v>
      </c>
      <c r="R36" s="10"/>
      <c r="X36" s="247" t="e">
        <f t="shared" si="2"/>
        <v>#VALUE!</v>
      </c>
    </row>
    <row r="37" spans="1:24" x14ac:dyDescent="0.2">
      <c r="A37" s="9"/>
      <c r="B37" s="76" t="s">
        <v>67</v>
      </c>
      <c r="C37" s="74" t="str">
        <v>AM</v>
      </c>
      <c r="D37" s="74" t="str">
        <v>3L</v>
      </c>
      <c r="E37" s="43" t="str">
        <f t="shared" si="0"/>
        <v>USDAM3L29Y</v>
      </c>
      <c r="F37" s="43" t="str">
        <v>USDAM3L29Y=ICAP</v>
      </c>
      <c r="G37" s="15" t="s">
        <v>175</v>
      </c>
      <c r="H37" s="15" t="s">
        <v>175</v>
      </c>
      <c r="I37" s="15" t="s">
        <v>175</v>
      </c>
      <c r="J37" s="15" t="s">
        <v>175</v>
      </c>
      <c r="K37" s="77" t="e">
        <f>_xll.qlMidSafe($G37,$H37)</f>
        <v>#NUM!</v>
      </c>
      <c r="L37" s="6"/>
      <c r="M37" s="88" t="e">
        <v>#NUM!</v>
      </c>
      <c r="N37" s="6"/>
      <c r="O37" s="97" t="str">
        <f t="shared" si="3"/>
        <v>USDAM3L29Y_Quote</v>
      </c>
      <c r="P37" s="15" t="e">
        <v>#NUM!</v>
      </c>
      <c r="Q37" s="98" t="e">
        <f>_xll.qlSimpleQuoteSetValue($O37,$P37/100,Trigger)</f>
        <v>#NUM!</v>
      </c>
      <c r="R37" s="10"/>
      <c r="X37" s="247" t="e">
        <f t="shared" si="2"/>
        <v>#VALUE!</v>
      </c>
    </row>
    <row r="38" spans="1:24" x14ac:dyDescent="0.2">
      <c r="A38" s="9"/>
      <c r="B38" s="76" t="s">
        <v>68</v>
      </c>
      <c r="C38" s="74" t="str">
        <v>AM</v>
      </c>
      <c r="D38" s="74" t="str">
        <v>3L</v>
      </c>
      <c r="E38" s="43" t="str">
        <f t="shared" si="0"/>
        <v>USDAM3L30Y</v>
      </c>
      <c r="F38" s="43" t="str">
        <v>USDAM3L30Y=ICAP</v>
      </c>
      <c r="G38" s="15">
        <v>3.5070000000000001</v>
      </c>
      <c r="H38" s="15">
        <v>3.5369999999999999</v>
      </c>
      <c r="I38" s="15">
        <v>0</v>
      </c>
      <c r="J38" s="15">
        <v>0</v>
      </c>
      <c r="K38" s="77">
        <f>_xll.qlMidSafe($G38,$H38)</f>
        <v>3.5220000000000002</v>
      </c>
      <c r="L38" s="6"/>
      <c r="M38" s="88">
        <v>3.5220000000000002</v>
      </c>
      <c r="N38" s="6"/>
      <c r="O38" s="97" t="str">
        <f t="shared" si="3"/>
        <v>USDAM3L30Y_Quote</v>
      </c>
      <c r="P38" s="15">
        <v>3.5220000000000002</v>
      </c>
      <c r="Q38" s="98">
        <f>_xll.qlSimpleQuoteSetValue($O38,$P38/100,Trigger)</f>
        <v>0</v>
      </c>
      <c r="R38" s="10"/>
      <c r="X38" s="247">
        <f t="shared" si="2"/>
        <v>2.9999999999999363E-4</v>
      </c>
    </row>
    <row r="39" spans="1:24" x14ac:dyDescent="0.2">
      <c r="A39" s="9"/>
      <c r="B39" s="76" t="s">
        <v>69</v>
      </c>
      <c r="C39" s="74" t="str">
        <v>AM</v>
      </c>
      <c r="D39" s="74" t="str">
        <v>3L</v>
      </c>
      <c r="E39" s="43" t="str">
        <f t="shared" si="0"/>
        <v>USDAM3L35Y</v>
      </c>
      <c r="F39" s="43" t="str">
        <v>USDAM3L35Y=ICAP</v>
      </c>
      <c r="G39" s="15" t="s">
        <v>175</v>
      </c>
      <c r="H39" s="15" t="s">
        <v>175</v>
      </c>
      <c r="I39" s="15" t="s">
        <v>175</v>
      </c>
      <c r="J39" s="15" t="s">
        <v>175</v>
      </c>
      <c r="K39" s="77" t="e">
        <f>_xll.qlMidSafe($G39,$H39)</f>
        <v>#NUM!</v>
      </c>
      <c r="L39" s="6"/>
      <c r="M39" s="88" t="e">
        <v>#NUM!</v>
      </c>
      <c r="N39" s="6"/>
      <c r="O39" s="97" t="str">
        <f t="shared" si="3"/>
        <v>USDAM3L35Y_Quote</v>
      </c>
      <c r="P39" s="15" t="e">
        <v>#NUM!</v>
      </c>
      <c r="Q39" s="98" t="e">
        <f>_xll.qlSimpleQuoteSetValue($O39,$P39/100,Trigger)</f>
        <v>#NUM!</v>
      </c>
      <c r="R39" s="10"/>
      <c r="X39" s="247" t="e">
        <f t="shared" si="2"/>
        <v>#VALUE!</v>
      </c>
    </row>
    <row r="40" spans="1:24" x14ac:dyDescent="0.2">
      <c r="A40" s="9"/>
      <c r="B40" s="76" t="s">
        <v>70</v>
      </c>
      <c r="C40" s="74" t="str">
        <v>AM</v>
      </c>
      <c r="D40" s="74" t="str">
        <v>3L</v>
      </c>
      <c r="E40" s="43" t="str">
        <f t="shared" si="0"/>
        <v>USDAM3L40Y</v>
      </c>
      <c r="F40" s="43" t="str">
        <v>USDAM3L40Y=ICAP</v>
      </c>
      <c r="G40" s="15">
        <v>3.5219999999999998</v>
      </c>
      <c r="H40" s="15">
        <v>3.552</v>
      </c>
      <c r="I40" s="15">
        <v>0</v>
      </c>
      <c r="J40" s="15">
        <v>0</v>
      </c>
      <c r="K40" s="77">
        <f>_xll.qlMidSafe($G40,$H40)</f>
        <v>3.5369999999999999</v>
      </c>
      <c r="L40" s="6"/>
      <c r="M40" s="88">
        <v>3.5369999999999999</v>
      </c>
      <c r="N40" s="6"/>
      <c r="O40" s="97" t="str">
        <f t="shared" si="3"/>
        <v>USDAM3L40Y_Quote</v>
      </c>
      <c r="P40" s="15">
        <v>3.5369999999999999</v>
      </c>
      <c r="Q40" s="98">
        <f>_xll.qlSimpleQuoteSetValue($O40,$P40/100,Trigger)</f>
        <v>0</v>
      </c>
      <c r="R40" s="10"/>
      <c r="X40" s="247">
        <f t="shared" si="2"/>
        <v>3.0000000000000247E-4</v>
      </c>
    </row>
    <row r="41" spans="1:24" x14ac:dyDescent="0.2">
      <c r="A41" s="9"/>
      <c r="B41" s="76" t="s">
        <v>71</v>
      </c>
      <c r="C41" s="74" t="str">
        <v>AM</v>
      </c>
      <c r="D41" s="74" t="str">
        <v>3L</v>
      </c>
      <c r="E41" s="43" t="str">
        <f t="shared" si="0"/>
        <v>USDAM3L50Y</v>
      </c>
      <c r="F41" s="43" t="str">
        <v>USDAM3L50Y=ICAP</v>
      </c>
      <c r="G41" s="15">
        <v>3.5089999999999999</v>
      </c>
      <c r="H41" s="15">
        <v>3.5390000000000001</v>
      </c>
      <c r="I41" s="15">
        <v>0</v>
      </c>
      <c r="J41" s="15">
        <v>0</v>
      </c>
      <c r="K41" s="77">
        <f>_xll.qlMidSafe($G41,$H41)</f>
        <v>3.524</v>
      </c>
      <c r="L41" s="6"/>
      <c r="M41" s="88">
        <v>3.524</v>
      </c>
      <c r="N41" s="6"/>
      <c r="O41" s="97" t="str">
        <f t="shared" si="3"/>
        <v>USDAM3L50Y_Quote</v>
      </c>
      <c r="P41" s="15">
        <v>3.524</v>
      </c>
      <c r="Q41" s="98">
        <f>_xll.qlSimpleQuoteSetValue($O41,$P41/100,Trigger)</f>
        <v>0</v>
      </c>
      <c r="R41" s="10"/>
      <c r="X41" s="247">
        <f t="shared" si="2"/>
        <v>3.0000000000000247E-4</v>
      </c>
    </row>
    <row r="42" spans="1:24" x14ac:dyDescent="0.2">
      <c r="A42" s="9"/>
      <c r="B42" s="78" t="s">
        <v>72</v>
      </c>
      <c r="C42" s="79" t="str">
        <v>AM</v>
      </c>
      <c r="D42" s="79" t="str">
        <v>3L</v>
      </c>
      <c r="E42" s="80" t="str">
        <f t="shared" si="0"/>
        <v>USDAM3L60Y</v>
      </c>
      <c r="F42" s="80" t="str">
        <v>USDAM3L60Y=ICAP</v>
      </c>
      <c r="G42" s="81" t="s">
        <v>175</v>
      </c>
      <c r="H42" s="81" t="s">
        <v>175</v>
      </c>
      <c r="I42" s="81" t="s">
        <v>175</v>
      </c>
      <c r="J42" s="81" t="s">
        <v>175</v>
      </c>
      <c r="K42" s="82" t="e">
        <f>_xll.qlMidSafe($G42,$H42)</f>
        <v>#NUM!</v>
      </c>
      <c r="L42" s="6"/>
      <c r="M42" s="89" t="e">
        <v>#NUM!</v>
      </c>
      <c r="N42" s="6"/>
      <c r="O42" s="99" t="str">
        <f t="shared" si="3"/>
        <v>USDAM3L60Y_Quote</v>
      </c>
      <c r="P42" s="81" t="e">
        <v>#NUM!</v>
      </c>
      <c r="Q42" s="100" t="e">
        <f>_xll.qlSimpleQuoteSetValue($O42,$P42/100,Trigger)</f>
        <v>#NUM!</v>
      </c>
      <c r="R42" s="10"/>
      <c r="X42" s="247" t="e">
        <f t="shared" si="2"/>
        <v>#VALUE!</v>
      </c>
    </row>
    <row r="43" spans="1:24" ht="12" thickBot="1" x14ac:dyDescent="0.25">
      <c r="A43" s="101"/>
      <c r="B43" s="102"/>
      <c r="C43" s="12"/>
      <c r="D43" s="12"/>
      <c r="E43" s="12"/>
      <c r="F43" s="12"/>
      <c r="G43" s="12"/>
      <c r="H43" s="12"/>
      <c r="I43" s="12"/>
      <c r="J43" s="12"/>
      <c r="K43" s="12"/>
      <c r="L43" s="102"/>
      <c r="M43" s="102"/>
      <c r="N43" s="102"/>
      <c r="O43" s="102"/>
      <c r="P43" s="102"/>
      <c r="Q43" s="102"/>
      <c r="R43" s="14"/>
    </row>
  </sheetData>
  <phoneticPr fontId="4" type="noConversion"/>
  <conditionalFormatting sqref="Q5:Q42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43"/>
  <sheetViews>
    <sheetView workbookViewId="0">
      <selection activeCell="Q3" sqref="Q3"/>
    </sheetView>
  </sheetViews>
  <sheetFormatPr defaultRowHeight="11.25" x14ac:dyDescent="0.2"/>
  <cols>
    <col min="1" max="1" width="2.85546875" style="44" customWidth="1"/>
    <col min="2" max="2" width="3.85546875" style="44" bestFit="1" customWidth="1"/>
    <col min="3" max="3" width="3.140625" style="44" bestFit="1" customWidth="1"/>
    <col min="4" max="4" width="2.7109375" style="44" bestFit="1" customWidth="1"/>
    <col min="5" max="5" width="10.5703125" style="44" bestFit="1" customWidth="1"/>
    <col min="6" max="6" width="14.85546875" style="44" bestFit="1" customWidth="1"/>
    <col min="7" max="8" width="7.42578125" style="44" customWidth="1"/>
    <col min="9" max="9" width="5.7109375" style="44" bestFit="1" customWidth="1"/>
    <col min="10" max="10" width="10" style="44" bestFit="1" customWidth="1"/>
    <col min="11" max="11" width="5.7109375" style="44" bestFit="1" customWidth="1"/>
    <col min="12" max="12" width="5" style="44" customWidth="1"/>
    <col min="13" max="13" width="5.7109375" style="44" bestFit="1" customWidth="1"/>
    <col min="14" max="14" width="5" style="44" customWidth="1"/>
    <col min="15" max="15" width="16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4" style="44" bestFit="1" customWidth="1"/>
    <col min="21" max="21" width="3.28515625" style="44" bestFit="1" customWidth="1"/>
    <col min="22" max="22" width="2.7109375" style="44" bestFit="1" customWidth="1"/>
    <col min="23" max="23" width="9.140625" style="44"/>
    <col min="24" max="24" width="7.140625" style="44" bestFit="1" customWidth="1"/>
    <col min="25" max="16384" width="9.140625" style="44"/>
  </cols>
  <sheetData>
    <row r="1" spans="1:24" ht="12" thickBot="1" x14ac:dyDescent="0.25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ht="12" thickBot="1" x14ac:dyDescent="0.25">
      <c r="A2" s="5"/>
      <c r="B2" s="7"/>
      <c r="C2" s="45"/>
      <c r="D2" s="45"/>
      <c r="E2" s="45"/>
      <c r="F2" s="117" t="s">
        <v>5</v>
      </c>
      <c r="G2" s="6"/>
      <c r="H2" s="6"/>
      <c r="I2" s="6"/>
      <c r="J2" s="6"/>
      <c r="K2" s="7"/>
      <c r="L2" s="6"/>
      <c r="M2" s="6"/>
      <c r="N2" s="6"/>
      <c r="O2" s="46" t="s">
        <v>79</v>
      </c>
      <c r="P2" s="47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_xll.ohTrigger(Q5:Q42)</f>
        <v>13</v>
      </c>
      <c r="R3" s="10"/>
    </row>
    <row r="4" spans="1:24" ht="23.25" thickBot="1" x14ac:dyDescent="0.25">
      <c r="A4" s="9"/>
      <c r="B4" s="130"/>
      <c r="C4" s="84"/>
      <c r="D4" s="84"/>
      <c r="E4" s="84"/>
      <c r="F4" s="85" t="str">
        <f>_xll.RData(F5:F42,G4:J4,"RTFEED:IDN",ReutersRtMode,,G5)</f>
        <v>Updated at 20:17:02</v>
      </c>
      <c r="G4" s="86" t="s">
        <v>0</v>
      </c>
      <c r="H4" s="86" t="s">
        <v>1</v>
      </c>
      <c r="I4" s="86" t="s">
        <v>25</v>
      </c>
      <c r="J4" s="86" t="s">
        <v>26</v>
      </c>
      <c r="K4" s="87" t="s">
        <v>138</v>
      </c>
      <c r="L4" s="6"/>
      <c r="M4" s="90" t="s">
        <v>115</v>
      </c>
      <c r="N4" s="6"/>
      <c r="O4" s="91" t="s">
        <v>31</v>
      </c>
      <c r="P4" s="92" t="s">
        <v>17</v>
      </c>
      <c r="Q4" s="93" t="s">
        <v>24</v>
      </c>
      <c r="R4" s="10"/>
      <c r="X4" s="246" t="s">
        <v>152</v>
      </c>
    </row>
    <row r="5" spans="1:24" x14ac:dyDescent="0.2">
      <c r="A5" s="9"/>
      <c r="B5" s="76" t="s">
        <v>93</v>
      </c>
      <c r="C5" s="42" t="str">
        <f t="array" ref="C5:C42">VLOOKUP(Currency,Conventions,2)</f>
        <v>AM</v>
      </c>
      <c r="D5" s="42" t="str">
        <f t="array" ref="D5:D42">VLOOKUP(Currency,Conventions,3)</f>
        <v>6L</v>
      </c>
      <c r="E5" s="26" t="str">
        <f t="shared" ref="E5:E42" si="0">Currency&amp;$C5&amp;$D5&amp;$B5</f>
        <v>USDAM6L6M</v>
      </c>
      <c r="F5" s="26" t="str">
        <f t="array" ref="F5:F42">Instruments&amp;"="&amp;VLOOKUP(Contributor,ContributorTable,2,FALSE)</f>
        <v>USDAM6L6M=ICAP</v>
      </c>
      <c r="G5" s="15" t="s">
        <v>175</v>
      </c>
      <c r="H5" s="15" t="s">
        <v>175</v>
      </c>
      <c r="I5" s="15" t="s">
        <v>175</v>
      </c>
      <c r="J5" s="15" t="s">
        <v>175</v>
      </c>
      <c r="K5" s="77" t="e">
        <f>_xll.qlMidSafe($G5,$H5)</f>
        <v>#NUM!</v>
      </c>
      <c r="L5" s="6"/>
      <c r="M5" s="88" t="e">
        <v>#NUM!</v>
      </c>
      <c r="N5" s="6"/>
      <c r="O5" s="97" t="str">
        <f>$E5&amp;$P$2</f>
        <v>USDAM6L6M_Quote</v>
      </c>
      <c r="P5" s="15" t="e">
        <f t="array" ref="P5:P42">QuoteLive</f>
        <v>#NUM!</v>
      </c>
      <c r="Q5" s="98" t="e">
        <f>_xll.qlSimpleQuoteSetValue($O5,$P5/100,Trigger)</f>
        <v>#NUM!</v>
      </c>
      <c r="R5" s="10"/>
      <c r="T5" s="213" t="s">
        <v>124</v>
      </c>
      <c r="U5" s="214" t="s">
        <v>18</v>
      </c>
      <c r="V5" s="215" t="s">
        <v>129</v>
      </c>
      <c r="X5" s="247" t="e">
        <f>(H5-K5)/50</f>
        <v>#VALUE!</v>
      </c>
    </row>
    <row r="6" spans="1:24" x14ac:dyDescent="0.2">
      <c r="A6" s="9"/>
      <c r="B6" s="76" t="s">
        <v>36</v>
      </c>
      <c r="C6" s="42" t="str">
        <v>AM</v>
      </c>
      <c r="D6" s="42" t="str">
        <v>6L</v>
      </c>
      <c r="E6" s="26" t="str">
        <f t="shared" si="0"/>
        <v>USDAM6L1Y</v>
      </c>
      <c r="F6" s="26" t="str">
        <v>USDAM6L1Y=ICAP</v>
      </c>
      <c r="G6" s="15" t="s">
        <v>175</v>
      </c>
      <c r="H6" s="15" t="s">
        <v>175</v>
      </c>
      <c r="I6" s="15" t="s">
        <v>175</v>
      </c>
      <c r="J6" s="15" t="s">
        <v>175</v>
      </c>
      <c r="K6" s="77" t="e">
        <f>_xll.qlMidSafe($G6,$H6)</f>
        <v>#NUM!</v>
      </c>
      <c r="L6" s="6"/>
      <c r="M6" s="88" t="e">
        <v>#NUM!</v>
      </c>
      <c r="N6" s="6"/>
      <c r="O6" s="97" t="str">
        <f>$E6&amp;$P$2</f>
        <v>USDAM6L1Y_Quote</v>
      </c>
      <c r="P6" s="15" t="e">
        <v>#NUM!</v>
      </c>
      <c r="Q6" s="98" t="e">
        <f>_xll.qlSimpleQuoteSetValue($O6,$P6/100,Trigger)</f>
        <v>#NUM!</v>
      </c>
      <c r="R6" s="10"/>
      <c r="T6" s="73" t="s">
        <v>15</v>
      </c>
      <c r="U6" s="103" t="s">
        <v>18</v>
      </c>
      <c r="V6" s="104" t="s">
        <v>19</v>
      </c>
      <c r="X6" s="247" t="e">
        <f t="shared" ref="X6:X42" si="1">(H6-K6)/50</f>
        <v>#VALUE!</v>
      </c>
    </row>
    <row r="7" spans="1:24" x14ac:dyDescent="0.2">
      <c r="A7" s="9"/>
      <c r="B7" s="76" t="s">
        <v>37</v>
      </c>
      <c r="C7" s="42" t="str">
        <v>AM</v>
      </c>
      <c r="D7" s="42" t="str">
        <v>6L</v>
      </c>
      <c r="E7" s="26" t="str">
        <f t="shared" si="0"/>
        <v>USDAM6L15M</v>
      </c>
      <c r="F7" s="26" t="str">
        <v>USDAM6L15M=ICAP</v>
      </c>
      <c r="G7" s="15" t="s">
        <v>175</v>
      </c>
      <c r="H7" s="15" t="s">
        <v>175</v>
      </c>
      <c r="I7" s="15" t="s">
        <v>175</v>
      </c>
      <c r="J7" s="15" t="s">
        <v>175</v>
      </c>
      <c r="K7" s="77" t="e">
        <f>_xll.qlMidEquivalent($G7,$H7,$I7,$J7)</f>
        <v>#NUM!</v>
      </c>
      <c r="L7" s="6"/>
      <c r="M7" s="88" t="e">
        <v>#NUM!</v>
      </c>
      <c r="N7" s="6"/>
      <c r="O7" s="97" t="str">
        <f t="shared" ref="O7:O42" si="2">$E7&amp;$P$2</f>
        <v>USDAM6L15M_Quote</v>
      </c>
      <c r="P7" s="15" t="e">
        <v>#NUM!</v>
      </c>
      <c r="Q7" s="98" t="e">
        <f>_xll.qlSimpleQuoteSetValue($O7,$P7/100,Trigger)</f>
        <v>#NUM!</v>
      </c>
      <c r="R7" s="10"/>
      <c r="T7" s="73" t="s">
        <v>121</v>
      </c>
      <c r="U7" s="103" t="s">
        <v>128</v>
      </c>
      <c r="V7" s="104" t="s">
        <v>129</v>
      </c>
      <c r="W7" s="72"/>
      <c r="X7" s="247" t="e">
        <f t="shared" si="1"/>
        <v>#VALUE!</v>
      </c>
    </row>
    <row r="8" spans="1:24" x14ac:dyDescent="0.2">
      <c r="A8" s="9"/>
      <c r="B8" s="76" t="s">
        <v>38</v>
      </c>
      <c r="C8" s="42" t="str">
        <v>AM</v>
      </c>
      <c r="D8" s="42" t="str">
        <v>6L</v>
      </c>
      <c r="E8" s="26" t="str">
        <f t="shared" si="0"/>
        <v>USDAM6L18M</v>
      </c>
      <c r="F8" s="26" t="str">
        <v>USDAM6L18M=ICAP</v>
      </c>
      <c r="G8" s="15" t="s">
        <v>175</v>
      </c>
      <c r="H8" s="15" t="s">
        <v>175</v>
      </c>
      <c r="I8" s="15" t="s">
        <v>175</v>
      </c>
      <c r="J8" s="15" t="s">
        <v>175</v>
      </c>
      <c r="K8" s="77" t="e">
        <f>_xll.qlMidEquivalent($G8,$H8,$I8,$J8)</f>
        <v>#NUM!</v>
      </c>
      <c r="L8" s="6"/>
      <c r="M8" s="88" t="e">
        <v>#NUM!</v>
      </c>
      <c r="N8" s="6"/>
      <c r="O8" s="97" t="str">
        <f t="shared" si="2"/>
        <v>USDAM6L18M_Quote</v>
      </c>
      <c r="P8" s="15" t="e">
        <v>#NUM!</v>
      </c>
      <c r="Q8" s="98" t="e">
        <f>_xll.qlSimpleQuoteSetValue($O8,$P8/100,Trigger)</f>
        <v>#NUM!</v>
      </c>
      <c r="R8" s="10"/>
      <c r="T8" s="73" t="s">
        <v>123</v>
      </c>
      <c r="U8" s="103" t="s">
        <v>128</v>
      </c>
      <c r="V8" s="104" t="s">
        <v>129</v>
      </c>
      <c r="W8" s="72"/>
      <c r="X8" s="247" t="e">
        <f t="shared" si="1"/>
        <v>#VALUE!</v>
      </c>
    </row>
    <row r="9" spans="1:24" ht="12" thickBot="1" x14ac:dyDescent="0.25">
      <c r="A9" s="9"/>
      <c r="B9" s="76" t="s">
        <v>39</v>
      </c>
      <c r="C9" s="42" t="str">
        <v>AM</v>
      </c>
      <c r="D9" s="42" t="str">
        <v>6L</v>
      </c>
      <c r="E9" s="26" t="str">
        <f t="shared" si="0"/>
        <v>USDAM6L21M</v>
      </c>
      <c r="F9" s="26" t="str">
        <v>USDAM6L21M=ICAP</v>
      </c>
      <c r="G9" s="15" t="s">
        <v>175</v>
      </c>
      <c r="H9" s="15" t="s">
        <v>175</v>
      </c>
      <c r="I9" s="15" t="s">
        <v>175</v>
      </c>
      <c r="J9" s="15" t="s">
        <v>175</v>
      </c>
      <c r="K9" s="77" t="e">
        <f>_xll.qlMidEquivalent($G9,$H9,$I9,$J9)</f>
        <v>#NUM!</v>
      </c>
      <c r="L9" s="6"/>
      <c r="M9" s="88" t="e">
        <v>#NUM!</v>
      </c>
      <c r="N9" s="6"/>
      <c r="O9" s="97" t="str">
        <f t="shared" si="2"/>
        <v>USDAM6L21M_Quote</v>
      </c>
      <c r="P9" s="15" t="e">
        <v>#NUM!</v>
      </c>
      <c r="Q9" s="98" t="e">
        <f>_xll.qlSimpleQuoteSetValue($O9,$P9/100,Trigger)</f>
        <v>#NUM!</v>
      </c>
      <c r="R9" s="10"/>
      <c r="T9" s="75" t="s">
        <v>116</v>
      </c>
      <c r="U9" s="105" t="s">
        <v>126</v>
      </c>
      <c r="V9" s="106" t="s">
        <v>129</v>
      </c>
      <c r="X9" s="247" t="e">
        <f t="shared" si="1"/>
        <v>#VALUE!</v>
      </c>
    </row>
    <row r="10" spans="1:24" x14ac:dyDescent="0.2">
      <c r="A10" s="9"/>
      <c r="B10" s="76" t="s">
        <v>40</v>
      </c>
      <c r="C10" s="42" t="str">
        <v>AM</v>
      </c>
      <c r="D10" s="42" t="str">
        <v>6L</v>
      </c>
      <c r="E10" s="26" t="str">
        <f t="shared" si="0"/>
        <v>USDAM6L2Y</v>
      </c>
      <c r="F10" s="26" t="str">
        <v>USDAM6L2Y=ICAP</v>
      </c>
      <c r="G10" s="15" t="s">
        <v>175</v>
      </c>
      <c r="H10" s="15" t="s">
        <v>175</v>
      </c>
      <c r="I10" s="15" t="s">
        <v>175</v>
      </c>
      <c r="J10" s="15" t="s">
        <v>175</v>
      </c>
      <c r="K10" s="77" t="e">
        <f>_xll.qlMidEquivalent($G10,$H10,$I10,$J10)</f>
        <v>#NUM!</v>
      </c>
      <c r="L10" s="6"/>
      <c r="M10" s="88" t="e">
        <v>#NUM!</v>
      </c>
      <c r="N10" s="6"/>
      <c r="O10" s="97" t="str">
        <f t="shared" si="2"/>
        <v>USDAM6L2Y_Quote</v>
      </c>
      <c r="P10" s="15" t="e">
        <v>#NUM!</v>
      </c>
      <c r="Q10" s="98" t="e">
        <f>_xll.qlSimpleQuoteSetValue($O10,$P10/100,Trigger)</f>
        <v>#NUM!</v>
      </c>
      <c r="R10" s="10"/>
      <c r="X10" s="247" t="e">
        <f t="shared" si="1"/>
        <v>#VALUE!</v>
      </c>
    </row>
    <row r="11" spans="1:24" x14ac:dyDescent="0.2">
      <c r="A11" s="9"/>
      <c r="B11" s="76" t="s">
        <v>41</v>
      </c>
      <c r="C11" s="42" t="str">
        <v>AM</v>
      </c>
      <c r="D11" s="42" t="str">
        <v>6L</v>
      </c>
      <c r="E11" s="26" t="str">
        <f t="shared" si="0"/>
        <v>USDAM6L3Y</v>
      </c>
      <c r="F11" s="26" t="str">
        <v>USDAM6L3Y=ICAP</v>
      </c>
      <c r="G11" s="15" t="s">
        <v>175</v>
      </c>
      <c r="H11" s="15" t="s">
        <v>175</v>
      </c>
      <c r="I11" s="15" t="s">
        <v>175</v>
      </c>
      <c r="J11" s="15" t="s">
        <v>175</v>
      </c>
      <c r="K11" s="77" t="e">
        <f>_xll.qlMidEquivalent($G11,$H11,$I11,$J11)</f>
        <v>#NUM!</v>
      </c>
      <c r="L11" s="6"/>
      <c r="M11" s="88" t="e">
        <v>#NUM!</v>
      </c>
      <c r="N11" s="6"/>
      <c r="O11" s="97" t="str">
        <f t="shared" si="2"/>
        <v>USDAM6L3Y_Quote</v>
      </c>
      <c r="P11" s="15" t="e">
        <v>#NUM!</v>
      </c>
      <c r="Q11" s="98" t="e">
        <f>_xll.qlSimpleQuoteSetValue($O11,$P11/100,Trigger)</f>
        <v>#NUM!</v>
      </c>
      <c r="R11" s="10"/>
      <c r="X11" s="247" t="e">
        <f t="shared" si="1"/>
        <v>#VALUE!</v>
      </c>
    </row>
    <row r="12" spans="1:24" x14ac:dyDescent="0.2">
      <c r="A12" s="9"/>
      <c r="B12" s="76" t="s">
        <v>42</v>
      </c>
      <c r="C12" s="42" t="str">
        <v>AM</v>
      </c>
      <c r="D12" s="42" t="str">
        <v>6L</v>
      </c>
      <c r="E12" s="26" t="str">
        <f t="shared" si="0"/>
        <v>USDAM6L4Y</v>
      </c>
      <c r="F12" s="26" t="str">
        <v>USDAM6L4Y=ICAP</v>
      </c>
      <c r="G12" s="15" t="s">
        <v>175</v>
      </c>
      <c r="H12" s="15" t="s">
        <v>175</v>
      </c>
      <c r="I12" s="15" t="s">
        <v>175</v>
      </c>
      <c r="J12" s="15" t="s">
        <v>175</v>
      </c>
      <c r="K12" s="77" t="e">
        <f>_xll.qlMidEquivalent($G12,$H12,$I12,$J12)</f>
        <v>#NUM!</v>
      </c>
      <c r="L12" s="6"/>
      <c r="M12" s="88" t="e">
        <v>#NUM!</v>
      </c>
      <c r="N12" s="6"/>
      <c r="O12" s="97" t="str">
        <f t="shared" si="2"/>
        <v>USDAM6L4Y_Quote</v>
      </c>
      <c r="P12" s="15" t="e">
        <v>#NUM!</v>
      </c>
      <c r="Q12" s="98" t="e">
        <f>_xll.qlSimpleQuoteSetValue($O12,$P12/100,Trigger)</f>
        <v>#NUM!</v>
      </c>
      <c r="R12" s="10"/>
      <c r="X12" s="247" t="e">
        <f t="shared" si="1"/>
        <v>#VALUE!</v>
      </c>
    </row>
    <row r="13" spans="1:24" x14ac:dyDescent="0.2">
      <c r="A13" s="9"/>
      <c r="B13" s="76" t="s">
        <v>43</v>
      </c>
      <c r="C13" s="42" t="str">
        <v>AM</v>
      </c>
      <c r="D13" s="42" t="str">
        <v>6L</v>
      </c>
      <c r="E13" s="26" t="str">
        <f t="shared" si="0"/>
        <v>USDAM6L5Y</v>
      </c>
      <c r="F13" s="26" t="str">
        <v>USDAM6L5Y=ICAP</v>
      </c>
      <c r="G13" s="15" t="s">
        <v>175</v>
      </c>
      <c r="H13" s="15" t="s">
        <v>175</v>
      </c>
      <c r="I13" s="15" t="s">
        <v>175</v>
      </c>
      <c r="J13" s="15" t="s">
        <v>175</v>
      </c>
      <c r="K13" s="77" t="e">
        <f>_xll.qlMidEquivalent($G13,$H13,$I13,$J13)</f>
        <v>#NUM!</v>
      </c>
      <c r="L13" s="6"/>
      <c r="M13" s="88" t="e">
        <v>#NUM!</v>
      </c>
      <c r="N13" s="6"/>
      <c r="O13" s="97" t="str">
        <f t="shared" si="2"/>
        <v>USDAM6L5Y_Quote</v>
      </c>
      <c r="P13" s="15" t="e">
        <v>#NUM!</v>
      </c>
      <c r="Q13" s="98" t="e">
        <f>_xll.qlSimpleQuoteSetValue($O13,$P13/100,Trigger)</f>
        <v>#NUM!</v>
      </c>
      <c r="R13" s="10"/>
      <c r="X13" s="247" t="e">
        <f t="shared" si="1"/>
        <v>#VALUE!</v>
      </c>
    </row>
    <row r="14" spans="1:24" x14ac:dyDescent="0.2">
      <c r="A14" s="9"/>
      <c r="B14" s="76" t="s">
        <v>44</v>
      </c>
      <c r="C14" s="42" t="str">
        <v>AM</v>
      </c>
      <c r="D14" s="42" t="str">
        <v>6L</v>
      </c>
      <c r="E14" s="26" t="str">
        <f t="shared" si="0"/>
        <v>USDAM6L6Y</v>
      </c>
      <c r="F14" s="26" t="str">
        <v>USDAM6L6Y=ICAP</v>
      </c>
      <c r="G14" s="15" t="s">
        <v>175</v>
      </c>
      <c r="H14" s="15" t="s">
        <v>175</v>
      </c>
      <c r="I14" s="15" t="s">
        <v>175</v>
      </c>
      <c r="J14" s="15" t="s">
        <v>175</v>
      </c>
      <c r="K14" s="77" t="e">
        <f>_xll.qlMidEquivalent($G14,$H14,$I14,$J14)</f>
        <v>#NUM!</v>
      </c>
      <c r="L14" s="6"/>
      <c r="M14" s="88" t="e">
        <v>#NUM!</v>
      </c>
      <c r="N14" s="6"/>
      <c r="O14" s="97" t="str">
        <f t="shared" si="2"/>
        <v>USDAM6L6Y_Quote</v>
      </c>
      <c r="P14" s="15" t="e">
        <v>#NUM!</v>
      </c>
      <c r="Q14" s="98" t="e">
        <f>_xll.qlSimpleQuoteSetValue($O14,$P14/100,Trigger)</f>
        <v>#NUM!</v>
      </c>
      <c r="R14" s="10"/>
      <c r="X14" s="247" t="e">
        <f t="shared" si="1"/>
        <v>#VALUE!</v>
      </c>
    </row>
    <row r="15" spans="1:24" x14ac:dyDescent="0.2">
      <c r="A15" s="9"/>
      <c r="B15" s="76" t="s">
        <v>45</v>
      </c>
      <c r="C15" s="42" t="str">
        <v>AM</v>
      </c>
      <c r="D15" s="42" t="str">
        <v>6L</v>
      </c>
      <c r="E15" s="26" t="str">
        <f t="shared" si="0"/>
        <v>USDAM6L7Y</v>
      </c>
      <c r="F15" s="26" t="str">
        <v>USDAM6L7Y=ICAP</v>
      </c>
      <c r="G15" s="15" t="s">
        <v>175</v>
      </c>
      <c r="H15" s="15" t="s">
        <v>175</v>
      </c>
      <c r="I15" s="15" t="s">
        <v>175</v>
      </c>
      <c r="J15" s="15" t="s">
        <v>175</v>
      </c>
      <c r="K15" s="77" t="e">
        <f>_xll.qlMidEquivalent($G15,$H15,$I15,$J15)</f>
        <v>#NUM!</v>
      </c>
      <c r="L15" s="6"/>
      <c r="M15" s="88" t="e">
        <v>#NUM!</v>
      </c>
      <c r="N15" s="6"/>
      <c r="O15" s="97" t="str">
        <f t="shared" si="2"/>
        <v>USDAM6L7Y_Quote</v>
      </c>
      <c r="P15" s="15" t="e">
        <v>#NUM!</v>
      </c>
      <c r="Q15" s="98" t="e">
        <f>_xll.qlSimpleQuoteSetValue($O15,$P15/100,Trigger)</f>
        <v>#NUM!</v>
      </c>
      <c r="R15" s="10"/>
      <c r="X15" s="247" t="e">
        <f t="shared" si="1"/>
        <v>#VALUE!</v>
      </c>
    </row>
    <row r="16" spans="1:24" x14ac:dyDescent="0.2">
      <c r="A16" s="9"/>
      <c r="B16" s="76" t="s">
        <v>46</v>
      </c>
      <c r="C16" s="42" t="str">
        <v>AM</v>
      </c>
      <c r="D16" s="42" t="str">
        <v>6L</v>
      </c>
      <c r="E16" s="26" t="str">
        <f t="shared" si="0"/>
        <v>USDAM6L8Y</v>
      </c>
      <c r="F16" s="26" t="str">
        <v>USDAM6L8Y=ICAP</v>
      </c>
      <c r="G16" s="15" t="s">
        <v>175</v>
      </c>
      <c r="H16" s="15" t="s">
        <v>175</v>
      </c>
      <c r="I16" s="15" t="s">
        <v>175</v>
      </c>
      <c r="J16" s="15" t="s">
        <v>175</v>
      </c>
      <c r="K16" s="77" t="e">
        <f>_xll.qlMidEquivalent($G16,$H16,$I16,$J16)</f>
        <v>#NUM!</v>
      </c>
      <c r="L16" s="6"/>
      <c r="M16" s="88" t="e">
        <v>#NUM!</v>
      </c>
      <c r="N16" s="6"/>
      <c r="O16" s="97" t="str">
        <f t="shared" si="2"/>
        <v>USDAM6L8Y_Quote</v>
      </c>
      <c r="P16" s="15" t="e">
        <v>#NUM!</v>
      </c>
      <c r="Q16" s="98" t="e">
        <f>_xll.qlSimpleQuoteSetValue($O16,$P16/100,Trigger)</f>
        <v>#NUM!</v>
      </c>
      <c r="R16" s="10"/>
      <c r="X16" s="247" t="e">
        <f t="shared" si="1"/>
        <v>#VALUE!</v>
      </c>
    </row>
    <row r="17" spans="1:24" x14ac:dyDescent="0.2">
      <c r="A17" s="9"/>
      <c r="B17" s="76" t="s">
        <v>47</v>
      </c>
      <c r="C17" s="42" t="str">
        <v>AM</v>
      </c>
      <c r="D17" s="42" t="str">
        <v>6L</v>
      </c>
      <c r="E17" s="26" t="str">
        <f t="shared" si="0"/>
        <v>USDAM6L9Y</v>
      </c>
      <c r="F17" s="26" t="str">
        <v>USDAM6L9Y=ICAP</v>
      </c>
      <c r="G17" s="15" t="s">
        <v>175</v>
      </c>
      <c r="H17" s="15" t="s">
        <v>175</v>
      </c>
      <c r="I17" s="15" t="s">
        <v>175</v>
      </c>
      <c r="J17" s="15" t="s">
        <v>175</v>
      </c>
      <c r="K17" s="77" t="e">
        <f>_xll.qlMidEquivalent($G17,$H17,$I17,$J17)</f>
        <v>#NUM!</v>
      </c>
      <c r="L17" s="6"/>
      <c r="M17" s="88" t="e">
        <v>#NUM!</v>
      </c>
      <c r="N17" s="6"/>
      <c r="O17" s="97" t="str">
        <f t="shared" si="2"/>
        <v>USDAM6L9Y_Quote</v>
      </c>
      <c r="P17" s="15" t="e">
        <v>#NUM!</v>
      </c>
      <c r="Q17" s="98" t="e">
        <f>_xll.qlSimpleQuoteSetValue($O17,$P17/100,Trigger)</f>
        <v>#NUM!</v>
      </c>
      <c r="R17" s="10"/>
      <c r="X17" s="247" t="e">
        <f t="shared" si="1"/>
        <v>#VALUE!</v>
      </c>
    </row>
    <row r="18" spans="1:24" x14ac:dyDescent="0.2">
      <c r="A18" s="9"/>
      <c r="B18" s="76" t="s">
        <v>48</v>
      </c>
      <c r="C18" s="42" t="str">
        <v>AM</v>
      </c>
      <c r="D18" s="42" t="str">
        <v>6L</v>
      </c>
      <c r="E18" s="26" t="str">
        <f t="shared" si="0"/>
        <v>USDAM6L10Y</v>
      </c>
      <c r="F18" s="26" t="str">
        <v>USDAM6L10Y=ICAP</v>
      </c>
      <c r="G18" s="15" t="s">
        <v>175</v>
      </c>
      <c r="H18" s="15" t="s">
        <v>175</v>
      </c>
      <c r="I18" s="15" t="s">
        <v>175</v>
      </c>
      <c r="J18" s="15" t="s">
        <v>175</v>
      </c>
      <c r="K18" s="77" t="e">
        <f>_xll.qlMidEquivalent($G18,$H18,$I18,$J18)</f>
        <v>#NUM!</v>
      </c>
      <c r="L18" s="6"/>
      <c r="M18" s="88" t="e">
        <v>#NUM!</v>
      </c>
      <c r="N18" s="6"/>
      <c r="O18" s="97" t="str">
        <f t="shared" si="2"/>
        <v>USDAM6L10Y_Quote</v>
      </c>
      <c r="P18" s="15" t="e">
        <v>#NUM!</v>
      </c>
      <c r="Q18" s="98" t="e">
        <f>_xll.qlSimpleQuoteSetValue($O18,$P18/100,Trigger)</f>
        <v>#NUM!</v>
      </c>
      <c r="R18" s="10"/>
      <c r="X18" s="247" t="e">
        <f t="shared" si="1"/>
        <v>#VALUE!</v>
      </c>
    </row>
    <row r="19" spans="1:24" x14ac:dyDescent="0.2">
      <c r="A19" s="9"/>
      <c r="B19" s="76" t="s">
        <v>49</v>
      </c>
      <c r="C19" s="42" t="str">
        <v>AM</v>
      </c>
      <c r="D19" s="42" t="str">
        <v>6L</v>
      </c>
      <c r="E19" s="26" t="str">
        <f t="shared" si="0"/>
        <v>USDAM6L11Y</v>
      </c>
      <c r="F19" s="26" t="str">
        <v>USDAM6L11Y=ICAP</v>
      </c>
      <c r="G19" s="15" t="s">
        <v>175</v>
      </c>
      <c r="H19" s="15" t="s">
        <v>175</v>
      </c>
      <c r="I19" s="15" t="s">
        <v>175</v>
      </c>
      <c r="J19" s="15" t="s">
        <v>175</v>
      </c>
      <c r="K19" s="77" t="e">
        <f>_xll.qlMidEquivalent($G19,$H19,$I19,$J19)</f>
        <v>#NUM!</v>
      </c>
      <c r="L19" s="6"/>
      <c r="M19" s="88" t="e">
        <v>#NUM!</v>
      </c>
      <c r="N19" s="6"/>
      <c r="O19" s="97" t="str">
        <f t="shared" si="2"/>
        <v>USDAM6L11Y_Quote</v>
      </c>
      <c r="P19" s="15" t="e">
        <v>#NUM!</v>
      </c>
      <c r="Q19" s="98" t="e">
        <f>_xll.qlSimpleQuoteSetValue($O19,$P19/100,Trigger)</f>
        <v>#NUM!</v>
      </c>
      <c r="R19" s="10"/>
      <c r="X19" s="247" t="e">
        <f t="shared" si="1"/>
        <v>#VALUE!</v>
      </c>
    </row>
    <row r="20" spans="1:24" x14ac:dyDescent="0.2">
      <c r="A20" s="9"/>
      <c r="B20" s="76" t="s">
        <v>50</v>
      </c>
      <c r="C20" s="42" t="str">
        <v>AM</v>
      </c>
      <c r="D20" s="42" t="str">
        <v>6L</v>
      </c>
      <c r="E20" s="26" t="str">
        <f t="shared" si="0"/>
        <v>USDAM6L12Y</v>
      </c>
      <c r="F20" s="26" t="str">
        <v>USDAM6L12Y=ICAP</v>
      </c>
      <c r="G20" s="15" t="s">
        <v>175</v>
      </c>
      <c r="H20" s="15" t="s">
        <v>175</v>
      </c>
      <c r="I20" s="15" t="s">
        <v>175</v>
      </c>
      <c r="J20" s="15" t="s">
        <v>175</v>
      </c>
      <c r="K20" s="77" t="e">
        <f>_xll.qlMidEquivalent($G20,$H20,$I20,$J20)</f>
        <v>#NUM!</v>
      </c>
      <c r="L20" s="6"/>
      <c r="M20" s="88" t="e">
        <v>#NUM!</v>
      </c>
      <c r="N20" s="6"/>
      <c r="O20" s="97" t="str">
        <f t="shared" si="2"/>
        <v>USDAM6L12Y_Quote</v>
      </c>
      <c r="P20" s="15" t="e">
        <v>#NUM!</v>
      </c>
      <c r="Q20" s="98" t="e">
        <f>_xll.qlSimpleQuoteSetValue($O20,$P20/100,Trigger)</f>
        <v>#NUM!</v>
      </c>
      <c r="R20" s="10"/>
      <c r="X20" s="247" t="e">
        <f t="shared" si="1"/>
        <v>#VALUE!</v>
      </c>
    </row>
    <row r="21" spans="1:24" x14ac:dyDescent="0.2">
      <c r="A21" s="9"/>
      <c r="B21" s="76" t="s">
        <v>51</v>
      </c>
      <c r="C21" s="42" t="str">
        <v>AM</v>
      </c>
      <c r="D21" s="42" t="str">
        <v>6L</v>
      </c>
      <c r="E21" s="26" t="str">
        <f t="shared" si="0"/>
        <v>USDAM6L13Y</v>
      </c>
      <c r="F21" s="26" t="str">
        <v>USDAM6L13Y=ICAP</v>
      </c>
      <c r="G21" s="15" t="s">
        <v>175</v>
      </c>
      <c r="H21" s="15" t="s">
        <v>175</v>
      </c>
      <c r="I21" s="15" t="s">
        <v>175</v>
      </c>
      <c r="J21" s="15" t="s">
        <v>175</v>
      </c>
      <c r="K21" s="77" t="e">
        <f>_xll.qlMidEquivalent($G21,$H21,$I21,$J21)</f>
        <v>#NUM!</v>
      </c>
      <c r="L21" s="6"/>
      <c r="M21" s="88" t="e">
        <v>#NUM!</v>
      </c>
      <c r="N21" s="6"/>
      <c r="O21" s="97" t="str">
        <f t="shared" si="2"/>
        <v>USDAM6L13Y_Quote</v>
      </c>
      <c r="P21" s="15" t="e">
        <v>#NUM!</v>
      </c>
      <c r="Q21" s="98" t="e">
        <f>_xll.qlSimpleQuoteSetValue($O21,$P21/100,Trigger)</f>
        <v>#NUM!</v>
      </c>
      <c r="R21" s="10"/>
      <c r="X21" s="247" t="e">
        <f t="shared" si="1"/>
        <v>#VALUE!</v>
      </c>
    </row>
    <row r="22" spans="1:24" x14ac:dyDescent="0.2">
      <c r="A22" s="9"/>
      <c r="B22" s="76" t="s">
        <v>52</v>
      </c>
      <c r="C22" s="42" t="str">
        <v>AM</v>
      </c>
      <c r="D22" s="42" t="str">
        <v>6L</v>
      </c>
      <c r="E22" s="26" t="str">
        <f t="shared" si="0"/>
        <v>USDAM6L14Y</v>
      </c>
      <c r="F22" s="26" t="str">
        <v>USDAM6L14Y=ICAP</v>
      </c>
      <c r="G22" s="15" t="s">
        <v>175</v>
      </c>
      <c r="H22" s="15" t="s">
        <v>175</v>
      </c>
      <c r="I22" s="15" t="s">
        <v>175</v>
      </c>
      <c r="J22" s="15" t="s">
        <v>175</v>
      </c>
      <c r="K22" s="77" t="e">
        <f>_xll.qlMidEquivalent($G22,$H22,$I22,$J22)</f>
        <v>#NUM!</v>
      </c>
      <c r="L22" s="6"/>
      <c r="M22" s="88" t="e">
        <v>#NUM!</v>
      </c>
      <c r="N22" s="6"/>
      <c r="O22" s="97" t="str">
        <f t="shared" si="2"/>
        <v>USDAM6L14Y_Quote</v>
      </c>
      <c r="P22" s="15" t="e">
        <v>#NUM!</v>
      </c>
      <c r="Q22" s="98" t="e">
        <f>_xll.qlSimpleQuoteSetValue($O22,$P22/100,Trigger)</f>
        <v>#NUM!</v>
      </c>
      <c r="R22" s="10"/>
      <c r="X22" s="247" t="e">
        <f t="shared" si="1"/>
        <v>#VALUE!</v>
      </c>
    </row>
    <row r="23" spans="1:24" x14ac:dyDescent="0.2">
      <c r="A23" s="9"/>
      <c r="B23" s="76" t="s">
        <v>53</v>
      </c>
      <c r="C23" s="42" t="str">
        <v>AM</v>
      </c>
      <c r="D23" s="42" t="str">
        <v>6L</v>
      </c>
      <c r="E23" s="26" t="str">
        <f t="shared" si="0"/>
        <v>USDAM6L15Y</v>
      </c>
      <c r="F23" s="26" t="str">
        <v>USDAM6L15Y=ICAP</v>
      </c>
      <c r="G23" s="15" t="s">
        <v>175</v>
      </c>
      <c r="H23" s="15" t="s">
        <v>175</v>
      </c>
      <c r="I23" s="15" t="s">
        <v>175</v>
      </c>
      <c r="J23" s="15" t="s">
        <v>175</v>
      </c>
      <c r="K23" s="77" t="e">
        <f>_xll.qlMidEquivalent($G23,$H23,$I23,$J23)</f>
        <v>#NUM!</v>
      </c>
      <c r="L23" s="6"/>
      <c r="M23" s="88" t="e">
        <v>#NUM!</v>
      </c>
      <c r="N23" s="6"/>
      <c r="O23" s="97" t="str">
        <f t="shared" si="2"/>
        <v>USDAM6L15Y_Quote</v>
      </c>
      <c r="P23" s="15" t="e">
        <v>#NUM!</v>
      </c>
      <c r="Q23" s="98" t="e">
        <f>_xll.qlSimpleQuoteSetValue($O23,$P23/100,Trigger)</f>
        <v>#NUM!</v>
      </c>
      <c r="R23" s="10"/>
      <c r="X23" s="247" t="e">
        <f t="shared" si="1"/>
        <v>#VALUE!</v>
      </c>
    </row>
    <row r="24" spans="1:24" x14ac:dyDescent="0.2">
      <c r="A24" s="9"/>
      <c r="B24" s="76" t="s">
        <v>54</v>
      </c>
      <c r="C24" s="42" t="str">
        <v>AM</v>
      </c>
      <c r="D24" s="42" t="str">
        <v>6L</v>
      </c>
      <c r="E24" s="26" t="str">
        <f t="shared" si="0"/>
        <v>USDAM6L16Y</v>
      </c>
      <c r="F24" s="26" t="str">
        <v>USDAM6L16Y=ICAP</v>
      </c>
      <c r="G24" s="15" t="s">
        <v>175</v>
      </c>
      <c r="H24" s="15" t="s">
        <v>175</v>
      </c>
      <c r="I24" s="15" t="s">
        <v>175</v>
      </c>
      <c r="J24" s="15" t="s">
        <v>175</v>
      </c>
      <c r="K24" s="77" t="e">
        <f>_xll.qlMidEquivalent($G24,$H24,$I24,$J24)</f>
        <v>#NUM!</v>
      </c>
      <c r="L24" s="6"/>
      <c r="M24" s="88" t="e">
        <v>#NUM!</v>
      </c>
      <c r="N24" s="6"/>
      <c r="O24" s="97" t="str">
        <f t="shared" si="2"/>
        <v>USDAM6L16Y_Quote</v>
      </c>
      <c r="P24" s="15" t="e">
        <v>#NUM!</v>
      </c>
      <c r="Q24" s="98" t="e">
        <f>_xll.qlSimpleQuoteSetValue($O24,$P24/100,Trigger)</f>
        <v>#NUM!</v>
      </c>
      <c r="R24" s="10"/>
      <c r="X24" s="247" t="e">
        <f t="shared" si="1"/>
        <v>#VALUE!</v>
      </c>
    </row>
    <row r="25" spans="1:24" x14ac:dyDescent="0.2">
      <c r="A25" s="9"/>
      <c r="B25" s="76" t="s">
        <v>55</v>
      </c>
      <c r="C25" s="42" t="str">
        <v>AM</v>
      </c>
      <c r="D25" s="42" t="str">
        <v>6L</v>
      </c>
      <c r="E25" s="26" t="str">
        <f t="shared" si="0"/>
        <v>USDAM6L17Y</v>
      </c>
      <c r="F25" s="26" t="str">
        <v>USDAM6L17Y=ICAP</v>
      </c>
      <c r="G25" s="15" t="s">
        <v>175</v>
      </c>
      <c r="H25" s="15" t="s">
        <v>175</v>
      </c>
      <c r="I25" s="15" t="s">
        <v>175</v>
      </c>
      <c r="J25" s="15" t="s">
        <v>175</v>
      </c>
      <c r="K25" s="77" t="e">
        <f>_xll.qlMidEquivalent($G25,$H25,$I25,$J25)</f>
        <v>#NUM!</v>
      </c>
      <c r="L25" s="6"/>
      <c r="M25" s="88" t="e">
        <v>#NUM!</v>
      </c>
      <c r="N25" s="6"/>
      <c r="O25" s="97" t="str">
        <f t="shared" si="2"/>
        <v>USDAM6L17Y_Quote</v>
      </c>
      <c r="P25" s="15" t="e">
        <v>#NUM!</v>
      </c>
      <c r="Q25" s="98" t="e">
        <f>_xll.qlSimpleQuoteSetValue($O25,$P25/100,Trigger)</f>
        <v>#NUM!</v>
      </c>
      <c r="R25" s="10"/>
      <c r="X25" s="247" t="e">
        <f t="shared" si="1"/>
        <v>#VALUE!</v>
      </c>
    </row>
    <row r="26" spans="1:24" x14ac:dyDescent="0.2">
      <c r="A26" s="9"/>
      <c r="B26" s="76" t="s">
        <v>56</v>
      </c>
      <c r="C26" s="42" t="str">
        <v>AM</v>
      </c>
      <c r="D26" s="42" t="str">
        <v>6L</v>
      </c>
      <c r="E26" s="26" t="str">
        <f t="shared" si="0"/>
        <v>USDAM6L18Y</v>
      </c>
      <c r="F26" s="26" t="str">
        <v>USDAM6L18Y=ICAP</v>
      </c>
      <c r="G26" s="15" t="s">
        <v>175</v>
      </c>
      <c r="H26" s="15" t="s">
        <v>175</v>
      </c>
      <c r="I26" s="15" t="s">
        <v>175</v>
      </c>
      <c r="J26" s="15" t="s">
        <v>175</v>
      </c>
      <c r="K26" s="77" t="e">
        <f>_xll.qlMidEquivalent($G26,$H26,$I26,$J26)</f>
        <v>#NUM!</v>
      </c>
      <c r="L26" s="6"/>
      <c r="M26" s="88" t="e">
        <v>#NUM!</v>
      </c>
      <c r="N26" s="6"/>
      <c r="O26" s="97" t="str">
        <f t="shared" si="2"/>
        <v>USDAM6L18Y_Quote</v>
      </c>
      <c r="P26" s="15" t="e">
        <v>#NUM!</v>
      </c>
      <c r="Q26" s="98" t="e">
        <f>_xll.qlSimpleQuoteSetValue($O26,$P26/100,Trigger)</f>
        <v>#NUM!</v>
      </c>
      <c r="R26" s="10"/>
      <c r="X26" s="247" t="e">
        <f t="shared" si="1"/>
        <v>#VALUE!</v>
      </c>
    </row>
    <row r="27" spans="1:24" x14ac:dyDescent="0.2">
      <c r="A27" s="9"/>
      <c r="B27" s="76" t="s">
        <v>57</v>
      </c>
      <c r="C27" s="42" t="str">
        <v>AM</v>
      </c>
      <c r="D27" s="42" t="str">
        <v>6L</v>
      </c>
      <c r="E27" s="26" t="str">
        <f t="shared" si="0"/>
        <v>USDAM6L19Y</v>
      </c>
      <c r="F27" s="26" t="str">
        <v>USDAM6L19Y=ICAP</v>
      </c>
      <c r="G27" s="15" t="s">
        <v>175</v>
      </c>
      <c r="H27" s="15" t="s">
        <v>175</v>
      </c>
      <c r="I27" s="15" t="s">
        <v>175</v>
      </c>
      <c r="J27" s="15" t="s">
        <v>175</v>
      </c>
      <c r="K27" s="77" t="e">
        <f>_xll.qlMidEquivalent($G27,$H27,$I27,$J27)</f>
        <v>#NUM!</v>
      </c>
      <c r="L27" s="6"/>
      <c r="M27" s="88" t="e">
        <v>#NUM!</v>
      </c>
      <c r="N27" s="6"/>
      <c r="O27" s="97" t="str">
        <f t="shared" si="2"/>
        <v>USDAM6L19Y_Quote</v>
      </c>
      <c r="P27" s="15" t="e">
        <v>#NUM!</v>
      </c>
      <c r="Q27" s="98" t="e">
        <f>_xll.qlSimpleQuoteSetValue($O27,$P27/100,Trigger)</f>
        <v>#NUM!</v>
      </c>
      <c r="R27" s="10"/>
      <c r="X27" s="247" t="e">
        <f t="shared" si="1"/>
        <v>#VALUE!</v>
      </c>
    </row>
    <row r="28" spans="1:24" x14ac:dyDescent="0.2">
      <c r="A28" s="9"/>
      <c r="B28" s="76" t="s">
        <v>58</v>
      </c>
      <c r="C28" s="42" t="str">
        <v>AM</v>
      </c>
      <c r="D28" s="42" t="str">
        <v>6L</v>
      </c>
      <c r="E28" s="26" t="str">
        <f t="shared" si="0"/>
        <v>USDAM6L20Y</v>
      </c>
      <c r="F28" s="26" t="str">
        <v>USDAM6L20Y=ICAP</v>
      </c>
      <c r="G28" s="15" t="s">
        <v>175</v>
      </c>
      <c r="H28" s="15" t="s">
        <v>175</v>
      </c>
      <c r="I28" s="15" t="s">
        <v>175</v>
      </c>
      <c r="J28" s="15" t="s">
        <v>175</v>
      </c>
      <c r="K28" s="77" t="e">
        <f>_xll.qlMidEquivalent($G28,$H28,$I28,$J28)</f>
        <v>#NUM!</v>
      </c>
      <c r="L28" s="6"/>
      <c r="M28" s="88" t="e">
        <v>#NUM!</v>
      </c>
      <c r="N28" s="6"/>
      <c r="O28" s="97" t="str">
        <f t="shared" si="2"/>
        <v>USDAM6L20Y_Quote</v>
      </c>
      <c r="P28" s="15" t="e">
        <v>#NUM!</v>
      </c>
      <c r="Q28" s="98" t="e">
        <f>_xll.qlSimpleQuoteSetValue($O28,$P28/100,Trigger)</f>
        <v>#NUM!</v>
      </c>
      <c r="R28" s="10"/>
      <c r="X28" s="247" t="e">
        <f t="shared" si="1"/>
        <v>#VALUE!</v>
      </c>
    </row>
    <row r="29" spans="1:24" x14ac:dyDescent="0.2">
      <c r="A29" s="9"/>
      <c r="B29" s="76" t="s">
        <v>59</v>
      </c>
      <c r="C29" s="42" t="str">
        <v>AM</v>
      </c>
      <c r="D29" s="42" t="str">
        <v>6L</v>
      </c>
      <c r="E29" s="26" t="str">
        <f t="shared" si="0"/>
        <v>USDAM6L21Y</v>
      </c>
      <c r="F29" s="26" t="str">
        <v>USDAM6L21Y=ICAP</v>
      </c>
      <c r="G29" s="15" t="s">
        <v>175</v>
      </c>
      <c r="H29" s="15" t="s">
        <v>175</v>
      </c>
      <c r="I29" s="15" t="s">
        <v>175</v>
      </c>
      <c r="J29" s="15" t="s">
        <v>175</v>
      </c>
      <c r="K29" s="77" t="e">
        <f>_xll.qlMidEquivalent($G29,$H29,$I29,$J29)</f>
        <v>#NUM!</v>
      </c>
      <c r="L29" s="6"/>
      <c r="M29" s="88" t="e">
        <v>#NUM!</v>
      </c>
      <c r="N29" s="6"/>
      <c r="O29" s="97" t="str">
        <f t="shared" si="2"/>
        <v>USDAM6L21Y_Quote</v>
      </c>
      <c r="P29" s="15" t="e">
        <v>#NUM!</v>
      </c>
      <c r="Q29" s="98" t="e">
        <f>_xll.qlSimpleQuoteSetValue($O29,$P29/100,Trigger)</f>
        <v>#NUM!</v>
      </c>
      <c r="R29" s="10"/>
      <c r="X29" s="247" t="e">
        <f t="shared" si="1"/>
        <v>#VALUE!</v>
      </c>
    </row>
    <row r="30" spans="1:24" x14ac:dyDescent="0.2">
      <c r="A30" s="9"/>
      <c r="B30" s="76" t="s">
        <v>60</v>
      </c>
      <c r="C30" s="42" t="str">
        <v>AM</v>
      </c>
      <c r="D30" s="42" t="str">
        <v>6L</v>
      </c>
      <c r="E30" s="26" t="str">
        <f t="shared" si="0"/>
        <v>USDAM6L22Y</v>
      </c>
      <c r="F30" s="26" t="str">
        <v>USDAM6L22Y=ICAP</v>
      </c>
      <c r="G30" s="15" t="s">
        <v>175</v>
      </c>
      <c r="H30" s="15" t="s">
        <v>175</v>
      </c>
      <c r="I30" s="15" t="s">
        <v>175</v>
      </c>
      <c r="J30" s="15" t="s">
        <v>175</v>
      </c>
      <c r="K30" s="77" t="e">
        <f>_xll.qlMidEquivalent($G30,$H30,$I30,$J30)</f>
        <v>#NUM!</v>
      </c>
      <c r="L30" s="6"/>
      <c r="M30" s="88" t="e">
        <v>#NUM!</v>
      </c>
      <c r="N30" s="6"/>
      <c r="O30" s="97" t="str">
        <f t="shared" si="2"/>
        <v>USDAM6L22Y_Quote</v>
      </c>
      <c r="P30" s="15" t="e">
        <v>#NUM!</v>
      </c>
      <c r="Q30" s="98" t="e">
        <f>_xll.qlSimpleQuoteSetValue($O30,$P30/100,Trigger)</f>
        <v>#NUM!</v>
      </c>
      <c r="R30" s="10"/>
      <c r="X30" s="247" t="e">
        <f t="shared" si="1"/>
        <v>#VALUE!</v>
      </c>
    </row>
    <row r="31" spans="1:24" x14ac:dyDescent="0.2">
      <c r="A31" s="9"/>
      <c r="B31" s="76" t="s">
        <v>61</v>
      </c>
      <c r="C31" s="42" t="str">
        <v>AM</v>
      </c>
      <c r="D31" s="42" t="str">
        <v>6L</v>
      </c>
      <c r="E31" s="26" t="str">
        <f t="shared" si="0"/>
        <v>USDAM6L23Y</v>
      </c>
      <c r="F31" s="26" t="str">
        <v>USDAM6L23Y=ICAP</v>
      </c>
      <c r="G31" s="15" t="s">
        <v>175</v>
      </c>
      <c r="H31" s="15" t="s">
        <v>175</v>
      </c>
      <c r="I31" s="15" t="s">
        <v>175</v>
      </c>
      <c r="J31" s="15" t="s">
        <v>175</v>
      </c>
      <c r="K31" s="77" t="e">
        <f>_xll.qlMidEquivalent($G31,$H31,$I31,$J31)</f>
        <v>#NUM!</v>
      </c>
      <c r="L31" s="6"/>
      <c r="M31" s="88" t="e">
        <v>#NUM!</v>
      </c>
      <c r="N31" s="6"/>
      <c r="O31" s="97" t="str">
        <f t="shared" si="2"/>
        <v>USDAM6L23Y_Quote</v>
      </c>
      <c r="P31" s="15" t="e">
        <v>#NUM!</v>
      </c>
      <c r="Q31" s="98" t="e">
        <f>_xll.qlSimpleQuoteSetValue($O31,$P31/100,Trigger)</f>
        <v>#NUM!</v>
      </c>
      <c r="R31" s="10"/>
      <c r="X31" s="247" t="e">
        <f t="shared" si="1"/>
        <v>#VALUE!</v>
      </c>
    </row>
    <row r="32" spans="1:24" x14ac:dyDescent="0.2">
      <c r="A32" s="9"/>
      <c r="B32" s="76" t="s">
        <v>62</v>
      </c>
      <c r="C32" s="42" t="str">
        <v>AM</v>
      </c>
      <c r="D32" s="42" t="str">
        <v>6L</v>
      </c>
      <c r="E32" s="26" t="str">
        <f t="shared" si="0"/>
        <v>USDAM6L24Y</v>
      </c>
      <c r="F32" s="26" t="str">
        <v>USDAM6L24Y=ICAP</v>
      </c>
      <c r="G32" s="15" t="s">
        <v>175</v>
      </c>
      <c r="H32" s="15" t="s">
        <v>175</v>
      </c>
      <c r="I32" s="15" t="s">
        <v>175</v>
      </c>
      <c r="J32" s="15" t="s">
        <v>175</v>
      </c>
      <c r="K32" s="77" t="e">
        <f>_xll.qlMidEquivalent($G32,$H32,$I32,$J32)</f>
        <v>#NUM!</v>
      </c>
      <c r="L32" s="6"/>
      <c r="M32" s="88" t="e">
        <v>#NUM!</v>
      </c>
      <c r="N32" s="6"/>
      <c r="O32" s="97" t="str">
        <f t="shared" si="2"/>
        <v>USDAM6L24Y_Quote</v>
      </c>
      <c r="P32" s="15" t="e">
        <v>#NUM!</v>
      </c>
      <c r="Q32" s="98" t="e">
        <f>_xll.qlSimpleQuoteSetValue($O32,$P32/100,Trigger)</f>
        <v>#NUM!</v>
      </c>
      <c r="R32" s="10"/>
      <c r="X32" s="247" t="e">
        <f t="shared" si="1"/>
        <v>#VALUE!</v>
      </c>
    </row>
    <row r="33" spans="1:24" x14ac:dyDescent="0.2">
      <c r="A33" s="9"/>
      <c r="B33" s="76" t="s">
        <v>63</v>
      </c>
      <c r="C33" s="42" t="str">
        <v>AM</v>
      </c>
      <c r="D33" s="42" t="str">
        <v>6L</v>
      </c>
      <c r="E33" s="26" t="str">
        <f t="shared" si="0"/>
        <v>USDAM6L25Y</v>
      </c>
      <c r="F33" s="26" t="str">
        <v>USDAM6L25Y=ICAP</v>
      </c>
      <c r="G33" s="15" t="s">
        <v>175</v>
      </c>
      <c r="H33" s="15" t="s">
        <v>175</v>
      </c>
      <c r="I33" s="15" t="s">
        <v>175</v>
      </c>
      <c r="J33" s="15" t="s">
        <v>175</v>
      </c>
      <c r="K33" s="77" t="e">
        <f>_xll.qlMidEquivalent($G33,$H33,$I33,$J33)</f>
        <v>#NUM!</v>
      </c>
      <c r="L33" s="6"/>
      <c r="M33" s="88" t="e">
        <v>#NUM!</v>
      </c>
      <c r="N33" s="6"/>
      <c r="O33" s="97" t="str">
        <f t="shared" si="2"/>
        <v>USDAM6L25Y_Quote</v>
      </c>
      <c r="P33" s="15" t="e">
        <v>#NUM!</v>
      </c>
      <c r="Q33" s="98" t="e">
        <f>_xll.qlSimpleQuoteSetValue($O33,$P33/100,Trigger)</f>
        <v>#NUM!</v>
      </c>
      <c r="R33" s="10"/>
      <c r="X33" s="247" t="e">
        <f t="shared" si="1"/>
        <v>#VALUE!</v>
      </c>
    </row>
    <row r="34" spans="1:24" x14ac:dyDescent="0.2">
      <c r="A34" s="9"/>
      <c r="B34" s="76" t="s">
        <v>64</v>
      </c>
      <c r="C34" s="42" t="str">
        <v>AM</v>
      </c>
      <c r="D34" s="42" t="str">
        <v>6L</v>
      </c>
      <c r="E34" s="26" t="str">
        <f t="shared" si="0"/>
        <v>USDAM6L26Y</v>
      </c>
      <c r="F34" s="26" t="str">
        <v>USDAM6L26Y=ICAP</v>
      </c>
      <c r="G34" s="15" t="s">
        <v>175</v>
      </c>
      <c r="H34" s="15" t="s">
        <v>175</v>
      </c>
      <c r="I34" s="15" t="s">
        <v>175</v>
      </c>
      <c r="J34" s="15" t="s">
        <v>175</v>
      </c>
      <c r="K34" s="77" t="e">
        <f>_xll.qlMidEquivalent($G34,$H34,$I34,$J34)</f>
        <v>#NUM!</v>
      </c>
      <c r="L34" s="6"/>
      <c r="M34" s="88" t="e">
        <v>#NUM!</v>
      </c>
      <c r="N34" s="6"/>
      <c r="O34" s="97" t="str">
        <f t="shared" si="2"/>
        <v>USDAM6L26Y_Quote</v>
      </c>
      <c r="P34" s="15" t="e">
        <v>#NUM!</v>
      </c>
      <c r="Q34" s="98" t="e">
        <f>_xll.qlSimpleQuoteSetValue($O34,$P34/100,Trigger)</f>
        <v>#NUM!</v>
      </c>
      <c r="R34" s="10"/>
      <c r="X34" s="247" t="e">
        <f t="shared" si="1"/>
        <v>#VALUE!</v>
      </c>
    </row>
    <row r="35" spans="1:24" x14ac:dyDescent="0.2">
      <c r="A35" s="9"/>
      <c r="B35" s="76" t="s">
        <v>65</v>
      </c>
      <c r="C35" s="42" t="str">
        <v>AM</v>
      </c>
      <c r="D35" s="42" t="str">
        <v>6L</v>
      </c>
      <c r="E35" s="26" t="str">
        <f t="shared" si="0"/>
        <v>USDAM6L27Y</v>
      </c>
      <c r="F35" s="26" t="str">
        <v>USDAM6L27Y=ICAP</v>
      </c>
      <c r="G35" s="15" t="s">
        <v>175</v>
      </c>
      <c r="H35" s="15" t="s">
        <v>175</v>
      </c>
      <c r="I35" s="15" t="s">
        <v>175</v>
      </c>
      <c r="J35" s="15" t="s">
        <v>175</v>
      </c>
      <c r="K35" s="77" t="e">
        <f>_xll.qlMidEquivalent($G35,$H35,$I35,$J35)</f>
        <v>#NUM!</v>
      </c>
      <c r="L35" s="6"/>
      <c r="M35" s="88" t="e">
        <v>#NUM!</v>
      </c>
      <c r="N35" s="6"/>
      <c r="O35" s="97" t="str">
        <f t="shared" si="2"/>
        <v>USDAM6L27Y_Quote</v>
      </c>
      <c r="P35" s="15" t="e">
        <v>#NUM!</v>
      </c>
      <c r="Q35" s="98" t="e">
        <f>_xll.qlSimpleQuoteSetValue($O35,$P35/100,Trigger)</f>
        <v>#NUM!</v>
      </c>
      <c r="R35" s="10"/>
      <c r="X35" s="247" t="e">
        <f t="shared" si="1"/>
        <v>#VALUE!</v>
      </c>
    </row>
    <row r="36" spans="1:24" x14ac:dyDescent="0.2">
      <c r="A36" s="9"/>
      <c r="B36" s="76" t="s">
        <v>66</v>
      </c>
      <c r="C36" s="42" t="str">
        <v>AM</v>
      </c>
      <c r="D36" s="42" t="str">
        <v>6L</v>
      </c>
      <c r="E36" s="26" t="str">
        <f t="shared" si="0"/>
        <v>USDAM6L28Y</v>
      </c>
      <c r="F36" s="26" t="str">
        <v>USDAM6L28Y=ICAP</v>
      </c>
      <c r="G36" s="15" t="s">
        <v>175</v>
      </c>
      <c r="H36" s="15" t="s">
        <v>175</v>
      </c>
      <c r="I36" s="15" t="s">
        <v>175</v>
      </c>
      <c r="J36" s="15" t="s">
        <v>175</v>
      </c>
      <c r="K36" s="77" t="e">
        <f>_xll.qlMidEquivalent($G36,$H36,$I36,$J36)</f>
        <v>#NUM!</v>
      </c>
      <c r="L36" s="6"/>
      <c r="M36" s="88" t="e">
        <v>#NUM!</v>
      </c>
      <c r="N36" s="6"/>
      <c r="O36" s="97" t="str">
        <f t="shared" si="2"/>
        <v>USDAM6L28Y_Quote</v>
      </c>
      <c r="P36" s="15" t="e">
        <v>#NUM!</v>
      </c>
      <c r="Q36" s="98" t="e">
        <f>_xll.qlSimpleQuoteSetValue($O36,$P36/100,Trigger)</f>
        <v>#NUM!</v>
      </c>
      <c r="R36" s="10"/>
      <c r="X36" s="247" t="e">
        <f t="shared" si="1"/>
        <v>#VALUE!</v>
      </c>
    </row>
    <row r="37" spans="1:24" x14ac:dyDescent="0.2">
      <c r="A37" s="9"/>
      <c r="B37" s="76" t="s">
        <v>67</v>
      </c>
      <c r="C37" s="42" t="str">
        <v>AM</v>
      </c>
      <c r="D37" s="42" t="str">
        <v>6L</v>
      </c>
      <c r="E37" s="26" t="str">
        <f t="shared" si="0"/>
        <v>USDAM6L29Y</v>
      </c>
      <c r="F37" s="26" t="str">
        <v>USDAM6L29Y=ICAP</v>
      </c>
      <c r="G37" s="15" t="s">
        <v>175</v>
      </c>
      <c r="H37" s="15" t="s">
        <v>175</v>
      </c>
      <c r="I37" s="15" t="s">
        <v>175</v>
      </c>
      <c r="J37" s="15" t="s">
        <v>175</v>
      </c>
      <c r="K37" s="77" t="e">
        <f>_xll.qlMidEquivalent($G37,$H37,$I37,$J37)</f>
        <v>#NUM!</v>
      </c>
      <c r="L37" s="6"/>
      <c r="M37" s="88" t="e">
        <v>#NUM!</v>
      </c>
      <c r="N37" s="6"/>
      <c r="O37" s="97" t="str">
        <f t="shared" si="2"/>
        <v>USDAM6L29Y_Quote</v>
      </c>
      <c r="P37" s="15" t="e">
        <v>#NUM!</v>
      </c>
      <c r="Q37" s="98" t="e">
        <f>_xll.qlSimpleQuoteSetValue($O37,$P37/100,Trigger)</f>
        <v>#NUM!</v>
      </c>
      <c r="R37" s="10"/>
      <c r="X37" s="247" t="e">
        <f t="shared" si="1"/>
        <v>#VALUE!</v>
      </c>
    </row>
    <row r="38" spans="1:24" x14ac:dyDescent="0.2">
      <c r="A38" s="9"/>
      <c r="B38" s="76" t="s">
        <v>68</v>
      </c>
      <c r="C38" s="42" t="str">
        <v>AM</v>
      </c>
      <c r="D38" s="42" t="str">
        <v>6L</v>
      </c>
      <c r="E38" s="26" t="str">
        <f t="shared" si="0"/>
        <v>USDAM6L30Y</v>
      </c>
      <c r="F38" s="26" t="str">
        <v>USDAM6L30Y=ICAP</v>
      </c>
      <c r="G38" s="15" t="s">
        <v>175</v>
      </c>
      <c r="H38" s="15" t="s">
        <v>175</v>
      </c>
      <c r="I38" s="15" t="s">
        <v>175</v>
      </c>
      <c r="J38" s="15" t="s">
        <v>175</v>
      </c>
      <c r="K38" s="77" t="e">
        <f>_xll.qlMidEquivalent($G38,$H38,$I38,$J38)</f>
        <v>#NUM!</v>
      </c>
      <c r="L38" s="6"/>
      <c r="M38" s="88" t="e">
        <v>#NUM!</v>
      </c>
      <c r="N38" s="6"/>
      <c r="O38" s="97" t="str">
        <f t="shared" si="2"/>
        <v>USDAM6L30Y_Quote</v>
      </c>
      <c r="P38" s="15" t="e">
        <v>#NUM!</v>
      </c>
      <c r="Q38" s="98" t="e">
        <f>_xll.qlSimpleQuoteSetValue($O38,$P38/100,Trigger)</f>
        <v>#NUM!</v>
      </c>
      <c r="R38" s="10"/>
      <c r="X38" s="247" t="e">
        <f t="shared" si="1"/>
        <v>#VALUE!</v>
      </c>
    </row>
    <row r="39" spans="1:24" x14ac:dyDescent="0.2">
      <c r="A39" s="9"/>
      <c r="B39" s="76" t="s">
        <v>69</v>
      </c>
      <c r="C39" s="42" t="str">
        <v>AM</v>
      </c>
      <c r="D39" s="42" t="str">
        <v>6L</v>
      </c>
      <c r="E39" s="26" t="str">
        <f t="shared" si="0"/>
        <v>USDAM6L35Y</v>
      </c>
      <c r="F39" s="26" t="str">
        <v>USDAM6L35Y=ICAP</v>
      </c>
      <c r="G39" s="15" t="s">
        <v>175</v>
      </c>
      <c r="H39" s="15" t="s">
        <v>175</v>
      </c>
      <c r="I39" s="15" t="s">
        <v>175</v>
      </c>
      <c r="J39" s="15" t="s">
        <v>175</v>
      </c>
      <c r="K39" s="77" t="e">
        <f>_xll.qlMidEquivalent($G39,$H39,$I39,$J39)</f>
        <v>#NUM!</v>
      </c>
      <c r="L39" s="6"/>
      <c r="M39" s="88" t="e">
        <v>#NUM!</v>
      </c>
      <c r="N39" s="6"/>
      <c r="O39" s="97" t="str">
        <f t="shared" si="2"/>
        <v>USDAM6L35Y_Quote</v>
      </c>
      <c r="P39" s="15" t="e">
        <v>#NUM!</v>
      </c>
      <c r="Q39" s="98" t="e">
        <f>_xll.qlSimpleQuoteSetValue($O39,$P39/100,Trigger)</f>
        <v>#NUM!</v>
      </c>
      <c r="R39" s="10"/>
      <c r="X39" s="247" t="e">
        <f t="shared" si="1"/>
        <v>#VALUE!</v>
      </c>
    </row>
    <row r="40" spans="1:24" x14ac:dyDescent="0.2">
      <c r="A40" s="9"/>
      <c r="B40" s="76" t="s">
        <v>70</v>
      </c>
      <c r="C40" s="42" t="str">
        <v>AM</v>
      </c>
      <c r="D40" s="42" t="str">
        <v>6L</v>
      </c>
      <c r="E40" s="26" t="str">
        <f t="shared" si="0"/>
        <v>USDAM6L40Y</v>
      </c>
      <c r="F40" s="26" t="str">
        <v>USDAM6L40Y=ICAP</v>
      </c>
      <c r="G40" s="15" t="s">
        <v>175</v>
      </c>
      <c r="H40" s="15" t="s">
        <v>175</v>
      </c>
      <c r="I40" s="15" t="s">
        <v>175</v>
      </c>
      <c r="J40" s="15" t="s">
        <v>175</v>
      </c>
      <c r="K40" s="77" t="e">
        <f>_xll.qlMidEquivalent($G40,$H40,$I40,$J40)</f>
        <v>#NUM!</v>
      </c>
      <c r="L40" s="6"/>
      <c r="M40" s="88" t="e">
        <v>#NUM!</v>
      </c>
      <c r="N40" s="6"/>
      <c r="O40" s="97" t="str">
        <f t="shared" si="2"/>
        <v>USDAM6L40Y_Quote</v>
      </c>
      <c r="P40" s="15" t="e">
        <v>#NUM!</v>
      </c>
      <c r="Q40" s="98" t="e">
        <f>_xll.qlSimpleQuoteSetValue($O40,$P40/100,Trigger)</f>
        <v>#NUM!</v>
      </c>
      <c r="R40" s="10"/>
      <c r="X40" s="247" t="e">
        <f t="shared" si="1"/>
        <v>#VALUE!</v>
      </c>
    </row>
    <row r="41" spans="1:24" x14ac:dyDescent="0.2">
      <c r="A41" s="9"/>
      <c r="B41" s="76" t="s">
        <v>71</v>
      </c>
      <c r="C41" s="42" t="str">
        <v>AM</v>
      </c>
      <c r="D41" s="42" t="str">
        <v>6L</v>
      </c>
      <c r="E41" s="26" t="str">
        <f t="shared" si="0"/>
        <v>USDAM6L50Y</v>
      </c>
      <c r="F41" s="26" t="str">
        <v>USDAM6L50Y=ICAP</v>
      </c>
      <c r="G41" s="15" t="s">
        <v>175</v>
      </c>
      <c r="H41" s="15" t="s">
        <v>175</v>
      </c>
      <c r="I41" s="15" t="s">
        <v>175</v>
      </c>
      <c r="J41" s="15" t="s">
        <v>175</v>
      </c>
      <c r="K41" s="77" t="e">
        <f>_xll.qlMidEquivalent($G41,$H41,$I41,$J41)</f>
        <v>#NUM!</v>
      </c>
      <c r="L41" s="6"/>
      <c r="M41" s="88" t="e">
        <v>#NUM!</v>
      </c>
      <c r="N41" s="6"/>
      <c r="O41" s="97" t="str">
        <f t="shared" si="2"/>
        <v>USDAM6L50Y_Quote</v>
      </c>
      <c r="P41" s="15" t="e">
        <v>#NUM!</v>
      </c>
      <c r="Q41" s="98" t="e">
        <f>_xll.qlSimpleQuoteSetValue($O41,$P41/100,Trigger)</f>
        <v>#NUM!</v>
      </c>
      <c r="R41" s="10"/>
      <c r="X41" s="247" t="e">
        <f t="shared" si="1"/>
        <v>#VALUE!</v>
      </c>
    </row>
    <row r="42" spans="1:24" x14ac:dyDescent="0.2">
      <c r="A42" s="9"/>
      <c r="B42" s="78" t="s">
        <v>72</v>
      </c>
      <c r="C42" s="109" t="str">
        <v>AM</v>
      </c>
      <c r="D42" s="109" t="str">
        <v>6L</v>
      </c>
      <c r="E42" s="110" t="str">
        <f t="shared" si="0"/>
        <v>USDAM6L60Y</v>
      </c>
      <c r="F42" s="110" t="str">
        <v>USDAM6L60Y=ICAP</v>
      </c>
      <c r="G42" s="81" t="s">
        <v>175</v>
      </c>
      <c r="H42" s="81" t="s">
        <v>175</v>
      </c>
      <c r="I42" s="81" t="s">
        <v>175</v>
      </c>
      <c r="J42" s="81" t="s">
        <v>175</v>
      </c>
      <c r="K42" s="82" t="e">
        <f>_xll.qlMidEquivalent($G42,$H42,$I42,$J42)</f>
        <v>#NUM!</v>
      </c>
      <c r="L42" s="6"/>
      <c r="M42" s="89" t="e">
        <v>#NUM!</v>
      </c>
      <c r="N42" s="6"/>
      <c r="O42" s="99" t="str">
        <f t="shared" si="2"/>
        <v>USDAM6L60Y_Quote</v>
      </c>
      <c r="P42" s="81" t="e">
        <v>#NUM!</v>
      </c>
      <c r="Q42" s="100" t="e">
        <f>_xll.qlSimpleQuoteSetValue($O42,$P42/100,Trigger)</f>
        <v>#NUM!</v>
      </c>
      <c r="R42" s="10"/>
      <c r="X42" s="247" t="e">
        <f t="shared" si="1"/>
        <v>#VALUE!</v>
      </c>
    </row>
    <row r="43" spans="1:24" ht="12" thickBot="1" x14ac:dyDescent="0.25">
      <c r="A43" s="1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4"/>
    </row>
  </sheetData>
  <phoneticPr fontId="4" type="noConversion"/>
  <conditionalFormatting sqref="Q5:Q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Q3" sqref="Q3"/>
    </sheetView>
  </sheetViews>
  <sheetFormatPr defaultRowHeight="11.25" x14ac:dyDescent="0.2"/>
  <cols>
    <col min="1" max="1" width="5" style="44" customWidth="1"/>
    <col min="2" max="2" width="3.85546875" style="44" bestFit="1" customWidth="1"/>
    <col min="3" max="4" width="2.7109375" style="44" bestFit="1" customWidth="1"/>
    <col min="5" max="5" width="10.28515625" style="44" bestFit="1" customWidth="1"/>
    <col min="6" max="6" width="14.5703125" style="44" bestFit="1" customWidth="1"/>
    <col min="7" max="7" width="4.85546875" style="44" bestFit="1" customWidth="1"/>
    <col min="8" max="8" width="4.140625" style="44" bestFit="1" customWidth="1"/>
    <col min="9" max="9" width="9" style="44" bestFit="1" customWidth="1"/>
    <col min="10" max="10" width="5.7109375" style="44" bestFit="1" customWidth="1"/>
    <col min="11" max="11" width="7.140625" style="44" bestFit="1" customWidth="1"/>
    <col min="12" max="12" width="4" style="44" customWidth="1"/>
    <col min="13" max="13" width="5.28515625" style="44" bestFit="1" customWidth="1"/>
    <col min="14" max="14" width="4.140625" style="44" customWidth="1"/>
    <col min="15" max="15" width="15.42578125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9" style="44" bestFit="1" customWidth="1"/>
    <col min="21" max="21" width="4.140625" style="44" bestFit="1" customWidth="1"/>
    <col min="22" max="22" width="9.5703125" style="44" bestFit="1" customWidth="1"/>
    <col min="23" max="16384" width="9.140625" style="44"/>
  </cols>
  <sheetData>
    <row r="1" spans="1:22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2" x14ac:dyDescent="0.2">
      <c r="A2" s="5"/>
      <c r="B2" s="6"/>
      <c r="C2" s="6"/>
      <c r="D2" s="6"/>
      <c r="E2" s="6"/>
      <c r="F2" s="117" t="s">
        <v>5</v>
      </c>
      <c r="G2" s="6"/>
      <c r="H2" s="6"/>
      <c r="I2" s="6"/>
      <c r="J2" s="6"/>
      <c r="K2" s="7"/>
      <c r="L2" s="6"/>
      <c r="M2" s="6"/>
      <c r="N2" s="6"/>
      <c r="O2" s="116" t="s">
        <v>79</v>
      </c>
      <c r="P2" s="117" t="s">
        <v>34</v>
      </c>
      <c r="Q2" s="7"/>
      <c r="R2" s="8"/>
    </row>
    <row r="3" spans="1:22" x14ac:dyDescent="0.2">
      <c r="A3" s="9"/>
      <c r="B3" s="6"/>
      <c r="C3" s="7"/>
      <c r="D3" s="7"/>
      <c r="E3" s="7"/>
      <c r="F3" s="7" t="str">
        <f>_xll.qlInterpolation(,InterpolationType,_xll.ohFilter(A5:A42,J5:J42),_xll.ohFilter(I5:I42,J5:J42))</f>
        <v>obj_0008e#0006</v>
      </c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_xll.ohTrigger(Q5:Q42)</f>
        <v>13</v>
      </c>
      <c r="R3" s="10"/>
    </row>
    <row r="4" spans="1:22" ht="23.25" thickBot="1" x14ac:dyDescent="0.25">
      <c r="A4" s="9"/>
      <c r="B4" s="83"/>
      <c r="C4" s="84"/>
      <c r="D4" s="84"/>
      <c r="E4" s="84"/>
      <c r="F4" s="85" t="str">
        <f>_xll.RData(F5:F42,G4:H4,"RTFEED:IDN",ReutersRtMode,,G5)</f>
        <v>Updated at 20:17:02</v>
      </c>
      <c r="G4" s="86" t="s">
        <v>0</v>
      </c>
      <c r="H4" s="86" t="s">
        <v>1</v>
      </c>
      <c r="I4" s="86" t="s">
        <v>27</v>
      </c>
      <c r="J4" s="86"/>
      <c r="K4" s="87" t="s">
        <v>101</v>
      </c>
      <c r="L4" s="6"/>
      <c r="M4" s="90" t="s">
        <v>115</v>
      </c>
      <c r="N4" s="6"/>
      <c r="O4" s="91" t="s">
        <v>31</v>
      </c>
      <c r="P4" s="92" t="s">
        <v>17</v>
      </c>
      <c r="Q4" s="93" t="s">
        <v>24</v>
      </c>
      <c r="R4" s="10"/>
    </row>
    <row r="5" spans="1:22" x14ac:dyDescent="0.2">
      <c r="A5" s="248">
        <v>0.5</v>
      </c>
      <c r="B5" s="76" t="s">
        <v>93</v>
      </c>
      <c r="C5" s="42" t="str">
        <f t="array" ref="C5:C42">VLOOKUP(Currency,Conventions,2)</f>
        <v>3L</v>
      </c>
      <c r="D5" s="42" t="str">
        <f t="array" ref="D5:D42">VLOOKUP(Currency,Conventions,3)</f>
        <v>1L</v>
      </c>
      <c r="E5" s="43" t="str">
        <f>Currency&amp;$C5&amp;$D5&amp;$B5</f>
        <v>USD3L1L6M</v>
      </c>
      <c r="F5" s="26" t="str">
        <f t="array" ref="F5:F42">Instruments&amp;"="&amp;VLOOKUP(Contributor,ContributorTable,2,FALSE)</f>
        <v>USD3L1L6M=ICAP</v>
      </c>
      <c r="G5" s="52">
        <v>6.8</v>
      </c>
      <c r="H5" s="52">
        <v>0</v>
      </c>
      <c r="I5" s="52">
        <f>_xll.qlMidEquivalent(G5,H5)</f>
        <v>6.8</v>
      </c>
      <c r="J5" s="15" t="b">
        <f>IF(ISNUMBER(I5),TRUE,FALSE)</f>
        <v>1</v>
      </c>
      <c r="K5" s="107">
        <f t="array" ref="K5:K38">_xll.qlInterpolationInterpolate(F3,A5:A42)</f>
        <v>6.8</v>
      </c>
      <c r="L5" s="6"/>
      <c r="M5" s="114">
        <v>6.7</v>
      </c>
      <c r="N5" s="6"/>
      <c r="O5" s="97" t="str">
        <f>$E5&amp;$P$2</f>
        <v>USD3L1L6M_Quote</v>
      </c>
      <c r="P5" s="51">
        <f t="array" ref="P5:P42">QuoteLive</f>
        <v>6.8</v>
      </c>
      <c r="Q5" s="98">
        <f>_xll.qlSimpleQuoteSetValue($O5,$P5/10000,Trigger)</f>
        <v>9.9999999999999178E-6</v>
      </c>
      <c r="R5" s="10"/>
      <c r="T5" s="245" t="s">
        <v>124</v>
      </c>
      <c r="U5" s="214" t="s">
        <v>130</v>
      </c>
      <c r="V5" s="215" t="s">
        <v>129</v>
      </c>
    </row>
    <row r="6" spans="1:22" x14ac:dyDescent="0.2">
      <c r="A6" s="248">
        <v>1</v>
      </c>
      <c r="B6" s="76" t="s">
        <v>36</v>
      </c>
      <c r="C6" s="42" t="str">
        <v>3L</v>
      </c>
      <c r="D6" s="42" t="str">
        <v>1L</v>
      </c>
      <c r="E6" s="43" t="str">
        <f>Currency&amp;$C6&amp;$D6&amp;$B6</f>
        <v>USD3L1L1Y</v>
      </c>
      <c r="F6" s="26" t="str">
        <v>USD3L1L1Y=ICAP</v>
      </c>
      <c r="G6" s="52">
        <v>7.4</v>
      </c>
      <c r="H6" s="52">
        <v>0</v>
      </c>
      <c r="I6" s="52">
        <f>_xll.qlMidEquivalent(G6,H6)</f>
        <v>7.4</v>
      </c>
      <c r="J6" s="15" t="b">
        <f>IF(ISNUMBER(I6),TRUE,FALSE)</f>
        <v>1</v>
      </c>
      <c r="K6" s="107">
        <v>7.4</v>
      </c>
      <c r="L6" s="6"/>
      <c r="M6" s="114">
        <v>7.4</v>
      </c>
      <c r="N6" s="6"/>
      <c r="O6" s="97" t="str">
        <f>$E6&amp;$P$2</f>
        <v>USD3L1L1Y_Quote</v>
      </c>
      <c r="P6" s="51">
        <v>7.4</v>
      </c>
      <c r="Q6" s="98">
        <f>_xll.qlSimpleQuoteSetValue($O6,$P6/10000,Trigger)</f>
        <v>0</v>
      </c>
      <c r="R6" s="10"/>
      <c r="T6" s="121" t="s">
        <v>15</v>
      </c>
      <c r="U6" s="103" t="s">
        <v>100</v>
      </c>
      <c r="V6" s="104" t="s">
        <v>19</v>
      </c>
    </row>
    <row r="7" spans="1:22" x14ac:dyDescent="0.2">
      <c r="A7" s="248">
        <v>1.25</v>
      </c>
      <c r="B7" s="76" t="s">
        <v>37</v>
      </c>
      <c r="C7" s="42" t="str">
        <v>3L</v>
      </c>
      <c r="D7" s="42" t="str">
        <v>1L</v>
      </c>
      <c r="E7" s="43" t="str">
        <f>Currency&amp;$C7&amp;$D7&amp;$B7</f>
        <v>USD3L1L15M</v>
      </c>
      <c r="F7" s="26" t="str">
        <v>USD3L1L15M=ICAP</v>
      </c>
      <c r="G7" s="52" t="s">
        <v>175</v>
      </c>
      <c r="H7" s="52" t="s">
        <v>175</v>
      </c>
      <c r="I7" s="52" t="e">
        <f>_xll.qlMidEquivalent(G7,H7)</f>
        <v>#NUM!</v>
      </c>
      <c r="J7" s="15" t="b">
        <f>IF(ISNUMBER(I7),TRUE,FALSE)</f>
        <v>0</v>
      </c>
      <c r="K7" s="107">
        <v>7.5734375000000007</v>
      </c>
      <c r="L7" s="6"/>
      <c r="M7" s="114">
        <v>7.5734375000000007</v>
      </c>
      <c r="N7" s="6"/>
      <c r="O7" s="97" t="str">
        <f>$E7&amp;$P$2</f>
        <v>USD3L1L15M_Quote</v>
      </c>
      <c r="P7" s="51">
        <v>7.5734375000000007</v>
      </c>
      <c r="Q7" s="98">
        <f>_xll.qlSimpleQuoteSetValue($O7,$P7/10000,Trigger)</f>
        <v>0</v>
      </c>
      <c r="R7" s="10"/>
      <c r="T7" s="121" t="s">
        <v>121</v>
      </c>
      <c r="U7" s="103" t="s">
        <v>130</v>
      </c>
      <c r="V7" s="104" t="s">
        <v>129</v>
      </c>
    </row>
    <row r="8" spans="1:22" x14ac:dyDescent="0.2">
      <c r="A8" s="248">
        <v>1.5</v>
      </c>
      <c r="B8" s="76" t="s">
        <v>38</v>
      </c>
      <c r="C8" s="42" t="str">
        <v>3L</v>
      </c>
      <c r="D8" s="42" t="str">
        <v>1L</v>
      </c>
      <c r="E8" s="43" t="str">
        <f t="shared" ref="E8:E42" si="0">Currency&amp;$C8&amp;$D8&amp;$B8</f>
        <v>USD3L1L18M</v>
      </c>
      <c r="F8" s="26" t="str">
        <v>USD3L1L18M=ICAP</v>
      </c>
      <c r="G8" s="52" t="s">
        <v>175</v>
      </c>
      <c r="H8" s="52" t="s">
        <v>175</v>
      </c>
      <c r="I8" s="52" t="e">
        <f>_xll.qlMidEquivalent(G8,H8)</f>
        <v>#NUM!</v>
      </c>
      <c r="J8" s="15" t="b">
        <f>IF(ISNUMBER(I8),TRUE,FALSE)</f>
        <v>0</v>
      </c>
      <c r="K8" s="107">
        <v>7.6625000000000005</v>
      </c>
      <c r="L8" s="6"/>
      <c r="M8" s="114">
        <v>7.6625000000000005</v>
      </c>
      <c r="N8" s="6"/>
      <c r="O8" s="97" t="str">
        <f t="shared" ref="O8:O42" si="1">$E8&amp;$P$2</f>
        <v>USD3L1L18M_Quote</v>
      </c>
      <c r="P8" s="51">
        <v>7.6625000000000005</v>
      </c>
      <c r="Q8" s="98">
        <f>_xll.qlSimpleQuoteSetValue($O8,$P8/10000,Trigger)</f>
        <v>0</v>
      </c>
      <c r="R8" s="10"/>
      <c r="T8" s="121" t="s">
        <v>123</v>
      </c>
      <c r="U8" s="103" t="s">
        <v>130</v>
      </c>
      <c r="V8" s="104" t="s">
        <v>129</v>
      </c>
    </row>
    <row r="9" spans="1:22" ht="12" thickBot="1" x14ac:dyDescent="0.25">
      <c r="A9" s="248">
        <v>1.75</v>
      </c>
      <c r="B9" s="76" t="s">
        <v>39</v>
      </c>
      <c r="C9" s="42" t="str">
        <v>3L</v>
      </c>
      <c r="D9" s="42" t="str">
        <v>1L</v>
      </c>
      <c r="E9" s="43" t="str">
        <f t="shared" si="0"/>
        <v>USD3L1L21M</v>
      </c>
      <c r="F9" s="26" t="str">
        <v>USD3L1L21M=ICAP</v>
      </c>
      <c r="G9" s="52" t="s">
        <v>175</v>
      </c>
      <c r="H9" s="52" t="s">
        <v>175</v>
      </c>
      <c r="I9" s="52" t="e">
        <f>_xll.qlMidEquivalent(G9,H9)</f>
        <v>#NUM!</v>
      </c>
      <c r="J9" s="15" t="b">
        <f t="shared" ref="J9:J42" si="2">IF(ISNUMBER(I9),TRUE,FALSE)</f>
        <v>0</v>
      </c>
      <c r="K9" s="107">
        <v>7.6953125</v>
      </c>
      <c r="L9" s="6"/>
      <c r="M9" s="114">
        <v>7.6953125</v>
      </c>
      <c r="N9" s="6"/>
      <c r="O9" s="97" t="str">
        <f t="shared" si="1"/>
        <v>USD3L1L21M_Quote</v>
      </c>
      <c r="P9" s="51">
        <v>7.6953125</v>
      </c>
      <c r="Q9" s="98">
        <f>_xll.qlSimpleQuoteSetValue($O9,$P9/10000,Trigger)</f>
        <v>0</v>
      </c>
      <c r="R9" s="10"/>
      <c r="T9" s="122" t="s">
        <v>116</v>
      </c>
      <c r="U9" s="105" t="s">
        <v>127</v>
      </c>
      <c r="V9" s="106" t="s">
        <v>130</v>
      </c>
    </row>
    <row r="10" spans="1:22" x14ac:dyDescent="0.2">
      <c r="A10" s="9">
        <v>2</v>
      </c>
      <c r="B10" s="76" t="s">
        <v>40</v>
      </c>
      <c r="C10" s="42" t="str">
        <v>3L</v>
      </c>
      <c r="D10" s="42" t="str">
        <v>1L</v>
      </c>
      <c r="E10" s="43" t="str">
        <f t="shared" si="0"/>
        <v>USD3L1L2Y</v>
      </c>
      <c r="F10" s="26" t="str">
        <v>USD3L1L2Y=ICAP</v>
      </c>
      <c r="G10" s="52">
        <v>7.7</v>
      </c>
      <c r="H10" s="52">
        <v>0</v>
      </c>
      <c r="I10" s="52">
        <f>_xll.qlMidEquivalent(G10,H10)</f>
        <v>7.7</v>
      </c>
      <c r="J10" s="15" t="b">
        <f t="shared" si="2"/>
        <v>1</v>
      </c>
      <c r="K10" s="107">
        <v>7.7</v>
      </c>
      <c r="L10" s="6"/>
      <c r="M10" s="114">
        <v>7.7</v>
      </c>
      <c r="N10" s="6"/>
      <c r="O10" s="97" t="str">
        <f t="shared" si="1"/>
        <v>USD3L1L2Y_Quote</v>
      </c>
      <c r="P10" s="51">
        <v>7.7</v>
      </c>
      <c r="Q10" s="98">
        <f>_xll.qlSimpleQuoteSetValue($O10,$P10/10000,Trigger)</f>
        <v>0</v>
      </c>
      <c r="R10" s="10"/>
    </row>
    <row r="11" spans="1:22" x14ac:dyDescent="0.2">
      <c r="A11" s="9">
        <v>3</v>
      </c>
      <c r="B11" s="76" t="s">
        <v>41</v>
      </c>
      <c r="C11" s="42" t="str">
        <v>3L</v>
      </c>
      <c r="D11" s="42" t="str">
        <v>1L</v>
      </c>
      <c r="E11" s="43" t="str">
        <f t="shared" si="0"/>
        <v>USD3L1L3Y</v>
      </c>
      <c r="F11" s="26" t="str">
        <v>USD3L1L3Y=ICAP</v>
      </c>
      <c r="G11" s="52">
        <v>7.6</v>
      </c>
      <c r="H11" s="52">
        <v>0</v>
      </c>
      <c r="I11" s="52">
        <f>_xll.qlMidEquivalent(G11,H11)</f>
        <v>7.6</v>
      </c>
      <c r="J11" s="15" t="b">
        <f t="shared" si="2"/>
        <v>1</v>
      </c>
      <c r="K11" s="107">
        <v>7.6</v>
      </c>
      <c r="L11" s="6"/>
      <c r="M11" s="114">
        <v>7.6</v>
      </c>
      <c r="N11" s="6"/>
      <c r="O11" s="97" t="str">
        <f t="shared" si="1"/>
        <v>USD3L1L3Y_Quote</v>
      </c>
      <c r="P11" s="51">
        <v>7.6</v>
      </c>
      <c r="Q11" s="98">
        <f>_xll.qlSimpleQuoteSetValue($O11,$P11/10000,Trigger)</f>
        <v>0</v>
      </c>
      <c r="R11" s="10"/>
    </row>
    <row r="12" spans="1:22" x14ac:dyDescent="0.2">
      <c r="A12" s="9">
        <v>4</v>
      </c>
      <c r="B12" s="76" t="s">
        <v>42</v>
      </c>
      <c r="C12" s="42" t="str">
        <v>3L</v>
      </c>
      <c r="D12" s="42" t="str">
        <v>1L</v>
      </c>
      <c r="E12" s="43" t="str">
        <f t="shared" si="0"/>
        <v>USD3L1L4Y</v>
      </c>
      <c r="F12" s="26" t="str">
        <v>USD3L1L4Y=ICAP</v>
      </c>
      <c r="G12" s="52">
        <v>7.5</v>
      </c>
      <c r="H12" s="52">
        <v>0</v>
      </c>
      <c r="I12" s="52">
        <f>_xll.qlMidEquivalent(G12,H12)</f>
        <v>7.5</v>
      </c>
      <c r="J12" s="15" t="b">
        <f t="shared" si="2"/>
        <v>1</v>
      </c>
      <c r="K12" s="107">
        <v>7.5</v>
      </c>
      <c r="L12" s="6"/>
      <c r="M12" s="114">
        <v>7.5</v>
      </c>
      <c r="N12" s="6"/>
      <c r="O12" s="97" t="str">
        <f t="shared" si="1"/>
        <v>USD3L1L4Y_Quote</v>
      </c>
      <c r="P12" s="51">
        <v>7.5</v>
      </c>
      <c r="Q12" s="98">
        <f>_xll.qlSimpleQuoteSetValue($O12,$P12/10000,Trigger)</f>
        <v>0</v>
      </c>
      <c r="R12" s="10"/>
    </row>
    <row r="13" spans="1:22" x14ac:dyDescent="0.2">
      <c r="A13" s="9">
        <v>5</v>
      </c>
      <c r="B13" s="76" t="s">
        <v>43</v>
      </c>
      <c r="C13" s="42" t="str">
        <v>3L</v>
      </c>
      <c r="D13" s="42" t="str">
        <v>1L</v>
      </c>
      <c r="E13" s="43" t="str">
        <f t="shared" si="0"/>
        <v>USD3L1L5Y</v>
      </c>
      <c r="F13" s="26" t="str">
        <v>USD3L1L5Y=ICAP</v>
      </c>
      <c r="G13" s="52">
        <v>7.4</v>
      </c>
      <c r="H13" s="52">
        <v>0</v>
      </c>
      <c r="I13" s="52">
        <f>_xll.qlMidEquivalent(G13,H13)</f>
        <v>7.4</v>
      </c>
      <c r="J13" s="15" t="b">
        <f t="shared" si="2"/>
        <v>1</v>
      </c>
      <c r="K13" s="107">
        <v>7.4</v>
      </c>
      <c r="L13" s="6"/>
      <c r="M13" s="114">
        <v>7.4</v>
      </c>
      <c r="N13" s="6"/>
      <c r="O13" s="97" t="str">
        <f t="shared" si="1"/>
        <v>USD3L1L5Y_Quote</v>
      </c>
      <c r="P13" s="51">
        <v>7.4</v>
      </c>
      <c r="Q13" s="98">
        <f>_xll.qlSimpleQuoteSetValue($O13,$P13/10000,Trigger)</f>
        <v>0</v>
      </c>
      <c r="R13" s="10"/>
    </row>
    <row r="14" spans="1:22" x14ac:dyDescent="0.2">
      <c r="A14" s="9">
        <v>6</v>
      </c>
      <c r="B14" s="76" t="s">
        <v>44</v>
      </c>
      <c r="C14" s="42" t="str">
        <v>3L</v>
      </c>
      <c r="D14" s="42" t="str">
        <v>1L</v>
      </c>
      <c r="E14" s="43" t="str">
        <f t="shared" si="0"/>
        <v>USD3L1L6Y</v>
      </c>
      <c r="F14" s="26" t="str">
        <v>USD3L1L6Y=ICAP</v>
      </c>
      <c r="G14" s="52">
        <v>7.2</v>
      </c>
      <c r="H14" s="52">
        <v>0</v>
      </c>
      <c r="I14" s="52">
        <f>_xll.qlMidEquivalent(G14,H14)</f>
        <v>7.2</v>
      </c>
      <c r="J14" s="15" t="b">
        <f t="shared" si="2"/>
        <v>1</v>
      </c>
      <c r="K14" s="107">
        <v>7.2</v>
      </c>
      <c r="L14" s="6"/>
      <c r="M14" s="114">
        <v>7.1</v>
      </c>
      <c r="N14" s="6"/>
      <c r="O14" s="97" t="str">
        <f t="shared" si="1"/>
        <v>USD3L1L6Y_Quote</v>
      </c>
      <c r="P14" s="51">
        <v>7.2</v>
      </c>
      <c r="Q14" s="98">
        <f>_xll.qlSimpleQuoteSetValue($O14,$P14/10000,Trigger)</f>
        <v>1.0000000000000135E-5</v>
      </c>
      <c r="R14" s="10"/>
    </row>
    <row r="15" spans="1:22" x14ac:dyDescent="0.2">
      <c r="A15" s="9">
        <v>7</v>
      </c>
      <c r="B15" s="76" t="s">
        <v>45</v>
      </c>
      <c r="C15" s="42" t="str">
        <v>3L</v>
      </c>
      <c r="D15" s="42" t="str">
        <v>1L</v>
      </c>
      <c r="E15" s="43" t="str">
        <f t="shared" si="0"/>
        <v>USD3L1L7Y</v>
      </c>
      <c r="F15" s="26" t="str">
        <v>USD3L1L7Y=ICAP</v>
      </c>
      <c r="G15" s="52">
        <v>6.9</v>
      </c>
      <c r="H15" s="52">
        <v>0</v>
      </c>
      <c r="I15" s="52">
        <f>_xll.qlMidEquivalent(G15,H15)</f>
        <v>6.9</v>
      </c>
      <c r="J15" s="15" t="b">
        <f t="shared" si="2"/>
        <v>1</v>
      </c>
      <c r="K15" s="107">
        <v>6.9</v>
      </c>
      <c r="L15" s="6"/>
      <c r="M15" s="114">
        <v>6.9</v>
      </c>
      <c r="N15" s="6"/>
      <c r="O15" s="97" t="str">
        <f t="shared" si="1"/>
        <v>USD3L1L7Y_Quote</v>
      </c>
      <c r="P15" s="51">
        <v>6.9</v>
      </c>
      <c r="Q15" s="98">
        <f>_xll.qlSimpleQuoteSetValue($O15,$P15/10000,Trigger)</f>
        <v>0</v>
      </c>
      <c r="R15" s="10"/>
    </row>
    <row r="16" spans="1:22" x14ac:dyDescent="0.2">
      <c r="A16" s="9">
        <v>8</v>
      </c>
      <c r="B16" s="76" t="s">
        <v>46</v>
      </c>
      <c r="C16" s="42" t="str">
        <v>3L</v>
      </c>
      <c r="D16" s="42" t="str">
        <v>1L</v>
      </c>
      <c r="E16" s="43" t="str">
        <f t="shared" si="0"/>
        <v>USD3L1L8Y</v>
      </c>
      <c r="F16" s="26" t="str">
        <v>USD3L1L8Y=ICAP</v>
      </c>
      <c r="G16" s="52">
        <v>6.5</v>
      </c>
      <c r="H16" s="52">
        <v>0</v>
      </c>
      <c r="I16" s="52">
        <f>_xll.qlMidEquivalent(G16,H16)</f>
        <v>6.5</v>
      </c>
      <c r="J16" s="15" t="b">
        <f t="shared" si="2"/>
        <v>1</v>
      </c>
      <c r="K16" s="107">
        <v>6.5</v>
      </c>
      <c r="L16" s="6"/>
      <c r="M16" s="114">
        <v>6.5</v>
      </c>
      <c r="N16" s="6"/>
      <c r="O16" s="97" t="str">
        <f t="shared" si="1"/>
        <v>USD3L1L8Y_Quote</v>
      </c>
      <c r="P16" s="51">
        <v>6.5</v>
      </c>
      <c r="Q16" s="98">
        <f>_xll.qlSimpleQuoteSetValue($O16,$P16/10000,Trigger)</f>
        <v>0</v>
      </c>
      <c r="R16" s="10"/>
    </row>
    <row r="17" spans="1:18" x14ac:dyDescent="0.2">
      <c r="A17" s="9">
        <v>9</v>
      </c>
      <c r="B17" s="76" t="s">
        <v>47</v>
      </c>
      <c r="C17" s="42" t="str">
        <v>3L</v>
      </c>
      <c r="D17" s="42" t="str">
        <v>1L</v>
      </c>
      <c r="E17" s="43" t="str">
        <f t="shared" si="0"/>
        <v>USD3L1L9Y</v>
      </c>
      <c r="F17" s="26" t="str">
        <v>USD3L1L9Y=ICAP</v>
      </c>
      <c r="G17" s="52">
        <v>6.2</v>
      </c>
      <c r="H17" s="52">
        <v>0</v>
      </c>
      <c r="I17" s="52">
        <f>_xll.qlMidEquivalent(G17,H17)</f>
        <v>6.2</v>
      </c>
      <c r="J17" s="15" t="b">
        <f t="shared" si="2"/>
        <v>1</v>
      </c>
      <c r="K17" s="107">
        <v>6.2</v>
      </c>
      <c r="L17" s="6"/>
      <c r="M17" s="114">
        <v>6.2</v>
      </c>
      <c r="N17" s="6"/>
      <c r="O17" s="97" t="str">
        <f t="shared" si="1"/>
        <v>USD3L1L9Y_Quote</v>
      </c>
      <c r="P17" s="51">
        <v>6.2</v>
      </c>
      <c r="Q17" s="98">
        <f>_xll.qlSimpleQuoteSetValue($O17,$P17/10000,Trigger)</f>
        <v>0</v>
      </c>
      <c r="R17" s="10"/>
    </row>
    <row r="18" spans="1:18" x14ac:dyDescent="0.2">
      <c r="A18" s="9">
        <v>10</v>
      </c>
      <c r="B18" s="76" t="s">
        <v>48</v>
      </c>
      <c r="C18" s="42" t="str">
        <v>3L</v>
      </c>
      <c r="D18" s="42" t="str">
        <v>1L</v>
      </c>
      <c r="E18" s="43" t="str">
        <f t="shared" si="0"/>
        <v>USD3L1L10Y</v>
      </c>
      <c r="F18" s="26" t="str">
        <v>USD3L1L10Y=ICAP</v>
      </c>
      <c r="G18" s="52">
        <v>5.8</v>
      </c>
      <c r="H18" s="52">
        <v>0</v>
      </c>
      <c r="I18" s="52">
        <f>_xll.qlMidEquivalent(G18,H18)</f>
        <v>5.8</v>
      </c>
      <c r="J18" s="15" t="b">
        <f t="shared" si="2"/>
        <v>1</v>
      </c>
      <c r="K18" s="107">
        <v>5.8</v>
      </c>
      <c r="L18" s="6"/>
      <c r="M18" s="114">
        <v>5.8</v>
      </c>
      <c r="N18" s="6"/>
      <c r="O18" s="97" t="str">
        <f t="shared" si="1"/>
        <v>USD3L1L10Y_Quote</v>
      </c>
      <c r="P18" s="51">
        <v>5.8</v>
      </c>
      <c r="Q18" s="98">
        <f>_xll.qlSimpleQuoteSetValue($O18,$P18/10000,Trigger)</f>
        <v>0</v>
      </c>
      <c r="R18" s="10"/>
    </row>
    <row r="19" spans="1:18" x14ac:dyDescent="0.2">
      <c r="A19" s="9">
        <v>11</v>
      </c>
      <c r="B19" s="76" t="s">
        <v>49</v>
      </c>
      <c r="C19" s="42" t="str">
        <v>3L</v>
      </c>
      <c r="D19" s="42" t="str">
        <v>1L</v>
      </c>
      <c r="E19" s="43" t="str">
        <f t="shared" si="0"/>
        <v>USD3L1L11Y</v>
      </c>
      <c r="F19" s="26" t="str">
        <v>USD3L1L11Y=ICAP</v>
      </c>
      <c r="G19" s="52" t="s">
        <v>175</v>
      </c>
      <c r="H19" s="52" t="s">
        <v>175</v>
      </c>
      <c r="I19" s="52" t="e">
        <f>_xll.qlMidEquivalent(G19,H19)</f>
        <v>#NUM!</v>
      </c>
      <c r="J19" s="15" t="b">
        <f t="shared" si="2"/>
        <v>0</v>
      </c>
      <c r="K19" s="107">
        <v>5.4599600912493669</v>
      </c>
      <c r="L19" s="6"/>
      <c r="M19" s="114">
        <v>5.459271628909641</v>
      </c>
      <c r="N19" s="6"/>
      <c r="O19" s="97" t="str">
        <f t="shared" si="1"/>
        <v>USD3L1L11Y_Quote</v>
      </c>
      <c r="P19" s="51">
        <v>5.4599600912493669</v>
      </c>
      <c r="Q19" s="98">
        <f>_xll.qlSimpleQuoteSetValue($O19,$P19/10000,Trigger)</f>
        <v>6.8846233972530597E-8</v>
      </c>
      <c r="R19" s="10"/>
    </row>
    <row r="20" spans="1:18" x14ac:dyDescent="0.2">
      <c r="A20" s="9">
        <v>12</v>
      </c>
      <c r="B20" s="76" t="s">
        <v>50</v>
      </c>
      <c r="C20" s="42" t="str">
        <v>3L</v>
      </c>
      <c r="D20" s="42" t="str">
        <v>1L</v>
      </c>
      <c r="E20" s="43" t="str">
        <f t="shared" si="0"/>
        <v>USD3L1L12Y</v>
      </c>
      <c r="F20" s="26" t="str">
        <v>USD3L1L12Y=ICAP</v>
      </c>
      <c r="G20" s="52">
        <v>5.2</v>
      </c>
      <c r="H20" s="52">
        <v>0</v>
      </c>
      <c r="I20" s="52">
        <f>_xll.qlMidEquivalent(G20,H20)</f>
        <v>5.2</v>
      </c>
      <c r="J20" s="15" t="b">
        <f t="shared" si="2"/>
        <v>1</v>
      </c>
      <c r="K20" s="107">
        <v>5.2</v>
      </c>
      <c r="L20" s="6"/>
      <c r="M20" s="114">
        <v>5.2</v>
      </c>
      <c r="N20" s="6"/>
      <c r="O20" s="97" t="str">
        <f t="shared" si="1"/>
        <v>USD3L1L12Y_Quote</v>
      </c>
      <c r="P20" s="51">
        <v>5.2</v>
      </c>
      <c r="Q20" s="98">
        <f>_xll.qlSimpleQuoteSetValue($O20,$P20/10000,Trigger)</f>
        <v>0</v>
      </c>
      <c r="R20" s="10"/>
    </row>
    <row r="21" spans="1:18" x14ac:dyDescent="0.2">
      <c r="A21" s="9">
        <v>13</v>
      </c>
      <c r="B21" s="76" t="s">
        <v>51</v>
      </c>
      <c r="C21" s="42" t="str">
        <v>3L</v>
      </c>
      <c r="D21" s="42" t="str">
        <v>1L</v>
      </c>
      <c r="E21" s="43" t="str">
        <f t="shared" si="0"/>
        <v>USD3L1L13Y</v>
      </c>
      <c r="F21" s="26" t="str">
        <v>USD3L1L13Y=ICAP</v>
      </c>
      <c r="G21" s="52" t="s">
        <v>175</v>
      </c>
      <c r="H21" s="52" t="s">
        <v>175</v>
      </c>
      <c r="I21" s="52" t="e">
        <f>_xll.qlMidEquivalent(G21,H21)</f>
        <v>#NUM!</v>
      </c>
      <c r="J21" s="15" t="b">
        <f t="shared" si="2"/>
        <v>0</v>
      </c>
      <c r="K21" s="107">
        <v>4.9762689728823704</v>
      </c>
      <c r="L21" s="6"/>
      <c r="M21" s="114">
        <v>4.9766154400837639</v>
      </c>
      <c r="N21" s="6"/>
      <c r="O21" s="97" t="str">
        <f t="shared" si="1"/>
        <v>USD3L1L13Y_Quote</v>
      </c>
      <c r="P21" s="51">
        <v>4.9762689728823704</v>
      </c>
      <c r="Q21" s="98">
        <f>_xll.qlSimpleQuoteSetValue($O21,$P21/10000,Trigger)</f>
        <v>-3.4646720139348483E-8</v>
      </c>
      <c r="R21" s="10"/>
    </row>
    <row r="22" spans="1:18" x14ac:dyDescent="0.2">
      <c r="A22" s="9">
        <v>14</v>
      </c>
      <c r="B22" s="76" t="s">
        <v>52</v>
      </c>
      <c r="C22" s="42" t="str">
        <v>3L</v>
      </c>
      <c r="D22" s="42" t="str">
        <v>1L</v>
      </c>
      <c r="E22" s="43" t="str">
        <f t="shared" si="0"/>
        <v>USD3L1L14Y</v>
      </c>
      <c r="F22" s="26" t="str">
        <v>USD3L1L14Y=ICAP</v>
      </c>
      <c r="G22" s="52" t="s">
        <v>175</v>
      </c>
      <c r="H22" s="52" t="s">
        <v>175</v>
      </c>
      <c r="I22" s="52" t="e">
        <f>_xll.qlMidEquivalent(G22,H22)</f>
        <v>#NUM!</v>
      </c>
      <c r="J22" s="15" t="b">
        <f t="shared" si="2"/>
        <v>0</v>
      </c>
      <c r="K22" s="107">
        <v>4.7773654100412521</v>
      </c>
      <c r="L22" s="6"/>
      <c r="M22" s="114">
        <v>4.7776120796248538</v>
      </c>
      <c r="N22" s="6"/>
      <c r="O22" s="97" t="str">
        <f t="shared" si="1"/>
        <v>USD3L1L14Y_Quote</v>
      </c>
      <c r="P22" s="51">
        <v>4.7773654100412521</v>
      </c>
      <c r="Q22" s="98">
        <f>_xll.qlSimpleQuoteSetValue($O22,$P22/10000,Trigger)</f>
        <v>-2.4666958360175083E-8</v>
      </c>
      <c r="R22" s="10"/>
    </row>
    <row r="23" spans="1:18" x14ac:dyDescent="0.2">
      <c r="A23" s="9">
        <v>15</v>
      </c>
      <c r="B23" s="76" t="s">
        <v>53</v>
      </c>
      <c r="C23" s="42" t="str">
        <v>3L</v>
      </c>
      <c r="D23" s="42" t="str">
        <v>1L</v>
      </c>
      <c r="E23" s="43" t="str">
        <f t="shared" si="0"/>
        <v>USD3L1L15Y</v>
      </c>
      <c r="F23" s="26" t="str">
        <v>USD3L1L15Y=ICAP</v>
      </c>
      <c r="G23" s="52">
        <v>4.5999999999999996</v>
      </c>
      <c r="H23" s="52">
        <v>0</v>
      </c>
      <c r="I23" s="52">
        <f>_xll.qlMidEquivalent(G23,H23)</f>
        <v>4.5999999999999996</v>
      </c>
      <c r="J23" s="15" t="b">
        <f t="shared" si="2"/>
        <v>1</v>
      </c>
      <c r="K23" s="107">
        <v>4.5999999999999996</v>
      </c>
      <c r="L23" s="6"/>
      <c r="M23" s="114">
        <v>4.5999999999999996</v>
      </c>
      <c r="N23" s="6"/>
      <c r="O23" s="97" t="str">
        <f t="shared" si="1"/>
        <v>USD3L1L15Y_Quote</v>
      </c>
      <c r="P23" s="51">
        <v>4.5999999999999996</v>
      </c>
      <c r="Q23" s="98">
        <f>_xll.qlSimpleQuoteSetValue($O23,$P23/10000,Trigger)</f>
        <v>0</v>
      </c>
      <c r="R23" s="10"/>
    </row>
    <row r="24" spans="1:18" x14ac:dyDescent="0.2">
      <c r="A24" s="9">
        <v>16</v>
      </c>
      <c r="B24" s="76" t="s">
        <v>54</v>
      </c>
      <c r="C24" s="42" t="str">
        <v>3L</v>
      </c>
      <c r="D24" s="42" t="str">
        <v>1L</v>
      </c>
      <c r="E24" s="43" t="str">
        <f t="shared" si="0"/>
        <v>USD3L1L16Y</v>
      </c>
      <c r="F24" s="26" t="str">
        <v>USD3L1L16Y=ICAP</v>
      </c>
      <c r="G24" s="52" t="s">
        <v>175</v>
      </c>
      <c r="H24" s="52" t="s">
        <v>175</v>
      </c>
      <c r="I24" s="52" t="e">
        <f>_xll.qlMidEquivalent(G24,H24)</f>
        <v>#NUM!</v>
      </c>
      <c r="J24" s="15" t="b">
        <f t="shared" si="2"/>
        <v>0</v>
      </c>
      <c r="K24" s="107">
        <v>4.4415144765610917</v>
      </c>
      <c r="L24" s="6"/>
      <c r="M24" s="114">
        <v>4.4413639892853558</v>
      </c>
      <c r="N24" s="6"/>
      <c r="O24" s="97" t="str">
        <f t="shared" si="1"/>
        <v>USD3L1L16Y_Quote</v>
      </c>
      <c r="P24" s="51">
        <v>4.4415144765610917</v>
      </c>
      <c r="Q24" s="98">
        <f>_xll.qlSimpleQuoteSetValue($O24,$P24/10000,Trigger)</f>
        <v>1.5048727573590496E-8</v>
      </c>
      <c r="R24" s="10"/>
    </row>
    <row r="25" spans="1:18" x14ac:dyDescent="0.2">
      <c r="A25" s="9">
        <v>17</v>
      </c>
      <c r="B25" s="76" t="s">
        <v>55</v>
      </c>
      <c r="C25" s="42" t="str">
        <v>3L</v>
      </c>
      <c r="D25" s="42" t="str">
        <v>1L</v>
      </c>
      <c r="E25" s="43" t="str">
        <f t="shared" si="0"/>
        <v>USD3L1L17Y</v>
      </c>
      <c r="F25" s="26" t="str">
        <v>USD3L1L17Y=ICAP</v>
      </c>
      <c r="G25" s="52" t="s">
        <v>175</v>
      </c>
      <c r="H25" s="52" t="s">
        <v>175</v>
      </c>
      <c r="I25" s="52" t="e">
        <f>_xll.qlMidEquivalent(G25,H25)</f>
        <v>#NUM!</v>
      </c>
      <c r="J25" s="15" t="b">
        <f t="shared" si="2"/>
        <v>0</v>
      </c>
      <c r="K25" s="107">
        <v>4.3017747546435201</v>
      </c>
      <c r="L25" s="6"/>
      <c r="M25" s="114">
        <v>4.3015876623547671</v>
      </c>
      <c r="N25" s="6"/>
      <c r="O25" s="97" t="str">
        <f t="shared" si="1"/>
        <v>USD3L1L17Y_Quote</v>
      </c>
      <c r="P25" s="51">
        <v>4.3017747546435201</v>
      </c>
      <c r="Q25" s="98">
        <f>_xll.qlSimpleQuoteSetValue($O25,$P25/10000,Trigger)</f>
        <v>1.8709228875293717E-8</v>
      </c>
      <c r="R25" s="10"/>
    </row>
    <row r="26" spans="1:18" x14ac:dyDescent="0.2">
      <c r="A26" s="9">
        <v>18</v>
      </c>
      <c r="B26" s="76" t="s">
        <v>56</v>
      </c>
      <c r="C26" s="42" t="str">
        <v>3L</v>
      </c>
      <c r="D26" s="42" t="str">
        <v>1L</v>
      </c>
      <c r="E26" s="43" t="str">
        <f t="shared" si="0"/>
        <v>USD3L1L18Y</v>
      </c>
      <c r="F26" s="26" t="str">
        <v>USD3L1L18Y=ICAP</v>
      </c>
      <c r="G26" s="52" t="s">
        <v>175</v>
      </c>
      <c r="H26" s="52" t="s">
        <v>175</v>
      </c>
      <c r="I26" s="52" t="e">
        <f>_xll.qlMidEquivalent(G26,H26)</f>
        <v>#NUM!</v>
      </c>
      <c r="J26" s="15" t="b">
        <f t="shared" si="2"/>
        <v>0</v>
      </c>
      <c r="K26" s="107">
        <v>4.1812777944454016</v>
      </c>
      <c r="L26" s="6"/>
      <c r="M26" s="114">
        <v>4.1811293407815002</v>
      </c>
      <c r="N26" s="6"/>
      <c r="O26" s="97" t="str">
        <f t="shared" si="1"/>
        <v>USD3L1L18Y_Quote</v>
      </c>
      <c r="P26" s="51">
        <v>4.1812777944454016</v>
      </c>
      <c r="Q26" s="98">
        <f>_xll.qlSimpleQuoteSetValue($O26,$P26/10000,Trigger)</f>
        <v>1.4845366390174586E-8</v>
      </c>
      <c r="R26" s="10"/>
    </row>
    <row r="27" spans="1:18" x14ac:dyDescent="0.2">
      <c r="A27" s="9">
        <v>19</v>
      </c>
      <c r="B27" s="76" t="s">
        <v>57</v>
      </c>
      <c r="C27" s="42" t="str">
        <v>3L</v>
      </c>
      <c r="D27" s="42" t="str">
        <v>1L</v>
      </c>
      <c r="E27" s="43" t="str">
        <f t="shared" si="0"/>
        <v>USD3L1L19Y</v>
      </c>
      <c r="F27" s="26" t="str">
        <v>USD3L1L19Y=ICAP</v>
      </c>
      <c r="G27" s="52" t="s">
        <v>175</v>
      </c>
      <c r="H27" s="52" t="s">
        <v>175</v>
      </c>
      <c r="I27" s="52" t="e">
        <f>_xll.qlMidEquivalent(G27,H27)</f>
        <v>#NUM!</v>
      </c>
      <c r="J27" s="15" t="b">
        <f t="shared" si="2"/>
        <v>0</v>
      </c>
      <c r="K27" s="107">
        <v>4.0805205561648554</v>
      </c>
      <c r="L27" s="6"/>
      <c r="M27" s="114">
        <v>4.080447346138822</v>
      </c>
      <c r="N27" s="6"/>
      <c r="O27" s="97" t="str">
        <f t="shared" si="1"/>
        <v>USD3L1L19Y_Quote</v>
      </c>
      <c r="P27" s="51">
        <v>4.0805205561648554</v>
      </c>
      <c r="Q27" s="98">
        <f>_xll.qlSimpleQuoteSetValue($O27,$P27/10000,Trigger)</f>
        <v>7.3210026033522328E-9</v>
      </c>
      <c r="R27" s="10"/>
    </row>
    <row r="28" spans="1:18" x14ac:dyDescent="0.2">
      <c r="A28" s="9">
        <v>20</v>
      </c>
      <c r="B28" s="76" t="s">
        <v>58</v>
      </c>
      <c r="C28" s="42" t="str">
        <v>3L</v>
      </c>
      <c r="D28" s="42" t="str">
        <v>1L</v>
      </c>
      <c r="E28" s="43" t="str">
        <f t="shared" si="0"/>
        <v>USD3L1L20Y</v>
      </c>
      <c r="F28" s="26" t="str">
        <v>USD3L1L20Y=ICAP</v>
      </c>
      <c r="G28" s="52">
        <v>4</v>
      </c>
      <c r="H28" s="52">
        <v>0</v>
      </c>
      <c r="I28" s="52">
        <f>_xll.qlMidEquivalent(G28,H28)</f>
        <v>4</v>
      </c>
      <c r="J28" s="15" t="b">
        <f t="shared" si="2"/>
        <v>1</v>
      </c>
      <c r="K28" s="107">
        <v>4</v>
      </c>
      <c r="L28" s="6"/>
      <c r="M28" s="114">
        <v>4</v>
      </c>
      <c r="N28" s="6"/>
      <c r="O28" s="97" t="str">
        <f t="shared" si="1"/>
        <v>USD3L1L20Y_Quote</v>
      </c>
      <c r="P28" s="51">
        <v>4</v>
      </c>
      <c r="Q28" s="98">
        <f>_xll.qlSimpleQuoteSetValue($O28,$P28/10000,Trigger)</f>
        <v>0</v>
      </c>
      <c r="R28" s="10"/>
    </row>
    <row r="29" spans="1:18" x14ac:dyDescent="0.2">
      <c r="A29" s="9">
        <v>21</v>
      </c>
      <c r="B29" s="76" t="s">
        <v>59</v>
      </c>
      <c r="C29" s="42" t="str">
        <v>3L</v>
      </c>
      <c r="D29" s="42" t="str">
        <v>1L</v>
      </c>
      <c r="E29" s="43" t="str">
        <f t="shared" si="0"/>
        <v>USD3L1L21Y</v>
      </c>
      <c r="F29" s="26" t="str">
        <v>USD3L1L21Y=ICAP</v>
      </c>
      <c r="G29" s="52" t="s">
        <v>175</v>
      </c>
      <c r="H29" s="52" t="s">
        <v>175</v>
      </c>
      <c r="I29" s="52" t="e">
        <f>_xll.qlMidEquivalent(G29,H29)</f>
        <v>#NUM!</v>
      </c>
      <c r="J29" s="15" t="b">
        <f t="shared" si="2"/>
        <v>0</v>
      </c>
      <c r="K29" s="107">
        <v>3.9392663576861913</v>
      </c>
      <c r="L29" s="6"/>
      <c r="M29" s="114">
        <v>3.9393070299228765</v>
      </c>
      <c r="N29" s="6"/>
      <c r="O29" s="97" t="str">
        <f t="shared" si="1"/>
        <v>USD3L1L21Y_Quote</v>
      </c>
      <c r="P29" s="51">
        <v>3.9392663576861913</v>
      </c>
      <c r="Q29" s="98">
        <f>_xll.qlSimpleQuoteSetValue($O29,$P29/10000,Trigger)</f>
        <v>-4.0672236685350416E-9</v>
      </c>
      <c r="R29" s="10"/>
    </row>
    <row r="30" spans="1:18" x14ac:dyDescent="0.2">
      <c r="A30" s="9">
        <v>22</v>
      </c>
      <c r="B30" s="76" t="s">
        <v>60</v>
      </c>
      <c r="C30" s="42" t="str">
        <v>3L</v>
      </c>
      <c r="D30" s="42" t="str">
        <v>1L</v>
      </c>
      <c r="E30" s="43" t="str">
        <f t="shared" si="0"/>
        <v>USD3L1L22Y</v>
      </c>
      <c r="F30" s="26" t="str">
        <v>USD3L1L22Y=ICAP</v>
      </c>
      <c r="G30" s="52" t="s">
        <v>175</v>
      </c>
      <c r="H30" s="52" t="s">
        <v>175</v>
      </c>
      <c r="I30" s="52" t="e">
        <f>_xll.qlMidEquivalent(G30,H30)</f>
        <v>#NUM!</v>
      </c>
      <c r="J30" s="15" t="b">
        <f t="shared" si="2"/>
        <v>0</v>
      </c>
      <c r="K30" s="107">
        <v>3.8940829471077389</v>
      </c>
      <c r="L30" s="6"/>
      <c r="M30" s="114">
        <v>3.8941337874035957</v>
      </c>
      <c r="N30" s="6"/>
      <c r="O30" s="97" t="str">
        <f t="shared" si="1"/>
        <v>USD3L1L22Y_Quote</v>
      </c>
      <c r="P30" s="51">
        <v>3.8940829471077389</v>
      </c>
      <c r="Q30" s="98">
        <f>_xll.qlSimpleQuoteSetValue($O30,$P30/10000,Trigger)</f>
        <v>-5.084029585668802E-9</v>
      </c>
      <c r="R30" s="10"/>
    </row>
    <row r="31" spans="1:18" x14ac:dyDescent="0.2">
      <c r="A31" s="9">
        <v>23</v>
      </c>
      <c r="B31" s="76" t="s">
        <v>61</v>
      </c>
      <c r="C31" s="42" t="str">
        <v>3L</v>
      </c>
      <c r="D31" s="42" t="str">
        <v>1L</v>
      </c>
      <c r="E31" s="43" t="str">
        <f t="shared" si="0"/>
        <v>USD3L1L23Y</v>
      </c>
      <c r="F31" s="26" t="str">
        <v>USD3L1L23Y=ICAP</v>
      </c>
      <c r="G31" s="52" t="s">
        <v>175</v>
      </c>
      <c r="H31" s="52" t="s">
        <v>175</v>
      </c>
      <c r="I31" s="52" t="e">
        <f>_xll.qlMidEquivalent(G31,H31)</f>
        <v>#NUM!</v>
      </c>
      <c r="J31" s="15" t="b">
        <f t="shared" si="2"/>
        <v>0</v>
      </c>
      <c r="K31" s="107">
        <v>3.8592663576861912</v>
      </c>
      <c r="L31" s="6"/>
      <c r="M31" s="114">
        <v>3.8593070299228764</v>
      </c>
      <c r="N31" s="6"/>
      <c r="O31" s="97" t="str">
        <f t="shared" si="1"/>
        <v>USD3L1L23Y_Quote</v>
      </c>
      <c r="P31" s="51">
        <v>3.8592663576861912</v>
      </c>
      <c r="Q31" s="98">
        <f>_xll.qlSimpleQuoteSetValue($O31,$P31/10000,Trigger)</f>
        <v>-4.0672236685350416E-9</v>
      </c>
      <c r="R31" s="10"/>
    </row>
    <row r="32" spans="1:18" x14ac:dyDescent="0.2">
      <c r="A32" s="9">
        <v>24</v>
      </c>
      <c r="B32" s="76" t="s">
        <v>62</v>
      </c>
      <c r="C32" s="42" t="str">
        <v>3L</v>
      </c>
      <c r="D32" s="42" t="str">
        <v>1L</v>
      </c>
      <c r="E32" s="43" t="str">
        <f t="shared" si="0"/>
        <v>USD3L1L24Y</v>
      </c>
      <c r="F32" s="26" t="str">
        <v>USD3L1L24Y=ICAP</v>
      </c>
      <c r="G32" s="52" t="s">
        <v>175</v>
      </c>
      <c r="H32" s="52" t="s">
        <v>175</v>
      </c>
      <c r="I32" s="52" t="e">
        <f>_xll.qlMidEquivalent(G32,H32)</f>
        <v>#NUM!</v>
      </c>
      <c r="J32" s="15" t="b">
        <f t="shared" si="2"/>
        <v>0</v>
      </c>
      <c r="K32" s="107">
        <v>3.8296331788430953</v>
      </c>
      <c r="L32" s="6"/>
      <c r="M32" s="114">
        <v>3.8296535149614384</v>
      </c>
      <c r="N32" s="6"/>
      <c r="O32" s="97" t="str">
        <f t="shared" si="1"/>
        <v>USD3L1L24Y_Quote</v>
      </c>
      <c r="P32" s="51">
        <v>3.8296331788430953</v>
      </c>
      <c r="Q32" s="98">
        <f>_xll.qlSimpleQuoteSetValue($O32,$P32/10000,Trigger)</f>
        <v>-2.0336118343217309E-9</v>
      </c>
      <c r="R32" s="10"/>
    </row>
    <row r="33" spans="1:18" x14ac:dyDescent="0.2">
      <c r="A33" s="9">
        <v>25</v>
      </c>
      <c r="B33" s="76" t="s">
        <v>63</v>
      </c>
      <c r="C33" s="42" t="str">
        <v>3L</v>
      </c>
      <c r="D33" s="42" t="str">
        <v>1L</v>
      </c>
      <c r="E33" s="43" t="str">
        <f t="shared" si="0"/>
        <v>USD3L1L25Y</v>
      </c>
      <c r="F33" s="26" t="str">
        <v>USD3L1L25Y=ICAP</v>
      </c>
      <c r="G33" s="52">
        <v>3.8</v>
      </c>
      <c r="H33" s="52">
        <v>0</v>
      </c>
      <c r="I33" s="52">
        <f>_xll.qlMidEquivalent(G33,H33)</f>
        <v>3.8</v>
      </c>
      <c r="J33" s="15" t="b">
        <f t="shared" si="2"/>
        <v>1</v>
      </c>
      <c r="K33" s="107">
        <v>3.8</v>
      </c>
      <c r="L33" s="6"/>
      <c r="M33" s="114">
        <v>3.8</v>
      </c>
      <c r="N33" s="6"/>
      <c r="O33" s="97" t="str">
        <f t="shared" si="1"/>
        <v>USD3L1L25Y_Quote</v>
      </c>
      <c r="P33" s="51">
        <v>3.8</v>
      </c>
      <c r="Q33" s="98">
        <f>_xll.qlSimpleQuoteSetValue($O33,$P33/10000,Trigger)</f>
        <v>0</v>
      </c>
      <c r="R33" s="10"/>
    </row>
    <row r="34" spans="1:18" x14ac:dyDescent="0.2">
      <c r="A34" s="9">
        <v>26</v>
      </c>
      <c r="B34" s="76" t="s">
        <v>64</v>
      </c>
      <c r="C34" s="42" t="str">
        <v>3L</v>
      </c>
      <c r="D34" s="42" t="str">
        <v>1L</v>
      </c>
      <c r="E34" s="43" t="str">
        <f t="shared" si="0"/>
        <v>USD3L1L26Y</v>
      </c>
      <c r="F34" s="26" t="str">
        <v>USD3L1L26Y=ICAP</v>
      </c>
      <c r="G34" s="52" t="s">
        <v>175</v>
      </c>
      <c r="H34" s="52" t="s">
        <v>175</v>
      </c>
      <c r="I34" s="52" t="e">
        <f>_xll.qlMidEquivalent(G34,H34)</f>
        <v>#NUM!</v>
      </c>
      <c r="J34" s="15" t="b">
        <f t="shared" si="2"/>
        <v>0</v>
      </c>
      <c r="K34" s="107">
        <v>3.7662200926941423</v>
      </c>
      <c r="L34" s="6"/>
      <c r="M34" s="114">
        <v>3.7662078910231367</v>
      </c>
      <c r="N34" s="6"/>
      <c r="O34" s="97" t="str">
        <f t="shared" si="1"/>
        <v>USD3L1L26Y_Quote</v>
      </c>
      <c r="P34" s="51">
        <v>3.7662200926941423</v>
      </c>
      <c r="Q34" s="98">
        <f>_xll.qlSimpleQuoteSetValue($O34,$P34/10000,Trigger)</f>
        <v>1.2201671005496705E-9</v>
      </c>
      <c r="R34" s="10"/>
    </row>
    <row r="35" spans="1:18" x14ac:dyDescent="0.2">
      <c r="A35" s="9">
        <v>27</v>
      </c>
      <c r="B35" s="76" t="s">
        <v>65</v>
      </c>
      <c r="C35" s="42" t="str">
        <v>3L</v>
      </c>
      <c r="D35" s="42" t="str">
        <v>1L</v>
      </c>
      <c r="E35" s="43" t="str">
        <f t="shared" si="0"/>
        <v>USD3L1L27Y</v>
      </c>
      <c r="F35" s="26" t="str">
        <v>USD3L1L27Y=ICAP</v>
      </c>
      <c r="G35" s="52" t="s">
        <v>175</v>
      </c>
      <c r="H35" s="52" t="s">
        <v>175</v>
      </c>
      <c r="I35" s="52" t="e">
        <f>_xll.qlMidEquivalent(G35,H35)</f>
        <v>#NUM!</v>
      </c>
      <c r="J35" s="15" t="b">
        <f t="shared" si="2"/>
        <v>0</v>
      </c>
      <c r="K35" s="107">
        <v>3.7282934569255235</v>
      </c>
      <c r="L35" s="6"/>
      <c r="M35" s="114">
        <v>3.7282771880308494</v>
      </c>
      <c r="N35" s="6"/>
      <c r="O35" s="97" t="str">
        <f t="shared" si="1"/>
        <v>USD3L1L27Y_Quote</v>
      </c>
      <c r="P35" s="51">
        <v>3.7282934569255235</v>
      </c>
      <c r="Q35" s="98">
        <f>_xll.qlSimpleQuoteSetValue($O35,$P35/10000,Trigger)</f>
        <v>1.6268894674357007E-9</v>
      </c>
      <c r="R35" s="10"/>
    </row>
    <row r="36" spans="1:18" x14ac:dyDescent="0.2">
      <c r="A36" s="9">
        <v>28</v>
      </c>
      <c r="B36" s="76" t="s">
        <v>66</v>
      </c>
      <c r="C36" s="42" t="str">
        <v>3L</v>
      </c>
      <c r="D36" s="42" t="str">
        <v>1L</v>
      </c>
      <c r="E36" s="43" t="str">
        <f t="shared" si="0"/>
        <v>USD3L1L28Y</v>
      </c>
      <c r="F36" s="26" t="str">
        <v>USD3L1L28Y=ICAP</v>
      </c>
      <c r="G36" s="52" t="s">
        <v>175</v>
      </c>
      <c r="H36" s="52" t="s">
        <v>175</v>
      </c>
      <c r="I36" s="52" t="e">
        <f>_xll.qlMidEquivalent(G36,H36)</f>
        <v>#NUM!</v>
      </c>
      <c r="J36" s="15" t="b">
        <f t="shared" si="2"/>
        <v>0</v>
      </c>
      <c r="K36" s="107">
        <v>3.6872567748098328</v>
      </c>
      <c r="L36" s="6"/>
      <c r="M36" s="114">
        <v>3.6872425395269932</v>
      </c>
      <c r="N36" s="6"/>
      <c r="O36" s="97" t="str">
        <f t="shared" si="1"/>
        <v>USD3L1L28Y_Quote</v>
      </c>
      <c r="P36" s="51">
        <v>3.6872567748098328</v>
      </c>
      <c r="Q36" s="98">
        <f>_xll.qlSimpleQuoteSetValue($O36,$P36/10000,Trigger)</f>
        <v>1.4235282839655805E-9</v>
      </c>
      <c r="R36" s="10"/>
    </row>
    <row r="37" spans="1:18" x14ac:dyDescent="0.2">
      <c r="A37" s="9">
        <v>29</v>
      </c>
      <c r="B37" s="76" t="s">
        <v>67</v>
      </c>
      <c r="C37" s="42" t="str">
        <v>3L</v>
      </c>
      <c r="D37" s="42" t="str">
        <v>1L</v>
      </c>
      <c r="E37" s="43" t="str">
        <f t="shared" si="0"/>
        <v>USD3L1L29Y</v>
      </c>
      <c r="F37" s="26" t="str">
        <v>USD3L1L29Y=ICAP</v>
      </c>
      <c r="G37" s="52" t="s">
        <v>175</v>
      </c>
      <c r="H37" s="52" t="s">
        <v>175</v>
      </c>
      <c r="I37" s="52" t="e">
        <f>_xll.qlMidEquivalent(G37,H37)</f>
        <v>#NUM!</v>
      </c>
      <c r="J37" s="15" t="b">
        <f t="shared" si="2"/>
        <v>0</v>
      </c>
      <c r="K37" s="107">
        <v>3.6441467284627618</v>
      </c>
      <c r="L37" s="6"/>
      <c r="M37" s="114">
        <v>3.6441385940154247</v>
      </c>
      <c r="N37" s="6"/>
      <c r="O37" s="97" t="str">
        <f t="shared" si="1"/>
        <v>USD3L1L29Y_Quote</v>
      </c>
      <c r="P37" s="51">
        <v>3.6441467284627618</v>
      </c>
      <c r="Q37" s="98">
        <f>_xll.qlSimpleQuoteSetValue($O37,$P37/10000,Trigger)</f>
        <v>8.1344473371785034E-10</v>
      </c>
      <c r="R37" s="10"/>
    </row>
    <row r="38" spans="1:18" x14ac:dyDescent="0.2">
      <c r="A38" s="9">
        <v>30</v>
      </c>
      <c r="B38" s="76" t="s">
        <v>68</v>
      </c>
      <c r="C38" s="42" t="str">
        <v>3L</v>
      </c>
      <c r="D38" s="42" t="str">
        <v>1L</v>
      </c>
      <c r="E38" s="43" t="str">
        <f t="shared" si="0"/>
        <v>USD3L1L30Y</v>
      </c>
      <c r="F38" s="26" t="str">
        <v>USD3L1L30Y=ICAP</v>
      </c>
      <c r="G38" s="52">
        <v>3.6</v>
      </c>
      <c r="H38" s="52">
        <v>0</v>
      </c>
      <c r="I38" s="52">
        <f>_xll.qlMidEquivalent(G38,H38)</f>
        <v>3.6</v>
      </c>
      <c r="J38" s="15" t="b">
        <f t="shared" si="2"/>
        <v>1</v>
      </c>
      <c r="K38" s="107">
        <v>3.6</v>
      </c>
      <c r="L38" s="6"/>
      <c r="M38" s="114">
        <v>3.6</v>
      </c>
      <c r="N38" s="6"/>
      <c r="O38" s="97" t="str">
        <f t="shared" si="1"/>
        <v>USD3L1L30Y_Quote</v>
      </c>
      <c r="P38" s="51">
        <v>3.6</v>
      </c>
      <c r="Q38" s="98">
        <f>_xll.qlSimpleQuoteSetValue($O38,$P38/10000,Trigger)</f>
        <v>0</v>
      </c>
      <c r="R38" s="10"/>
    </row>
    <row r="39" spans="1:18" x14ac:dyDescent="0.2">
      <c r="A39" s="9">
        <v>35</v>
      </c>
      <c r="B39" s="76" t="s">
        <v>69</v>
      </c>
      <c r="C39" s="42" t="str">
        <v>3L</v>
      </c>
      <c r="D39" s="42" t="str">
        <v>1L</v>
      </c>
      <c r="E39" s="43" t="str">
        <f t="shared" si="0"/>
        <v>USD3L1L35Y</v>
      </c>
      <c r="F39" s="26" t="str">
        <v>USD3L1L35Y=ICAP</v>
      </c>
      <c r="G39" s="52" t="s">
        <v>175</v>
      </c>
      <c r="H39" s="52" t="s">
        <v>175</v>
      </c>
      <c r="I39" s="52" t="e">
        <f>_xll.qlMidEquivalent(G39,H39)</f>
        <v>#NUM!</v>
      </c>
      <c r="J39" s="15" t="b">
        <f t="shared" si="2"/>
        <v>0</v>
      </c>
      <c r="K39" s="108">
        <f>K38</f>
        <v>3.6</v>
      </c>
      <c r="L39" s="6"/>
      <c r="M39" s="114">
        <v>3.6</v>
      </c>
      <c r="N39" s="6"/>
      <c r="O39" s="97" t="str">
        <f t="shared" si="1"/>
        <v>USD3L1L35Y_Quote</v>
      </c>
      <c r="P39" s="51">
        <v>3.6</v>
      </c>
      <c r="Q39" s="98">
        <f>_xll.qlSimpleQuoteSetValue($O39,$P39/10000,Trigger)</f>
        <v>0</v>
      </c>
      <c r="R39" s="10"/>
    </row>
    <row r="40" spans="1:18" x14ac:dyDescent="0.2">
      <c r="A40" s="9">
        <v>40</v>
      </c>
      <c r="B40" s="76" t="s">
        <v>70</v>
      </c>
      <c r="C40" s="42" t="str">
        <v>3L</v>
      </c>
      <c r="D40" s="42" t="str">
        <v>1L</v>
      </c>
      <c r="E40" s="43" t="str">
        <f t="shared" si="0"/>
        <v>USD3L1L40Y</v>
      </c>
      <c r="F40" s="26" t="str">
        <v>USD3L1L40Y=ICAP</v>
      </c>
      <c r="G40" s="52" t="s">
        <v>175</v>
      </c>
      <c r="H40" s="52" t="s">
        <v>175</v>
      </c>
      <c r="I40" s="52" t="e">
        <f>_xll.qlMidEquivalent(G40,H40)</f>
        <v>#NUM!</v>
      </c>
      <c r="J40" s="15" t="b">
        <f t="shared" si="2"/>
        <v>0</v>
      </c>
      <c r="K40" s="108">
        <f>K39</f>
        <v>3.6</v>
      </c>
      <c r="L40" s="6"/>
      <c r="M40" s="114">
        <v>3.6</v>
      </c>
      <c r="N40" s="6"/>
      <c r="O40" s="97" t="str">
        <f t="shared" si="1"/>
        <v>USD3L1L40Y_Quote</v>
      </c>
      <c r="P40" s="51">
        <v>3.6</v>
      </c>
      <c r="Q40" s="98">
        <f>_xll.qlSimpleQuoteSetValue($O40,$P40/10000,Trigger)</f>
        <v>0</v>
      </c>
      <c r="R40" s="10"/>
    </row>
    <row r="41" spans="1:18" x14ac:dyDescent="0.2">
      <c r="A41" s="9">
        <v>50</v>
      </c>
      <c r="B41" s="76" t="s">
        <v>71</v>
      </c>
      <c r="C41" s="42" t="str">
        <v>3L</v>
      </c>
      <c r="D41" s="42" t="str">
        <v>1L</v>
      </c>
      <c r="E41" s="43" t="str">
        <f t="shared" si="0"/>
        <v>USD3L1L50Y</v>
      </c>
      <c r="F41" s="26" t="str">
        <v>USD3L1L50Y=ICAP</v>
      </c>
      <c r="G41" s="52" t="s">
        <v>175</v>
      </c>
      <c r="H41" s="52" t="s">
        <v>175</v>
      </c>
      <c r="I41" s="52" t="e">
        <f>_xll.qlMidEquivalent(G41,H41)</f>
        <v>#NUM!</v>
      </c>
      <c r="J41" s="15" t="b">
        <f t="shared" si="2"/>
        <v>0</v>
      </c>
      <c r="K41" s="108">
        <f>K40</f>
        <v>3.6</v>
      </c>
      <c r="L41" s="6"/>
      <c r="M41" s="114">
        <v>3.6</v>
      </c>
      <c r="N41" s="6"/>
      <c r="O41" s="97" t="str">
        <f t="shared" si="1"/>
        <v>USD3L1L50Y_Quote</v>
      </c>
      <c r="P41" s="51">
        <v>3.6</v>
      </c>
      <c r="Q41" s="98">
        <f>_xll.qlSimpleQuoteSetValue($O41,$P41/10000,Trigger)</f>
        <v>0</v>
      </c>
      <c r="R41" s="10"/>
    </row>
    <row r="42" spans="1:18" x14ac:dyDescent="0.2">
      <c r="A42" s="9">
        <v>60</v>
      </c>
      <c r="B42" s="78" t="s">
        <v>72</v>
      </c>
      <c r="C42" s="109" t="str">
        <v>3L</v>
      </c>
      <c r="D42" s="109" t="str">
        <v>1L</v>
      </c>
      <c r="E42" s="80" t="str">
        <f t="shared" si="0"/>
        <v>USD3L1L60Y</v>
      </c>
      <c r="F42" s="110" t="str">
        <v>USD3L1L60Y=ICAP</v>
      </c>
      <c r="G42" s="111" t="s">
        <v>175</v>
      </c>
      <c r="H42" s="111" t="s">
        <v>175</v>
      </c>
      <c r="I42" s="111" t="e">
        <f>_xll.qlMidEquivalent(G42,H42)</f>
        <v>#NUM!</v>
      </c>
      <c r="J42" s="81" t="b">
        <f t="shared" si="2"/>
        <v>0</v>
      </c>
      <c r="K42" s="113">
        <f>K41</f>
        <v>3.6</v>
      </c>
      <c r="L42" s="6"/>
      <c r="M42" s="115">
        <v>3.6</v>
      </c>
      <c r="N42" s="6"/>
      <c r="O42" s="99" t="str">
        <f t="shared" si="1"/>
        <v>USD3L1L60Y_Quote</v>
      </c>
      <c r="P42" s="112">
        <v>3.6</v>
      </c>
      <c r="Q42" s="100">
        <f>_xll.qlSimpleQuoteSetValue($O42,$P42/10000,Trigger)</f>
        <v>0</v>
      </c>
      <c r="R42" s="10"/>
    </row>
    <row r="43" spans="1:18" ht="12" thickBot="1" x14ac:dyDescent="0.25">
      <c r="A43" s="1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4"/>
    </row>
    <row r="53" spans="6:6" x14ac:dyDescent="0.2">
      <c r="F53" s="49"/>
    </row>
    <row r="54" spans="6:6" x14ac:dyDescent="0.2">
      <c r="F54" s="49"/>
    </row>
    <row r="55" spans="6:6" x14ac:dyDescent="0.2">
      <c r="F55" s="49"/>
    </row>
    <row r="56" spans="6:6" x14ac:dyDescent="0.2">
      <c r="F56" s="49"/>
    </row>
    <row r="57" spans="6:6" x14ac:dyDescent="0.2">
      <c r="F57" s="49"/>
    </row>
    <row r="58" spans="6:6" x14ac:dyDescent="0.2">
      <c r="F58" s="49"/>
    </row>
    <row r="59" spans="6:6" x14ac:dyDescent="0.2">
      <c r="F59" s="49"/>
    </row>
    <row r="60" spans="6:6" x14ac:dyDescent="0.2">
      <c r="F60" s="49"/>
    </row>
    <row r="61" spans="6:6" x14ac:dyDescent="0.2">
      <c r="F61" s="49"/>
    </row>
    <row r="62" spans="6:6" x14ac:dyDescent="0.2">
      <c r="F62" s="50"/>
    </row>
    <row r="63" spans="6:6" x14ac:dyDescent="0.2">
      <c r="F63" s="50"/>
    </row>
    <row r="64" spans="6:6" x14ac:dyDescent="0.2">
      <c r="F64" s="50"/>
    </row>
    <row r="65" spans="6:6" x14ac:dyDescent="0.2">
      <c r="F65" s="50"/>
    </row>
  </sheetData>
  <phoneticPr fontId="4" type="noConversion"/>
  <conditionalFormatting sqref="Q5:Q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disablePrompts="1" count="2">
    <dataValidation type="list" allowBlank="1" showInputMessage="1" showErrorMessage="1" sqref="F45:F52">
      <formula1>"FirstDerivative,SecondDerivative,Lagrange,NotAKnot,Periodic"</formula1>
    </dataValidation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63"/>
  <sheetViews>
    <sheetView workbookViewId="0">
      <selection activeCell="Q3" sqref="Q3"/>
    </sheetView>
  </sheetViews>
  <sheetFormatPr defaultRowHeight="11.25" x14ac:dyDescent="0.2"/>
  <cols>
    <col min="1" max="1" width="4" style="44" bestFit="1" customWidth="1"/>
    <col min="2" max="2" width="3.85546875" style="44" bestFit="1" customWidth="1"/>
    <col min="3" max="4" width="2.7109375" style="44" bestFit="1" customWidth="1"/>
    <col min="5" max="5" width="10.28515625" style="44" bestFit="1" customWidth="1"/>
    <col min="6" max="6" width="15.5703125" style="44" bestFit="1" customWidth="1"/>
    <col min="7" max="7" width="8.5703125" style="44" customWidth="1"/>
    <col min="8" max="8" width="5.28515625" style="44" customWidth="1"/>
    <col min="9" max="9" width="9" style="44" bestFit="1" customWidth="1"/>
    <col min="10" max="10" width="5.7109375" style="44" bestFit="1" customWidth="1"/>
    <col min="11" max="11" width="5.28515625" style="44" bestFit="1" customWidth="1"/>
    <col min="12" max="12" width="5" style="44" customWidth="1"/>
    <col min="13" max="13" width="5.28515625" style="44" bestFit="1" customWidth="1"/>
    <col min="14" max="14" width="5" style="44" customWidth="1"/>
    <col min="15" max="15" width="15.42578125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9" style="44" bestFit="1" customWidth="1"/>
    <col min="21" max="21" width="4.140625" style="44" bestFit="1" customWidth="1"/>
    <col min="22" max="22" width="9.5703125" style="44" bestFit="1" customWidth="1"/>
    <col min="23" max="23" width="3.85546875" style="44" bestFit="1" customWidth="1"/>
    <col min="24" max="24" width="7.7109375" style="44" bestFit="1" customWidth="1"/>
    <col min="25" max="16384" width="9.140625" style="44"/>
  </cols>
  <sheetData>
    <row r="1" spans="1:24" x14ac:dyDescent="0.2">
      <c r="A1" s="27"/>
      <c r="B1" s="3"/>
      <c r="C1" s="3"/>
      <c r="D1" s="3"/>
      <c r="E1" s="3"/>
      <c r="F1" s="3" t="s">
        <v>179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x14ac:dyDescent="0.2">
      <c r="A2" s="5"/>
      <c r="B2" s="7"/>
      <c r="C2" s="6"/>
      <c r="D2" s="6"/>
      <c r="E2" s="6"/>
      <c r="F2" s="117" t="str">
        <f>Swap3M!Contributor</f>
        <v>ICAP</v>
      </c>
      <c r="G2" s="6"/>
      <c r="H2" s="6"/>
      <c r="I2" s="6"/>
      <c r="J2" s="6"/>
      <c r="K2" s="7"/>
      <c r="L2" s="6"/>
      <c r="M2" s="6"/>
      <c r="N2" s="6"/>
      <c r="O2" s="116" t="s">
        <v>79</v>
      </c>
      <c r="P2" s="117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 t="str">
        <f>_xll.qlInterpolation(,InterpolationType,_xll.ohFilter(A5:A42,J5:J42),_xll.ohFilter(I5:I42,J5:J42))</f>
        <v>obj_0008d#0004</v>
      </c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_xll.ohTrigger(Q5:Q42)</f>
        <v>13</v>
      </c>
      <c r="R3" s="10"/>
    </row>
    <row r="4" spans="1:24" ht="23.25" thickBot="1" x14ac:dyDescent="0.25">
      <c r="A4" s="9"/>
      <c r="B4" s="83"/>
      <c r="C4" s="84"/>
      <c r="D4" s="84"/>
      <c r="E4" s="84"/>
      <c r="F4" s="85" t="str">
        <f>_xll.RData(F5:F42,G4:H4,"RTFEED:IDN",ReutersRtMode,,G5)</f>
        <v>Updated at 20:17:02</v>
      </c>
      <c r="G4" s="86" t="s">
        <v>0</v>
      </c>
      <c r="H4" s="86" t="s">
        <v>1</v>
      </c>
      <c r="I4" s="86" t="s">
        <v>27</v>
      </c>
      <c r="J4" s="86"/>
      <c r="K4" s="87" t="s">
        <v>101</v>
      </c>
      <c r="L4" s="6"/>
      <c r="M4" s="90" t="s">
        <v>115</v>
      </c>
      <c r="N4" s="6"/>
      <c r="O4" s="91" t="s">
        <v>31</v>
      </c>
      <c r="P4" s="92" t="s">
        <v>17</v>
      </c>
      <c r="Q4" s="93" t="s">
        <v>24</v>
      </c>
      <c r="R4" s="10"/>
      <c r="X4" s="246" t="s">
        <v>153</v>
      </c>
    </row>
    <row r="5" spans="1:24" x14ac:dyDescent="0.2">
      <c r="A5" s="248">
        <v>0.5</v>
      </c>
      <c r="B5" s="76" t="s">
        <v>93</v>
      </c>
      <c r="C5" s="42" t="str">
        <f t="array" ref="C5:C42">VLOOKUP(Currency,Conventions,2)</f>
        <v>6L</v>
      </c>
      <c r="D5" s="42" t="str">
        <f t="array" ref="D5:D42">VLOOKUP(Currency,Conventions,3)</f>
        <v>3L</v>
      </c>
      <c r="E5" s="43" t="str">
        <f t="shared" ref="E5:E42" si="0">Currency&amp;$C5&amp;$D5&amp;$B5</f>
        <v>USD6L3L6M</v>
      </c>
      <c r="F5" s="26" t="str">
        <f t="array" ref="F5:F42">IF(UPPER(Contributor)="ICAP",Currency&amp;C5:C42&amp;D5:D42&amp;B5:B42,Currency&amp;D5:D42&amp;C5:C42&amp;B5:B42)&amp;"="&amp;VLOOKUP(Contributor,ContributorTable,2,FALSE)</f>
        <v>USD6L3L6M=ICAP</v>
      </c>
      <c r="G5" s="52">
        <v>10.3</v>
      </c>
      <c r="H5" s="52">
        <v>0</v>
      </c>
      <c r="I5" s="52">
        <f>_xll.qlMidEquivalent(G5,H5)</f>
        <v>10.3</v>
      </c>
      <c r="J5" s="15" t="b">
        <f>IF(ISNUMBER(I5),TRUE,FALSE)</f>
        <v>1</v>
      </c>
      <c r="K5" s="107">
        <f t="array" ref="K5:K38">_xll.qlInterpolationInterpolate(F3,A5:A42)</f>
        <v>10.3</v>
      </c>
      <c r="L5" s="6"/>
      <c r="M5" s="114">
        <v>10.4</v>
      </c>
      <c r="N5" s="6"/>
      <c r="O5" s="97" t="str">
        <f>$E5&amp;$P$2</f>
        <v>USD6L3L6M_Quote</v>
      </c>
      <c r="P5" s="51">
        <f t="array" ref="P5:P42">QuoteLive</f>
        <v>10.3</v>
      </c>
      <c r="Q5" s="98">
        <f>_xll.qlSimpleQuoteSetValue($O5,$P5/10000,Trigger)</f>
        <v>-1.0000000000000026E-5</v>
      </c>
      <c r="R5" s="10"/>
      <c r="T5" s="245" t="s">
        <v>124</v>
      </c>
      <c r="U5" s="214" t="s">
        <v>127</v>
      </c>
      <c r="V5" s="215" t="s">
        <v>129</v>
      </c>
      <c r="W5" s="44" t="str">
        <f>B5</f>
        <v>6M</v>
      </c>
      <c r="X5" s="50" t="e">
        <f>((Swap6M!P5-Swap3M!P5)*100-P5)/10000</f>
        <v>#NUM!</v>
      </c>
    </row>
    <row r="6" spans="1:24" x14ac:dyDescent="0.2">
      <c r="A6" s="248">
        <v>1</v>
      </c>
      <c r="B6" s="76" t="s">
        <v>36</v>
      </c>
      <c r="C6" s="42" t="str">
        <v>6L</v>
      </c>
      <c r="D6" s="42" t="str">
        <v>3L</v>
      </c>
      <c r="E6" s="43" t="str">
        <f t="shared" si="0"/>
        <v>USD6L3L1Y</v>
      </c>
      <c r="F6" s="26" t="str">
        <v>USD6L3L1Y=ICAP</v>
      </c>
      <c r="G6" s="52">
        <v>10.199999999999999</v>
      </c>
      <c r="H6" s="52">
        <v>0</v>
      </c>
      <c r="I6" s="52">
        <f>_xll.qlMidEquivalent(G6,H6)</f>
        <v>10.199999999999999</v>
      </c>
      <c r="J6" s="15" t="b">
        <f>IF(ISNUMBER(I6),TRUE,FALSE)</f>
        <v>1</v>
      </c>
      <c r="K6" s="107">
        <v>10.199999999999999</v>
      </c>
      <c r="L6" s="6"/>
      <c r="M6" s="114">
        <v>10.199999999999999</v>
      </c>
      <c r="N6" s="6"/>
      <c r="O6" s="97" t="str">
        <f>$E6&amp;$P$2</f>
        <v>USD6L3L1Y_Quote</v>
      </c>
      <c r="P6" s="51">
        <v>10.199999999999999</v>
      </c>
      <c r="Q6" s="98">
        <f>_xll.qlSimpleQuoteSetValue($O6,$P6/10000,Trigger)</f>
        <v>0</v>
      </c>
      <c r="R6" s="10"/>
      <c r="T6" s="121" t="s">
        <v>15</v>
      </c>
      <c r="U6" s="103" t="s">
        <v>29</v>
      </c>
      <c r="V6" s="104" t="s">
        <v>19</v>
      </c>
      <c r="W6" s="44" t="str">
        <f t="shared" ref="W6:W42" si="1">B6</f>
        <v>1Y</v>
      </c>
      <c r="X6" s="50" t="e">
        <f>((Swap6M!P6-Swap3M!P6)*100-P6)/10000</f>
        <v>#NUM!</v>
      </c>
    </row>
    <row r="7" spans="1:24" x14ac:dyDescent="0.2">
      <c r="A7" s="248">
        <v>1.25</v>
      </c>
      <c r="B7" s="76" t="s">
        <v>37</v>
      </c>
      <c r="C7" s="42" t="str">
        <v>6L</v>
      </c>
      <c r="D7" s="42" t="str">
        <v>3L</v>
      </c>
      <c r="E7" s="43" t="str">
        <f t="shared" si="0"/>
        <v>USD6L3L15M</v>
      </c>
      <c r="F7" s="26" t="str">
        <v>USD6L3L15M=ICAP</v>
      </c>
      <c r="G7" s="52" t="s">
        <v>175</v>
      </c>
      <c r="H7" s="52" t="s">
        <v>175</v>
      </c>
      <c r="I7" s="52" t="e">
        <f>_xll.qlMidEquivalent(G7,H7)</f>
        <v>#NUM!</v>
      </c>
      <c r="J7" s="15" t="b">
        <f>IF(ISNUMBER(I7),TRUE,FALSE)</f>
        <v>0</v>
      </c>
      <c r="K7" s="107">
        <v>10.20593130314503</v>
      </c>
      <c r="L7" s="6"/>
      <c r="M7" s="114">
        <v>10.186508208428252</v>
      </c>
      <c r="N7" s="6"/>
      <c r="O7" s="97" t="str">
        <f>$E7&amp;$P$2</f>
        <v>USD6L3L15M_Quote</v>
      </c>
      <c r="P7" s="51">
        <v>10.20593130314503</v>
      </c>
      <c r="Q7" s="98">
        <f>_xll.qlSimpleQuoteSetValue($O7,$P7/10000,Trigger)</f>
        <v>1.9423094716778874E-6</v>
      </c>
      <c r="R7" s="10"/>
      <c r="T7" s="121" t="s">
        <v>121</v>
      </c>
      <c r="U7" s="103" t="s">
        <v>127</v>
      </c>
      <c r="V7" s="104" t="s">
        <v>129</v>
      </c>
      <c r="W7" s="44" t="str">
        <f t="shared" si="1"/>
        <v>15M</v>
      </c>
      <c r="X7" s="50" t="e">
        <f>((Swap6M!P7-Swap3M!P7)*100-P7)/10000</f>
        <v>#NUM!</v>
      </c>
    </row>
    <row r="8" spans="1:24" x14ac:dyDescent="0.2">
      <c r="A8" s="248">
        <v>1.5</v>
      </c>
      <c r="B8" s="76" t="s">
        <v>38</v>
      </c>
      <c r="C8" s="42" t="str">
        <v>6L</v>
      </c>
      <c r="D8" s="42" t="str">
        <v>3L</v>
      </c>
      <c r="E8" s="43" t="str">
        <f t="shared" si="0"/>
        <v>USD6L3L18M</v>
      </c>
      <c r="F8" s="26" t="str">
        <v>USD6L3L18M=ICAP</v>
      </c>
      <c r="G8" s="52" t="s">
        <v>175</v>
      </c>
      <c r="H8" s="52" t="s">
        <v>175</v>
      </c>
      <c r="I8" s="52" t="e">
        <f>_xll.qlMidEquivalent(G8,H8)</f>
        <v>#NUM!</v>
      </c>
      <c r="J8" s="15" t="b">
        <f>IF(ISNUMBER(I8),TRUE,FALSE)</f>
        <v>0</v>
      </c>
      <c r="K8" s="107">
        <v>10.249362606290063</v>
      </c>
      <c r="L8" s="6"/>
      <c r="M8" s="114">
        <v>10.229266416856504</v>
      </c>
      <c r="N8" s="6"/>
      <c r="O8" s="97" t="str">
        <f t="shared" ref="O8:O42" si="2">$E8&amp;$P$2</f>
        <v>USD6L3L18M_Quote</v>
      </c>
      <c r="P8" s="51">
        <v>10.249362606290063</v>
      </c>
      <c r="Q8" s="98">
        <f>_xll.qlSimpleQuoteSetValue($O8,$P8/10000,Trigger)</f>
        <v>2.0096189433560681E-6</v>
      </c>
      <c r="R8" s="10"/>
      <c r="T8" s="121" t="s">
        <v>123</v>
      </c>
      <c r="U8" s="103" t="s">
        <v>127</v>
      </c>
      <c r="V8" s="104" t="s">
        <v>129</v>
      </c>
      <c r="W8" s="44" t="str">
        <f t="shared" si="1"/>
        <v>18M</v>
      </c>
      <c r="X8" s="50" t="e">
        <f>((Swap6M!P8-Swap3M!P8)*100-P8)/10000</f>
        <v>#NUM!</v>
      </c>
    </row>
    <row r="9" spans="1:24" ht="12" thickBot="1" x14ac:dyDescent="0.25">
      <c r="A9" s="248">
        <v>1.75</v>
      </c>
      <c r="B9" s="76" t="s">
        <v>39</v>
      </c>
      <c r="C9" s="42" t="str">
        <v>6L</v>
      </c>
      <c r="D9" s="42" t="str">
        <v>3L</v>
      </c>
      <c r="E9" s="43" t="str">
        <f t="shared" si="0"/>
        <v>USD6L3L21M</v>
      </c>
      <c r="F9" s="26" t="str">
        <v>USD6L3L21M=ICAP</v>
      </c>
      <c r="G9" s="52" t="s">
        <v>175</v>
      </c>
      <c r="H9" s="52" t="s">
        <v>175</v>
      </c>
      <c r="I9" s="52" t="e">
        <f>_xll.qlMidEquivalent(G9,H9)</f>
        <v>#NUM!</v>
      </c>
      <c r="J9" s="15" t="b">
        <f t="shared" ref="J9:J42" si="3">IF(ISNUMBER(I9),TRUE,FALSE)</f>
        <v>0</v>
      </c>
      <c r="K9" s="107">
        <v>10.318112606290065</v>
      </c>
      <c r="L9" s="6"/>
      <c r="M9" s="114">
        <v>10.307391416856504</v>
      </c>
      <c r="N9" s="6"/>
      <c r="O9" s="97" t="str">
        <f t="shared" si="2"/>
        <v>USD6L3L21M_Quote</v>
      </c>
      <c r="P9" s="51">
        <v>10.318112606290065</v>
      </c>
      <c r="Q9" s="98">
        <f>_xll.qlSimpleQuoteSetValue($O9,$P9/10000,Trigger)</f>
        <v>1.0721189433562147E-6</v>
      </c>
      <c r="R9" s="10"/>
      <c r="T9" s="122" t="s">
        <v>116</v>
      </c>
      <c r="U9" s="105" t="s">
        <v>129</v>
      </c>
      <c r="V9" s="106" t="s">
        <v>127</v>
      </c>
      <c r="W9" s="44" t="str">
        <f t="shared" si="1"/>
        <v>21M</v>
      </c>
      <c r="X9" s="50" t="e">
        <f>((Swap6M!P9-Swap3M!P9)*100-P9)/10000</f>
        <v>#NUM!</v>
      </c>
    </row>
    <row r="10" spans="1:24" x14ac:dyDescent="0.2">
      <c r="A10" s="9">
        <v>2</v>
      </c>
      <c r="B10" s="76" t="s">
        <v>40</v>
      </c>
      <c r="C10" s="42" t="str">
        <v>6L</v>
      </c>
      <c r="D10" s="42" t="str">
        <v>3L</v>
      </c>
      <c r="E10" s="43" t="str">
        <f t="shared" si="0"/>
        <v>USD6L3L2Y</v>
      </c>
      <c r="F10" s="26" t="str">
        <v>USD6L3L2Y=ICAP</v>
      </c>
      <c r="G10" s="52">
        <v>10.4</v>
      </c>
      <c r="H10" s="52">
        <v>0</v>
      </c>
      <c r="I10" s="52">
        <f>_xll.qlMidEquivalent(G10,H10)</f>
        <v>10.4</v>
      </c>
      <c r="J10" s="15" t="b">
        <f t="shared" si="3"/>
        <v>1</v>
      </c>
      <c r="K10" s="107">
        <v>10.4</v>
      </c>
      <c r="L10" s="6"/>
      <c r="M10" s="114">
        <v>10.4</v>
      </c>
      <c r="N10" s="6"/>
      <c r="O10" s="97" t="str">
        <f t="shared" si="2"/>
        <v>USD6L3L2Y_Quote</v>
      </c>
      <c r="P10" s="51">
        <v>10.4</v>
      </c>
      <c r="Q10" s="98">
        <f>_xll.qlSimpleQuoteSetValue($O10,$P10/10000,Trigger)</f>
        <v>0</v>
      </c>
      <c r="R10" s="10"/>
      <c r="W10" s="44" t="str">
        <f t="shared" si="1"/>
        <v>2Y</v>
      </c>
      <c r="X10" s="50" t="e">
        <f>((Swap6M!P10-Swap3M!P10)*100-P10)/10000</f>
        <v>#NUM!</v>
      </c>
    </row>
    <row r="11" spans="1:24" x14ac:dyDescent="0.2">
      <c r="A11" s="9">
        <v>3</v>
      </c>
      <c r="B11" s="76" t="s">
        <v>41</v>
      </c>
      <c r="C11" s="42" t="str">
        <v>6L</v>
      </c>
      <c r="D11" s="42" t="str">
        <v>3L</v>
      </c>
      <c r="E11" s="43" t="str">
        <f t="shared" si="0"/>
        <v>USD6L3L3Y</v>
      </c>
      <c r="F11" s="26" t="str">
        <v>USD6L3L3Y=ICAP</v>
      </c>
      <c r="G11" s="52">
        <v>10.7</v>
      </c>
      <c r="H11" s="52">
        <v>0</v>
      </c>
      <c r="I11" s="52">
        <f>_xll.qlMidEquivalent(G11,H11)</f>
        <v>10.7</v>
      </c>
      <c r="J11" s="15" t="b">
        <f t="shared" si="3"/>
        <v>1</v>
      </c>
      <c r="K11" s="107">
        <v>10.7</v>
      </c>
      <c r="L11" s="6"/>
      <c r="M11" s="114">
        <v>10.7</v>
      </c>
      <c r="N11" s="6"/>
      <c r="O11" s="97" t="str">
        <f t="shared" si="2"/>
        <v>USD6L3L3Y_Quote</v>
      </c>
      <c r="P11" s="51">
        <v>10.7</v>
      </c>
      <c r="Q11" s="98">
        <f>_xll.qlSimpleQuoteSetValue($O11,$P11/10000,Trigger)</f>
        <v>0</v>
      </c>
      <c r="R11" s="10"/>
      <c r="W11" s="44" t="str">
        <f t="shared" si="1"/>
        <v>3Y</v>
      </c>
      <c r="X11" s="50" t="e">
        <f>((Swap6M!P11-Swap3M!P11)*100-P11)/10000</f>
        <v>#NUM!</v>
      </c>
    </row>
    <row r="12" spans="1:24" x14ac:dyDescent="0.2">
      <c r="A12" s="9">
        <v>4</v>
      </c>
      <c r="B12" s="76" t="s">
        <v>42</v>
      </c>
      <c r="C12" s="42" t="str">
        <v>6L</v>
      </c>
      <c r="D12" s="42" t="str">
        <v>3L</v>
      </c>
      <c r="E12" s="43" t="str">
        <f t="shared" si="0"/>
        <v>USD6L3L4Y</v>
      </c>
      <c r="F12" s="26" t="str">
        <v>USD6L3L4Y=ICAP</v>
      </c>
      <c r="G12" s="52">
        <v>10.8</v>
      </c>
      <c r="H12" s="52">
        <v>0</v>
      </c>
      <c r="I12" s="52">
        <f>_xll.qlMidEquivalent(G12,H12)</f>
        <v>10.8</v>
      </c>
      <c r="J12" s="15" t="b">
        <f t="shared" si="3"/>
        <v>1</v>
      </c>
      <c r="K12" s="107">
        <v>10.8</v>
      </c>
      <c r="L12" s="6"/>
      <c r="M12" s="114">
        <v>10.8</v>
      </c>
      <c r="N12" s="6"/>
      <c r="O12" s="97" t="str">
        <f t="shared" si="2"/>
        <v>USD6L3L4Y_Quote</v>
      </c>
      <c r="P12" s="51">
        <v>10.8</v>
      </c>
      <c r="Q12" s="98">
        <f>_xll.qlSimpleQuoteSetValue($O12,$P12/10000,Trigger)</f>
        <v>0</v>
      </c>
      <c r="R12" s="10"/>
      <c r="W12" s="44" t="str">
        <f t="shared" si="1"/>
        <v>4Y</v>
      </c>
      <c r="X12" s="50" t="e">
        <f>((Swap6M!P12-Swap3M!P12)*100-P12)/10000</f>
        <v>#NUM!</v>
      </c>
    </row>
    <row r="13" spans="1:24" x14ac:dyDescent="0.2">
      <c r="A13" s="9">
        <v>5</v>
      </c>
      <c r="B13" s="76" t="s">
        <v>43</v>
      </c>
      <c r="C13" s="42" t="str">
        <v>6L</v>
      </c>
      <c r="D13" s="42" t="str">
        <v>3L</v>
      </c>
      <c r="E13" s="43" t="str">
        <f t="shared" si="0"/>
        <v>USD6L3L5Y</v>
      </c>
      <c r="F13" s="26" t="str">
        <v>USD6L3L5Y=ICAP</v>
      </c>
      <c r="G13" s="52">
        <v>10.8</v>
      </c>
      <c r="H13" s="52">
        <v>0</v>
      </c>
      <c r="I13" s="52">
        <f>_xll.qlMidEquivalent(G13,H13)</f>
        <v>10.8</v>
      </c>
      <c r="J13" s="15" t="b">
        <f t="shared" si="3"/>
        <v>1</v>
      </c>
      <c r="K13" s="107">
        <v>10.8</v>
      </c>
      <c r="L13" s="6"/>
      <c r="M13" s="114">
        <v>10.8</v>
      </c>
      <c r="N13" s="6"/>
      <c r="O13" s="97" t="str">
        <f t="shared" si="2"/>
        <v>USD6L3L5Y_Quote</v>
      </c>
      <c r="P13" s="51">
        <v>10.8</v>
      </c>
      <c r="Q13" s="98">
        <f>_xll.qlSimpleQuoteSetValue($O13,$P13/10000,Trigger)</f>
        <v>0</v>
      </c>
      <c r="R13" s="10"/>
      <c r="W13" s="44" t="str">
        <f t="shared" si="1"/>
        <v>5Y</v>
      </c>
      <c r="X13" s="50" t="e">
        <f>((Swap6M!P13-Swap3M!P13)*100-P13)/10000</f>
        <v>#NUM!</v>
      </c>
    </row>
    <row r="14" spans="1:24" x14ac:dyDescent="0.2">
      <c r="A14" s="9">
        <v>6</v>
      </c>
      <c r="B14" s="76" t="s">
        <v>44</v>
      </c>
      <c r="C14" s="42" t="str">
        <v>6L</v>
      </c>
      <c r="D14" s="42" t="str">
        <v>3L</v>
      </c>
      <c r="E14" s="43" t="str">
        <f t="shared" si="0"/>
        <v>USD6L3L6Y</v>
      </c>
      <c r="F14" s="26" t="str">
        <v>USD6L3L6Y=ICAP</v>
      </c>
      <c r="G14" s="52">
        <v>11</v>
      </c>
      <c r="H14" s="52">
        <v>0</v>
      </c>
      <c r="I14" s="52">
        <f>_xll.qlMidEquivalent(G14,H14)</f>
        <v>11</v>
      </c>
      <c r="J14" s="15" t="b">
        <f t="shared" si="3"/>
        <v>1</v>
      </c>
      <c r="K14" s="107">
        <v>11</v>
      </c>
      <c r="L14" s="6"/>
      <c r="M14" s="114">
        <v>11</v>
      </c>
      <c r="N14" s="6"/>
      <c r="O14" s="97" t="str">
        <f t="shared" si="2"/>
        <v>USD6L3L6Y_Quote</v>
      </c>
      <c r="P14" s="51">
        <v>11</v>
      </c>
      <c r="Q14" s="98">
        <f>_xll.qlSimpleQuoteSetValue($O14,$P14/10000,Trigger)</f>
        <v>0</v>
      </c>
      <c r="R14" s="10"/>
      <c r="W14" s="44" t="str">
        <f t="shared" si="1"/>
        <v>6Y</v>
      </c>
      <c r="X14" s="50" t="e">
        <f>((Swap6M!P14-Swap3M!P14)*100-P14)/10000</f>
        <v>#NUM!</v>
      </c>
    </row>
    <row r="15" spans="1:24" x14ac:dyDescent="0.2">
      <c r="A15" s="9">
        <v>7</v>
      </c>
      <c r="B15" s="76" t="s">
        <v>45</v>
      </c>
      <c r="C15" s="42" t="str">
        <v>6L</v>
      </c>
      <c r="D15" s="42" t="str">
        <v>3L</v>
      </c>
      <c r="E15" s="43" t="str">
        <f t="shared" si="0"/>
        <v>USD6L3L7Y</v>
      </c>
      <c r="F15" s="26" t="str">
        <v>USD6L3L7Y=ICAP</v>
      </c>
      <c r="G15" s="52">
        <v>11.1</v>
      </c>
      <c r="H15" s="52">
        <v>0</v>
      </c>
      <c r="I15" s="52">
        <f>_xll.qlMidEquivalent(G15,H15)</f>
        <v>11.1</v>
      </c>
      <c r="J15" s="15" t="b">
        <f t="shared" si="3"/>
        <v>1</v>
      </c>
      <c r="K15" s="107">
        <v>11.1</v>
      </c>
      <c r="L15" s="6"/>
      <c r="M15" s="114">
        <v>11.1</v>
      </c>
      <c r="N15" s="6"/>
      <c r="O15" s="97" t="str">
        <f t="shared" si="2"/>
        <v>USD6L3L7Y_Quote</v>
      </c>
      <c r="P15" s="51">
        <v>11.1</v>
      </c>
      <c r="Q15" s="98">
        <f>_xll.qlSimpleQuoteSetValue($O15,$P15/10000,Trigger)</f>
        <v>0</v>
      </c>
      <c r="R15" s="10"/>
      <c r="W15" s="44" t="str">
        <f t="shared" si="1"/>
        <v>7Y</v>
      </c>
      <c r="X15" s="50" t="e">
        <f>((Swap6M!P15-Swap3M!P15)*100-P15)/10000</f>
        <v>#NUM!</v>
      </c>
    </row>
    <row r="16" spans="1:24" x14ac:dyDescent="0.2">
      <c r="A16" s="9">
        <v>8</v>
      </c>
      <c r="B16" s="76" t="s">
        <v>46</v>
      </c>
      <c r="C16" s="42" t="str">
        <v>6L</v>
      </c>
      <c r="D16" s="42" t="str">
        <v>3L</v>
      </c>
      <c r="E16" s="43" t="str">
        <f t="shared" si="0"/>
        <v>USD6L3L8Y</v>
      </c>
      <c r="F16" s="26" t="str">
        <v>USD6L3L8Y=ICAP</v>
      </c>
      <c r="G16" s="52">
        <v>11.2</v>
      </c>
      <c r="H16" s="52">
        <v>0</v>
      </c>
      <c r="I16" s="52">
        <f>_xll.qlMidEquivalent(G16,H16)</f>
        <v>11.2</v>
      </c>
      <c r="J16" s="15" t="b">
        <f t="shared" si="3"/>
        <v>1</v>
      </c>
      <c r="K16" s="107">
        <v>11.2</v>
      </c>
      <c r="L16" s="6"/>
      <c r="M16" s="114">
        <v>11.2</v>
      </c>
      <c r="N16" s="6"/>
      <c r="O16" s="97" t="str">
        <f t="shared" si="2"/>
        <v>USD6L3L8Y_Quote</v>
      </c>
      <c r="P16" s="51">
        <v>11.2</v>
      </c>
      <c r="Q16" s="98">
        <f>_xll.qlSimpleQuoteSetValue($O16,$P16/10000,Trigger)</f>
        <v>0</v>
      </c>
      <c r="R16" s="10"/>
      <c r="W16" s="44" t="str">
        <f t="shared" si="1"/>
        <v>8Y</v>
      </c>
      <c r="X16" s="50" t="e">
        <f>((Swap6M!P16-Swap3M!P16)*100-P16)/10000</f>
        <v>#NUM!</v>
      </c>
    </row>
    <row r="17" spans="1:24" x14ac:dyDescent="0.2">
      <c r="A17" s="9">
        <v>9</v>
      </c>
      <c r="B17" s="76" t="s">
        <v>47</v>
      </c>
      <c r="C17" s="42" t="str">
        <v>6L</v>
      </c>
      <c r="D17" s="42" t="str">
        <v>3L</v>
      </c>
      <c r="E17" s="43" t="str">
        <f t="shared" si="0"/>
        <v>USD6L3L9Y</v>
      </c>
      <c r="F17" s="26" t="str">
        <v>USD6L3L9Y=ICAP</v>
      </c>
      <c r="G17" s="52">
        <v>11.2</v>
      </c>
      <c r="H17" s="52">
        <v>0</v>
      </c>
      <c r="I17" s="52">
        <f>_xll.qlMidEquivalent(G17,H17)</f>
        <v>11.2</v>
      </c>
      <c r="J17" s="15" t="b">
        <f t="shared" si="3"/>
        <v>1</v>
      </c>
      <c r="K17" s="107">
        <v>11.2</v>
      </c>
      <c r="L17" s="6"/>
      <c r="M17" s="114">
        <v>11.2</v>
      </c>
      <c r="N17" s="6"/>
      <c r="O17" s="97" t="str">
        <f t="shared" si="2"/>
        <v>USD6L3L9Y_Quote</v>
      </c>
      <c r="P17" s="51">
        <v>11.2</v>
      </c>
      <c r="Q17" s="98">
        <f>_xll.qlSimpleQuoteSetValue($O17,$P17/10000,Trigger)</f>
        <v>0</v>
      </c>
      <c r="R17" s="10"/>
      <c r="W17" s="44" t="str">
        <f t="shared" si="1"/>
        <v>9Y</v>
      </c>
      <c r="X17" s="50" t="e">
        <f>((Swap6M!P17-Swap3M!P17)*100-P17)/10000</f>
        <v>#NUM!</v>
      </c>
    </row>
    <row r="18" spans="1:24" x14ac:dyDescent="0.2">
      <c r="A18" s="9">
        <v>10</v>
      </c>
      <c r="B18" s="76" t="s">
        <v>48</v>
      </c>
      <c r="C18" s="42" t="str">
        <v>6L</v>
      </c>
      <c r="D18" s="42" t="str">
        <v>3L</v>
      </c>
      <c r="E18" s="43" t="str">
        <f t="shared" si="0"/>
        <v>USD6L3L10Y</v>
      </c>
      <c r="F18" s="26" t="str">
        <v>USD6L3L10Y=ICAP</v>
      </c>
      <c r="G18" s="52">
        <v>11.3</v>
      </c>
      <c r="H18" s="52">
        <v>0</v>
      </c>
      <c r="I18" s="52">
        <f>_xll.qlMidEquivalent(G18,H18)</f>
        <v>11.3</v>
      </c>
      <c r="J18" s="15" t="b">
        <f t="shared" si="3"/>
        <v>1</v>
      </c>
      <c r="K18" s="107">
        <v>11.3</v>
      </c>
      <c r="L18" s="6"/>
      <c r="M18" s="114">
        <v>11.3</v>
      </c>
      <c r="N18" s="6"/>
      <c r="O18" s="97" t="str">
        <f t="shared" si="2"/>
        <v>USD6L3L10Y_Quote</v>
      </c>
      <c r="P18" s="51">
        <v>11.3</v>
      </c>
      <c r="Q18" s="98">
        <f>_xll.qlSimpleQuoteSetValue($O18,$P18/10000,Trigger)</f>
        <v>0</v>
      </c>
      <c r="R18" s="10"/>
      <c r="W18" s="44" t="str">
        <f t="shared" si="1"/>
        <v>10Y</v>
      </c>
      <c r="X18" s="50" t="e">
        <f>((Swap6M!P18-Swap3M!P18)*100-P18)/10000</f>
        <v>#NUM!</v>
      </c>
    </row>
    <row r="19" spans="1:24" x14ac:dyDescent="0.2">
      <c r="A19" s="9">
        <v>11</v>
      </c>
      <c r="B19" s="76" t="s">
        <v>49</v>
      </c>
      <c r="C19" s="42" t="str">
        <v>6L</v>
      </c>
      <c r="D19" s="42" t="str">
        <v>3L</v>
      </c>
      <c r="E19" s="43" t="str">
        <f t="shared" si="0"/>
        <v>USD6L3L11Y</v>
      </c>
      <c r="F19" s="26" t="str">
        <v>USD6L3L11Y=ICAP</v>
      </c>
      <c r="G19" s="52" t="s">
        <v>175</v>
      </c>
      <c r="H19" s="52" t="s">
        <v>175</v>
      </c>
      <c r="I19" s="52" t="e">
        <f>_xll.qlMidEquivalent(G19,H19)</f>
        <v>#NUM!</v>
      </c>
      <c r="J19" s="15" t="b">
        <f t="shared" si="3"/>
        <v>0</v>
      </c>
      <c r="K19" s="107">
        <v>11.3</v>
      </c>
      <c r="L19" s="6"/>
      <c r="M19" s="114">
        <v>11.3</v>
      </c>
      <c r="N19" s="6"/>
      <c r="O19" s="97" t="str">
        <f t="shared" si="2"/>
        <v>USD6L3L11Y_Quote</v>
      </c>
      <c r="P19" s="51">
        <v>11.3</v>
      </c>
      <c r="Q19" s="98">
        <f>_xll.qlSimpleQuoteSetValue($O19,$P19/10000,Trigger)</f>
        <v>0</v>
      </c>
      <c r="R19" s="10"/>
      <c r="W19" s="44" t="str">
        <f t="shared" si="1"/>
        <v>11Y</v>
      </c>
      <c r="X19" s="50" t="e">
        <f>((Swap6M!P19-Swap3M!P19)*100-P19)/10000</f>
        <v>#NUM!</v>
      </c>
    </row>
    <row r="20" spans="1:24" x14ac:dyDescent="0.2">
      <c r="A20" s="9">
        <v>12</v>
      </c>
      <c r="B20" s="76" t="s">
        <v>50</v>
      </c>
      <c r="C20" s="42" t="str">
        <v>6L</v>
      </c>
      <c r="D20" s="42" t="str">
        <v>3L</v>
      </c>
      <c r="E20" s="43" t="str">
        <f t="shared" si="0"/>
        <v>USD6L3L12Y</v>
      </c>
      <c r="F20" s="26" t="str">
        <v>USD6L3L12Y=ICAP</v>
      </c>
      <c r="G20" s="52">
        <v>11.3</v>
      </c>
      <c r="H20" s="52">
        <v>0</v>
      </c>
      <c r="I20" s="52">
        <f>_xll.qlMidEquivalent(G20,H20)</f>
        <v>11.3</v>
      </c>
      <c r="J20" s="15" t="b">
        <f t="shared" si="3"/>
        <v>1</v>
      </c>
      <c r="K20" s="107">
        <v>11.3</v>
      </c>
      <c r="L20" s="6"/>
      <c r="M20" s="114">
        <v>11.3</v>
      </c>
      <c r="N20" s="6"/>
      <c r="O20" s="97" t="str">
        <f t="shared" si="2"/>
        <v>USD6L3L12Y_Quote</v>
      </c>
      <c r="P20" s="51">
        <v>11.3</v>
      </c>
      <c r="Q20" s="98">
        <f>_xll.qlSimpleQuoteSetValue($O20,$P20/10000,Trigger)</f>
        <v>0</v>
      </c>
      <c r="R20" s="10"/>
      <c r="W20" s="44" t="str">
        <f t="shared" si="1"/>
        <v>12Y</v>
      </c>
      <c r="X20" s="50" t="e">
        <f>((Swap6M!P20-Swap3M!P20)*100-P20)/10000</f>
        <v>#NUM!</v>
      </c>
    </row>
    <row r="21" spans="1:24" x14ac:dyDescent="0.2">
      <c r="A21" s="9">
        <v>13</v>
      </c>
      <c r="B21" s="76" t="s">
        <v>51</v>
      </c>
      <c r="C21" s="42" t="str">
        <v>6L</v>
      </c>
      <c r="D21" s="42" t="str">
        <v>3L</v>
      </c>
      <c r="E21" s="43" t="str">
        <f t="shared" si="0"/>
        <v>USD6L3L13Y</v>
      </c>
      <c r="F21" s="26" t="str">
        <v>USD6L3L13Y=ICAP</v>
      </c>
      <c r="G21" s="52" t="s">
        <v>175</v>
      </c>
      <c r="H21" s="52" t="s">
        <v>175</v>
      </c>
      <c r="I21" s="52" t="e">
        <f>_xll.qlMidEquivalent(G21,H21)</f>
        <v>#NUM!</v>
      </c>
      <c r="J21" s="15" t="b">
        <f t="shared" si="3"/>
        <v>0</v>
      </c>
      <c r="K21" s="107">
        <v>11.325925925925926</v>
      </c>
      <c r="L21" s="6"/>
      <c r="M21" s="114">
        <v>11.325925925925926</v>
      </c>
      <c r="N21" s="6"/>
      <c r="O21" s="97" t="str">
        <f t="shared" si="2"/>
        <v>USD6L3L13Y_Quote</v>
      </c>
      <c r="P21" s="51">
        <v>11.325925925925926</v>
      </c>
      <c r="Q21" s="98">
        <f>_xll.qlSimpleQuoteSetValue($O21,$P21/10000,Trigger)</f>
        <v>0</v>
      </c>
      <c r="R21" s="10"/>
      <c r="W21" s="44" t="str">
        <f t="shared" si="1"/>
        <v>13Y</v>
      </c>
      <c r="X21" s="50" t="e">
        <f>((Swap6M!P21-Swap3M!P21)*100-P21)/10000</f>
        <v>#NUM!</v>
      </c>
    </row>
    <row r="22" spans="1:24" x14ac:dyDescent="0.2">
      <c r="A22" s="9">
        <v>14</v>
      </c>
      <c r="B22" s="76" t="s">
        <v>52</v>
      </c>
      <c r="C22" s="42" t="str">
        <v>6L</v>
      </c>
      <c r="D22" s="42" t="str">
        <v>3L</v>
      </c>
      <c r="E22" s="43" t="str">
        <f t="shared" si="0"/>
        <v>USD6L3L14Y</v>
      </c>
      <c r="F22" s="26" t="str">
        <v>USD6L3L14Y=ICAP</v>
      </c>
      <c r="G22" s="52" t="s">
        <v>175</v>
      </c>
      <c r="H22" s="52" t="s">
        <v>175</v>
      </c>
      <c r="I22" s="52" t="e">
        <f>_xll.qlMidEquivalent(G22,H22)</f>
        <v>#NUM!</v>
      </c>
      <c r="J22" s="15" t="b">
        <f t="shared" si="3"/>
        <v>0</v>
      </c>
      <c r="K22" s="107">
        <v>11.374074074074075</v>
      </c>
      <c r="L22" s="6"/>
      <c r="M22" s="114">
        <v>11.374074074074075</v>
      </c>
      <c r="N22" s="6"/>
      <c r="O22" s="97" t="str">
        <f t="shared" si="2"/>
        <v>USD6L3L14Y_Quote</v>
      </c>
      <c r="P22" s="51">
        <v>11.374074074074075</v>
      </c>
      <c r="Q22" s="98">
        <f>_xll.qlSimpleQuoteSetValue($O22,$P22/10000,Trigger)</f>
        <v>0</v>
      </c>
      <c r="R22" s="10"/>
      <c r="W22" s="44" t="str">
        <f t="shared" si="1"/>
        <v>14Y</v>
      </c>
      <c r="X22" s="50" t="e">
        <f>((Swap6M!P22-Swap3M!P22)*100-P22)/10000</f>
        <v>#NUM!</v>
      </c>
    </row>
    <row r="23" spans="1:24" x14ac:dyDescent="0.2">
      <c r="A23" s="9">
        <v>15</v>
      </c>
      <c r="B23" s="76" t="s">
        <v>53</v>
      </c>
      <c r="C23" s="42" t="str">
        <v>6L</v>
      </c>
      <c r="D23" s="42" t="str">
        <v>3L</v>
      </c>
      <c r="E23" s="43" t="str">
        <f t="shared" si="0"/>
        <v>USD6L3L15Y</v>
      </c>
      <c r="F23" s="26" t="str">
        <v>USD6L3L15Y=ICAP</v>
      </c>
      <c r="G23" s="52">
        <v>11.4</v>
      </c>
      <c r="H23" s="52">
        <v>0</v>
      </c>
      <c r="I23" s="52">
        <f>_xll.qlMidEquivalent(G23,H23)</f>
        <v>11.4</v>
      </c>
      <c r="J23" s="15" t="b">
        <f t="shared" si="3"/>
        <v>1</v>
      </c>
      <c r="K23" s="107">
        <v>11.4</v>
      </c>
      <c r="L23" s="6"/>
      <c r="M23" s="114">
        <v>11.4</v>
      </c>
      <c r="N23" s="6"/>
      <c r="O23" s="97" t="str">
        <f t="shared" si="2"/>
        <v>USD6L3L15Y_Quote</v>
      </c>
      <c r="P23" s="51">
        <v>11.4</v>
      </c>
      <c r="Q23" s="98">
        <f>_xll.qlSimpleQuoteSetValue($O23,$P23/10000,Trigger)</f>
        <v>0</v>
      </c>
      <c r="R23" s="10"/>
      <c r="W23" s="44" t="str">
        <f t="shared" si="1"/>
        <v>15Y</v>
      </c>
      <c r="X23" s="50" t="e">
        <f>((Swap6M!P23-Swap3M!P23)*100-P23)/10000</f>
        <v>#NUM!</v>
      </c>
    </row>
    <row r="24" spans="1:24" x14ac:dyDescent="0.2">
      <c r="A24" s="9">
        <v>16</v>
      </c>
      <c r="B24" s="76" t="s">
        <v>54</v>
      </c>
      <c r="C24" s="42" t="str">
        <v>6L</v>
      </c>
      <c r="D24" s="42" t="str">
        <v>3L</v>
      </c>
      <c r="E24" s="43" t="str">
        <f t="shared" si="0"/>
        <v>USD6L3L16Y</v>
      </c>
      <c r="F24" s="26" t="str">
        <v>USD6L3L16Y=ICAP</v>
      </c>
      <c r="G24" s="52" t="s">
        <v>175</v>
      </c>
      <c r="H24" s="52" t="s">
        <v>175</v>
      </c>
      <c r="I24" s="52" t="e">
        <f>_xll.qlMidEquivalent(G24,H24)</f>
        <v>#NUM!</v>
      </c>
      <c r="J24" s="15" t="b">
        <f t="shared" si="3"/>
        <v>0</v>
      </c>
      <c r="K24" s="107">
        <v>11.4</v>
      </c>
      <c r="L24" s="6"/>
      <c r="M24" s="114">
        <v>11.4</v>
      </c>
      <c r="N24" s="6"/>
      <c r="O24" s="97" t="str">
        <f t="shared" si="2"/>
        <v>USD6L3L16Y_Quote</v>
      </c>
      <c r="P24" s="51">
        <v>11.4</v>
      </c>
      <c r="Q24" s="98">
        <f>_xll.qlSimpleQuoteSetValue($O24,$P24/10000,Trigger)</f>
        <v>0</v>
      </c>
      <c r="R24" s="10"/>
      <c r="W24" s="44" t="str">
        <f t="shared" si="1"/>
        <v>16Y</v>
      </c>
      <c r="X24" s="50" t="e">
        <f>((Swap6M!P24-Swap3M!P24)*100-P24)/10000</f>
        <v>#NUM!</v>
      </c>
    </row>
    <row r="25" spans="1:24" x14ac:dyDescent="0.2">
      <c r="A25" s="9">
        <v>17</v>
      </c>
      <c r="B25" s="76" t="s">
        <v>55</v>
      </c>
      <c r="C25" s="42" t="str">
        <v>6L</v>
      </c>
      <c r="D25" s="42" t="str">
        <v>3L</v>
      </c>
      <c r="E25" s="43" t="str">
        <f t="shared" si="0"/>
        <v>USD6L3L17Y</v>
      </c>
      <c r="F25" s="26" t="str">
        <v>USD6L3L17Y=ICAP</v>
      </c>
      <c r="G25" s="52" t="s">
        <v>175</v>
      </c>
      <c r="H25" s="52" t="s">
        <v>175</v>
      </c>
      <c r="I25" s="52" t="e">
        <f>_xll.qlMidEquivalent(G25,H25)</f>
        <v>#NUM!</v>
      </c>
      <c r="J25" s="15" t="b">
        <f t="shared" si="3"/>
        <v>0</v>
      </c>
      <c r="K25" s="107">
        <v>11.4</v>
      </c>
      <c r="L25" s="6"/>
      <c r="M25" s="114">
        <v>11.4</v>
      </c>
      <c r="N25" s="6"/>
      <c r="O25" s="97" t="str">
        <f t="shared" si="2"/>
        <v>USD6L3L17Y_Quote</v>
      </c>
      <c r="P25" s="51">
        <v>11.4</v>
      </c>
      <c r="Q25" s="98">
        <f>_xll.qlSimpleQuoteSetValue($O25,$P25/10000,Trigger)</f>
        <v>0</v>
      </c>
      <c r="R25" s="10"/>
      <c r="W25" s="44" t="str">
        <f t="shared" si="1"/>
        <v>17Y</v>
      </c>
      <c r="X25" s="50" t="e">
        <f>((Swap6M!P25-Swap3M!P25)*100-P25)/10000</f>
        <v>#NUM!</v>
      </c>
    </row>
    <row r="26" spans="1:24" x14ac:dyDescent="0.2">
      <c r="A26" s="9">
        <v>18</v>
      </c>
      <c r="B26" s="76" t="s">
        <v>56</v>
      </c>
      <c r="C26" s="42" t="str">
        <v>6L</v>
      </c>
      <c r="D26" s="42" t="str">
        <v>3L</v>
      </c>
      <c r="E26" s="43" t="str">
        <f t="shared" si="0"/>
        <v>USD6L3L18Y</v>
      </c>
      <c r="F26" s="26" t="str">
        <v>USD6L3L18Y=ICAP</v>
      </c>
      <c r="G26" s="52" t="s">
        <v>175</v>
      </c>
      <c r="H26" s="52" t="s">
        <v>175</v>
      </c>
      <c r="I26" s="52" t="e">
        <f>_xll.qlMidEquivalent(G26,H26)</f>
        <v>#NUM!</v>
      </c>
      <c r="J26" s="15" t="b">
        <f t="shared" si="3"/>
        <v>0</v>
      </c>
      <c r="K26" s="107">
        <v>11.4</v>
      </c>
      <c r="L26" s="6"/>
      <c r="M26" s="114">
        <v>11.4</v>
      </c>
      <c r="N26" s="6"/>
      <c r="O26" s="97" t="str">
        <f t="shared" si="2"/>
        <v>USD6L3L18Y_Quote</v>
      </c>
      <c r="P26" s="51">
        <v>11.4</v>
      </c>
      <c r="Q26" s="98">
        <f>_xll.qlSimpleQuoteSetValue($O26,$P26/10000,Trigger)</f>
        <v>0</v>
      </c>
      <c r="R26" s="10"/>
      <c r="W26" s="44" t="str">
        <f t="shared" si="1"/>
        <v>18Y</v>
      </c>
      <c r="X26" s="50" t="e">
        <f>((Swap6M!P26-Swap3M!P26)*100-P26)/10000</f>
        <v>#NUM!</v>
      </c>
    </row>
    <row r="27" spans="1:24" x14ac:dyDescent="0.2">
      <c r="A27" s="9">
        <v>19</v>
      </c>
      <c r="B27" s="76" t="s">
        <v>57</v>
      </c>
      <c r="C27" s="42" t="str">
        <v>6L</v>
      </c>
      <c r="D27" s="42" t="str">
        <v>3L</v>
      </c>
      <c r="E27" s="43" t="str">
        <f t="shared" si="0"/>
        <v>USD6L3L19Y</v>
      </c>
      <c r="F27" s="26" t="str">
        <v>USD6L3L19Y=ICAP</v>
      </c>
      <c r="G27" s="52" t="s">
        <v>175</v>
      </c>
      <c r="H27" s="52" t="s">
        <v>175</v>
      </c>
      <c r="I27" s="52" t="e">
        <f>_xll.qlMidEquivalent(G27,H27)</f>
        <v>#NUM!</v>
      </c>
      <c r="J27" s="15" t="b">
        <f t="shared" si="3"/>
        <v>0</v>
      </c>
      <c r="K27" s="107">
        <v>11.4</v>
      </c>
      <c r="L27" s="6"/>
      <c r="M27" s="114">
        <v>11.4</v>
      </c>
      <c r="N27" s="6"/>
      <c r="O27" s="97" t="str">
        <f t="shared" si="2"/>
        <v>USD6L3L19Y_Quote</v>
      </c>
      <c r="P27" s="51">
        <v>11.4</v>
      </c>
      <c r="Q27" s="98">
        <f>_xll.qlSimpleQuoteSetValue($O27,$P27/10000,Trigger)</f>
        <v>0</v>
      </c>
      <c r="R27" s="10"/>
      <c r="W27" s="44" t="str">
        <f t="shared" si="1"/>
        <v>19Y</v>
      </c>
      <c r="X27" s="50" t="e">
        <f>((Swap6M!P27-Swap3M!P27)*100-P27)/10000</f>
        <v>#NUM!</v>
      </c>
    </row>
    <row r="28" spans="1:24" x14ac:dyDescent="0.2">
      <c r="A28" s="9">
        <v>20</v>
      </c>
      <c r="B28" s="76" t="s">
        <v>58</v>
      </c>
      <c r="C28" s="42" t="str">
        <v>6L</v>
      </c>
      <c r="D28" s="42" t="str">
        <v>3L</v>
      </c>
      <c r="E28" s="43" t="str">
        <f t="shared" si="0"/>
        <v>USD6L3L20Y</v>
      </c>
      <c r="F28" s="26" t="str">
        <v>USD6L3L20Y=ICAP</v>
      </c>
      <c r="G28" s="52">
        <v>11.4</v>
      </c>
      <c r="H28" s="52">
        <v>0</v>
      </c>
      <c r="I28" s="52">
        <f>_xll.qlMidEquivalent(G28,H28)</f>
        <v>11.4</v>
      </c>
      <c r="J28" s="15" t="b">
        <f t="shared" si="3"/>
        <v>1</v>
      </c>
      <c r="K28" s="107">
        <v>11.4</v>
      </c>
      <c r="L28" s="6"/>
      <c r="M28" s="114">
        <v>11.4</v>
      </c>
      <c r="N28" s="6"/>
      <c r="O28" s="97" t="str">
        <f t="shared" si="2"/>
        <v>USD6L3L20Y_Quote</v>
      </c>
      <c r="P28" s="51">
        <v>11.4</v>
      </c>
      <c r="Q28" s="98">
        <f>_xll.qlSimpleQuoteSetValue($O28,$P28/10000,Trigger)</f>
        <v>0</v>
      </c>
      <c r="R28" s="10"/>
      <c r="W28" s="44" t="str">
        <f t="shared" si="1"/>
        <v>20Y</v>
      </c>
      <c r="X28" s="50" t="e">
        <f>((Swap6M!P28-Swap3M!P28)*100-P28)/10000</f>
        <v>#NUM!</v>
      </c>
    </row>
    <row r="29" spans="1:24" x14ac:dyDescent="0.2">
      <c r="A29" s="9">
        <v>21</v>
      </c>
      <c r="B29" s="76" t="s">
        <v>59</v>
      </c>
      <c r="C29" s="42" t="str">
        <v>6L</v>
      </c>
      <c r="D29" s="42" t="str">
        <v>3L</v>
      </c>
      <c r="E29" s="43" t="str">
        <f t="shared" si="0"/>
        <v>USD6L3L21Y</v>
      </c>
      <c r="F29" s="26" t="str">
        <v>USD6L3L21Y=ICAP</v>
      </c>
      <c r="G29" s="52" t="s">
        <v>175</v>
      </c>
      <c r="H29" s="52" t="s">
        <v>175</v>
      </c>
      <c r="I29" s="52" t="e">
        <f>_xll.qlMidEquivalent(G29,H29)</f>
        <v>#NUM!</v>
      </c>
      <c r="J29" s="15" t="b">
        <f t="shared" si="3"/>
        <v>0</v>
      </c>
      <c r="K29" s="107">
        <v>11.4</v>
      </c>
      <c r="L29" s="6"/>
      <c r="M29" s="114">
        <v>11.4</v>
      </c>
      <c r="N29" s="6"/>
      <c r="O29" s="97" t="str">
        <f t="shared" si="2"/>
        <v>USD6L3L21Y_Quote</v>
      </c>
      <c r="P29" s="51">
        <v>11.4</v>
      </c>
      <c r="Q29" s="98">
        <f>_xll.qlSimpleQuoteSetValue($O29,$P29/10000,Trigger)</f>
        <v>0</v>
      </c>
      <c r="R29" s="10"/>
      <c r="W29" s="44" t="str">
        <f t="shared" si="1"/>
        <v>21Y</v>
      </c>
      <c r="X29" s="50" t="e">
        <f>((Swap6M!P29-Swap3M!P29)*100-P29)/10000</f>
        <v>#NUM!</v>
      </c>
    </row>
    <row r="30" spans="1:24" x14ac:dyDescent="0.2">
      <c r="A30" s="9">
        <v>22</v>
      </c>
      <c r="B30" s="76" t="s">
        <v>60</v>
      </c>
      <c r="C30" s="42" t="str">
        <v>6L</v>
      </c>
      <c r="D30" s="42" t="str">
        <v>3L</v>
      </c>
      <c r="E30" s="43" t="str">
        <f t="shared" si="0"/>
        <v>USD6L3L22Y</v>
      </c>
      <c r="F30" s="26" t="str">
        <v>USD6L3L22Y=ICAP</v>
      </c>
      <c r="G30" s="52" t="s">
        <v>175</v>
      </c>
      <c r="H30" s="52" t="s">
        <v>175</v>
      </c>
      <c r="I30" s="52" t="e">
        <f>_xll.qlMidEquivalent(G30,H30)</f>
        <v>#NUM!</v>
      </c>
      <c r="J30" s="15" t="b">
        <f t="shared" si="3"/>
        <v>0</v>
      </c>
      <c r="K30" s="107">
        <v>11.4</v>
      </c>
      <c r="L30" s="6"/>
      <c r="M30" s="114">
        <v>11.4</v>
      </c>
      <c r="N30" s="6"/>
      <c r="O30" s="97" t="str">
        <f t="shared" si="2"/>
        <v>USD6L3L22Y_Quote</v>
      </c>
      <c r="P30" s="51">
        <v>11.4</v>
      </c>
      <c r="Q30" s="98">
        <f>_xll.qlSimpleQuoteSetValue($O30,$P30/10000,Trigger)</f>
        <v>0</v>
      </c>
      <c r="R30" s="10"/>
      <c r="W30" s="44" t="str">
        <f t="shared" si="1"/>
        <v>22Y</v>
      </c>
      <c r="X30" s="50" t="e">
        <f>((Swap6M!P30-Swap3M!P30)*100-P30)/10000</f>
        <v>#NUM!</v>
      </c>
    </row>
    <row r="31" spans="1:24" x14ac:dyDescent="0.2">
      <c r="A31" s="9">
        <v>23</v>
      </c>
      <c r="B31" s="76" t="s">
        <v>61</v>
      </c>
      <c r="C31" s="42" t="str">
        <v>6L</v>
      </c>
      <c r="D31" s="42" t="str">
        <v>3L</v>
      </c>
      <c r="E31" s="43" t="str">
        <f t="shared" si="0"/>
        <v>USD6L3L23Y</v>
      </c>
      <c r="F31" s="26" t="str">
        <v>USD6L3L23Y=ICAP</v>
      </c>
      <c r="G31" s="52" t="s">
        <v>175</v>
      </c>
      <c r="H31" s="52" t="s">
        <v>175</v>
      </c>
      <c r="I31" s="52" t="e">
        <f>_xll.qlMidEquivalent(G31,H31)</f>
        <v>#NUM!</v>
      </c>
      <c r="J31" s="15" t="b">
        <f t="shared" si="3"/>
        <v>0</v>
      </c>
      <c r="K31" s="107">
        <v>11.4</v>
      </c>
      <c r="L31" s="6"/>
      <c r="M31" s="114">
        <v>11.4</v>
      </c>
      <c r="N31" s="6"/>
      <c r="O31" s="97" t="str">
        <f t="shared" si="2"/>
        <v>USD6L3L23Y_Quote</v>
      </c>
      <c r="P31" s="51">
        <v>11.4</v>
      </c>
      <c r="Q31" s="98">
        <f>_xll.qlSimpleQuoteSetValue($O31,$P31/10000,Trigger)</f>
        <v>0</v>
      </c>
      <c r="R31" s="10"/>
      <c r="W31" s="44" t="str">
        <f t="shared" si="1"/>
        <v>23Y</v>
      </c>
      <c r="X31" s="50" t="e">
        <f>((Swap6M!P31-Swap3M!P31)*100-P31)/10000</f>
        <v>#NUM!</v>
      </c>
    </row>
    <row r="32" spans="1:24" x14ac:dyDescent="0.2">
      <c r="A32" s="9">
        <v>24</v>
      </c>
      <c r="B32" s="76" t="s">
        <v>62</v>
      </c>
      <c r="C32" s="42" t="str">
        <v>6L</v>
      </c>
      <c r="D32" s="42" t="str">
        <v>3L</v>
      </c>
      <c r="E32" s="43" t="str">
        <f t="shared" si="0"/>
        <v>USD6L3L24Y</v>
      </c>
      <c r="F32" s="26" t="str">
        <v>USD6L3L24Y=ICAP</v>
      </c>
      <c r="G32" s="52" t="s">
        <v>175</v>
      </c>
      <c r="H32" s="52" t="s">
        <v>175</v>
      </c>
      <c r="I32" s="52" t="e">
        <f>_xll.qlMidEquivalent(G32,H32)</f>
        <v>#NUM!</v>
      </c>
      <c r="J32" s="15" t="b">
        <f t="shared" si="3"/>
        <v>0</v>
      </c>
      <c r="K32" s="107">
        <v>11.4</v>
      </c>
      <c r="L32" s="6"/>
      <c r="M32" s="114">
        <v>11.4</v>
      </c>
      <c r="N32" s="6"/>
      <c r="O32" s="97" t="str">
        <f t="shared" si="2"/>
        <v>USD6L3L24Y_Quote</v>
      </c>
      <c r="P32" s="51">
        <v>11.4</v>
      </c>
      <c r="Q32" s="98">
        <f>_xll.qlSimpleQuoteSetValue($O32,$P32/10000,Trigger)</f>
        <v>0</v>
      </c>
      <c r="R32" s="10"/>
      <c r="W32" s="44" t="str">
        <f t="shared" si="1"/>
        <v>24Y</v>
      </c>
      <c r="X32" s="50" t="e">
        <f>((Swap6M!P32-Swap3M!P32)*100-P32)/10000</f>
        <v>#NUM!</v>
      </c>
    </row>
    <row r="33" spans="1:24" x14ac:dyDescent="0.2">
      <c r="A33" s="9">
        <v>25</v>
      </c>
      <c r="B33" s="76" t="s">
        <v>63</v>
      </c>
      <c r="C33" s="42" t="str">
        <v>6L</v>
      </c>
      <c r="D33" s="42" t="str">
        <v>3L</v>
      </c>
      <c r="E33" s="43" t="str">
        <f t="shared" si="0"/>
        <v>USD6L3L25Y</v>
      </c>
      <c r="F33" s="26" t="str">
        <v>USD6L3L25Y=ICAP</v>
      </c>
      <c r="G33" s="52">
        <v>11.4</v>
      </c>
      <c r="H33" s="52">
        <v>0</v>
      </c>
      <c r="I33" s="52">
        <f>_xll.qlMidEquivalent(G33,H33)</f>
        <v>11.4</v>
      </c>
      <c r="J33" s="15" t="b">
        <f t="shared" si="3"/>
        <v>1</v>
      </c>
      <c r="K33" s="107">
        <v>11.4</v>
      </c>
      <c r="L33" s="6"/>
      <c r="M33" s="114">
        <v>11.4</v>
      </c>
      <c r="N33" s="6"/>
      <c r="O33" s="97" t="str">
        <f t="shared" si="2"/>
        <v>USD6L3L25Y_Quote</v>
      </c>
      <c r="P33" s="51">
        <v>11.4</v>
      </c>
      <c r="Q33" s="98">
        <f>_xll.qlSimpleQuoteSetValue($O33,$P33/10000,Trigger)</f>
        <v>0</v>
      </c>
      <c r="R33" s="10"/>
      <c r="W33" s="44" t="str">
        <f t="shared" si="1"/>
        <v>25Y</v>
      </c>
      <c r="X33" s="50" t="e">
        <f>((Swap6M!P33-Swap3M!P33)*100-P33)/10000</f>
        <v>#NUM!</v>
      </c>
    </row>
    <row r="34" spans="1:24" x14ac:dyDescent="0.2">
      <c r="A34" s="9">
        <v>26</v>
      </c>
      <c r="B34" s="76" t="s">
        <v>64</v>
      </c>
      <c r="C34" s="42" t="str">
        <v>6L</v>
      </c>
      <c r="D34" s="42" t="str">
        <v>3L</v>
      </c>
      <c r="E34" s="43" t="str">
        <f t="shared" si="0"/>
        <v>USD6L3L26Y</v>
      </c>
      <c r="F34" s="26" t="str">
        <v>USD6L3L26Y=ICAP</v>
      </c>
      <c r="G34" s="52" t="s">
        <v>175</v>
      </c>
      <c r="H34" s="52" t="s">
        <v>175</v>
      </c>
      <c r="I34" s="52" t="e">
        <f>_xll.qlMidEquivalent(G34,H34)</f>
        <v>#NUM!</v>
      </c>
      <c r="J34" s="15" t="b">
        <f t="shared" si="3"/>
        <v>0</v>
      </c>
      <c r="K34" s="107">
        <v>11.4</v>
      </c>
      <c r="L34" s="6"/>
      <c r="M34" s="114">
        <v>11.4</v>
      </c>
      <c r="N34" s="6"/>
      <c r="O34" s="97" t="str">
        <f t="shared" si="2"/>
        <v>USD6L3L26Y_Quote</v>
      </c>
      <c r="P34" s="51">
        <v>11.4</v>
      </c>
      <c r="Q34" s="98">
        <f>_xll.qlSimpleQuoteSetValue($O34,$P34/10000,Trigger)</f>
        <v>0</v>
      </c>
      <c r="R34" s="10"/>
      <c r="W34" s="44" t="str">
        <f t="shared" si="1"/>
        <v>26Y</v>
      </c>
      <c r="X34" s="50" t="e">
        <f>((Swap6M!P34-Swap3M!P34)*100-P34)/10000</f>
        <v>#NUM!</v>
      </c>
    </row>
    <row r="35" spans="1:24" x14ac:dyDescent="0.2">
      <c r="A35" s="9">
        <v>27</v>
      </c>
      <c r="B35" s="76" t="s">
        <v>65</v>
      </c>
      <c r="C35" s="42" t="str">
        <v>6L</v>
      </c>
      <c r="D35" s="42" t="str">
        <v>3L</v>
      </c>
      <c r="E35" s="43" t="str">
        <f t="shared" si="0"/>
        <v>USD6L3L27Y</v>
      </c>
      <c r="F35" s="26" t="str">
        <v>USD6L3L27Y=ICAP</v>
      </c>
      <c r="G35" s="52" t="s">
        <v>175</v>
      </c>
      <c r="H35" s="52" t="s">
        <v>175</v>
      </c>
      <c r="I35" s="52" t="e">
        <f>_xll.qlMidEquivalent(G35,H35)</f>
        <v>#NUM!</v>
      </c>
      <c r="J35" s="15" t="b">
        <f t="shared" si="3"/>
        <v>0</v>
      </c>
      <c r="K35" s="107">
        <v>11.4</v>
      </c>
      <c r="L35" s="6"/>
      <c r="M35" s="114">
        <v>11.4</v>
      </c>
      <c r="N35" s="6"/>
      <c r="O35" s="97" t="str">
        <f t="shared" si="2"/>
        <v>USD6L3L27Y_Quote</v>
      </c>
      <c r="P35" s="51">
        <v>11.4</v>
      </c>
      <c r="Q35" s="98">
        <f>_xll.qlSimpleQuoteSetValue($O35,$P35/10000,Trigger)</f>
        <v>0</v>
      </c>
      <c r="R35" s="10"/>
      <c r="W35" s="44" t="str">
        <f t="shared" si="1"/>
        <v>27Y</v>
      </c>
      <c r="X35" s="50" t="e">
        <f>((Swap6M!P35-Swap3M!P35)*100-P35)/10000</f>
        <v>#NUM!</v>
      </c>
    </row>
    <row r="36" spans="1:24" x14ac:dyDescent="0.2">
      <c r="A36" s="9">
        <v>28</v>
      </c>
      <c r="B36" s="76" t="s">
        <v>66</v>
      </c>
      <c r="C36" s="42" t="str">
        <v>6L</v>
      </c>
      <c r="D36" s="42" t="str">
        <v>3L</v>
      </c>
      <c r="E36" s="43" t="str">
        <f t="shared" si="0"/>
        <v>USD6L3L28Y</v>
      </c>
      <c r="F36" s="26" t="str">
        <v>USD6L3L28Y=ICAP</v>
      </c>
      <c r="G36" s="52" t="s">
        <v>175</v>
      </c>
      <c r="H36" s="52" t="s">
        <v>175</v>
      </c>
      <c r="I36" s="52" t="e">
        <f>_xll.qlMidEquivalent(G36,H36)</f>
        <v>#NUM!</v>
      </c>
      <c r="J36" s="15" t="b">
        <f t="shared" si="3"/>
        <v>0</v>
      </c>
      <c r="K36" s="107">
        <v>11.4</v>
      </c>
      <c r="L36" s="6"/>
      <c r="M36" s="114">
        <v>11.4</v>
      </c>
      <c r="N36" s="6"/>
      <c r="O36" s="97" t="str">
        <f t="shared" si="2"/>
        <v>USD6L3L28Y_Quote</v>
      </c>
      <c r="P36" s="51">
        <v>11.4</v>
      </c>
      <c r="Q36" s="98">
        <f>_xll.qlSimpleQuoteSetValue($O36,$P36/10000,Trigger)</f>
        <v>0</v>
      </c>
      <c r="R36" s="10"/>
      <c r="W36" s="44" t="str">
        <f t="shared" si="1"/>
        <v>28Y</v>
      </c>
      <c r="X36" s="50" t="e">
        <f>((Swap6M!P36-Swap3M!P36)*100-P36)/10000</f>
        <v>#NUM!</v>
      </c>
    </row>
    <row r="37" spans="1:24" x14ac:dyDescent="0.2">
      <c r="A37" s="9">
        <v>29</v>
      </c>
      <c r="B37" s="76" t="s">
        <v>67</v>
      </c>
      <c r="C37" s="42" t="str">
        <v>6L</v>
      </c>
      <c r="D37" s="42" t="str">
        <v>3L</v>
      </c>
      <c r="E37" s="43" t="str">
        <f t="shared" si="0"/>
        <v>USD6L3L29Y</v>
      </c>
      <c r="F37" s="26" t="str">
        <v>USD6L3L29Y=ICAP</v>
      </c>
      <c r="G37" s="52" t="s">
        <v>175</v>
      </c>
      <c r="H37" s="52" t="s">
        <v>175</v>
      </c>
      <c r="I37" s="52" t="e">
        <f>_xll.qlMidEquivalent(G37,H37)</f>
        <v>#NUM!</v>
      </c>
      <c r="J37" s="15" t="b">
        <f t="shared" si="3"/>
        <v>0</v>
      </c>
      <c r="K37" s="107">
        <v>11.4</v>
      </c>
      <c r="L37" s="6"/>
      <c r="M37" s="114">
        <v>11.4</v>
      </c>
      <c r="N37" s="6"/>
      <c r="O37" s="97" t="str">
        <f t="shared" si="2"/>
        <v>USD6L3L29Y_Quote</v>
      </c>
      <c r="P37" s="51">
        <v>11.4</v>
      </c>
      <c r="Q37" s="98">
        <f>_xll.qlSimpleQuoteSetValue($O37,$P37/10000,Trigger)</f>
        <v>0</v>
      </c>
      <c r="R37" s="10"/>
      <c r="W37" s="44" t="str">
        <f t="shared" si="1"/>
        <v>29Y</v>
      </c>
      <c r="X37" s="50" t="e">
        <f>((Swap6M!P37-Swap3M!P37)*100-P37)/10000</f>
        <v>#NUM!</v>
      </c>
    </row>
    <row r="38" spans="1:24" x14ac:dyDescent="0.2">
      <c r="A38" s="9">
        <v>30</v>
      </c>
      <c r="B38" s="76" t="s">
        <v>68</v>
      </c>
      <c r="C38" s="42" t="str">
        <v>6L</v>
      </c>
      <c r="D38" s="42" t="str">
        <v>3L</v>
      </c>
      <c r="E38" s="43" t="str">
        <f t="shared" si="0"/>
        <v>USD6L3L30Y</v>
      </c>
      <c r="F38" s="26" t="str">
        <v>USD6L3L30Y=ICAP</v>
      </c>
      <c r="G38" s="52">
        <v>11.4</v>
      </c>
      <c r="H38" s="52">
        <v>0</v>
      </c>
      <c r="I38" s="52">
        <f>_xll.qlMidEquivalent(G38,H38)</f>
        <v>11.4</v>
      </c>
      <c r="J38" s="15" t="b">
        <f t="shared" si="3"/>
        <v>1</v>
      </c>
      <c r="K38" s="107">
        <v>11.4</v>
      </c>
      <c r="L38" s="6"/>
      <c r="M38" s="114">
        <v>11.4</v>
      </c>
      <c r="N38" s="6"/>
      <c r="O38" s="97" t="str">
        <f t="shared" si="2"/>
        <v>USD6L3L30Y_Quote</v>
      </c>
      <c r="P38" s="51">
        <v>11.4</v>
      </c>
      <c r="Q38" s="98">
        <f>_xll.qlSimpleQuoteSetValue($O38,$P38/10000,Trigger)</f>
        <v>0</v>
      </c>
      <c r="R38" s="10"/>
      <c r="W38" s="44" t="str">
        <f t="shared" si="1"/>
        <v>30Y</v>
      </c>
      <c r="X38" s="50" t="e">
        <f>((Swap6M!P38-Swap3M!P38)*100-P38)/10000</f>
        <v>#NUM!</v>
      </c>
    </row>
    <row r="39" spans="1:24" x14ac:dyDescent="0.2">
      <c r="A39" s="9">
        <v>35</v>
      </c>
      <c r="B39" s="76" t="s">
        <v>69</v>
      </c>
      <c r="C39" s="42" t="str">
        <v>6L</v>
      </c>
      <c r="D39" s="42" t="str">
        <v>3L</v>
      </c>
      <c r="E39" s="43" t="str">
        <f t="shared" si="0"/>
        <v>USD6L3L35Y</v>
      </c>
      <c r="F39" s="26" t="str">
        <v>USD6L3L35Y=ICAP</v>
      </c>
      <c r="G39" s="52" t="s">
        <v>175</v>
      </c>
      <c r="H39" s="52" t="s">
        <v>175</v>
      </c>
      <c r="I39" s="52" t="e">
        <f>_xll.qlMidEquivalent(G39,H39)</f>
        <v>#NUM!</v>
      </c>
      <c r="J39" s="15" t="b">
        <f t="shared" si="3"/>
        <v>0</v>
      </c>
      <c r="K39" s="108">
        <f>K38</f>
        <v>11.4</v>
      </c>
      <c r="L39" s="6"/>
      <c r="M39" s="114">
        <v>11.4</v>
      </c>
      <c r="N39" s="6"/>
      <c r="O39" s="97" t="str">
        <f t="shared" si="2"/>
        <v>USD6L3L35Y_Quote</v>
      </c>
      <c r="P39" s="51">
        <v>11.4</v>
      </c>
      <c r="Q39" s="98">
        <f>_xll.qlSimpleQuoteSetValue($O39,$P39/10000,Trigger)</f>
        <v>0</v>
      </c>
      <c r="R39" s="10"/>
      <c r="W39" s="44" t="str">
        <f t="shared" si="1"/>
        <v>35Y</v>
      </c>
      <c r="X39" s="50" t="e">
        <f>((Swap6M!P39-Swap3M!P39)*100-P39)/10000</f>
        <v>#NUM!</v>
      </c>
    </row>
    <row r="40" spans="1:24" x14ac:dyDescent="0.2">
      <c r="A40" s="9">
        <v>40</v>
      </c>
      <c r="B40" s="76" t="s">
        <v>70</v>
      </c>
      <c r="C40" s="42" t="str">
        <v>6L</v>
      </c>
      <c r="D40" s="42" t="str">
        <v>3L</v>
      </c>
      <c r="E40" s="43" t="str">
        <f t="shared" si="0"/>
        <v>USD6L3L40Y</v>
      </c>
      <c r="F40" s="26" t="str">
        <v>USD6L3L40Y=ICAP</v>
      </c>
      <c r="G40" s="52" t="s">
        <v>175</v>
      </c>
      <c r="H40" s="52" t="s">
        <v>175</v>
      </c>
      <c r="I40" s="52" t="e">
        <f>_xll.qlMidEquivalent(G40,H40)</f>
        <v>#NUM!</v>
      </c>
      <c r="J40" s="15" t="b">
        <f t="shared" si="3"/>
        <v>0</v>
      </c>
      <c r="K40" s="108">
        <f>K39</f>
        <v>11.4</v>
      </c>
      <c r="L40" s="6"/>
      <c r="M40" s="114">
        <v>11.4</v>
      </c>
      <c r="N40" s="6"/>
      <c r="O40" s="97" t="str">
        <f t="shared" si="2"/>
        <v>USD6L3L40Y_Quote</v>
      </c>
      <c r="P40" s="51">
        <v>11.4</v>
      </c>
      <c r="Q40" s="98">
        <f>_xll.qlSimpleQuoteSetValue($O40,$P40/10000,Trigger)</f>
        <v>0</v>
      </c>
      <c r="R40" s="10"/>
      <c r="W40" s="44" t="str">
        <f t="shared" si="1"/>
        <v>40Y</v>
      </c>
      <c r="X40" s="50" t="e">
        <f>((Swap6M!P40-Swap3M!P40)*100-P40)/10000</f>
        <v>#NUM!</v>
      </c>
    </row>
    <row r="41" spans="1:24" x14ac:dyDescent="0.2">
      <c r="A41" s="9">
        <v>50</v>
      </c>
      <c r="B41" s="76" t="s">
        <v>71</v>
      </c>
      <c r="C41" s="42" t="str">
        <v>6L</v>
      </c>
      <c r="D41" s="42" t="str">
        <v>3L</v>
      </c>
      <c r="E41" s="43" t="str">
        <f t="shared" si="0"/>
        <v>USD6L3L50Y</v>
      </c>
      <c r="F41" s="26" t="str">
        <v>USD6L3L50Y=ICAP</v>
      </c>
      <c r="G41" s="52" t="s">
        <v>175</v>
      </c>
      <c r="H41" s="52" t="s">
        <v>175</v>
      </c>
      <c r="I41" s="52" t="e">
        <f>_xll.qlMidEquivalent(G41,H41)</f>
        <v>#NUM!</v>
      </c>
      <c r="J41" s="15" t="b">
        <f t="shared" si="3"/>
        <v>0</v>
      </c>
      <c r="K41" s="108">
        <f>K40</f>
        <v>11.4</v>
      </c>
      <c r="L41" s="6"/>
      <c r="M41" s="114">
        <v>11.4</v>
      </c>
      <c r="N41" s="6"/>
      <c r="O41" s="97" t="str">
        <f t="shared" si="2"/>
        <v>USD6L3L50Y_Quote</v>
      </c>
      <c r="P41" s="51">
        <v>11.4</v>
      </c>
      <c r="Q41" s="98">
        <f>_xll.qlSimpleQuoteSetValue($O41,$P41/10000,Trigger)</f>
        <v>0</v>
      </c>
      <c r="R41" s="10"/>
      <c r="W41" s="44" t="str">
        <f t="shared" si="1"/>
        <v>50Y</v>
      </c>
      <c r="X41" s="50" t="e">
        <f>((Swap6M!P41-Swap3M!P41)*100-P41)/10000</f>
        <v>#NUM!</v>
      </c>
    </row>
    <row r="42" spans="1:24" x14ac:dyDescent="0.2">
      <c r="A42" s="9">
        <v>60</v>
      </c>
      <c r="B42" s="78" t="s">
        <v>72</v>
      </c>
      <c r="C42" s="109" t="str">
        <v>6L</v>
      </c>
      <c r="D42" s="109" t="str">
        <v>3L</v>
      </c>
      <c r="E42" s="43" t="str">
        <f t="shared" si="0"/>
        <v>USD6L3L60Y</v>
      </c>
      <c r="F42" s="110" t="str">
        <v>USD6L3L60Y=ICAP</v>
      </c>
      <c r="G42" s="111" t="s">
        <v>175</v>
      </c>
      <c r="H42" s="111" t="s">
        <v>175</v>
      </c>
      <c r="I42" s="111" t="e">
        <f>_xll.qlMidEquivalent(G42,H42)</f>
        <v>#NUM!</v>
      </c>
      <c r="J42" s="81" t="b">
        <f t="shared" si="3"/>
        <v>0</v>
      </c>
      <c r="K42" s="113">
        <f>K41</f>
        <v>11.4</v>
      </c>
      <c r="L42" s="6"/>
      <c r="M42" s="115">
        <v>11.4</v>
      </c>
      <c r="N42" s="6"/>
      <c r="O42" s="99" t="str">
        <f t="shared" si="2"/>
        <v>USD6L3L60Y_Quote</v>
      </c>
      <c r="P42" s="112">
        <v>11.4</v>
      </c>
      <c r="Q42" s="100">
        <f>_xll.qlSimpleQuoteSetValue($O42,$P42/10000,Trigger)</f>
        <v>0</v>
      </c>
      <c r="R42" s="10"/>
      <c r="W42" s="44" t="str">
        <f t="shared" si="1"/>
        <v>60Y</v>
      </c>
      <c r="X42" s="50" t="e">
        <f>((Swap6M!P42-Swap3M!P42)*100-P42)/10000</f>
        <v>#NUM!</v>
      </c>
    </row>
    <row r="43" spans="1:24" ht="12" thickBot="1" x14ac:dyDescent="0.25">
      <c r="A43" s="1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4"/>
    </row>
    <row r="47" spans="1:24" x14ac:dyDescent="0.2">
      <c r="F47" s="49"/>
    </row>
    <row r="48" spans="1:24" x14ac:dyDescent="0.2">
      <c r="F48" s="49"/>
    </row>
    <row r="49" spans="6:6" x14ac:dyDescent="0.2">
      <c r="F49" s="49"/>
    </row>
    <row r="50" spans="6:6" x14ac:dyDescent="0.2">
      <c r="F50" s="49"/>
    </row>
    <row r="51" spans="6:6" x14ac:dyDescent="0.2">
      <c r="F51" s="49"/>
    </row>
    <row r="52" spans="6:6" x14ac:dyDescent="0.2">
      <c r="F52" s="49"/>
    </row>
    <row r="53" spans="6:6" x14ac:dyDescent="0.2">
      <c r="F53" s="49"/>
    </row>
    <row r="54" spans="6:6" x14ac:dyDescent="0.2">
      <c r="F54" s="49"/>
    </row>
    <row r="55" spans="6:6" x14ac:dyDescent="0.2">
      <c r="F55" s="49"/>
    </row>
    <row r="56" spans="6:6" x14ac:dyDescent="0.2">
      <c r="F56" s="49"/>
    </row>
    <row r="57" spans="6:6" x14ac:dyDescent="0.2">
      <c r="F57" s="49"/>
    </row>
    <row r="58" spans="6:6" x14ac:dyDescent="0.2">
      <c r="F58" s="49"/>
    </row>
    <row r="59" spans="6:6" x14ac:dyDescent="0.2">
      <c r="F59" s="49"/>
    </row>
    <row r="60" spans="6:6" x14ac:dyDescent="0.2">
      <c r="F60" s="50"/>
    </row>
    <row r="61" spans="6:6" x14ac:dyDescent="0.2">
      <c r="F61" s="50"/>
    </row>
    <row r="62" spans="6:6" x14ac:dyDescent="0.2">
      <c r="F62" s="50"/>
    </row>
    <row r="63" spans="6:6" x14ac:dyDescent="0.2">
      <c r="F63" s="50"/>
    </row>
  </sheetData>
  <phoneticPr fontId="4" type="noConversion"/>
  <conditionalFormatting sqref="Q5:Q42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count="2">
    <dataValidation type="list" allowBlank="1" showInputMessage="1" showErrorMessage="1" sqref="F43:F44">
      <formula1>"FirstDerivative,SecondDerivative,Lagrange,NotAKnot,Periodic"</formula1>
    </dataValidation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63"/>
  <sheetViews>
    <sheetView workbookViewId="0">
      <selection activeCell="Q3" sqref="Q3"/>
    </sheetView>
  </sheetViews>
  <sheetFormatPr defaultRowHeight="11.25" x14ac:dyDescent="0.2"/>
  <cols>
    <col min="1" max="1" width="5" style="44" customWidth="1"/>
    <col min="2" max="2" width="3.85546875" style="44" bestFit="1" customWidth="1"/>
    <col min="3" max="3" width="3.5703125" style="44" bestFit="1" customWidth="1"/>
    <col min="4" max="4" width="2.7109375" style="44" bestFit="1" customWidth="1"/>
    <col min="5" max="5" width="11.140625" style="44" bestFit="1" customWidth="1"/>
    <col min="6" max="6" width="15.42578125" style="44" bestFit="1" customWidth="1"/>
    <col min="7" max="7" width="4.85546875" style="44" bestFit="1" customWidth="1"/>
    <col min="8" max="8" width="4.140625" style="44" bestFit="1" customWidth="1"/>
    <col min="9" max="9" width="9" style="44" bestFit="1" customWidth="1"/>
    <col min="10" max="10" width="5.7109375" style="44" bestFit="1" customWidth="1"/>
    <col min="11" max="11" width="7.140625" style="44" bestFit="1" customWidth="1"/>
    <col min="12" max="12" width="5" style="44" customWidth="1"/>
    <col min="13" max="13" width="7.140625" style="44" bestFit="1" customWidth="1"/>
    <col min="14" max="14" width="5" style="44" customWidth="1"/>
    <col min="15" max="15" width="16.28515625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9" style="44" bestFit="1" customWidth="1"/>
    <col min="21" max="21" width="4.140625" style="44" bestFit="1" customWidth="1"/>
    <col min="22" max="22" width="9.5703125" style="44" bestFit="1" customWidth="1"/>
    <col min="23" max="16384" width="9.140625" style="44"/>
  </cols>
  <sheetData>
    <row r="1" spans="1:24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x14ac:dyDescent="0.2">
      <c r="A2" s="5"/>
      <c r="B2" s="7"/>
      <c r="C2" s="6"/>
      <c r="D2" s="6"/>
      <c r="E2" s="6"/>
      <c r="F2" s="117" t="s">
        <v>5</v>
      </c>
      <c r="G2" s="6"/>
      <c r="H2" s="6"/>
      <c r="I2" s="6"/>
      <c r="J2" s="6"/>
      <c r="K2" s="7"/>
      <c r="L2" s="6"/>
      <c r="M2" s="6"/>
      <c r="N2" s="6"/>
      <c r="O2" s="116" t="s">
        <v>79</v>
      </c>
      <c r="P2" s="117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 t="str">
        <f>_xll.qlInterpolation(,InterpolationType,_xll.ohFilter(A5:A42,J5:J42),_xll.ohFilter(I5:I42,J5:J42))</f>
        <v>obj_0008c#0003</v>
      </c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_xll.ohTrigger(Q5:Q42)</f>
        <v>13</v>
      </c>
      <c r="R3" s="10"/>
    </row>
    <row r="4" spans="1:24" ht="23.25" thickBot="1" x14ac:dyDescent="0.25">
      <c r="A4" s="9"/>
      <c r="B4" s="83"/>
      <c r="C4" s="84"/>
      <c r="D4" s="84"/>
      <c r="E4" s="84"/>
      <c r="F4" s="85" t="str">
        <f>_xll.RData(F5:F42,G4:H4,"RTFEED:IDN",ReutersRtMode,,G5)</f>
        <v>Updated at 20:17:02</v>
      </c>
      <c r="G4" s="86" t="s">
        <v>0</v>
      </c>
      <c r="H4" s="86" t="s">
        <v>1</v>
      </c>
      <c r="I4" s="86" t="s">
        <v>27</v>
      </c>
      <c r="J4" s="86"/>
      <c r="K4" s="87" t="s">
        <v>101</v>
      </c>
      <c r="L4" s="6"/>
      <c r="M4" s="90" t="s">
        <v>115</v>
      </c>
      <c r="N4" s="6"/>
      <c r="O4" s="91" t="s">
        <v>31</v>
      </c>
      <c r="P4" s="92" t="s">
        <v>17</v>
      </c>
      <c r="Q4" s="93" t="s">
        <v>24</v>
      </c>
      <c r="R4" s="10"/>
    </row>
    <row r="5" spans="1:24" x14ac:dyDescent="0.2">
      <c r="A5" s="248">
        <v>0.5</v>
      </c>
      <c r="B5" s="76" t="s">
        <v>93</v>
      </c>
      <c r="C5" s="42" t="str">
        <f t="array" ref="C5:C42">VLOOKUP(Currency,Conventions,2)</f>
        <v>12L</v>
      </c>
      <c r="D5" s="42" t="str">
        <f t="array" ref="D5:D42">VLOOKUP(Currency,Conventions,3)</f>
        <v>3L</v>
      </c>
      <c r="E5" s="43" t="str">
        <f t="shared" ref="E5:E42" si="0">Currency&amp;$C5&amp;$D5&amp;$B5</f>
        <v>USD12L3L6M</v>
      </c>
      <c r="F5" s="26" t="str">
        <f t="array" ref="F5:F42">Instruments&amp;"="&amp;VLOOKUP(Contributor,ContributorTable,2,FALSE)</f>
        <v>USD12L3L6M=ICAP</v>
      </c>
      <c r="G5" s="52" t="s">
        <v>175</v>
      </c>
      <c r="H5" s="52" t="s">
        <v>175</v>
      </c>
      <c r="I5" s="52" t="e">
        <f>_xll.qlMidEquivalent(G5,H5)</f>
        <v>#NUM!</v>
      </c>
      <c r="J5" s="15" t="b">
        <f>IF(ISNUMBER(I5),TRUE,FALSE)</f>
        <v>0</v>
      </c>
      <c r="K5" s="107" t="e">
        <f t="array" ref="K5:K38">_xll.qlInterpolationInterpolate(F3,A5:A42)</f>
        <v>#NUM!</v>
      </c>
      <c r="L5" s="6"/>
      <c r="M5" s="114" t="e">
        <v>#NUM!</v>
      </c>
      <c r="N5" s="6"/>
      <c r="O5" s="97" t="str">
        <f>$E5&amp;$P$2</f>
        <v>USD12L3L6M_Quote</v>
      </c>
      <c r="P5" s="51" t="e">
        <f t="array" ref="P5:P42">QuoteLive</f>
        <v>#NUM!</v>
      </c>
      <c r="Q5" s="98" t="e">
        <f>_xll.qlSimpleQuoteSetValue($O5,$P5/10000,Trigger)</f>
        <v>#NUM!</v>
      </c>
      <c r="R5" s="10"/>
      <c r="T5" s="245" t="s">
        <v>124</v>
      </c>
      <c r="U5" s="214" t="s">
        <v>129</v>
      </c>
      <c r="V5" s="215" t="s">
        <v>131</v>
      </c>
      <c r="X5" s="246"/>
    </row>
    <row r="6" spans="1:24" x14ac:dyDescent="0.2">
      <c r="A6" s="248">
        <v>1</v>
      </c>
      <c r="B6" s="76" t="s">
        <v>36</v>
      </c>
      <c r="C6" s="42" t="str">
        <v>12L</v>
      </c>
      <c r="D6" s="42" t="str">
        <v>3L</v>
      </c>
      <c r="E6" s="43" t="str">
        <f t="shared" si="0"/>
        <v>USD12L3L1Y</v>
      </c>
      <c r="F6" s="26" t="str">
        <v>USD12L3L1Y=ICAP</v>
      </c>
      <c r="G6" s="52">
        <v>31.4</v>
      </c>
      <c r="H6" s="52">
        <v>0</v>
      </c>
      <c r="I6" s="52">
        <f>_xll.qlMidEquivalent(G6,H6)</f>
        <v>31.4</v>
      </c>
      <c r="J6" s="15" t="b">
        <f>IF(ISNUMBER(I6),TRUE,FALSE)</f>
        <v>1</v>
      </c>
      <c r="K6" s="107">
        <v>31.4</v>
      </c>
      <c r="L6" s="6"/>
      <c r="M6" s="114">
        <v>31.4</v>
      </c>
      <c r="N6" s="6"/>
      <c r="O6" s="97" t="str">
        <f>$E6&amp;$P$2</f>
        <v>USD12L3L1Y_Quote</v>
      </c>
      <c r="P6" s="51">
        <v>31.4</v>
      </c>
      <c r="Q6" s="98">
        <f>_xll.qlSimpleQuoteSetValue($O6,$P6/10000,Trigger)</f>
        <v>0</v>
      </c>
      <c r="R6" s="10"/>
      <c r="T6" s="121" t="s">
        <v>15</v>
      </c>
      <c r="U6" s="103" t="s">
        <v>19</v>
      </c>
      <c r="V6" s="104" t="s">
        <v>102</v>
      </c>
      <c r="X6" s="246"/>
    </row>
    <row r="7" spans="1:24" x14ac:dyDescent="0.2">
      <c r="A7" s="248">
        <v>1.25</v>
      </c>
      <c r="B7" s="76" t="s">
        <v>37</v>
      </c>
      <c r="C7" s="42" t="str">
        <v>12L</v>
      </c>
      <c r="D7" s="42" t="str">
        <v>3L</v>
      </c>
      <c r="E7" s="43" t="str">
        <f t="shared" si="0"/>
        <v>USD12L3L15M</v>
      </c>
      <c r="F7" s="26" t="str">
        <v>USD12L3L15M=ICAP</v>
      </c>
      <c r="G7" s="52" t="s">
        <v>175</v>
      </c>
      <c r="H7" s="52" t="s">
        <v>175</v>
      </c>
      <c r="I7" s="52" t="e">
        <f>_xll.qlMidEquivalent(G7,H7)</f>
        <v>#NUM!</v>
      </c>
      <c r="J7" s="15" t="b">
        <f>IF(ISNUMBER(I7),TRUE,FALSE)</f>
        <v>0</v>
      </c>
      <c r="K7" s="107">
        <v>31.176530133774591</v>
      </c>
      <c r="L7" s="6"/>
      <c r="M7" s="114">
        <v>31.176530133774591</v>
      </c>
      <c r="N7" s="6"/>
      <c r="O7" s="97" t="str">
        <f>$E7&amp;$P$2</f>
        <v>USD12L3L15M_Quote</v>
      </c>
      <c r="P7" s="51">
        <v>31.176530133774591</v>
      </c>
      <c r="Q7" s="98">
        <f>_xll.qlSimpleQuoteSetValue($O7,$P7/10000,Trigger)</f>
        <v>0</v>
      </c>
      <c r="R7" s="10"/>
      <c r="T7" s="121" t="s">
        <v>121</v>
      </c>
      <c r="U7" s="103" t="s">
        <v>129</v>
      </c>
      <c r="V7" s="104" t="s">
        <v>131</v>
      </c>
      <c r="X7" s="246"/>
    </row>
    <row r="8" spans="1:24" x14ac:dyDescent="0.2">
      <c r="A8" s="248">
        <v>1.5</v>
      </c>
      <c r="B8" s="76" t="s">
        <v>38</v>
      </c>
      <c r="C8" s="42" t="str">
        <v>12L</v>
      </c>
      <c r="D8" s="42" t="str">
        <v>3L</v>
      </c>
      <c r="E8" s="43" t="str">
        <f t="shared" si="0"/>
        <v>USD12L3L18M</v>
      </c>
      <c r="F8" s="26" t="str">
        <v>USD12L3L18M=ICAP</v>
      </c>
      <c r="G8" s="52" t="s">
        <v>175</v>
      </c>
      <c r="H8" s="52" t="s">
        <v>175</v>
      </c>
      <c r="I8" s="52" t="e">
        <f>_xll.qlMidEquivalent(G8,H8)</f>
        <v>#NUM!</v>
      </c>
      <c r="J8" s="15" t="b">
        <f>IF(ISNUMBER(I8),TRUE,FALSE)</f>
        <v>0</v>
      </c>
      <c r="K8" s="107">
        <v>30.962448214039345</v>
      </c>
      <c r="L8" s="6"/>
      <c r="M8" s="114">
        <v>30.962448214039345</v>
      </c>
      <c r="N8" s="6"/>
      <c r="O8" s="97" t="str">
        <f t="shared" ref="O8:O42" si="1">$E8&amp;$P$2</f>
        <v>USD12L3L18M_Quote</v>
      </c>
      <c r="P8" s="51">
        <v>30.962448214039345</v>
      </c>
      <c r="Q8" s="98">
        <f>_xll.qlSimpleQuoteSetValue($O8,$P8/10000,Trigger)</f>
        <v>0</v>
      </c>
      <c r="R8" s="10"/>
      <c r="T8" s="121" t="s">
        <v>123</v>
      </c>
      <c r="U8" s="103" t="s">
        <v>129</v>
      </c>
      <c r="V8" s="104" t="s">
        <v>131</v>
      </c>
    </row>
    <row r="9" spans="1:24" ht="12" thickBot="1" x14ac:dyDescent="0.25">
      <c r="A9" s="248">
        <v>1.75</v>
      </c>
      <c r="B9" s="76" t="s">
        <v>39</v>
      </c>
      <c r="C9" s="42" t="str">
        <v>12L</v>
      </c>
      <c r="D9" s="42" t="str">
        <v>3L</v>
      </c>
      <c r="E9" s="43" t="str">
        <f t="shared" si="0"/>
        <v>USD12L3L21M</v>
      </c>
      <c r="F9" s="26" t="str">
        <v>USD12L3L21M=ICAP</v>
      </c>
      <c r="G9" s="52" t="s">
        <v>175</v>
      </c>
      <c r="H9" s="52" t="s">
        <v>175</v>
      </c>
      <c r="I9" s="52" t="e">
        <f>_xll.qlMidEquivalent(G9,H9)</f>
        <v>#NUM!</v>
      </c>
      <c r="J9" s="15" t="b">
        <f t="shared" ref="J9:J42" si="2">IF(ISNUMBER(I9),TRUE,FALSE)</f>
        <v>0</v>
      </c>
      <c r="K9" s="107">
        <v>30.767142187284428</v>
      </c>
      <c r="L9" s="6"/>
      <c r="M9" s="114">
        <v>30.767142187284428</v>
      </c>
      <c r="N9" s="6"/>
      <c r="O9" s="97" t="str">
        <f t="shared" si="1"/>
        <v>USD12L3L21M_Quote</v>
      </c>
      <c r="P9" s="51">
        <v>30.767142187284428</v>
      </c>
      <c r="Q9" s="98">
        <f>_xll.qlSimpleQuoteSetValue($O9,$P9/10000,Trigger)</f>
        <v>0</v>
      </c>
      <c r="R9" s="10"/>
      <c r="T9" s="122" t="s">
        <v>116</v>
      </c>
      <c r="U9" s="105" t="s">
        <v>131</v>
      </c>
      <c r="V9" s="106" t="s">
        <v>127</v>
      </c>
    </row>
    <row r="10" spans="1:24" x14ac:dyDescent="0.2">
      <c r="A10" s="9">
        <v>2</v>
      </c>
      <c r="B10" s="76" t="s">
        <v>40</v>
      </c>
      <c r="C10" s="42" t="str">
        <v>12L</v>
      </c>
      <c r="D10" s="42" t="str">
        <v>3L</v>
      </c>
      <c r="E10" s="43" t="str">
        <f t="shared" si="0"/>
        <v>USD12L3L2Y</v>
      </c>
      <c r="F10" s="26" t="str">
        <v>USD12L3L2Y=ICAP</v>
      </c>
      <c r="G10" s="52">
        <v>30.6</v>
      </c>
      <c r="H10" s="52">
        <v>0</v>
      </c>
      <c r="I10" s="52">
        <f>_xll.qlMidEquivalent(G10,H10)</f>
        <v>30.6</v>
      </c>
      <c r="J10" s="15" t="b">
        <f t="shared" si="2"/>
        <v>1</v>
      </c>
      <c r="K10" s="107">
        <v>30.6</v>
      </c>
      <c r="L10" s="6"/>
      <c r="M10" s="114">
        <v>30.6</v>
      </c>
      <c r="N10" s="6"/>
      <c r="O10" s="97" t="str">
        <f t="shared" si="1"/>
        <v>USD12L3L2Y_Quote</v>
      </c>
      <c r="P10" s="51">
        <v>30.6</v>
      </c>
      <c r="Q10" s="98">
        <f>_xll.qlSimpleQuoteSetValue($O10,$P10/10000,Trigger)</f>
        <v>0</v>
      </c>
      <c r="R10" s="10"/>
    </row>
    <row r="11" spans="1:24" x14ac:dyDescent="0.2">
      <c r="A11" s="9">
        <v>3</v>
      </c>
      <c r="B11" s="76" t="s">
        <v>41</v>
      </c>
      <c r="C11" s="42" t="str">
        <v>12L</v>
      </c>
      <c r="D11" s="42" t="str">
        <v>3L</v>
      </c>
      <c r="E11" s="43" t="str">
        <f t="shared" si="0"/>
        <v>USD12L3L3Y</v>
      </c>
      <c r="F11" s="26" t="str">
        <v>USD12L3L3Y=ICAP</v>
      </c>
      <c r="G11" s="52">
        <v>30.2</v>
      </c>
      <c r="H11" s="52">
        <v>0</v>
      </c>
      <c r="I11" s="52">
        <f>_xll.qlMidEquivalent(G11,H11)</f>
        <v>30.2</v>
      </c>
      <c r="J11" s="15" t="b">
        <f t="shared" si="2"/>
        <v>1</v>
      </c>
      <c r="K11" s="107">
        <v>30.2</v>
      </c>
      <c r="L11" s="6"/>
      <c r="M11" s="114">
        <v>30.2</v>
      </c>
      <c r="N11" s="6"/>
      <c r="O11" s="97" t="str">
        <f t="shared" si="1"/>
        <v>USD12L3L3Y_Quote</v>
      </c>
      <c r="P11" s="51">
        <v>30.2</v>
      </c>
      <c r="Q11" s="98">
        <f>_xll.qlSimpleQuoteSetValue($O11,$P11/10000,Trigger)</f>
        <v>0</v>
      </c>
      <c r="R11" s="10"/>
    </row>
    <row r="12" spans="1:24" x14ac:dyDescent="0.2">
      <c r="A12" s="9">
        <v>4</v>
      </c>
      <c r="B12" s="76" t="s">
        <v>42</v>
      </c>
      <c r="C12" s="42" t="str">
        <v>12L</v>
      </c>
      <c r="D12" s="42" t="str">
        <v>3L</v>
      </c>
      <c r="E12" s="43" t="str">
        <f t="shared" si="0"/>
        <v>USD12L3L4Y</v>
      </c>
      <c r="F12" s="26" t="str">
        <v>USD12L3L4Y=ICAP</v>
      </c>
      <c r="G12" s="52">
        <v>29.9</v>
      </c>
      <c r="H12" s="52">
        <v>0</v>
      </c>
      <c r="I12" s="52">
        <f>_xll.qlMidEquivalent(G12,H12)</f>
        <v>29.9</v>
      </c>
      <c r="J12" s="15" t="b">
        <f t="shared" si="2"/>
        <v>1</v>
      </c>
      <c r="K12" s="107">
        <v>29.9</v>
      </c>
      <c r="L12" s="6"/>
      <c r="M12" s="114">
        <v>29.9</v>
      </c>
      <c r="N12" s="6"/>
      <c r="O12" s="97" t="str">
        <f t="shared" si="1"/>
        <v>USD12L3L4Y_Quote</v>
      </c>
      <c r="P12" s="51">
        <v>29.9</v>
      </c>
      <c r="Q12" s="98">
        <f>_xll.qlSimpleQuoteSetValue($O12,$P12/10000,Trigger)</f>
        <v>0</v>
      </c>
      <c r="R12" s="10"/>
    </row>
    <row r="13" spans="1:24" x14ac:dyDescent="0.2">
      <c r="A13" s="9">
        <v>5</v>
      </c>
      <c r="B13" s="76" t="s">
        <v>43</v>
      </c>
      <c r="C13" s="42" t="str">
        <v>12L</v>
      </c>
      <c r="D13" s="42" t="str">
        <v>3L</v>
      </c>
      <c r="E13" s="43" t="str">
        <f t="shared" si="0"/>
        <v>USD12L3L5Y</v>
      </c>
      <c r="F13" s="26" t="str">
        <v>USD12L3L5Y=ICAP</v>
      </c>
      <c r="G13" s="52">
        <v>29.6</v>
      </c>
      <c r="H13" s="52">
        <v>0</v>
      </c>
      <c r="I13" s="52">
        <f>_xll.qlMidEquivalent(G13,H13)</f>
        <v>29.6</v>
      </c>
      <c r="J13" s="15" t="b">
        <f t="shared" si="2"/>
        <v>1</v>
      </c>
      <c r="K13" s="107">
        <v>29.6</v>
      </c>
      <c r="L13" s="6"/>
      <c r="M13" s="114">
        <v>29.6</v>
      </c>
      <c r="N13" s="6"/>
      <c r="O13" s="97" t="str">
        <f t="shared" si="1"/>
        <v>USD12L3L5Y_Quote</v>
      </c>
      <c r="P13" s="51">
        <v>29.6</v>
      </c>
      <c r="Q13" s="98">
        <f>_xll.qlSimpleQuoteSetValue($O13,$P13/10000,Trigger)</f>
        <v>0</v>
      </c>
      <c r="R13" s="10"/>
    </row>
    <row r="14" spans="1:24" x14ac:dyDescent="0.2">
      <c r="A14" s="9">
        <v>6</v>
      </c>
      <c r="B14" s="76" t="s">
        <v>44</v>
      </c>
      <c r="C14" s="42" t="str">
        <v>12L</v>
      </c>
      <c r="D14" s="42" t="str">
        <v>3L</v>
      </c>
      <c r="E14" s="43" t="str">
        <f t="shared" si="0"/>
        <v>USD12L3L6Y</v>
      </c>
      <c r="F14" s="26" t="str">
        <v>USD12L3L6Y=ICAP</v>
      </c>
      <c r="G14" s="52">
        <v>29.3</v>
      </c>
      <c r="H14" s="52">
        <v>0</v>
      </c>
      <c r="I14" s="52">
        <f>_xll.qlMidEquivalent(G14,H14)</f>
        <v>29.3</v>
      </c>
      <c r="J14" s="15" t="b">
        <f t="shared" si="2"/>
        <v>1</v>
      </c>
      <c r="K14" s="107">
        <v>29.3</v>
      </c>
      <c r="L14" s="6"/>
      <c r="M14" s="114">
        <v>29.3</v>
      </c>
      <c r="N14" s="6"/>
      <c r="O14" s="97" t="str">
        <f t="shared" si="1"/>
        <v>USD12L3L6Y_Quote</v>
      </c>
      <c r="P14" s="51">
        <v>29.3</v>
      </c>
      <c r="Q14" s="98">
        <f>_xll.qlSimpleQuoteSetValue($O14,$P14/10000,Trigger)</f>
        <v>0</v>
      </c>
      <c r="R14" s="10"/>
    </row>
    <row r="15" spans="1:24" x14ac:dyDescent="0.2">
      <c r="A15" s="9">
        <v>7</v>
      </c>
      <c r="B15" s="76" t="s">
        <v>45</v>
      </c>
      <c r="C15" s="42" t="str">
        <v>12L</v>
      </c>
      <c r="D15" s="42" t="str">
        <v>3L</v>
      </c>
      <c r="E15" s="43" t="str">
        <f t="shared" si="0"/>
        <v>USD12L3L7Y</v>
      </c>
      <c r="F15" s="26" t="str">
        <v>USD12L3L7Y=ICAP</v>
      </c>
      <c r="G15" s="52">
        <v>29.1</v>
      </c>
      <c r="H15" s="52">
        <v>0</v>
      </c>
      <c r="I15" s="52">
        <f>_xll.qlMidEquivalent(G15,H15)</f>
        <v>29.1</v>
      </c>
      <c r="J15" s="15" t="b">
        <f t="shared" si="2"/>
        <v>1</v>
      </c>
      <c r="K15" s="107">
        <v>29.1</v>
      </c>
      <c r="L15" s="6"/>
      <c r="M15" s="114">
        <v>29.1</v>
      </c>
      <c r="N15" s="6"/>
      <c r="O15" s="97" t="str">
        <f t="shared" si="1"/>
        <v>USD12L3L7Y_Quote</v>
      </c>
      <c r="P15" s="51">
        <v>29.1</v>
      </c>
      <c r="Q15" s="98">
        <f>_xll.qlSimpleQuoteSetValue($O15,$P15/10000,Trigger)</f>
        <v>0</v>
      </c>
      <c r="R15" s="10"/>
    </row>
    <row r="16" spans="1:24" x14ac:dyDescent="0.2">
      <c r="A16" s="9">
        <v>8</v>
      </c>
      <c r="B16" s="76" t="s">
        <v>46</v>
      </c>
      <c r="C16" s="42" t="str">
        <v>12L</v>
      </c>
      <c r="D16" s="42" t="str">
        <v>3L</v>
      </c>
      <c r="E16" s="43" t="str">
        <f t="shared" si="0"/>
        <v>USD12L3L8Y</v>
      </c>
      <c r="F16" s="26" t="str">
        <v>USD12L3L8Y=ICAP</v>
      </c>
      <c r="G16" s="52">
        <v>28.9</v>
      </c>
      <c r="H16" s="52">
        <v>0</v>
      </c>
      <c r="I16" s="52">
        <f>_xll.qlMidEquivalent(G16,H16)</f>
        <v>28.9</v>
      </c>
      <c r="J16" s="15" t="b">
        <f t="shared" si="2"/>
        <v>1</v>
      </c>
      <c r="K16" s="107">
        <v>28.9</v>
      </c>
      <c r="L16" s="6"/>
      <c r="M16" s="114">
        <v>28.9</v>
      </c>
      <c r="N16" s="6"/>
      <c r="O16" s="97" t="str">
        <f t="shared" si="1"/>
        <v>USD12L3L8Y_Quote</v>
      </c>
      <c r="P16" s="51">
        <v>28.9</v>
      </c>
      <c r="Q16" s="98">
        <f>_xll.qlSimpleQuoteSetValue($O16,$P16/10000,Trigger)</f>
        <v>0</v>
      </c>
      <c r="R16" s="10"/>
    </row>
    <row r="17" spans="1:18" x14ac:dyDescent="0.2">
      <c r="A17" s="9">
        <v>9</v>
      </c>
      <c r="B17" s="76" t="s">
        <v>47</v>
      </c>
      <c r="C17" s="42" t="str">
        <v>12L</v>
      </c>
      <c r="D17" s="42" t="str">
        <v>3L</v>
      </c>
      <c r="E17" s="43" t="str">
        <f t="shared" si="0"/>
        <v>USD12L3L9Y</v>
      </c>
      <c r="F17" s="26" t="str">
        <v>USD12L3L9Y=ICAP</v>
      </c>
      <c r="G17" s="52">
        <v>28.7</v>
      </c>
      <c r="H17" s="52">
        <v>0</v>
      </c>
      <c r="I17" s="52">
        <f>_xll.qlMidEquivalent(G17,H17)</f>
        <v>28.7</v>
      </c>
      <c r="J17" s="15" t="b">
        <f t="shared" si="2"/>
        <v>1</v>
      </c>
      <c r="K17" s="107">
        <v>28.7</v>
      </c>
      <c r="L17" s="6"/>
      <c r="M17" s="114">
        <v>28.7</v>
      </c>
      <c r="N17" s="6"/>
      <c r="O17" s="97" t="str">
        <f t="shared" si="1"/>
        <v>USD12L3L9Y_Quote</v>
      </c>
      <c r="P17" s="51">
        <v>28.7</v>
      </c>
      <c r="Q17" s="98">
        <f>_xll.qlSimpleQuoteSetValue($O17,$P17/10000,Trigger)</f>
        <v>0</v>
      </c>
      <c r="R17" s="10"/>
    </row>
    <row r="18" spans="1:18" x14ac:dyDescent="0.2">
      <c r="A18" s="9">
        <v>10</v>
      </c>
      <c r="B18" s="76" t="s">
        <v>48</v>
      </c>
      <c r="C18" s="42" t="str">
        <v>12L</v>
      </c>
      <c r="D18" s="42" t="str">
        <v>3L</v>
      </c>
      <c r="E18" s="43" t="str">
        <f t="shared" si="0"/>
        <v>USD12L3L10Y</v>
      </c>
      <c r="F18" s="26" t="str">
        <v>USD12L3L10Y=ICAP</v>
      </c>
      <c r="G18" s="52">
        <v>28.5</v>
      </c>
      <c r="H18" s="52">
        <v>0</v>
      </c>
      <c r="I18" s="52">
        <f>_xll.qlMidEquivalent(G18,H18)</f>
        <v>28.5</v>
      </c>
      <c r="J18" s="15" t="b">
        <f t="shared" si="2"/>
        <v>1</v>
      </c>
      <c r="K18" s="107">
        <v>28.5</v>
      </c>
      <c r="L18" s="6"/>
      <c r="M18" s="114">
        <v>28.5</v>
      </c>
      <c r="N18" s="6"/>
      <c r="O18" s="97" t="str">
        <f t="shared" si="1"/>
        <v>USD12L3L10Y_Quote</v>
      </c>
      <c r="P18" s="51">
        <v>28.5</v>
      </c>
      <c r="Q18" s="98">
        <f>_xll.qlSimpleQuoteSetValue($O18,$P18/10000,Trigger)</f>
        <v>0</v>
      </c>
      <c r="R18" s="10"/>
    </row>
    <row r="19" spans="1:18" x14ac:dyDescent="0.2">
      <c r="A19" s="9">
        <v>11</v>
      </c>
      <c r="B19" s="76" t="s">
        <v>49</v>
      </c>
      <c r="C19" s="42" t="str">
        <v>12L</v>
      </c>
      <c r="D19" s="42" t="str">
        <v>3L</v>
      </c>
      <c r="E19" s="43" t="str">
        <f t="shared" si="0"/>
        <v>USD12L3L11Y</v>
      </c>
      <c r="F19" s="26" t="str">
        <v>USD12L3L11Y=ICAP</v>
      </c>
      <c r="G19" s="52" t="s">
        <v>175</v>
      </c>
      <c r="H19" s="52" t="s">
        <v>175</v>
      </c>
      <c r="I19" s="52" t="e">
        <f>_xll.qlMidEquivalent(G19,H19)</f>
        <v>#NUM!</v>
      </c>
      <c r="J19" s="15" t="b">
        <f t="shared" si="2"/>
        <v>0</v>
      </c>
      <c r="K19" s="107">
        <v>28.297088844695441</v>
      </c>
      <c r="L19" s="6"/>
      <c r="M19" s="114">
        <v>28.297088844695441</v>
      </c>
      <c r="N19" s="6"/>
      <c r="O19" s="97" t="str">
        <f t="shared" si="1"/>
        <v>USD12L3L11Y_Quote</v>
      </c>
      <c r="P19" s="51">
        <v>28.297088844695441</v>
      </c>
      <c r="Q19" s="98">
        <f>_xll.qlSimpleQuoteSetValue($O19,$P19/10000,Trigger)</f>
        <v>0</v>
      </c>
      <c r="R19" s="10"/>
    </row>
    <row r="20" spans="1:18" x14ac:dyDescent="0.2">
      <c r="A20" s="9">
        <v>12</v>
      </c>
      <c r="B20" s="76" t="s">
        <v>50</v>
      </c>
      <c r="C20" s="42" t="str">
        <v>12L</v>
      </c>
      <c r="D20" s="42" t="str">
        <v>3L</v>
      </c>
      <c r="E20" s="43" t="str">
        <f t="shared" si="0"/>
        <v>USD12L3L12Y</v>
      </c>
      <c r="F20" s="26" t="str">
        <v>USD12L3L12Y=ICAP</v>
      </c>
      <c r="G20" s="52">
        <v>28.1</v>
      </c>
      <c r="H20" s="52">
        <v>0</v>
      </c>
      <c r="I20" s="52">
        <f>_xll.qlMidEquivalent(G20,H20)</f>
        <v>28.1</v>
      </c>
      <c r="J20" s="15" t="b">
        <f t="shared" si="2"/>
        <v>1</v>
      </c>
      <c r="K20" s="107">
        <v>28.1</v>
      </c>
      <c r="L20" s="6"/>
      <c r="M20" s="114">
        <v>28.1</v>
      </c>
      <c r="N20" s="6"/>
      <c r="O20" s="97" t="str">
        <f t="shared" si="1"/>
        <v>USD12L3L12Y_Quote</v>
      </c>
      <c r="P20" s="51">
        <v>28.1</v>
      </c>
      <c r="Q20" s="98">
        <f>_xll.qlSimpleQuoteSetValue($O20,$P20/10000,Trigger)</f>
        <v>0</v>
      </c>
      <c r="R20" s="10"/>
    </row>
    <row r="21" spans="1:18" x14ac:dyDescent="0.2">
      <c r="A21" s="9">
        <v>13</v>
      </c>
      <c r="B21" s="76" t="s">
        <v>51</v>
      </c>
      <c r="C21" s="42" t="str">
        <v>12L</v>
      </c>
      <c r="D21" s="42" t="str">
        <v>3L</v>
      </c>
      <c r="E21" s="43" t="str">
        <f t="shared" si="0"/>
        <v>USD12L3L13Y</v>
      </c>
      <c r="F21" s="26" t="str">
        <v>USD12L3L13Y=ICAP</v>
      </c>
      <c r="G21" s="52" t="s">
        <v>175</v>
      </c>
      <c r="H21" s="52" t="s">
        <v>175</v>
      </c>
      <c r="I21" s="52" t="e">
        <f>_xll.qlMidEquivalent(G21,H21)</f>
        <v>#NUM!</v>
      </c>
      <c r="J21" s="15" t="b">
        <f t="shared" si="2"/>
        <v>0</v>
      </c>
      <c r="K21" s="107">
        <v>27.91789306687464</v>
      </c>
      <c r="L21" s="6"/>
      <c r="M21" s="114">
        <v>27.91789306687464</v>
      </c>
      <c r="N21" s="6"/>
      <c r="O21" s="97" t="str">
        <f t="shared" si="1"/>
        <v>USD12L3L13Y_Quote</v>
      </c>
      <c r="P21" s="51">
        <v>27.91789306687464</v>
      </c>
      <c r="Q21" s="98">
        <f>_xll.qlSimpleQuoteSetValue($O21,$P21/10000,Trigger)</f>
        <v>0</v>
      </c>
      <c r="R21" s="10"/>
    </row>
    <row r="22" spans="1:18" x14ac:dyDescent="0.2">
      <c r="A22" s="9">
        <v>14</v>
      </c>
      <c r="B22" s="76" t="s">
        <v>52</v>
      </c>
      <c r="C22" s="42" t="str">
        <v>12L</v>
      </c>
      <c r="D22" s="42" t="str">
        <v>3L</v>
      </c>
      <c r="E22" s="43" t="str">
        <f t="shared" si="0"/>
        <v>USD12L3L14Y</v>
      </c>
      <c r="F22" s="26" t="str">
        <v>USD12L3L14Y=ICAP</v>
      </c>
      <c r="G22" s="52" t="s">
        <v>175</v>
      </c>
      <c r="H22" s="52" t="s">
        <v>175</v>
      </c>
      <c r="I22" s="52" t="e">
        <f>_xll.qlMidEquivalent(G22,H22)</f>
        <v>#NUM!</v>
      </c>
      <c r="J22" s="15" t="b">
        <f t="shared" si="2"/>
        <v>0</v>
      </c>
      <c r="K22" s="107">
        <v>27.75163039000314</v>
      </c>
      <c r="L22" s="6"/>
      <c r="M22" s="114">
        <v>27.75163039000314</v>
      </c>
      <c r="N22" s="6"/>
      <c r="O22" s="97" t="str">
        <f t="shared" si="1"/>
        <v>USD12L3L14Y_Quote</v>
      </c>
      <c r="P22" s="51">
        <v>27.75163039000314</v>
      </c>
      <c r="Q22" s="98">
        <f>_xll.qlSimpleQuoteSetValue($O22,$P22/10000,Trigger)</f>
        <v>0</v>
      </c>
      <c r="R22" s="10"/>
    </row>
    <row r="23" spans="1:18" x14ac:dyDescent="0.2">
      <c r="A23" s="9">
        <v>15</v>
      </c>
      <c r="B23" s="76" t="s">
        <v>53</v>
      </c>
      <c r="C23" s="42" t="str">
        <v>12L</v>
      </c>
      <c r="D23" s="42" t="str">
        <v>3L</v>
      </c>
      <c r="E23" s="43" t="str">
        <f t="shared" si="0"/>
        <v>USD12L3L15Y</v>
      </c>
      <c r="F23" s="26" t="str">
        <v>USD12L3L15Y=ICAP</v>
      </c>
      <c r="G23" s="52">
        <v>27.6</v>
      </c>
      <c r="H23" s="52">
        <v>0</v>
      </c>
      <c r="I23" s="52">
        <f>_xll.qlMidEquivalent(G23,H23)</f>
        <v>27.6</v>
      </c>
      <c r="J23" s="15" t="b">
        <f t="shared" si="2"/>
        <v>1</v>
      </c>
      <c r="K23" s="107">
        <v>27.6</v>
      </c>
      <c r="L23" s="6"/>
      <c r="M23" s="114">
        <v>27.6</v>
      </c>
      <c r="N23" s="6"/>
      <c r="O23" s="97" t="str">
        <f t="shared" si="1"/>
        <v>USD12L3L15Y_Quote</v>
      </c>
      <c r="P23" s="51">
        <v>27.6</v>
      </c>
      <c r="Q23" s="98">
        <f>_xll.qlSimpleQuoteSetValue($O23,$P23/10000,Trigger)</f>
        <v>0</v>
      </c>
      <c r="R23" s="10"/>
    </row>
    <row r="24" spans="1:18" x14ac:dyDescent="0.2">
      <c r="A24" s="9">
        <v>16</v>
      </c>
      <c r="B24" s="76" t="s">
        <v>54</v>
      </c>
      <c r="C24" s="42" t="str">
        <v>12L</v>
      </c>
      <c r="D24" s="42" t="str">
        <v>3L</v>
      </c>
      <c r="E24" s="43" t="str">
        <f t="shared" si="0"/>
        <v>USD12L3L16Y</v>
      </c>
      <c r="F24" s="26" t="str">
        <v>USD12L3L16Y=ICAP</v>
      </c>
      <c r="G24" s="52" t="s">
        <v>175</v>
      </c>
      <c r="H24" s="52" t="s">
        <v>175</v>
      </c>
      <c r="I24" s="52" t="e">
        <f>_xll.qlMidEquivalent(G24,H24)</f>
        <v>#NUM!</v>
      </c>
      <c r="J24" s="15" t="b">
        <f t="shared" si="2"/>
        <v>0</v>
      </c>
      <c r="K24" s="107">
        <v>27.461638620083583</v>
      </c>
      <c r="L24" s="6"/>
      <c r="M24" s="114">
        <v>27.461638620083583</v>
      </c>
      <c r="N24" s="6"/>
      <c r="O24" s="97" t="str">
        <f t="shared" si="1"/>
        <v>USD12L3L16Y_Quote</v>
      </c>
      <c r="P24" s="51">
        <v>27.461638620083583</v>
      </c>
      <c r="Q24" s="98">
        <f>_xll.qlSimpleQuoteSetValue($O24,$P24/10000,Trigger)</f>
        <v>0</v>
      </c>
      <c r="R24" s="10"/>
    </row>
    <row r="25" spans="1:18" x14ac:dyDescent="0.2">
      <c r="A25" s="9">
        <v>17</v>
      </c>
      <c r="B25" s="76" t="s">
        <v>55</v>
      </c>
      <c r="C25" s="42" t="str">
        <v>12L</v>
      </c>
      <c r="D25" s="42" t="str">
        <v>3L</v>
      </c>
      <c r="E25" s="43" t="str">
        <f t="shared" si="0"/>
        <v>USD12L3L17Y</v>
      </c>
      <c r="F25" s="26" t="str">
        <v>USD12L3L17Y=ICAP</v>
      </c>
      <c r="G25" s="52" t="s">
        <v>175</v>
      </c>
      <c r="H25" s="52" t="s">
        <v>175</v>
      </c>
      <c r="I25" s="52" t="e">
        <f>_xll.qlMidEquivalent(G25,H25)</f>
        <v>#NUM!</v>
      </c>
      <c r="J25" s="15" t="b">
        <f t="shared" si="2"/>
        <v>0</v>
      </c>
      <c r="K25" s="107">
        <v>27.334577743887696</v>
      </c>
      <c r="L25" s="6"/>
      <c r="M25" s="114">
        <v>27.334577743887696</v>
      </c>
      <c r="N25" s="6"/>
      <c r="O25" s="97" t="str">
        <f t="shared" si="1"/>
        <v>USD12L3L17Y_Quote</v>
      </c>
      <c r="P25" s="51">
        <v>27.334577743887696</v>
      </c>
      <c r="Q25" s="98">
        <f>_xll.qlSimpleQuoteSetValue($O25,$P25/10000,Trigger)</f>
        <v>0</v>
      </c>
      <c r="R25" s="10"/>
    </row>
    <row r="26" spans="1:18" x14ac:dyDescent="0.2">
      <c r="A26" s="9">
        <v>18</v>
      </c>
      <c r="B26" s="76" t="s">
        <v>56</v>
      </c>
      <c r="C26" s="42" t="str">
        <v>12L</v>
      </c>
      <c r="D26" s="42" t="str">
        <v>3L</v>
      </c>
      <c r="E26" s="43" t="str">
        <f t="shared" si="0"/>
        <v>USD12L3L18Y</v>
      </c>
      <c r="F26" s="26" t="str">
        <v>USD12L3L18Y=ICAP</v>
      </c>
      <c r="G26" s="52" t="s">
        <v>175</v>
      </c>
      <c r="H26" s="52" t="s">
        <v>175</v>
      </c>
      <c r="I26" s="52" t="e">
        <f>_xll.qlMidEquivalent(G26,H26)</f>
        <v>#NUM!</v>
      </c>
      <c r="J26" s="15" t="b">
        <f t="shared" si="2"/>
        <v>0</v>
      </c>
      <c r="K26" s="107">
        <v>27.216697557650019</v>
      </c>
      <c r="L26" s="6"/>
      <c r="M26" s="114">
        <v>27.216697557650019</v>
      </c>
      <c r="N26" s="6"/>
      <c r="O26" s="97" t="str">
        <f t="shared" si="1"/>
        <v>USD12L3L18Y_Quote</v>
      </c>
      <c r="P26" s="51">
        <v>27.216697557650019</v>
      </c>
      <c r="Q26" s="98">
        <f>_xll.qlSimpleQuoteSetValue($O26,$P26/10000,Trigger)</f>
        <v>0</v>
      </c>
      <c r="R26" s="10"/>
    </row>
    <row r="27" spans="1:18" x14ac:dyDescent="0.2">
      <c r="A27" s="9">
        <v>19</v>
      </c>
      <c r="B27" s="76" t="s">
        <v>57</v>
      </c>
      <c r="C27" s="42" t="str">
        <v>12L</v>
      </c>
      <c r="D27" s="42" t="str">
        <v>3L</v>
      </c>
      <c r="E27" s="43" t="str">
        <f t="shared" si="0"/>
        <v>USD12L3L19Y</v>
      </c>
      <c r="F27" s="26" t="str">
        <v>USD12L3L19Y=ICAP</v>
      </c>
      <c r="G27" s="52" t="s">
        <v>175</v>
      </c>
      <c r="H27" s="52" t="s">
        <v>175</v>
      </c>
      <c r="I27" s="52" t="e">
        <f>_xll.qlMidEquivalent(G27,H27)</f>
        <v>#NUM!</v>
      </c>
      <c r="J27" s="15" t="b">
        <f t="shared" si="2"/>
        <v>0</v>
      </c>
      <c r="K27" s="107">
        <v>27.105878247608228</v>
      </c>
      <c r="L27" s="6"/>
      <c r="M27" s="114">
        <v>27.105878247608228</v>
      </c>
      <c r="N27" s="6"/>
      <c r="O27" s="97" t="str">
        <f t="shared" si="1"/>
        <v>USD12L3L19Y_Quote</v>
      </c>
      <c r="P27" s="51">
        <v>27.105878247608228</v>
      </c>
      <c r="Q27" s="98">
        <f>_xll.qlSimpleQuoteSetValue($O27,$P27/10000,Trigger)</f>
        <v>0</v>
      </c>
      <c r="R27" s="10"/>
    </row>
    <row r="28" spans="1:18" x14ac:dyDescent="0.2">
      <c r="A28" s="9">
        <v>20</v>
      </c>
      <c r="B28" s="76" t="s">
        <v>58</v>
      </c>
      <c r="C28" s="42" t="str">
        <v>12L</v>
      </c>
      <c r="D28" s="42" t="str">
        <v>3L</v>
      </c>
      <c r="E28" s="43" t="str">
        <f t="shared" si="0"/>
        <v>USD12L3L20Y</v>
      </c>
      <c r="F28" s="26" t="str">
        <v>USD12L3L20Y=ICAP</v>
      </c>
      <c r="G28" s="52">
        <v>27</v>
      </c>
      <c r="H28" s="52">
        <v>0</v>
      </c>
      <c r="I28" s="52">
        <f>_xll.qlMidEquivalent(G28,H28)</f>
        <v>27</v>
      </c>
      <c r="J28" s="15" t="b">
        <f t="shared" si="2"/>
        <v>1</v>
      </c>
      <c r="K28" s="107">
        <v>27</v>
      </c>
      <c r="L28" s="6"/>
      <c r="M28" s="114">
        <v>27</v>
      </c>
      <c r="N28" s="6"/>
      <c r="O28" s="97" t="str">
        <f t="shared" si="1"/>
        <v>USD12L3L20Y_Quote</v>
      </c>
      <c r="P28" s="51">
        <v>27</v>
      </c>
      <c r="Q28" s="98">
        <f>_xll.qlSimpleQuoteSetValue($O28,$P28/10000,Trigger)</f>
        <v>0</v>
      </c>
      <c r="R28" s="10"/>
    </row>
    <row r="29" spans="1:18" x14ac:dyDescent="0.2">
      <c r="A29" s="9">
        <v>21</v>
      </c>
      <c r="B29" s="76" t="s">
        <v>59</v>
      </c>
      <c r="C29" s="42" t="str">
        <v>12L</v>
      </c>
      <c r="D29" s="42" t="str">
        <v>3L</v>
      </c>
      <c r="E29" s="43" t="str">
        <f t="shared" si="0"/>
        <v>USD12L3L21Y</v>
      </c>
      <c r="F29" s="26" t="str">
        <v>USD12L3L21Y=ICAP</v>
      </c>
      <c r="G29" s="52" t="s">
        <v>175</v>
      </c>
      <c r="H29" s="52" t="s">
        <v>175</v>
      </c>
      <c r="I29" s="52" t="e">
        <f>_xll.qlMidEquivalent(G29,H29)</f>
        <v>#NUM!</v>
      </c>
      <c r="J29" s="15" t="b">
        <f t="shared" si="2"/>
        <v>0</v>
      </c>
      <c r="K29" s="107">
        <v>26.897178751328763</v>
      </c>
      <c r="L29" s="6"/>
      <c r="M29" s="114">
        <v>26.897178751328763</v>
      </c>
      <c r="N29" s="6"/>
      <c r="O29" s="97" t="str">
        <f t="shared" si="1"/>
        <v>USD12L3L21Y_Quote</v>
      </c>
      <c r="P29" s="51">
        <v>26.897178751328763</v>
      </c>
      <c r="Q29" s="98">
        <f>_xll.qlSimpleQuoteSetValue($O29,$P29/10000,Trigger)</f>
        <v>0</v>
      </c>
      <c r="R29" s="10"/>
    </row>
    <row r="30" spans="1:18" x14ac:dyDescent="0.2">
      <c r="A30" s="9">
        <v>22</v>
      </c>
      <c r="B30" s="76" t="s">
        <v>60</v>
      </c>
      <c r="C30" s="42" t="str">
        <v>12L</v>
      </c>
      <c r="D30" s="42" t="str">
        <v>3L</v>
      </c>
      <c r="E30" s="43" t="str">
        <f t="shared" si="0"/>
        <v>USD12L3L22Y</v>
      </c>
      <c r="F30" s="26" t="str">
        <v>USD12L3L22Y=ICAP</v>
      </c>
      <c r="G30" s="52" t="s">
        <v>175</v>
      </c>
      <c r="H30" s="52" t="s">
        <v>175</v>
      </c>
      <c r="I30" s="52" t="e">
        <f>_xll.qlMidEquivalent(G30,H30)</f>
        <v>#NUM!</v>
      </c>
      <c r="J30" s="15" t="b">
        <f t="shared" si="2"/>
        <v>0</v>
      </c>
      <c r="K30" s="107">
        <v>26.796473439160952</v>
      </c>
      <c r="L30" s="6"/>
      <c r="M30" s="114">
        <v>26.796473439160952</v>
      </c>
      <c r="N30" s="6"/>
      <c r="O30" s="97" t="str">
        <f t="shared" si="1"/>
        <v>USD12L3L22Y_Quote</v>
      </c>
      <c r="P30" s="51">
        <v>26.796473439160952</v>
      </c>
      <c r="Q30" s="98">
        <f>_xll.qlSimpleQuoteSetValue($O30,$P30/10000,Trigger)</f>
        <v>0</v>
      </c>
      <c r="R30" s="10"/>
    </row>
    <row r="31" spans="1:18" x14ac:dyDescent="0.2">
      <c r="A31" s="9">
        <v>23</v>
      </c>
      <c r="B31" s="76" t="s">
        <v>61</v>
      </c>
      <c r="C31" s="42" t="str">
        <v>12L</v>
      </c>
      <c r="D31" s="42" t="str">
        <v>3L</v>
      </c>
      <c r="E31" s="43" t="str">
        <f t="shared" si="0"/>
        <v>USD12L3L23Y</v>
      </c>
      <c r="F31" s="26" t="str">
        <v>USD12L3L23Y=ICAP</v>
      </c>
      <c r="G31" s="52" t="s">
        <v>175</v>
      </c>
      <c r="H31" s="52" t="s">
        <v>175</v>
      </c>
      <c r="I31" s="52" t="e">
        <f>_xll.qlMidEquivalent(G31,H31)</f>
        <v>#NUM!</v>
      </c>
      <c r="J31" s="15" t="b">
        <f t="shared" si="2"/>
        <v>0</v>
      </c>
      <c r="K31" s="107">
        <v>26.69717875132876</v>
      </c>
      <c r="L31" s="6"/>
      <c r="M31" s="114">
        <v>26.69717875132876</v>
      </c>
      <c r="N31" s="6"/>
      <c r="O31" s="97" t="str">
        <f t="shared" si="1"/>
        <v>USD12L3L23Y_Quote</v>
      </c>
      <c r="P31" s="51">
        <v>26.69717875132876</v>
      </c>
      <c r="Q31" s="98">
        <f>_xll.qlSimpleQuoteSetValue($O31,$P31/10000,Trigger)</f>
        <v>0</v>
      </c>
      <c r="R31" s="10"/>
    </row>
    <row r="32" spans="1:18" x14ac:dyDescent="0.2">
      <c r="A32" s="9">
        <v>24</v>
      </c>
      <c r="B32" s="76" t="s">
        <v>62</v>
      </c>
      <c r="C32" s="42" t="str">
        <v>12L</v>
      </c>
      <c r="D32" s="42" t="str">
        <v>3L</v>
      </c>
      <c r="E32" s="43" t="str">
        <f t="shared" si="0"/>
        <v>USD12L3L24Y</v>
      </c>
      <c r="F32" s="26" t="str">
        <v>USD12L3L24Y=ICAP</v>
      </c>
      <c r="G32" s="52" t="s">
        <v>175</v>
      </c>
      <c r="H32" s="52" t="s">
        <v>175</v>
      </c>
      <c r="I32" s="52" t="e">
        <f>_xll.qlMidEquivalent(G32,H32)</f>
        <v>#NUM!</v>
      </c>
      <c r="J32" s="15" t="b">
        <f t="shared" si="2"/>
        <v>0</v>
      </c>
      <c r="K32" s="107">
        <v>26.598589375664382</v>
      </c>
      <c r="L32" s="6"/>
      <c r="M32" s="114">
        <v>26.598589375664382</v>
      </c>
      <c r="N32" s="6"/>
      <c r="O32" s="97" t="str">
        <f t="shared" si="1"/>
        <v>USD12L3L24Y_Quote</v>
      </c>
      <c r="P32" s="51">
        <v>26.598589375664382</v>
      </c>
      <c r="Q32" s="98">
        <f>_xll.qlSimpleQuoteSetValue($O32,$P32/10000,Trigger)</f>
        <v>0</v>
      </c>
      <c r="R32" s="10"/>
    </row>
    <row r="33" spans="1:18" x14ac:dyDescent="0.2">
      <c r="A33" s="9">
        <v>25</v>
      </c>
      <c r="B33" s="76" t="s">
        <v>63</v>
      </c>
      <c r="C33" s="42" t="str">
        <v>12L</v>
      </c>
      <c r="D33" s="42" t="str">
        <v>3L</v>
      </c>
      <c r="E33" s="43" t="str">
        <f t="shared" si="0"/>
        <v>USD12L3L25Y</v>
      </c>
      <c r="F33" s="26" t="str">
        <v>USD12L3L25Y=ICAP</v>
      </c>
      <c r="G33" s="52">
        <v>26.5</v>
      </c>
      <c r="H33" s="52">
        <v>0</v>
      </c>
      <c r="I33" s="52">
        <f>_xll.qlMidEquivalent(G33,H33)</f>
        <v>26.5</v>
      </c>
      <c r="J33" s="15" t="b">
        <f t="shared" si="2"/>
        <v>1</v>
      </c>
      <c r="K33" s="107">
        <v>26.5</v>
      </c>
      <c r="L33" s="6"/>
      <c r="M33" s="114">
        <v>26.5</v>
      </c>
      <c r="N33" s="6"/>
      <c r="O33" s="97" t="str">
        <f t="shared" si="1"/>
        <v>USD12L3L25Y_Quote</v>
      </c>
      <c r="P33" s="51">
        <v>26.5</v>
      </c>
      <c r="Q33" s="98">
        <f>_xll.qlSimpleQuoteSetValue($O33,$P33/10000,Trigger)</f>
        <v>0</v>
      </c>
      <c r="R33" s="10"/>
    </row>
    <row r="34" spans="1:18" x14ac:dyDescent="0.2">
      <c r="A34" s="9">
        <v>26</v>
      </c>
      <c r="B34" s="76" t="s">
        <v>64</v>
      </c>
      <c r="C34" s="42" t="str">
        <v>12L</v>
      </c>
      <c r="D34" s="42" t="str">
        <v>3L</v>
      </c>
      <c r="E34" s="43" t="str">
        <f t="shared" si="0"/>
        <v>USD12L3L26Y</v>
      </c>
      <c r="F34" s="26" t="str">
        <v>USD12L3L26Y=ICAP</v>
      </c>
      <c r="G34" s="52" t="s">
        <v>175</v>
      </c>
      <c r="H34" s="52" t="s">
        <v>175</v>
      </c>
      <c r="I34" s="52" t="e">
        <f>_xll.qlMidEquivalent(G34,H34)</f>
        <v>#NUM!</v>
      </c>
      <c r="J34" s="15" t="b">
        <f t="shared" si="2"/>
        <v>0</v>
      </c>
      <c r="K34" s="107">
        <v>26.400846374601372</v>
      </c>
      <c r="L34" s="6"/>
      <c r="M34" s="114">
        <v>26.400846374601372</v>
      </c>
      <c r="N34" s="6"/>
      <c r="O34" s="97" t="str">
        <f t="shared" si="1"/>
        <v>USD12L3L26Y_Quote</v>
      </c>
      <c r="P34" s="51">
        <v>26.400846374601372</v>
      </c>
      <c r="Q34" s="98">
        <f>_xll.qlSimpleQuoteSetValue($O34,$P34/10000,Trigger)</f>
        <v>0</v>
      </c>
      <c r="R34" s="10"/>
    </row>
    <row r="35" spans="1:18" x14ac:dyDescent="0.2">
      <c r="A35" s="9">
        <v>27</v>
      </c>
      <c r="B35" s="76" t="s">
        <v>65</v>
      </c>
      <c r="C35" s="42" t="str">
        <v>12L</v>
      </c>
      <c r="D35" s="42" t="str">
        <v>3L</v>
      </c>
      <c r="E35" s="43" t="str">
        <f t="shared" si="0"/>
        <v>USD12L3L27Y</v>
      </c>
      <c r="F35" s="26" t="str">
        <v>USD12L3L27Y=ICAP</v>
      </c>
      <c r="G35" s="52" t="s">
        <v>175</v>
      </c>
      <c r="H35" s="52" t="s">
        <v>175</v>
      </c>
      <c r="I35" s="52" t="e">
        <f>_xll.qlMidEquivalent(G35,H35)</f>
        <v>#NUM!</v>
      </c>
      <c r="J35" s="15" t="b">
        <f t="shared" si="2"/>
        <v>0</v>
      </c>
      <c r="K35" s="107">
        <v>26.301128499468497</v>
      </c>
      <c r="L35" s="6"/>
      <c r="M35" s="114">
        <v>26.301128499468497</v>
      </c>
      <c r="N35" s="6"/>
      <c r="O35" s="97" t="str">
        <f t="shared" si="1"/>
        <v>USD12L3L27Y_Quote</v>
      </c>
      <c r="P35" s="51">
        <v>26.301128499468497</v>
      </c>
      <c r="Q35" s="98">
        <f>_xll.qlSimpleQuoteSetValue($O35,$P35/10000,Trigger)</f>
        <v>0</v>
      </c>
      <c r="R35" s="10"/>
    </row>
    <row r="36" spans="1:18" x14ac:dyDescent="0.2">
      <c r="A36" s="9">
        <v>28</v>
      </c>
      <c r="B36" s="76" t="s">
        <v>66</v>
      </c>
      <c r="C36" s="42" t="str">
        <v>12L</v>
      </c>
      <c r="D36" s="42" t="str">
        <v>3L</v>
      </c>
      <c r="E36" s="43" t="str">
        <f t="shared" si="0"/>
        <v>USD12L3L28Y</v>
      </c>
      <c r="F36" s="26" t="str">
        <v>USD12L3L28Y=ICAP</v>
      </c>
      <c r="G36" s="52" t="s">
        <v>175</v>
      </c>
      <c r="H36" s="52" t="s">
        <v>175</v>
      </c>
      <c r="I36" s="52" t="e">
        <f>_xll.qlMidEquivalent(G36,H36)</f>
        <v>#NUM!</v>
      </c>
      <c r="J36" s="15" t="b">
        <f t="shared" si="2"/>
        <v>0</v>
      </c>
      <c r="K36" s="107">
        <v>26.200987437034932</v>
      </c>
      <c r="L36" s="6"/>
      <c r="M36" s="114">
        <v>26.200987437034932</v>
      </c>
      <c r="N36" s="6"/>
      <c r="O36" s="97" t="str">
        <f t="shared" si="1"/>
        <v>USD12L3L28Y_Quote</v>
      </c>
      <c r="P36" s="51">
        <v>26.200987437034932</v>
      </c>
      <c r="Q36" s="98">
        <f>_xll.qlSimpleQuoteSetValue($O36,$P36/10000,Trigger)</f>
        <v>0</v>
      </c>
      <c r="R36" s="10"/>
    </row>
    <row r="37" spans="1:18" x14ac:dyDescent="0.2">
      <c r="A37" s="9">
        <v>29</v>
      </c>
      <c r="B37" s="76" t="s">
        <v>67</v>
      </c>
      <c r="C37" s="42" t="str">
        <v>12L</v>
      </c>
      <c r="D37" s="42" t="str">
        <v>3L</v>
      </c>
      <c r="E37" s="43" t="str">
        <f t="shared" si="0"/>
        <v>USD12L3L29Y</v>
      </c>
      <c r="F37" s="26" t="str">
        <v>USD12L3L29Y=ICAP</v>
      </c>
      <c r="G37" s="52" t="s">
        <v>175</v>
      </c>
      <c r="H37" s="52" t="s">
        <v>175</v>
      </c>
      <c r="I37" s="52" t="e">
        <f>_xll.qlMidEquivalent(G37,H37)</f>
        <v>#NUM!</v>
      </c>
      <c r="J37" s="15" t="b">
        <f t="shared" si="2"/>
        <v>0</v>
      </c>
      <c r="K37" s="107">
        <v>26.100564249734248</v>
      </c>
      <c r="L37" s="6"/>
      <c r="M37" s="114">
        <v>26.100564249734248</v>
      </c>
      <c r="N37" s="6"/>
      <c r="O37" s="97" t="str">
        <f t="shared" si="1"/>
        <v>USD12L3L29Y_Quote</v>
      </c>
      <c r="P37" s="51">
        <v>26.100564249734248</v>
      </c>
      <c r="Q37" s="98">
        <f>_xll.qlSimpleQuoteSetValue($O37,$P37/10000,Trigger)</f>
        <v>0</v>
      </c>
      <c r="R37" s="10"/>
    </row>
    <row r="38" spans="1:18" x14ac:dyDescent="0.2">
      <c r="A38" s="9">
        <v>30</v>
      </c>
      <c r="B38" s="76" t="s">
        <v>68</v>
      </c>
      <c r="C38" s="42" t="str">
        <v>12L</v>
      </c>
      <c r="D38" s="42" t="str">
        <v>3L</v>
      </c>
      <c r="E38" s="43" t="str">
        <f t="shared" si="0"/>
        <v>USD12L3L30Y</v>
      </c>
      <c r="F38" s="26" t="str">
        <v>USD12L3L30Y=ICAP</v>
      </c>
      <c r="G38" s="52">
        <v>26</v>
      </c>
      <c r="H38" s="52">
        <v>0</v>
      </c>
      <c r="I38" s="52">
        <f>_xll.qlMidEquivalent(G38,H38)</f>
        <v>26</v>
      </c>
      <c r="J38" s="15" t="b">
        <f t="shared" si="2"/>
        <v>1</v>
      </c>
      <c r="K38" s="107">
        <v>26</v>
      </c>
      <c r="L38" s="6"/>
      <c r="M38" s="114">
        <v>26</v>
      </c>
      <c r="N38" s="6"/>
      <c r="O38" s="97" t="str">
        <f t="shared" si="1"/>
        <v>USD12L3L30Y_Quote</v>
      </c>
      <c r="P38" s="51">
        <v>26</v>
      </c>
      <c r="Q38" s="98">
        <f>_xll.qlSimpleQuoteSetValue($O38,$P38/10000,Trigger)</f>
        <v>0</v>
      </c>
      <c r="R38" s="10"/>
    </row>
    <row r="39" spans="1:18" x14ac:dyDescent="0.2">
      <c r="A39" s="9">
        <v>35</v>
      </c>
      <c r="B39" s="76" t="s">
        <v>69</v>
      </c>
      <c r="C39" s="42" t="str">
        <v>12L</v>
      </c>
      <c r="D39" s="42" t="str">
        <v>3L</v>
      </c>
      <c r="E39" s="43" t="str">
        <f t="shared" si="0"/>
        <v>USD12L3L35Y</v>
      </c>
      <c r="F39" s="26" t="str">
        <v>USD12L3L35Y=ICAP</v>
      </c>
      <c r="G39" s="52" t="s">
        <v>175</v>
      </c>
      <c r="H39" s="52" t="s">
        <v>175</v>
      </c>
      <c r="I39" s="52" t="e">
        <f>_xll.qlMidEquivalent(G39,H39)</f>
        <v>#NUM!</v>
      </c>
      <c r="J39" s="15" t="b">
        <f t="shared" si="2"/>
        <v>0</v>
      </c>
      <c r="K39" s="108">
        <f>K38</f>
        <v>26</v>
      </c>
      <c r="L39" s="6"/>
      <c r="M39" s="114">
        <v>26</v>
      </c>
      <c r="N39" s="6"/>
      <c r="O39" s="97" t="str">
        <f t="shared" si="1"/>
        <v>USD12L3L35Y_Quote</v>
      </c>
      <c r="P39" s="51">
        <v>26</v>
      </c>
      <c r="Q39" s="98">
        <f>_xll.qlSimpleQuoteSetValue($O39,$P39/10000,Trigger)</f>
        <v>0</v>
      </c>
      <c r="R39" s="10"/>
    </row>
    <row r="40" spans="1:18" x14ac:dyDescent="0.2">
      <c r="A40" s="9">
        <v>40</v>
      </c>
      <c r="B40" s="76" t="s">
        <v>70</v>
      </c>
      <c r="C40" s="42" t="str">
        <v>12L</v>
      </c>
      <c r="D40" s="42" t="str">
        <v>3L</v>
      </c>
      <c r="E40" s="43" t="str">
        <f t="shared" si="0"/>
        <v>USD12L3L40Y</v>
      </c>
      <c r="F40" s="26" t="str">
        <v>USD12L3L40Y=ICAP</v>
      </c>
      <c r="G40" s="52" t="s">
        <v>175</v>
      </c>
      <c r="H40" s="52" t="s">
        <v>175</v>
      </c>
      <c r="I40" s="52" t="e">
        <f>_xll.qlMidEquivalent(G40,H40)</f>
        <v>#NUM!</v>
      </c>
      <c r="J40" s="15" t="b">
        <f t="shared" si="2"/>
        <v>0</v>
      </c>
      <c r="K40" s="108">
        <f>K39</f>
        <v>26</v>
      </c>
      <c r="L40" s="6"/>
      <c r="M40" s="114">
        <v>26</v>
      </c>
      <c r="N40" s="6"/>
      <c r="O40" s="97" t="str">
        <f t="shared" si="1"/>
        <v>USD12L3L40Y_Quote</v>
      </c>
      <c r="P40" s="51">
        <v>26</v>
      </c>
      <c r="Q40" s="98">
        <f>_xll.qlSimpleQuoteSetValue($O40,$P40/10000,Trigger)</f>
        <v>0</v>
      </c>
      <c r="R40" s="10"/>
    </row>
    <row r="41" spans="1:18" x14ac:dyDescent="0.2">
      <c r="A41" s="9">
        <v>50</v>
      </c>
      <c r="B41" s="76" t="s">
        <v>71</v>
      </c>
      <c r="C41" s="42" t="str">
        <v>12L</v>
      </c>
      <c r="D41" s="42" t="str">
        <v>3L</v>
      </c>
      <c r="E41" s="43" t="str">
        <f t="shared" si="0"/>
        <v>USD12L3L50Y</v>
      </c>
      <c r="F41" s="26" t="str">
        <v>USD12L3L50Y=ICAP</v>
      </c>
      <c r="G41" s="52" t="s">
        <v>175</v>
      </c>
      <c r="H41" s="52" t="s">
        <v>175</v>
      </c>
      <c r="I41" s="52" t="e">
        <f>_xll.qlMidEquivalent(G41,H41)</f>
        <v>#NUM!</v>
      </c>
      <c r="J41" s="15" t="b">
        <f t="shared" si="2"/>
        <v>0</v>
      </c>
      <c r="K41" s="108">
        <f>K40</f>
        <v>26</v>
      </c>
      <c r="L41" s="6"/>
      <c r="M41" s="114">
        <v>26</v>
      </c>
      <c r="N41" s="6"/>
      <c r="O41" s="97" t="str">
        <f t="shared" si="1"/>
        <v>USD12L3L50Y_Quote</v>
      </c>
      <c r="P41" s="51">
        <v>26</v>
      </c>
      <c r="Q41" s="98">
        <f>_xll.qlSimpleQuoteSetValue($O41,$P41/10000,Trigger)</f>
        <v>0</v>
      </c>
      <c r="R41" s="10"/>
    </row>
    <row r="42" spans="1:18" x14ac:dyDescent="0.2">
      <c r="A42" s="9">
        <v>60</v>
      </c>
      <c r="B42" s="78" t="s">
        <v>72</v>
      </c>
      <c r="C42" s="109" t="str">
        <v>12L</v>
      </c>
      <c r="D42" s="109" t="str">
        <v>3L</v>
      </c>
      <c r="E42" s="80" t="str">
        <f t="shared" si="0"/>
        <v>USD12L3L60Y</v>
      </c>
      <c r="F42" s="110" t="str">
        <v>USD12L3L60Y=ICAP</v>
      </c>
      <c r="G42" s="111" t="s">
        <v>175</v>
      </c>
      <c r="H42" s="111" t="s">
        <v>175</v>
      </c>
      <c r="I42" s="111" t="e">
        <f>_xll.qlMidEquivalent(G42,H42)</f>
        <v>#NUM!</v>
      </c>
      <c r="J42" s="81" t="b">
        <f t="shared" si="2"/>
        <v>0</v>
      </c>
      <c r="K42" s="113">
        <f>K41</f>
        <v>26</v>
      </c>
      <c r="L42" s="6"/>
      <c r="M42" s="115">
        <v>26</v>
      </c>
      <c r="N42" s="6"/>
      <c r="O42" s="99" t="str">
        <f t="shared" si="1"/>
        <v>USD12L3L60Y_Quote</v>
      </c>
      <c r="P42" s="112">
        <v>26</v>
      </c>
      <c r="Q42" s="100">
        <f>_xll.qlSimpleQuoteSetValue($O42,$P42/10000,Trigger)</f>
        <v>0</v>
      </c>
      <c r="R42" s="10"/>
    </row>
    <row r="43" spans="1:18" ht="12" thickBot="1" x14ac:dyDescent="0.25">
      <c r="A43" s="1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4"/>
    </row>
    <row r="47" spans="1:18" x14ac:dyDescent="0.2">
      <c r="F47" s="49"/>
    </row>
    <row r="48" spans="1:18" x14ac:dyDescent="0.2">
      <c r="F48" s="49"/>
    </row>
    <row r="49" spans="6:6" x14ac:dyDescent="0.2">
      <c r="F49" s="49"/>
    </row>
    <row r="50" spans="6:6" x14ac:dyDescent="0.2">
      <c r="F50" s="49"/>
    </row>
    <row r="51" spans="6:6" x14ac:dyDescent="0.2">
      <c r="F51" s="49"/>
    </row>
    <row r="52" spans="6:6" x14ac:dyDescent="0.2">
      <c r="F52" s="49"/>
    </row>
    <row r="53" spans="6:6" x14ac:dyDescent="0.2">
      <c r="F53" s="49"/>
    </row>
    <row r="54" spans="6:6" x14ac:dyDescent="0.2">
      <c r="F54" s="49"/>
    </row>
    <row r="55" spans="6:6" x14ac:dyDescent="0.2">
      <c r="F55" s="49"/>
    </row>
    <row r="56" spans="6:6" x14ac:dyDescent="0.2">
      <c r="F56" s="49"/>
    </row>
    <row r="57" spans="6:6" x14ac:dyDescent="0.2">
      <c r="F57" s="49"/>
    </row>
    <row r="58" spans="6:6" x14ac:dyDescent="0.2">
      <c r="F58" s="49"/>
    </row>
    <row r="59" spans="6:6" x14ac:dyDescent="0.2">
      <c r="F59" s="49"/>
    </row>
    <row r="60" spans="6:6" x14ac:dyDescent="0.2">
      <c r="F60" s="50"/>
    </row>
    <row r="61" spans="6:6" x14ac:dyDescent="0.2">
      <c r="F61" s="50"/>
    </row>
    <row r="62" spans="6:6" x14ac:dyDescent="0.2">
      <c r="F62" s="50"/>
    </row>
    <row r="63" spans="6:6" x14ac:dyDescent="0.2">
      <c r="F63" s="50"/>
    </row>
  </sheetData>
  <phoneticPr fontId="4" type="noConversion"/>
  <conditionalFormatting sqref="Q5:Q42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dataValidations disablePrompts="1" count="2">
    <dataValidation type="list" allowBlank="1" showInputMessage="1" showErrorMessage="1" sqref="F43:F44">
      <formula1>"FirstDerivative,SecondDerivative,Lagrange,NotAKnot,Periodic"</formula1>
    </dataValidation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63"/>
  <sheetViews>
    <sheetView workbookViewId="0">
      <selection activeCell="Q3" sqref="Q3"/>
    </sheetView>
  </sheetViews>
  <sheetFormatPr defaultRowHeight="12.75" x14ac:dyDescent="0.2"/>
  <cols>
    <col min="1" max="1" width="5" customWidth="1"/>
    <col min="2" max="2" width="3.85546875" bestFit="1" customWidth="1"/>
    <col min="3" max="3" width="2.7109375" bestFit="1" customWidth="1"/>
    <col min="4" max="4" width="4" bestFit="1" customWidth="1"/>
    <col min="5" max="5" width="9.85546875" bestFit="1" customWidth="1"/>
    <col min="6" max="6" width="15" bestFit="1" customWidth="1"/>
    <col min="7" max="9" width="5.7109375" bestFit="1" customWidth="1"/>
    <col min="10" max="10" width="10" bestFit="1" customWidth="1"/>
    <col min="11" max="11" width="9" customWidth="1"/>
    <col min="12" max="12" width="5" customWidth="1"/>
    <col min="13" max="13" width="5.28515625" bestFit="1" customWidth="1"/>
    <col min="14" max="14" width="5" customWidth="1"/>
    <col min="15" max="15" width="15" bestFit="1" customWidth="1"/>
    <col min="16" max="17" width="7.7109375" bestFit="1" customWidth="1"/>
    <col min="18" max="18" width="5" customWidth="1"/>
    <col min="19" max="19" width="5.140625" customWidth="1"/>
  </cols>
  <sheetData>
    <row r="1" spans="1:20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0" x14ac:dyDescent="0.2">
      <c r="A2" s="5"/>
      <c r="B2" s="7"/>
      <c r="C2" s="7"/>
      <c r="D2" s="7"/>
      <c r="E2" s="7"/>
      <c r="F2" s="117" t="s">
        <v>6</v>
      </c>
      <c r="G2" s="7"/>
      <c r="H2" s="7"/>
      <c r="I2" s="7"/>
      <c r="J2" s="7"/>
      <c r="K2" s="7"/>
      <c r="L2" s="6"/>
      <c r="M2" s="6"/>
      <c r="N2" s="6"/>
      <c r="O2" s="188" t="s">
        <v>79</v>
      </c>
      <c r="P2" s="189" t="s">
        <v>34</v>
      </c>
      <c r="Q2" s="7"/>
      <c r="R2" s="8"/>
    </row>
    <row r="3" spans="1:20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_xll.ohTrigger(Q5:Q24)</f>
        <v>31</v>
      </c>
      <c r="R3" s="10"/>
    </row>
    <row r="4" spans="1:20" ht="22.5" x14ac:dyDescent="0.2">
      <c r="A4" s="9"/>
      <c r="B4" s="250"/>
      <c r="C4" s="251"/>
      <c r="D4" s="251"/>
      <c r="E4" s="251"/>
      <c r="F4" s="252" t="str">
        <f>_xll.RData(F5:F58,G4:J4,"RTFEED:IDN",ReutersRtMode,,G5)</f>
        <v>Updated at 20:17:11</v>
      </c>
      <c r="G4" s="253" t="s">
        <v>0</v>
      </c>
      <c r="H4" s="253" t="s">
        <v>1</v>
      </c>
      <c r="I4" s="253" t="s">
        <v>25</v>
      </c>
      <c r="J4" s="253" t="s">
        <v>26</v>
      </c>
      <c r="K4" s="254" t="s">
        <v>27</v>
      </c>
      <c r="L4" s="6"/>
      <c r="M4" s="90" t="s">
        <v>115</v>
      </c>
      <c r="N4" s="6"/>
      <c r="O4" s="91" t="s">
        <v>31</v>
      </c>
      <c r="P4" s="92" t="s">
        <v>17</v>
      </c>
      <c r="Q4" s="93" t="s">
        <v>24</v>
      </c>
      <c r="R4" s="10"/>
    </row>
    <row r="5" spans="1:20" x14ac:dyDescent="0.2">
      <c r="A5" s="9"/>
      <c r="B5" s="170" t="s">
        <v>85</v>
      </c>
      <c r="C5" s="171"/>
      <c r="D5" s="171" t="s">
        <v>155</v>
      </c>
      <c r="E5" s="172" t="str">
        <f t="shared" ref="E5:E36" si="0">Currency&amp;$B5&amp;$C5&amp;$D5</f>
        <v>USDSWOIS</v>
      </c>
      <c r="F5" s="172" t="str">
        <f t="array" ref="F5:F58">Instruments&amp;"="&amp;VLOOKUP(Contributor,ContributorTable,2,FALSE)</f>
        <v>USDSWOIS=TTKL</v>
      </c>
      <c r="G5" s="95">
        <v>7.4999999999999997E-2</v>
      </c>
      <c r="H5" s="95">
        <v>0.105</v>
      </c>
      <c r="I5" s="95">
        <v>0</v>
      </c>
      <c r="J5" s="95">
        <v>0</v>
      </c>
      <c r="K5" s="174">
        <f>_xll.qlMidEquivalent($G5,$H5,$I5,$J5)</f>
        <v>0.09</v>
      </c>
      <c r="L5" s="6"/>
      <c r="M5" s="193">
        <v>0.09</v>
      </c>
      <c r="N5" s="6"/>
      <c r="O5" s="97" t="str">
        <f t="shared" ref="O5:O36" si="1">Currency&amp;$D5&amp;$C5&amp;$B5&amp;$P$2</f>
        <v>USDOISSW_Quote</v>
      </c>
      <c r="P5" s="95">
        <f t="array" ref="P5:P58">QuoteLive</f>
        <v>0.09</v>
      </c>
      <c r="Q5" s="96">
        <f>_xll.qlSimpleQuoteSetValue($O5,$P5/100,Trigger)</f>
        <v>0</v>
      </c>
      <c r="R5" s="10"/>
    </row>
    <row r="6" spans="1:20" x14ac:dyDescent="0.2">
      <c r="A6" s="9"/>
      <c r="B6" s="76" t="s">
        <v>86</v>
      </c>
      <c r="C6" s="42"/>
      <c r="D6" s="42" t="s">
        <v>155</v>
      </c>
      <c r="E6" s="43" t="str">
        <f t="shared" si="0"/>
        <v>USD2WOIS</v>
      </c>
      <c r="F6" s="43" t="str">
        <v>USD2WOIS=TTKL</v>
      </c>
      <c r="G6" s="15">
        <v>7.0999999999999994E-2</v>
      </c>
      <c r="H6" s="15">
        <v>0.10100000000000001</v>
      </c>
      <c r="I6" s="15">
        <v>0</v>
      </c>
      <c r="J6" s="15">
        <v>0</v>
      </c>
      <c r="K6" s="77">
        <f>_xll.qlMidEquivalent($G6,$H6,$I6,$J6)</f>
        <v>8.5999999999999993E-2</v>
      </c>
      <c r="L6" s="6"/>
      <c r="M6" s="133">
        <v>8.5999999999999993E-2</v>
      </c>
      <c r="N6" s="6"/>
      <c r="O6" s="97" t="str">
        <f t="shared" si="1"/>
        <v>USDOIS2W_Quote</v>
      </c>
      <c r="P6" s="15">
        <v>8.5999999999999993E-2</v>
      </c>
      <c r="Q6" s="98">
        <f>_xll.qlSimpleQuoteSetValue($O6,$P6/100,Trigger)</f>
        <v>0</v>
      </c>
      <c r="R6" s="10"/>
    </row>
    <row r="7" spans="1:20" x14ac:dyDescent="0.2">
      <c r="A7" s="9"/>
      <c r="B7" s="76" t="s">
        <v>87</v>
      </c>
      <c r="C7" s="42"/>
      <c r="D7" s="42" t="s">
        <v>155</v>
      </c>
      <c r="E7" s="43" t="str">
        <f t="shared" si="0"/>
        <v>USD3WOIS</v>
      </c>
      <c r="F7" s="43" t="str">
        <v>USD3WOIS=TTKL</v>
      </c>
      <c r="G7" s="15">
        <v>7.0000000000000007E-2</v>
      </c>
      <c r="H7" s="15">
        <v>0.1</v>
      </c>
      <c r="I7" s="15">
        <v>0</v>
      </c>
      <c r="J7" s="15">
        <v>0</v>
      </c>
      <c r="K7" s="77">
        <f>_xll.qlMidEquivalent($G7,$H7,$I7,$J7)</f>
        <v>8.5000000000000006E-2</v>
      </c>
      <c r="L7" s="6"/>
      <c r="M7" s="133">
        <v>8.5000000000000006E-2</v>
      </c>
      <c r="N7" s="6"/>
      <c r="O7" s="97" t="str">
        <f t="shared" si="1"/>
        <v>USDOIS3W_Quote</v>
      </c>
      <c r="P7" s="15">
        <v>8.5000000000000006E-2</v>
      </c>
      <c r="Q7" s="98">
        <f>_xll.qlSimpleQuoteSetValue($O7,$P7/100,Trigger)</f>
        <v>0</v>
      </c>
      <c r="R7" s="10"/>
    </row>
    <row r="8" spans="1:20" x14ac:dyDescent="0.2">
      <c r="A8" s="9"/>
      <c r="B8" s="76" t="s">
        <v>88</v>
      </c>
      <c r="C8" s="42"/>
      <c r="D8" s="42" t="s">
        <v>155</v>
      </c>
      <c r="E8" s="43" t="str">
        <f t="shared" si="0"/>
        <v>USD1MOIS</v>
      </c>
      <c r="F8" s="43" t="str">
        <v>USD1MOIS=TTKL</v>
      </c>
      <c r="G8" s="15">
        <v>6.9000000000000006E-2</v>
      </c>
      <c r="H8" s="15">
        <v>9.9000000000000005E-2</v>
      </c>
      <c r="I8" s="15">
        <v>0</v>
      </c>
      <c r="J8" s="15">
        <v>0</v>
      </c>
      <c r="K8" s="77">
        <f>_xll.qlMidEquivalent($G8,$H8,$I8,$J8)</f>
        <v>8.4000000000000005E-2</v>
      </c>
      <c r="L8" s="6"/>
      <c r="M8" s="133">
        <v>8.4000000000000005E-2</v>
      </c>
      <c r="N8" s="6"/>
      <c r="O8" s="97" t="str">
        <f t="shared" si="1"/>
        <v>USDOIS1M_Quote</v>
      </c>
      <c r="P8" s="15">
        <v>8.4000000000000005E-2</v>
      </c>
      <c r="Q8" s="98">
        <f>_xll.qlSimpleQuoteSetValue($O8,$P8/100,Trigger)</f>
        <v>0</v>
      </c>
      <c r="R8" s="10"/>
    </row>
    <row r="9" spans="1:20" x14ac:dyDescent="0.2">
      <c r="A9" s="9"/>
      <c r="B9" s="76" t="s">
        <v>89</v>
      </c>
      <c r="C9" s="42"/>
      <c r="D9" s="42" t="s">
        <v>155</v>
      </c>
      <c r="E9" s="43" t="str">
        <f t="shared" si="0"/>
        <v>USD2MOIS</v>
      </c>
      <c r="F9" s="43" t="str">
        <v>USD2MOIS=TTKL</v>
      </c>
      <c r="G9" s="15">
        <v>6.9000000000000006E-2</v>
      </c>
      <c r="H9" s="15">
        <v>9.9000000000000005E-2</v>
      </c>
      <c r="I9" s="15">
        <v>0</v>
      </c>
      <c r="J9" s="15">
        <v>0</v>
      </c>
      <c r="K9" s="77">
        <f>_xll.qlMidEquivalent($G9,$H9,$I9,$J9)</f>
        <v>8.4000000000000005E-2</v>
      </c>
      <c r="L9" s="6"/>
      <c r="M9" s="133">
        <v>8.4000000000000005E-2</v>
      </c>
      <c r="N9" s="6"/>
      <c r="O9" s="97" t="str">
        <f t="shared" si="1"/>
        <v>USDOIS2M_Quote</v>
      </c>
      <c r="P9" s="15">
        <v>8.4000000000000005E-2</v>
      </c>
      <c r="Q9" s="98">
        <f>_xll.qlSimpleQuoteSetValue($O9,$P9/100,Trigger)</f>
        <v>0</v>
      </c>
      <c r="R9" s="10"/>
    </row>
    <row r="10" spans="1:20" x14ac:dyDescent="0.2">
      <c r="A10" s="9"/>
      <c r="B10" s="76" t="s">
        <v>90</v>
      </c>
      <c r="C10" s="42"/>
      <c r="D10" s="42" t="s">
        <v>155</v>
      </c>
      <c r="E10" s="43" t="str">
        <f t="shared" si="0"/>
        <v>USD3MOIS</v>
      </c>
      <c r="F10" s="43" t="str">
        <v>USD3MOIS=TTKL</v>
      </c>
      <c r="G10" s="15">
        <v>6.9000000000000006E-2</v>
      </c>
      <c r="H10" s="15">
        <v>9.9000000000000005E-2</v>
      </c>
      <c r="I10" s="15">
        <v>0</v>
      </c>
      <c r="J10" s="15">
        <v>0</v>
      </c>
      <c r="K10" s="77">
        <f>_xll.qlMidEquivalent($G10,$H10,$I10,$J10)</f>
        <v>8.4000000000000005E-2</v>
      </c>
      <c r="L10" s="6"/>
      <c r="M10" s="133">
        <v>8.4000000000000005E-2</v>
      </c>
      <c r="N10" s="6"/>
      <c r="O10" s="97" t="str">
        <f t="shared" si="1"/>
        <v>USDOIS3M_Quote</v>
      </c>
      <c r="P10" s="15">
        <v>8.4000000000000005E-2</v>
      </c>
      <c r="Q10" s="98">
        <f>_xll.qlSimpleQuoteSetValue($O10,$P10/100,Trigger)</f>
        <v>0</v>
      </c>
      <c r="R10" s="10"/>
    </row>
    <row r="11" spans="1:20" x14ac:dyDescent="0.2">
      <c r="A11" s="9"/>
      <c r="B11" s="76" t="s">
        <v>91</v>
      </c>
      <c r="C11" s="42"/>
      <c r="D11" s="42" t="s">
        <v>155</v>
      </c>
      <c r="E11" s="43" t="str">
        <f t="shared" si="0"/>
        <v>USD4MOIS</v>
      </c>
      <c r="F11" s="43" t="str">
        <v>USD4MOIS=TTKL</v>
      </c>
      <c r="G11" s="15">
        <v>7.2999999999999995E-2</v>
      </c>
      <c r="H11" s="15">
        <v>0.10299999999999999</v>
      </c>
      <c r="I11" s="15">
        <v>0</v>
      </c>
      <c r="J11" s="15">
        <v>0</v>
      </c>
      <c r="K11" s="77">
        <f>_xll.qlMidEquivalent($G11,$H11,$I11,$J11)</f>
        <v>8.7999999999999995E-2</v>
      </c>
      <c r="L11" s="6"/>
      <c r="M11" s="133">
        <v>8.7999999999999995E-2</v>
      </c>
      <c r="N11" s="6"/>
      <c r="O11" s="97" t="str">
        <f t="shared" si="1"/>
        <v>USDOIS4M_Quote</v>
      </c>
      <c r="P11" s="15">
        <v>8.7999999999999995E-2</v>
      </c>
      <c r="Q11" s="98">
        <f>_xll.qlSimpleQuoteSetValue($O11,$P11/100,Trigger)</f>
        <v>0</v>
      </c>
      <c r="R11" s="10"/>
      <c r="T11" s="54"/>
    </row>
    <row r="12" spans="1:20" x14ac:dyDescent="0.2">
      <c r="A12" s="9"/>
      <c r="B12" s="76" t="s">
        <v>92</v>
      </c>
      <c r="C12" s="42"/>
      <c r="D12" s="42" t="s">
        <v>155</v>
      </c>
      <c r="E12" s="43" t="str">
        <f t="shared" si="0"/>
        <v>USD5MOIS</v>
      </c>
      <c r="F12" s="43" t="str">
        <v>USD5MOIS=TTKL</v>
      </c>
      <c r="G12" s="15">
        <v>7.4999999999999997E-2</v>
      </c>
      <c r="H12" s="15">
        <v>0.105</v>
      </c>
      <c r="I12" s="15">
        <v>0</v>
      </c>
      <c r="J12" s="15">
        <v>0</v>
      </c>
      <c r="K12" s="77">
        <f>_xll.qlMidEquivalent($G12,$H12,$I12,$J12)</f>
        <v>0.09</v>
      </c>
      <c r="L12" s="6"/>
      <c r="M12" s="133">
        <v>0.09</v>
      </c>
      <c r="N12" s="6"/>
      <c r="O12" s="97" t="str">
        <f t="shared" si="1"/>
        <v>USDOIS5M_Quote</v>
      </c>
      <c r="P12" s="15">
        <v>0.09</v>
      </c>
      <c r="Q12" s="98">
        <f>_xll.qlSimpleQuoteSetValue($O12,$P12/100,Trigger)</f>
        <v>0</v>
      </c>
      <c r="R12" s="10"/>
    </row>
    <row r="13" spans="1:20" x14ac:dyDescent="0.2">
      <c r="A13" s="9"/>
      <c r="B13" s="76" t="s">
        <v>93</v>
      </c>
      <c r="C13" s="42"/>
      <c r="D13" s="42" t="s">
        <v>155</v>
      </c>
      <c r="E13" s="43" t="str">
        <f t="shared" si="0"/>
        <v>USD6MOIS</v>
      </c>
      <c r="F13" s="43" t="str">
        <v>USD6MOIS=TTKL</v>
      </c>
      <c r="G13" s="15">
        <v>7.8E-2</v>
      </c>
      <c r="H13" s="15">
        <v>0.108</v>
      </c>
      <c r="I13" s="15">
        <v>0</v>
      </c>
      <c r="J13" s="15">
        <v>0</v>
      </c>
      <c r="K13" s="77">
        <f>_xll.qlMidEquivalent($G13,$H13,$I13,$J13)</f>
        <v>9.2999999999999999E-2</v>
      </c>
      <c r="L13" s="6"/>
      <c r="M13" s="133">
        <v>9.2999999999999999E-2</v>
      </c>
      <c r="N13" s="6"/>
      <c r="O13" s="97" t="str">
        <f t="shared" si="1"/>
        <v>USDOIS6M_Quote</v>
      </c>
      <c r="P13" s="15">
        <v>9.2999999999999999E-2</v>
      </c>
      <c r="Q13" s="98">
        <f>_xll.qlSimpleQuoteSetValue($O13,$P13/100,Trigger)</f>
        <v>0</v>
      </c>
      <c r="R13" s="10"/>
    </row>
    <row r="14" spans="1:20" x14ac:dyDescent="0.2">
      <c r="A14" s="9"/>
      <c r="B14" s="76" t="s">
        <v>94</v>
      </c>
      <c r="C14" s="42"/>
      <c r="D14" s="42" t="s">
        <v>155</v>
      </c>
      <c r="E14" s="43" t="str">
        <f t="shared" si="0"/>
        <v>USD7MOIS</v>
      </c>
      <c r="F14" s="43" t="str">
        <v>USD7MOIS=TTKL</v>
      </c>
      <c r="G14" s="15">
        <v>8.2000000000000003E-2</v>
      </c>
      <c r="H14" s="15">
        <v>0.112</v>
      </c>
      <c r="I14" s="15">
        <v>0</v>
      </c>
      <c r="J14" s="15">
        <v>0</v>
      </c>
      <c r="K14" s="77">
        <f>_xll.qlMidEquivalent($G14,$H14,$I14,$J14)</f>
        <v>9.7000000000000003E-2</v>
      </c>
      <c r="L14" s="6"/>
      <c r="M14" s="133">
        <v>9.6000000000000002E-2</v>
      </c>
      <c r="N14" s="6"/>
      <c r="O14" s="97" t="str">
        <f t="shared" si="1"/>
        <v>USDOIS7M_Quote</v>
      </c>
      <c r="P14" s="15">
        <v>9.7000000000000003E-2</v>
      </c>
      <c r="Q14" s="98">
        <f>_xll.qlSimpleQuoteSetValue($O14,$P14/100,Trigger)</f>
        <v>0</v>
      </c>
      <c r="R14" s="10"/>
    </row>
    <row r="15" spans="1:20" x14ac:dyDescent="0.2">
      <c r="A15" s="9"/>
      <c r="B15" s="76" t="s">
        <v>95</v>
      </c>
      <c r="C15" s="42"/>
      <c r="D15" s="42" t="s">
        <v>155</v>
      </c>
      <c r="E15" s="43" t="str">
        <f t="shared" si="0"/>
        <v>USD8MOIS</v>
      </c>
      <c r="F15" s="43" t="str">
        <v>USD8MOIS=TTKL</v>
      </c>
      <c r="G15" s="15">
        <v>8.5000000000000006E-2</v>
      </c>
      <c r="H15" s="15">
        <v>0.115</v>
      </c>
      <c r="I15" s="15">
        <v>0</v>
      </c>
      <c r="J15" s="15">
        <v>0</v>
      </c>
      <c r="K15" s="77">
        <f>_xll.qlMidEquivalent($G15,$H15,$I15,$J15)</f>
        <v>0.1</v>
      </c>
      <c r="L15" s="6"/>
      <c r="M15" s="133">
        <v>0.1</v>
      </c>
      <c r="N15" s="6"/>
      <c r="O15" s="97" t="str">
        <f t="shared" si="1"/>
        <v>USDOIS8M_Quote</v>
      </c>
      <c r="P15" s="15">
        <v>0.1</v>
      </c>
      <c r="Q15" s="98">
        <f>_xll.qlSimpleQuoteSetValue($O15,$P15/100,Trigger)</f>
        <v>0</v>
      </c>
      <c r="R15" s="10"/>
    </row>
    <row r="16" spans="1:20" x14ac:dyDescent="0.2">
      <c r="A16" s="9"/>
      <c r="B16" s="76" t="s">
        <v>96</v>
      </c>
      <c r="C16" s="42"/>
      <c r="D16" s="42" t="s">
        <v>155</v>
      </c>
      <c r="E16" s="43" t="str">
        <f t="shared" si="0"/>
        <v>USD9MOIS</v>
      </c>
      <c r="F16" s="43" t="str">
        <v>USD9MOIS=TTKL</v>
      </c>
      <c r="G16" s="15">
        <v>0.09</v>
      </c>
      <c r="H16" s="15">
        <v>0.12</v>
      </c>
      <c r="I16" s="15">
        <v>0</v>
      </c>
      <c r="J16" s="15">
        <v>0</v>
      </c>
      <c r="K16" s="77">
        <f>_xll.qlMidEquivalent($G16,$H16,$I16,$J16)</f>
        <v>0.105</v>
      </c>
      <c r="L16" s="6"/>
      <c r="M16" s="133">
        <v>0.104</v>
      </c>
      <c r="N16" s="6"/>
      <c r="O16" s="97" t="str">
        <f t="shared" si="1"/>
        <v>USDOIS9M_Quote</v>
      </c>
      <c r="P16" s="15">
        <v>0.105</v>
      </c>
      <c r="Q16" s="98">
        <f>_xll.qlSimpleQuoteSetValue($O16,$P16/100,Trigger)</f>
        <v>0</v>
      </c>
      <c r="R16" s="10"/>
    </row>
    <row r="17" spans="1:18" x14ac:dyDescent="0.2">
      <c r="A17" s="9"/>
      <c r="B17" s="76" t="s">
        <v>97</v>
      </c>
      <c r="C17" s="42"/>
      <c r="D17" s="42" t="s">
        <v>155</v>
      </c>
      <c r="E17" s="43" t="str">
        <f t="shared" si="0"/>
        <v>USD10MOIS</v>
      </c>
      <c r="F17" s="43" t="str">
        <v>USD10MOIS=TTKL</v>
      </c>
      <c r="G17" s="15">
        <v>9.4E-2</v>
      </c>
      <c r="H17" s="15">
        <v>0.124</v>
      </c>
      <c r="I17" s="15">
        <v>0</v>
      </c>
      <c r="J17" s="15">
        <v>0</v>
      </c>
      <c r="K17" s="77">
        <f>_xll.qlMidEquivalent($G17,$H17,$I17,$J17)</f>
        <v>0.109</v>
      </c>
      <c r="L17" s="6"/>
      <c r="M17" s="133">
        <v>0.109</v>
      </c>
      <c r="N17" s="6"/>
      <c r="O17" s="97" t="str">
        <f t="shared" si="1"/>
        <v>USDOIS10M_Quote</v>
      </c>
      <c r="P17" s="15">
        <v>0.109</v>
      </c>
      <c r="Q17" s="98">
        <f>_xll.qlSimpleQuoteSetValue($O17,$P17/100,Trigger)</f>
        <v>0</v>
      </c>
      <c r="R17" s="10"/>
    </row>
    <row r="18" spans="1:18" x14ac:dyDescent="0.2">
      <c r="A18" s="9"/>
      <c r="B18" s="76" t="s">
        <v>98</v>
      </c>
      <c r="C18" s="42"/>
      <c r="D18" s="42" t="s">
        <v>155</v>
      </c>
      <c r="E18" s="43" t="str">
        <f t="shared" si="0"/>
        <v>USD11MOIS</v>
      </c>
      <c r="F18" s="43" t="str">
        <v>USD11MOIS=TTKL</v>
      </c>
      <c r="G18" s="15">
        <v>9.9000000000000005E-2</v>
      </c>
      <c r="H18" s="15">
        <v>0.129</v>
      </c>
      <c r="I18" s="15">
        <v>0</v>
      </c>
      <c r="J18" s="15">
        <v>0</v>
      </c>
      <c r="K18" s="77">
        <f>_xll.qlMidEquivalent($G18,$H18,$I18,$J18)</f>
        <v>0.114</v>
      </c>
      <c r="L18" s="6"/>
      <c r="M18" s="133">
        <v>0.113</v>
      </c>
      <c r="N18" s="6"/>
      <c r="O18" s="97" t="str">
        <f t="shared" si="1"/>
        <v>USDOIS11M_Quote</v>
      </c>
      <c r="P18" s="15">
        <v>0.114</v>
      </c>
      <c r="Q18" s="98">
        <f>_xll.qlSimpleQuoteSetValue($O18,$P18/100,Trigger)</f>
        <v>0</v>
      </c>
      <c r="R18" s="10"/>
    </row>
    <row r="19" spans="1:18" x14ac:dyDescent="0.2">
      <c r="A19" s="9"/>
      <c r="B19" s="76" t="s">
        <v>36</v>
      </c>
      <c r="C19" s="42"/>
      <c r="D19" s="42" t="s">
        <v>155</v>
      </c>
      <c r="E19" s="43" t="str">
        <f t="shared" si="0"/>
        <v>USD1YOIS</v>
      </c>
      <c r="F19" s="43" t="str">
        <v>USD1YOIS=TTKL</v>
      </c>
      <c r="G19" s="15">
        <v>0.104</v>
      </c>
      <c r="H19" s="15">
        <v>0.13400000000000001</v>
      </c>
      <c r="I19" s="15">
        <v>0</v>
      </c>
      <c r="J19" s="15">
        <v>0</v>
      </c>
      <c r="K19" s="77">
        <f>_xll.qlMidEquivalent($G19,$H19,$I19,$J19)</f>
        <v>0.11899999999999999</v>
      </c>
      <c r="L19" s="6"/>
      <c r="M19" s="133">
        <v>0.11899999999999999</v>
      </c>
      <c r="N19" s="6"/>
      <c r="O19" s="97" t="str">
        <f t="shared" si="1"/>
        <v>USDOIS1Y_Quote</v>
      </c>
      <c r="P19" s="15">
        <v>0.11899999999999999</v>
      </c>
      <c r="Q19" s="98">
        <f>_xll.qlSimpleQuoteSetValue($O19,$P19/100,Trigger)</f>
        <v>0</v>
      </c>
      <c r="R19" s="10"/>
    </row>
    <row r="20" spans="1:18" x14ac:dyDescent="0.2">
      <c r="A20" s="9"/>
      <c r="B20" s="76" t="s">
        <v>156</v>
      </c>
      <c r="C20" s="42"/>
      <c r="D20" s="42" t="s">
        <v>155</v>
      </c>
      <c r="E20" s="43" t="str">
        <f t="shared" si="0"/>
        <v>USD13MOIS</v>
      </c>
      <c r="F20" s="43" t="str">
        <v>USD13MOIS=TTKL</v>
      </c>
      <c r="G20" s="15">
        <v>0.109</v>
      </c>
      <c r="H20" s="15">
        <v>0.13900000000000001</v>
      </c>
      <c r="I20" s="15">
        <v>0</v>
      </c>
      <c r="J20" s="15">
        <v>0</v>
      </c>
      <c r="K20" s="77">
        <f>_xll.qlMidEquivalent($G20,$H20,$I20,$J20)</f>
        <v>0.124</v>
      </c>
      <c r="L20" s="6"/>
      <c r="M20" s="133">
        <v>0.124</v>
      </c>
      <c r="N20" s="6"/>
      <c r="O20" s="97" t="str">
        <f t="shared" si="1"/>
        <v>USDOIS13M_Quote</v>
      </c>
      <c r="P20" s="15">
        <v>0.124</v>
      </c>
      <c r="Q20" s="98">
        <f>_xll.qlSimpleQuoteSetValue($O20,$P20/100,Trigger)</f>
        <v>0</v>
      </c>
      <c r="R20" s="10"/>
    </row>
    <row r="21" spans="1:18" x14ac:dyDescent="0.2">
      <c r="A21" s="9"/>
      <c r="B21" s="76" t="s">
        <v>157</v>
      </c>
      <c r="C21" s="42"/>
      <c r="D21" s="42" t="s">
        <v>155</v>
      </c>
      <c r="E21" s="43" t="str">
        <f t="shared" si="0"/>
        <v>USD14MOIS</v>
      </c>
      <c r="F21" s="43" t="str">
        <v>USD14MOIS=TTKL</v>
      </c>
      <c r="G21" s="15">
        <v>0.114</v>
      </c>
      <c r="H21" s="15">
        <v>0.14399999999999999</v>
      </c>
      <c r="I21" s="15">
        <v>0</v>
      </c>
      <c r="J21" s="15">
        <v>0</v>
      </c>
      <c r="K21" s="77">
        <f>_xll.qlMidEquivalent($G21,$H21,$I21,$J21)</f>
        <v>0.129</v>
      </c>
      <c r="L21" s="6"/>
      <c r="M21" s="133">
        <v>0.129</v>
      </c>
      <c r="N21" s="6"/>
      <c r="O21" s="97" t="str">
        <f t="shared" si="1"/>
        <v>USDOIS14M_Quote</v>
      </c>
      <c r="P21" s="15">
        <v>0.129</v>
      </c>
      <c r="Q21" s="98">
        <f>_xll.qlSimpleQuoteSetValue($O21,$P21/100,Trigger)</f>
        <v>-9.9999999999998094E-6</v>
      </c>
      <c r="R21" s="10"/>
    </row>
    <row r="22" spans="1:18" x14ac:dyDescent="0.2">
      <c r="A22" s="9"/>
      <c r="B22" s="76" t="s">
        <v>37</v>
      </c>
      <c r="C22" s="42"/>
      <c r="D22" s="42" t="s">
        <v>155</v>
      </c>
      <c r="E22" s="43" t="str">
        <f t="shared" si="0"/>
        <v>USD15MOIS</v>
      </c>
      <c r="F22" s="43" t="str">
        <v>USD15MOIS=TTKL</v>
      </c>
      <c r="G22" s="15">
        <v>0.121</v>
      </c>
      <c r="H22" s="15">
        <v>0.151</v>
      </c>
      <c r="I22" s="15">
        <v>0</v>
      </c>
      <c r="J22" s="15">
        <v>0</v>
      </c>
      <c r="K22" s="77">
        <f>_xll.qlMidEquivalent($G22,$H22,$I22,$J22)</f>
        <v>0.13600000000000001</v>
      </c>
      <c r="L22" s="6"/>
      <c r="M22" s="133">
        <v>0.13600000000000001</v>
      </c>
      <c r="N22" s="6"/>
      <c r="O22" s="97" t="str">
        <f t="shared" si="1"/>
        <v>USDOIS15M_Quote</v>
      </c>
      <c r="P22" s="15">
        <v>0.13600000000000001</v>
      </c>
      <c r="Q22" s="98">
        <f>_xll.qlSimpleQuoteSetValue($O22,$P22/100,Trigger)</f>
        <v>0</v>
      </c>
      <c r="R22" s="10"/>
    </row>
    <row r="23" spans="1:18" x14ac:dyDescent="0.2">
      <c r="A23" s="9"/>
      <c r="B23" s="76" t="s">
        <v>158</v>
      </c>
      <c r="C23" s="42"/>
      <c r="D23" s="42" t="s">
        <v>155</v>
      </c>
      <c r="E23" s="43" t="str">
        <f t="shared" si="0"/>
        <v>USD16MOIS</v>
      </c>
      <c r="F23" s="43" t="str">
        <v>USD16MOIS=TTKL</v>
      </c>
      <c r="G23" s="15">
        <v>0.128</v>
      </c>
      <c r="H23" s="15">
        <v>0.158</v>
      </c>
      <c r="I23" s="15">
        <v>0</v>
      </c>
      <c r="J23" s="15">
        <v>0</v>
      </c>
      <c r="K23" s="77">
        <f>_xll.qlMidEquivalent($G23,$H23,$I23,$J23)</f>
        <v>0.14300000000000002</v>
      </c>
      <c r="L23" s="6"/>
      <c r="M23" s="133">
        <v>0.14200000000000002</v>
      </c>
      <c r="N23" s="6"/>
      <c r="O23" s="97" t="str">
        <f t="shared" si="1"/>
        <v>USDOIS16M_Quote</v>
      </c>
      <c r="P23" s="15">
        <v>0.14300000000000002</v>
      </c>
      <c r="Q23" s="98">
        <f>_xll.qlSimpleQuoteSetValue($O23,$P23/100,Trigger)</f>
        <v>0</v>
      </c>
      <c r="R23" s="10"/>
    </row>
    <row r="24" spans="1:18" x14ac:dyDescent="0.2">
      <c r="A24" s="9"/>
      <c r="B24" s="76" t="s">
        <v>159</v>
      </c>
      <c r="C24" s="42"/>
      <c r="D24" s="42" t="s">
        <v>155</v>
      </c>
      <c r="E24" s="43" t="str">
        <f t="shared" si="0"/>
        <v>USD17MOIS</v>
      </c>
      <c r="F24" s="43" t="str">
        <v>USD17MOIS=TTKL</v>
      </c>
      <c r="G24" s="15">
        <v>0.13500000000000001</v>
      </c>
      <c r="H24" s="15">
        <v>0.16500000000000001</v>
      </c>
      <c r="I24" s="15">
        <v>0</v>
      </c>
      <c r="J24" s="15">
        <v>0</v>
      </c>
      <c r="K24" s="77">
        <f>_xll.qlMidEquivalent($G24,$H24,$I24,$J24)</f>
        <v>0.15000000000000002</v>
      </c>
      <c r="L24" s="6"/>
      <c r="M24" s="133">
        <v>0.14900000000000002</v>
      </c>
      <c r="N24" s="6"/>
      <c r="O24" s="97" t="str">
        <f t="shared" si="1"/>
        <v>USDOIS17M_Quote</v>
      </c>
      <c r="P24" s="15">
        <v>0.15000000000000002</v>
      </c>
      <c r="Q24" s="98">
        <f>_xll.qlSimpleQuoteSetValue($O24,$P24/100,Trigger)</f>
        <v>1.0000000000000026E-5</v>
      </c>
      <c r="R24" s="10"/>
    </row>
    <row r="25" spans="1:18" x14ac:dyDescent="0.2">
      <c r="A25" s="9"/>
      <c r="B25" s="76" t="s">
        <v>38</v>
      </c>
      <c r="C25" s="42"/>
      <c r="D25" s="42" t="s">
        <v>155</v>
      </c>
      <c r="E25" s="43" t="str">
        <f t="shared" si="0"/>
        <v>USD18MOIS</v>
      </c>
      <c r="F25" s="43" t="str">
        <v>USD18MOIS=TTKL</v>
      </c>
      <c r="G25" s="15">
        <v>0.14299999999999999</v>
      </c>
      <c r="H25" s="15">
        <v>0.17299999999999999</v>
      </c>
      <c r="I25" s="15">
        <v>0</v>
      </c>
      <c r="J25" s="15">
        <v>0</v>
      </c>
      <c r="K25" s="77">
        <f>_xll.qlMidEquivalent($G25,$H25,$I25,$J25)</f>
        <v>0.15799999999999997</v>
      </c>
      <c r="L25" s="6"/>
      <c r="M25" s="133">
        <v>0.15799999999999997</v>
      </c>
      <c r="N25" s="6"/>
      <c r="O25" s="97" t="str">
        <f t="shared" si="1"/>
        <v>USDOIS18M_Quote</v>
      </c>
      <c r="P25" s="15">
        <v>0.15799999999999997</v>
      </c>
      <c r="Q25" s="98">
        <f>_xll.qlSimpleQuoteSetValue($O25,$P25/100,Trigger)</f>
        <v>0</v>
      </c>
      <c r="R25" s="10"/>
    </row>
    <row r="26" spans="1:18" x14ac:dyDescent="0.2">
      <c r="A26" s="9"/>
      <c r="B26" s="76" t="s">
        <v>160</v>
      </c>
      <c r="C26" s="42"/>
      <c r="D26" s="42" t="s">
        <v>155</v>
      </c>
      <c r="E26" s="43" t="str">
        <f t="shared" si="0"/>
        <v>USD19MOIS</v>
      </c>
      <c r="F26" s="43" t="str">
        <v>USD19MOIS=TTKL</v>
      </c>
      <c r="G26" s="15">
        <v>0.152</v>
      </c>
      <c r="H26" s="15">
        <v>0.182</v>
      </c>
      <c r="I26" s="15">
        <v>0</v>
      </c>
      <c r="J26" s="15">
        <v>0</v>
      </c>
      <c r="K26" s="77">
        <f>_xll.qlMidEquivalent($G26,$H26,$I26,$J26)</f>
        <v>0.16699999999999998</v>
      </c>
      <c r="L26" s="6"/>
      <c r="M26" s="133">
        <v>0.16699999999999998</v>
      </c>
      <c r="N26" s="6"/>
      <c r="O26" s="97" t="str">
        <f t="shared" si="1"/>
        <v>USDOIS19M_Quote</v>
      </c>
      <c r="P26" s="15">
        <v>0.16699999999999998</v>
      </c>
      <c r="Q26" s="98">
        <f>_xll.qlSimpleQuoteSetValue($O26,$P26/100,Trigger)</f>
        <v>0</v>
      </c>
      <c r="R26" s="10"/>
    </row>
    <row r="27" spans="1:18" x14ac:dyDescent="0.2">
      <c r="A27" s="9"/>
      <c r="B27" s="76" t="s">
        <v>161</v>
      </c>
      <c r="C27" s="42"/>
      <c r="D27" s="42" t="s">
        <v>155</v>
      </c>
      <c r="E27" s="43" t="str">
        <f t="shared" si="0"/>
        <v>USD20MOIS</v>
      </c>
      <c r="F27" s="43" t="str">
        <v>USD20MOIS=TTKL</v>
      </c>
      <c r="G27" s="15">
        <v>0.16200000000000001</v>
      </c>
      <c r="H27" s="15">
        <v>0.192</v>
      </c>
      <c r="I27" s="15">
        <v>0</v>
      </c>
      <c r="J27" s="15">
        <v>0</v>
      </c>
      <c r="K27" s="77">
        <f>_xll.qlMidEquivalent($G27,$H27,$I27,$J27)</f>
        <v>0.17699999999999999</v>
      </c>
      <c r="L27" s="6"/>
      <c r="M27" s="133">
        <v>0.17599999999999999</v>
      </c>
      <c r="N27" s="6"/>
      <c r="O27" s="97" t="str">
        <f t="shared" si="1"/>
        <v>USDOIS20M_Quote</v>
      </c>
      <c r="P27" s="15">
        <v>0.17699999999999999</v>
      </c>
      <c r="Q27" s="98">
        <f>_xll.qlSimpleQuoteSetValue($O27,$P27/100,Trigger)</f>
        <v>0</v>
      </c>
      <c r="R27" s="10"/>
    </row>
    <row r="28" spans="1:18" x14ac:dyDescent="0.2">
      <c r="A28" s="9"/>
      <c r="B28" s="76" t="s">
        <v>39</v>
      </c>
      <c r="C28" s="42"/>
      <c r="D28" s="42" t="s">
        <v>155</v>
      </c>
      <c r="E28" s="43" t="str">
        <f t="shared" si="0"/>
        <v>USD21MOIS</v>
      </c>
      <c r="F28" s="43" t="str">
        <v>USD21MOIS=TTKL</v>
      </c>
      <c r="G28" s="15">
        <v>0.17199999999999999</v>
      </c>
      <c r="H28" s="15">
        <v>0.20200000000000001</v>
      </c>
      <c r="I28" s="15">
        <v>0</v>
      </c>
      <c r="J28" s="15">
        <v>0</v>
      </c>
      <c r="K28" s="77">
        <f>_xll.qlMidEquivalent($G28,$H28,$I28,$J28)</f>
        <v>0.187</v>
      </c>
      <c r="L28" s="6"/>
      <c r="M28" s="133">
        <v>0.187</v>
      </c>
      <c r="N28" s="6"/>
      <c r="O28" s="97" t="str">
        <f t="shared" si="1"/>
        <v>USDOIS21M_Quote</v>
      </c>
      <c r="P28" s="15">
        <v>0.187</v>
      </c>
      <c r="Q28" s="98">
        <f>_xll.qlSimpleQuoteSetValue($O28,$P28/100,Trigger)</f>
        <v>0</v>
      </c>
      <c r="R28" s="10"/>
    </row>
    <row r="29" spans="1:18" x14ac:dyDescent="0.2">
      <c r="A29" s="9"/>
      <c r="B29" s="76" t="s">
        <v>162</v>
      </c>
      <c r="C29" s="42"/>
      <c r="D29" s="42" t="s">
        <v>155</v>
      </c>
      <c r="E29" s="43" t="str">
        <f t="shared" si="0"/>
        <v>USD22MOIS</v>
      </c>
      <c r="F29" s="43" t="str">
        <v>USD22MOIS=TTKL</v>
      </c>
      <c r="G29" s="15">
        <v>0.183</v>
      </c>
      <c r="H29" s="15">
        <v>0.21299999999999999</v>
      </c>
      <c r="I29" s="15">
        <v>0</v>
      </c>
      <c r="J29" s="15">
        <v>0</v>
      </c>
      <c r="K29" s="77">
        <f>_xll.qlMidEquivalent($G29,$H29,$I29,$J29)</f>
        <v>0.19800000000000001</v>
      </c>
      <c r="L29" s="6"/>
      <c r="M29" s="133">
        <v>0.19700000000000001</v>
      </c>
      <c r="N29" s="6"/>
      <c r="O29" s="97" t="str">
        <f t="shared" si="1"/>
        <v>USDOIS22M_Quote</v>
      </c>
      <c r="P29" s="15">
        <v>0.19800000000000001</v>
      </c>
      <c r="Q29" s="98">
        <f>_xll.qlSimpleQuoteSetValue($O29,$P29/100,Trigger)</f>
        <v>0</v>
      </c>
      <c r="R29" s="10"/>
    </row>
    <row r="30" spans="1:18" x14ac:dyDescent="0.2">
      <c r="A30" s="9"/>
      <c r="B30" s="76" t="s">
        <v>163</v>
      </c>
      <c r="C30" s="42"/>
      <c r="D30" s="42" t="s">
        <v>155</v>
      </c>
      <c r="E30" s="43" t="str">
        <f t="shared" si="0"/>
        <v>USD23MOIS</v>
      </c>
      <c r="F30" s="43" t="str">
        <v>USD23MOIS=TTKL</v>
      </c>
      <c r="G30" s="15">
        <v>0.19500000000000001</v>
      </c>
      <c r="H30" s="15">
        <v>0.22500000000000001</v>
      </c>
      <c r="I30" s="15">
        <v>0</v>
      </c>
      <c r="J30" s="15">
        <v>0</v>
      </c>
      <c r="K30" s="77">
        <f>_xll.qlMidEquivalent($G30,$H30,$I30,$J30)</f>
        <v>0.21000000000000002</v>
      </c>
      <c r="L30" s="6"/>
      <c r="M30" s="133">
        <v>0.20900000000000002</v>
      </c>
      <c r="N30" s="6"/>
      <c r="O30" s="97" t="str">
        <f t="shared" si="1"/>
        <v>USDOIS23M_Quote</v>
      </c>
      <c r="P30" s="15">
        <v>0.21000000000000002</v>
      </c>
      <c r="Q30" s="98">
        <f>_xll.qlSimpleQuoteSetValue($O30,$P30/100,Trigger)</f>
        <v>0</v>
      </c>
      <c r="R30" s="10"/>
    </row>
    <row r="31" spans="1:18" x14ac:dyDescent="0.2">
      <c r="A31" s="9"/>
      <c r="B31" s="76" t="s">
        <v>40</v>
      </c>
      <c r="C31" s="42"/>
      <c r="D31" s="42" t="s">
        <v>155</v>
      </c>
      <c r="E31" s="43" t="str">
        <f t="shared" si="0"/>
        <v>USD2YOIS</v>
      </c>
      <c r="F31" s="43" t="str">
        <v>USD2YOIS=TTKL</v>
      </c>
      <c r="G31" s="15">
        <v>0.20799999999999999</v>
      </c>
      <c r="H31" s="15">
        <v>0.23799999999999999</v>
      </c>
      <c r="I31" s="15">
        <v>0</v>
      </c>
      <c r="J31" s="15">
        <v>0</v>
      </c>
      <c r="K31" s="77">
        <f>_xll.qlMidEquivalent($G31,$H31,$I31,$J31)</f>
        <v>0.22299999999999998</v>
      </c>
      <c r="L31" s="6"/>
      <c r="M31" s="133">
        <v>0.22199999999999998</v>
      </c>
      <c r="N31" s="6"/>
      <c r="O31" s="97" t="str">
        <f t="shared" si="1"/>
        <v>USDOIS2Y_Quote</v>
      </c>
      <c r="P31" s="15">
        <v>0.22299999999999998</v>
      </c>
      <c r="Q31" s="98">
        <f>_xll.qlSimpleQuoteSetValue($O31,$P31/100,Trigger)</f>
        <v>0</v>
      </c>
      <c r="R31" s="10"/>
    </row>
    <row r="32" spans="1:18" x14ac:dyDescent="0.2">
      <c r="A32" s="9"/>
      <c r="B32" s="76" t="s">
        <v>164</v>
      </c>
      <c r="C32" s="42"/>
      <c r="D32" s="42" t="s">
        <v>155</v>
      </c>
      <c r="E32" s="43" t="str">
        <f t="shared" si="0"/>
        <v>USD27MOIS</v>
      </c>
      <c r="F32" s="43" t="str">
        <v>USD27MOIS=TTKL</v>
      </c>
      <c r="G32" s="15">
        <v>0.24099999999999999</v>
      </c>
      <c r="H32" s="15">
        <v>0.29099999999999998</v>
      </c>
      <c r="I32" s="15">
        <v>0</v>
      </c>
      <c r="J32" s="15">
        <v>0</v>
      </c>
      <c r="K32" s="77">
        <f>_xll.qlMidEquivalent($G32,$H32,$I32,$J32)</f>
        <v>0.26600000000000001</v>
      </c>
      <c r="L32" s="6"/>
      <c r="M32" s="133">
        <v>0.26500000000000001</v>
      </c>
      <c r="N32" s="6"/>
      <c r="O32" s="97" t="str">
        <f t="shared" si="1"/>
        <v>USDOIS27M_Quote</v>
      </c>
      <c r="P32" s="15">
        <v>0.26600000000000001</v>
      </c>
      <c r="Q32" s="98">
        <f>_xll.qlSimpleQuoteSetValue($O32,$P32/100,Trigger)</f>
        <v>0</v>
      </c>
      <c r="R32" s="10"/>
    </row>
    <row r="33" spans="1:18" x14ac:dyDescent="0.2">
      <c r="A33" s="9"/>
      <c r="B33" s="76" t="s">
        <v>165</v>
      </c>
      <c r="C33" s="42"/>
      <c r="D33" s="42" t="s">
        <v>155</v>
      </c>
      <c r="E33" s="43" t="str">
        <f t="shared" si="0"/>
        <v>USD30MOIS</v>
      </c>
      <c r="F33" s="43" t="str">
        <v>USD30MOIS=TTKL</v>
      </c>
      <c r="G33" s="15">
        <v>0.29399999999999998</v>
      </c>
      <c r="H33" s="15">
        <v>0.34399999999999997</v>
      </c>
      <c r="I33" s="15">
        <v>0</v>
      </c>
      <c r="J33" s="15">
        <v>0</v>
      </c>
      <c r="K33" s="77">
        <f>_xll.qlMidEquivalent($G33,$H33,$I33,$J33)</f>
        <v>0.31899999999999995</v>
      </c>
      <c r="L33" s="6"/>
      <c r="M33" s="133">
        <v>0.317</v>
      </c>
      <c r="N33" s="6"/>
      <c r="O33" s="97" t="str">
        <f t="shared" si="1"/>
        <v>USDOIS30M_Quote</v>
      </c>
      <c r="P33" s="15">
        <v>0.31899999999999995</v>
      </c>
      <c r="Q33" s="98">
        <f>_xll.qlSimpleQuoteSetValue($O33,$P33/100,Trigger)</f>
        <v>0</v>
      </c>
      <c r="R33" s="10"/>
    </row>
    <row r="34" spans="1:18" x14ac:dyDescent="0.2">
      <c r="A34" s="9"/>
      <c r="B34" s="76" t="s">
        <v>166</v>
      </c>
      <c r="C34" s="42"/>
      <c r="D34" s="42" t="s">
        <v>155</v>
      </c>
      <c r="E34" s="43" t="str">
        <f t="shared" si="0"/>
        <v>USD33MOIS</v>
      </c>
      <c r="F34" s="43" t="str">
        <v>USD33MOIS=TTKL</v>
      </c>
      <c r="G34" s="15">
        <v>0.35599999999999998</v>
      </c>
      <c r="H34" s="15">
        <v>0.40600000000000003</v>
      </c>
      <c r="I34" s="15">
        <v>0</v>
      </c>
      <c r="J34" s="15">
        <v>0</v>
      </c>
      <c r="K34" s="77">
        <f>_xll.qlMidEquivalent($G34,$H34,$I34,$J34)</f>
        <v>0.38100000000000001</v>
      </c>
      <c r="L34" s="6"/>
      <c r="M34" s="133">
        <v>0.379</v>
      </c>
      <c r="N34" s="6"/>
      <c r="O34" s="97" t="str">
        <f t="shared" si="1"/>
        <v>USDOIS33M_Quote</v>
      </c>
      <c r="P34" s="15">
        <v>0.38100000000000001</v>
      </c>
      <c r="Q34" s="98">
        <f>_xll.qlSimpleQuoteSetValue($O34,$P34/100,Trigger)</f>
        <v>0</v>
      </c>
      <c r="R34" s="10"/>
    </row>
    <row r="35" spans="1:18" x14ac:dyDescent="0.2">
      <c r="A35" s="9"/>
      <c r="B35" s="76" t="s">
        <v>41</v>
      </c>
      <c r="C35" s="42"/>
      <c r="D35" s="42" t="s">
        <v>155</v>
      </c>
      <c r="E35" s="43" t="str">
        <f t="shared" si="0"/>
        <v>USD3YOIS</v>
      </c>
      <c r="F35" s="43" t="str">
        <v>USD3YOIS=TTKL</v>
      </c>
      <c r="G35" s="15">
        <v>0.42599999999999999</v>
      </c>
      <c r="H35" s="15">
        <v>0.47599999999999998</v>
      </c>
      <c r="I35" s="15">
        <v>0</v>
      </c>
      <c r="J35" s="15">
        <v>0</v>
      </c>
      <c r="K35" s="77">
        <f>_xll.qlMidEquivalent($G35,$H35,$I35,$J35)</f>
        <v>0.45099999999999996</v>
      </c>
      <c r="L35" s="6"/>
      <c r="M35" s="133">
        <v>0.44899999999999995</v>
      </c>
      <c r="N35" s="6"/>
      <c r="O35" s="97" t="str">
        <f t="shared" si="1"/>
        <v>USDOIS3Y_Quote</v>
      </c>
      <c r="P35" s="15">
        <v>0.45099999999999996</v>
      </c>
      <c r="Q35" s="98">
        <f>_xll.qlSimpleQuoteSetValue($O35,$P35/100,Trigger)</f>
        <v>0</v>
      </c>
      <c r="R35" s="10"/>
    </row>
    <row r="36" spans="1:18" x14ac:dyDescent="0.2">
      <c r="A36" s="9"/>
      <c r="B36" s="76" t="s">
        <v>167</v>
      </c>
      <c r="C36" s="42"/>
      <c r="D36" s="42" t="s">
        <v>155</v>
      </c>
      <c r="E36" s="43" t="str">
        <f t="shared" si="0"/>
        <v>USD39MOIS</v>
      </c>
      <c r="F36" s="43" t="str">
        <v>USD39MOIS=TTKL</v>
      </c>
      <c r="G36" s="15">
        <v>0.503</v>
      </c>
      <c r="H36" s="15">
        <v>0.55300000000000005</v>
      </c>
      <c r="I36" s="15">
        <v>0</v>
      </c>
      <c r="J36" s="15">
        <v>0</v>
      </c>
      <c r="K36" s="77">
        <f>_xll.qlMidEquivalent($G36,$H36,$I36,$J36)</f>
        <v>0.52800000000000002</v>
      </c>
      <c r="L36" s="6"/>
      <c r="M36" s="133">
        <v>0.52600000000000002</v>
      </c>
      <c r="N36" s="6"/>
      <c r="O36" s="97" t="str">
        <f t="shared" si="1"/>
        <v>USDOIS39M_Quote</v>
      </c>
      <c r="P36" s="15">
        <v>0.52800000000000002</v>
      </c>
      <c r="Q36" s="98">
        <f>_xll.qlSimpleQuoteSetValue($O36,$P36/100,Trigger)</f>
        <v>0</v>
      </c>
      <c r="R36" s="10"/>
    </row>
    <row r="37" spans="1:18" x14ac:dyDescent="0.2">
      <c r="A37" s="9"/>
      <c r="B37" s="76" t="s">
        <v>168</v>
      </c>
      <c r="C37" s="42"/>
      <c r="D37" s="42" t="s">
        <v>155</v>
      </c>
      <c r="E37" s="43" t="str">
        <f t="shared" ref="E37:E58" si="2">Currency&amp;$B37&amp;$C37&amp;$D37</f>
        <v>USD42MOIS</v>
      </c>
      <c r="F37" s="43" t="str">
        <v>USD42MOIS=TTKL</v>
      </c>
      <c r="G37" s="15">
        <v>0.58399999999999996</v>
      </c>
      <c r="H37" s="15">
        <v>0.63400000000000001</v>
      </c>
      <c r="I37" s="15">
        <v>0</v>
      </c>
      <c r="J37" s="15">
        <v>0</v>
      </c>
      <c r="K37" s="77">
        <f>_xll.qlMidEquivalent($G37,$H37,$I37,$J37)</f>
        <v>0.60899999999999999</v>
      </c>
      <c r="L37" s="6"/>
      <c r="M37" s="133">
        <v>0.60499999999999998</v>
      </c>
      <c r="N37" s="6"/>
      <c r="O37" s="97" t="str">
        <f t="shared" ref="O37:O58" si="3">Currency&amp;$D37&amp;$C37&amp;$B37&amp;$P$2</f>
        <v>USDOIS42M_Quote</v>
      </c>
      <c r="P37" s="15">
        <v>0.60899999999999999</v>
      </c>
      <c r="Q37" s="98">
        <f>_xll.qlSimpleQuoteSetValue($O37,$P37/100,Trigger)</f>
        <v>0</v>
      </c>
      <c r="R37" s="10"/>
    </row>
    <row r="38" spans="1:18" x14ac:dyDescent="0.2">
      <c r="A38" s="9"/>
      <c r="B38" s="76" t="s">
        <v>169</v>
      </c>
      <c r="C38" s="42"/>
      <c r="D38" s="42" t="s">
        <v>155</v>
      </c>
      <c r="E38" s="43" t="str">
        <f t="shared" si="2"/>
        <v>USD45MOIS</v>
      </c>
      <c r="F38" s="43" t="str">
        <v>USD45MOIS=TTKL</v>
      </c>
      <c r="G38" s="15">
        <v>0.66600000000000004</v>
      </c>
      <c r="H38" s="15">
        <v>0.71599999999999997</v>
      </c>
      <c r="I38" s="15">
        <v>0</v>
      </c>
      <c r="J38" s="15">
        <v>0</v>
      </c>
      <c r="K38" s="77">
        <f>_xll.qlMidEquivalent($G38,$H38,$I38,$J38)</f>
        <v>0.69100000000000006</v>
      </c>
      <c r="L38" s="6"/>
      <c r="M38" s="133">
        <v>0.68799999999999994</v>
      </c>
      <c r="N38" s="6"/>
      <c r="O38" s="97" t="str">
        <f t="shared" si="3"/>
        <v>USDOIS45M_Quote</v>
      </c>
      <c r="P38" s="15">
        <v>0.69100000000000006</v>
      </c>
      <c r="Q38" s="98">
        <f>_xll.qlSimpleQuoteSetValue($O38,$P38/100,Trigger)</f>
        <v>0</v>
      </c>
      <c r="R38" s="10"/>
    </row>
    <row r="39" spans="1:18" x14ac:dyDescent="0.2">
      <c r="A39" s="9"/>
      <c r="B39" s="76" t="s">
        <v>42</v>
      </c>
      <c r="C39" s="42"/>
      <c r="D39" s="42" t="s">
        <v>155</v>
      </c>
      <c r="E39" s="43" t="str">
        <f t="shared" si="2"/>
        <v>USD4YOIS</v>
      </c>
      <c r="F39" s="43" t="str">
        <v>USD4YOIS=TTKL</v>
      </c>
      <c r="G39" s="15">
        <v>0.754</v>
      </c>
      <c r="H39" s="15">
        <v>0.80400000000000005</v>
      </c>
      <c r="I39" s="15">
        <v>0</v>
      </c>
      <c r="J39" s="15">
        <v>0</v>
      </c>
      <c r="K39" s="77">
        <f>_xll.qlMidEquivalent($G39,$H39,$I39,$J39)</f>
        <v>0.77900000000000003</v>
      </c>
      <c r="L39" s="6"/>
      <c r="M39" s="133">
        <v>0.77600000000000002</v>
      </c>
      <c r="N39" s="6"/>
      <c r="O39" s="97" t="str">
        <f t="shared" si="3"/>
        <v>USDOIS4Y_Quote</v>
      </c>
      <c r="P39" s="15">
        <v>0.77900000000000003</v>
      </c>
      <c r="Q39" s="98">
        <f>_xll.qlSimpleQuoteSetValue($O39,$P39/100,Trigger)</f>
        <v>0</v>
      </c>
      <c r="R39" s="10"/>
    </row>
    <row r="40" spans="1:18" x14ac:dyDescent="0.2">
      <c r="A40" s="9"/>
      <c r="B40" s="76" t="s">
        <v>170</v>
      </c>
      <c r="C40" s="42"/>
      <c r="D40" s="42" t="s">
        <v>155</v>
      </c>
      <c r="E40" s="43" t="str">
        <f t="shared" si="2"/>
        <v>USD51MOIS</v>
      </c>
      <c r="F40" s="43" t="str">
        <v>USD51MOIS=TTKL</v>
      </c>
      <c r="G40" s="15">
        <v>0.83399999999999996</v>
      </c>
      <c r="H40" s="15">
        <v>0.88400000000000001</v>
      </c>
      <c r="I40" s="15">
        <v>0</v>
      </c>
      <c r="J40" s="15">
        <v>0</v>
      </c>
      <c r="K40" s="77">
        <f>_xll.qlMidEquivalent($G40,$H40,$I40,$J40)</f>
        <v>0.85899999999999999</v>
      </c>
      <c r="L40" s="6"/>
      <c r="M40" s="133">
        <v>0.85599999999999998</v>
      </c>
      <c r="N40" s="6"/>
      <c r="O40" s="97" t="str">
        <f t="shared" si="3"/>
        <v>USDOIS51M_Quote</v>
      </c>
      <c r="P40" s="15">
        <v>0.85899999999999999</v>
      </c>
      <c r="Q40" s="98">
        <f>_xll.qlSimpleQuoteSetValue($O40,$P40/100,Trigger)</f>
        <v>0</v>
      </c>
      <c r="R40" s="10"/>
    </row>
    <row r="41" spans="1:18" x14ac:dyDescent="0.2">
      <c r="A41" s="9"/>
      <c r="B41" s="76" t="s">
        <v>171</v>
      </c>
      <c r="C41" s="42"/>
      <c r="D41" s="42" t="s">
        <v>155</v>
      </c>
      <c r="E41" s="43" t="str">
        <f t="shared" si="2"/>
        <v>USD54MOIS</v>
      </c>
      <c r="F41" s="43" t="str">
        <v>USD54MOIS=TTKL</v>
      </c>
      <c r="G41" s="15">
        <v>0.92700000000000005</v>
      </c>
      <c r="H41" s="15">
        <v>0.97699999999999998</v>
      </c>
      <c r="I41" s="15">
        <v>0</v>
      </c>
      <c r="J41" s="15">
        <v>0</v>
      </c>
      <c r="K41" s="77">
        <f>_xll.qlMidEquivalent($G41,$H41,$I41,$J41)</f>
        <v>0.95199999999999996</v>
      </c>
      <c r="L41" s="6"/>
      <c r="M41" s="133">
        <v>0.94900000000000007</v>
      </c>
      <c r="N41" s="6"/>
      <c r="O41" s="97" t="str">
        <f t="shared" si="3"/>
        <v>USDOIS54M_Quote</v>
      </c>
      <c r="P41" s="15">
        <v>0.95199999999999996</v>
      </c>
      <c r="Q41" s="98">
        <f>_xll.qlSimpleQuoteSetValue($O41,$P41/100,Trigger)</f>
        <v>0</v>
      </c>
      <c r="R41" s="10"/>
    </row>
    <row r="42" spans="1:18" x14ac:dyDescent="0.2">
      <c r="A42" s="9"/>
      <c r="B42" s="76" t="s">
        <v>172</v>
      </c>
      <c r="C42" s="42"/>
      <c r="D42" s="42" t="s">
        <v>155</v>
      </c>
      <c r="E42" s="43" t="str">
        <f t="shared" si="2"/>
        <v>USD57MOIS</v>
      </c>
      <c r="F42" s="43" t="str">
        <v>USD57MOIS=TTKL</v>
      </c>
      <c r="G42" s="15">
        <v>1.002</v>
      </c>
      <c r="H42" s="15">
        <v>1.052</v>
      </c>
      <c r="I42" s="15">
        <v>0</v>
      </c>
      <c r="J42" s="15">
        <v>0</v>
      </c>
      <c r="K42" s="77">
        <f>_xll.qlMidEquivalent($G42,$H42,$I42,$J42)</f>
        <v>1.0270000000000001</v>
      </c>
      <c r="L42" s="6"/>
      <c r="M42" s="133">
        <v>1.0249999999999999</v>
      </c>
      <c r="N42" s="6"/>
      <c r="O42" s="97" t="str">
        <f t="shared" si="3"/>
        <v>USDOIS57M_Quote</v>
      </c>
      <c r="P42" s="15">
        <v>1.0270000000000001</v>
      </c>
      <c r="Q42" s="98">
        <f>_xll.qlSimpleQuoteSetValue($O42,$P42/100,Trigger)</f>
        <v>0</v>
      </c>
      <c r="R42" s="10"/>
    </row>
    <row r="43" spans="1:18" x14ac:dyDescent="0.2">
      <c r="A43" s="9"/>
      <c r="B43" s="76" t="s">
        <v>43</v>
      </c>
      <c r="C43" s="42"/>
      <c r="D43" s="42" t="s">
        <v>155</v>
      </c>
      <c r="E43" s="43" t="str">
        <f t="shared" si="2"/>
        <v>USD5YOIS</v>
      </c>
      <c r="F43" s="43" t="str">
        <v>USD5YOIS=TTKL</v>
      </c>
      <c r="G43" s="15">
        <v>1.1000000000000001</v>
      </c>
      <c r="H43" s="15">
        <v>1.1499999999999999</v>
      </c>
      <c r="I43" s="15">
        <v>0</v>
      </c>
      <c r="J43" s="15">
        <v>0</v>
      </c>
      <c r="K43" s="77">
        <f>_xll.qlMidEquivalent($G43,$H43,$I43,$J43)</f>
        <v>1.125</v>
      </c>
      <c r="L43" s="6"/>
      <c r="M43" s="133">
        <v>1.121</v>
      </c>
      <c r="N43" s="6"/>
      <c r="O43" s="97" t="str">
        <f t="shared" si="3"/>
        <v>USDOIS5Y_Quote</v>
      </c>
      <c r="P43" s="15">
        <v>1.125</v>
      </c>
      <c r="Q43" s="98">
        <f>_xll.qlSimpleQuoteSetValue($O43,$P43/100,Trigger)</f>
        <v>0</v>
      </c>
      <c r="R43" s="10"/>
    </row>
    <row r="44" spans="1:18" x14ac:dyDescent="0.2">
      <c r="A44" s="9"/>
      <c r="B44" s="76" t="s">
        <v>44</v>
      </c>
      <c r="C44" s="42"/>
      <c r="D44" s="42" t="s">
        <v>155</v>
      </c>
      <c r="E44" s="43" t="str">
        <f t="shared" si="2"/>
        <v>USD6YOIS</v>
      </c>
      <c r="F44" s="43" t="str">
        <v>USD6YOIS=TTKL</v>
      </c>
      <c r="G44" s="15">
        <v>1.415</v>
      </c>
      <c r="H44" s="15">
        <v>1.4650000000000001</v>
      </c>
      <c r="I44" s="15">
        <v>0</v>
      </c>
      <c r="J44" s="15">
        <v>0</v>
      </c>
      <c r="K44" s="77">
        <f>_xll.qlMidEquivalent($G44,$H44,$I44,$J44)</f>
        <v>1.44</v>
      </c>
      <c r="L44" s="6"/>
      <c r="M44" s="133">
        <v>1.4350000000000001</v>
      </c>
      <c r="N44" s="6"/>
      <c r="O44" s="97" t="str">
        <f t="shared" si="3"/>
        <v>USDOIS6Y_Quote</v>
      </c>
      <c r="P44" s="15">
        <v>1.44</v>
      </c>
      <c r="Q44" s="98">
        <f>_xll.qlSimpleQuoteSetValue($O44,$P44/100,Trigger)</f>
        <v>0</v>
      </c>
      <c r="R44" s="10"/>
    </row>
    <row r="45" spans="1:18" x14ac:dyDescent="0.2">
      <c r="A45" s="9"/>
      <c r="B45" s="76" t="s">
        <v>45</v>
      </c>
      <c r="C45" s="42"/>
      <c r="D45" s="42" t="s">
        <v>155</v>
      </c>
      <c r="E45" s="43" t="str">
        <f t="shared" si="2"/>
        <v>USD7YOIS</v>
      </c>
      <c r="F45" s="43" t="str">
        <v>USD7YOIS=TTKL</v>
      </c>
      <c r="G45" s="15">
        <v>1.6879999999999999</v>
      </c>
      <c r="H45" s="15">
        <v>1.738</v>
      </c>
      <c r="I45" s="15">
        <v>0</v>
      </c>
      <c r="J45" s="15">
        <v>0</v>
      </c>
      <c r="K45" s="77">
        <f>_xll.qlMidEquivalent($G45,$H45,$I45,$J45)</f>
        <v>1.7130000000000001</v>
      </c>
      <c r="L45" s="6"/>
      <c r="M45" s="133">
        <v>1.7080000000000002</v>
      </c>
      <c r="N45" s="6"/>
      <c r="O45" s="97" t="str">
        <f t="shared" si="3"/>
        <v>USDOIS7Y_Quote</v>
      </c>
      <c r="P45" s="15">
        <v>1.7130000000000001</v>
      </c>
      <c r="Q45" s="98">
        <f>_xll.qlSimpleQuoteSetValue($O45,$P45/100,Trigger)</f>
        <v>0</v>
      </c>
      <c r="R45" s="10"/>
    </row>
    <row r="46" spans="1:18" x14ac:dyDescent="0.2">
      <c r="A46" s="9"/>
      <c r="B46" s="76" t="s">
        <v>46</v>
      </c>
      <c r="C46" s="42"/>
      <c r="D46" s="42" t="s">
        <v>155</v>
      </c>
      <c r="E46" s="43" t="str">
        <f t="shared" si="2"/>
        <v>USD8YOIS</v>
      </c>
      <c r="F46" s="43" t="str">
        <v>USD8YOIS=TTKL</v>
      </c>
      <c r="G46" s="15">
        <v>1.9179999999999999</v>
      </c>
      <c r="H46" s="15">
        <v>1.968</v>
      </c>
      <c r="I46" s="15">
        <v>0</v>
      </c>
      <c r="J46" s="15">
        <v>0</v>
      </c>
      <c r="K46" s="77">
        <f>_xll.qlMidEquivalent($G46,$H46,$I46,$J46)</f>
        <v>1.9430000000000001</v>
      </c>
      <c r="L46" s="6"/>
      <c r="M46" s="133">
        <v>1.9380000000000002</v>
      </c>
      <c r="N46" s="6"/>
      <c r="O46" s="97" t="str">
        <f t="shared" si="3"/>
        <v>USDOIS8Y_Quote</v>
      </c>
      <c r="P46" s="15">
        <v>1.9430000000000001</v>
      </c>
      <c r="Q46" s="98">
        <f>_xll.qlSimpleQuoteSetValue($O46,$P46/100,Trigger)</f>
        <v>0</v>
      </c>
      <c r="R46" s="10"/>
    </row>
    <row r="47" spans="1:18" x14ac:dyDescent="0.2">
      <c r="A47" s="9"/>
      <c r="B47" s="76" t="s">
        <v>47</v>
      </c>
      <c r="C47" s="42"/>
      <c r="D47" s="42" t="s">
        <v>155</v>
      </c>
      <c r="E47" s="43" t="str">
        <f t="shared" si="2"/>
        <v>USD9YOIS</v>
      </c>
      <c r="F47" s="43" t="str">
        <v>USD9YOIS=TTKL</v>
      </c>
      <c r="G47" s="15">
        <v>2.1110000000000002</v>
      </c>
      <c r="H47" s="15">
        <v>2.161</v>
      </c>
      <c r="I47" s="15">
        <v>0</v>
      </c>
      <c r="J47" s="15">
        <v>0</v>
      </c>
      <c r="K47" s="77">
        <f>_xll.qlMidEquivalent($G47,$H47,$I47,$J47)</f>
        <v>2.1360000000000001</v>
      </c>
      <c r="L47" s="6"/>
      <c r="M47" s="133">
        <v>2.1320000000000001</v>
      </c>
      <c r="N47" s="6"/>
      <c r="O47" s="97" t="str">
        <f t="shared" si="3"/>
        <v>USDOIS9Y_Quote</v>
      </c>
      <c r="P47" s="15">
        <v>2.1360000000000001</v>
      </c>
      <c r="Q47" s="98">
        <f>_xll.qlSimpleQuoteSetValue($O47,$P47/100,Trigger)</f>
        <v>0</v>
      </c>
      <c r="R47" s="10"/>
    </row>
    <row r="48" spans="1:18" x14ac:dyDescent="0.2">
      <c r="A48" s="9"/>
      <c r="B48" s="76" t="s">
        <v>48</v>
      </c>
      <c r="C48" s="42"/>
      <c r="D48" s="42" t="s">
        <v>155</v>
      </c>
      <c r="E48" s="43" t="str">
        <f t="shared" si="2"/>
        <v>USD10YOIS</v>
      </c>
      <c r="F48" s="43" t="str">
        <v>USD10YOIS=TTKL</v>
      </c>
      <c r="G48" s="15">
        <v>2.2770000000000001</v>
      </c>
      <c r="H48" s="15">
        <v>2.327</v>
      </c>
      <c r="I48" s="15">
        <v>0</v>
      </c>
      <c r="J48" s="15">
        <v>0</v>
      </c>
      <c r="K48" s="77">
        <f>_xll.qlMidEquivalent($G48,$H48,$I48,$J48)</f>
        <v>2.302</v>
      </c>
      <c r="L48" s="6"/>
      <c r="M48" s="133">
        <v>2.2989999999999999</v>
      </c>
      <c r="N48" s="6"/>
      <c r="O48" s="97" t="str">
        <f t="shared" si="3"/>
        <v>USDOIS10Y_Quote</v>
      </c>
      <c r="P48" s="15">
        <v>2.302</v>
      </c>
      <c r="Q48" s="98">
        <f>_xll.qlSimpleQuoteSetValue($O48,$P48/100,Trigger)</f>
        <v>0</v>
      </c>
      <c r="R48" s="10"/>
    </row>
    <row r="49" spans="1:18" x14ac:dyDescent="0.2">
      <c r="A49" s="9"/>
      <c r="B49" s="76" t="s">
        <v>50</v>
      </c>
      <c r="C49" s="42"/>
      <c r="D49" s="42" t="s">
        <v>155</v>
      </c>
      <c r="E49" s="43" t="str">
        <f t="shared" si="2"/>
        <v>USD12YOIS</v>
      </c>
      <c r="F49" s="43" t="str">
        <v>USD12YOIS=TTKL</v>
      </c>
      <c r="G49" s="15">
        <v>2.552</v>
      </c>
      <c r="H49" s="15">
        <v>2.6019999999999999</v>
      </c>
      <c r="I49" s="15">
        <v>0</v>
      </c>
      <c r="J49" s="15">
        <v>0</v>
      </c>
      <c r="K49" s="77">
        <f>_xll.qlMidEquivalent($G49,$H49,$I49,$J49)</f>
        <v>2.577</v>
      </c>
      <c r="L49" s="6"/>
      <c r="M49" s="133">
        <v>2.573</v>
      </c>
      <c r="N49" s="6"/>
      <c r="O49" s="97" t="str">
        <f t="shared" si="3"/>
        <v>USDOIS12Y_Quote</v>
      </c>
      <c r="P49" s="15">
        <v>2.577</v>
      </c>
      <c r="Q49" s="98">
        <f>_xll.qlSimpleQuoteSetValue($O49,$P49/100,Trigger)</f>
        <v>0</v>
      </c>
      <c r="R49" s="10"/>
    </row>
    <row r="50" spans="1:18" x14ac:dyDescent="0.2">
      <c r="A50" s="9"/>
      <c r="B50" s="76" t="s">
        <v>53</v>
      </c>
      <c r="C50" s="42"/>
      <c r="D50" s="42" t="s">
        <v>155</v>
      </c>
      <c r="E50" s="43" t="str">
        <f t="shared" si="2"/>
        <v>USD15YOIS</v>
      </c>
      <c r="F50" s="43" t="str">
        <v>USD15YOIS=TTKL</v>
      </c>
      <c r="G50" s="15">
        <v>2.8140000000000001</v>
      </c>
      <c r="H50" s="15">
        <v>2.8639999999999999</v>
      </c>
      <c r="I50" s="15">
        <v>0</v>
      </c>
      <c r="J50" s="15">
        <v>0</v>
      </c>
      <c r="K50" s="77">
        <f>_xll.qlMidEquivalent($G50,$H50,$I50,$J50)</f>
        <v>2.839</v>
      </c>
      <c r="L50" s="6"/>
      <c r="M50" s="133">
        <v>2.8360000000000003</v>
      </c>
      <c r="N50" s="6"/>
      <c r="O50" s="97" t="str">
        <f t="shared" si="3"/>
        <v>USDOIS15Y_Quote</v>
      </c>
      <c r="P50" s="15">
        <v>2.839</v>
      </c>
      <c r="Q50" s="98">
        <f>_xll.qlSimpleQuoteSetValue($O50,$P50/100,Trigger)</f>
        <v>0</v>
      </c>
      <c r="R50" s="10"/>
    </row>
    <row r="51" spans="1:18" x14ac:dyDescent="0.2">
      <c r="A51" s="9"/>
      <c r="B51" s="76" t="s">
        <v>58</v>
      </c>
      <c r="C51" s="42"/>
      <c r="D51" s="42" t="s">
        <v>155</v>
      </c>
      <c r="E51" s="43" t="str">
        <f t="shared" si="2"/>
        <v>USD20YOIS</v>
      </c>
      <c r="F51" s="43" t="str">
        <v>USD20YOIS=TTKL</v>
      </c>
      <c r="G51" s="15">
        <v>3.04</v>
      </c>
      <c r="H51" s="15">
        <v>3.09</v>
      </c>
      <c r="I51" s="15">
        <v>0</v>
      </c>
      <c r="J51" s="15">
        <v>0</v>
      </c>
      <c r="K51" s="77">
        <f>_xll.qlMidEquivalent($G51,$H51,$I51,$J51)</f>
        <v>3.0649999999999999</v>
      </c>
      <c r="L51" s="6"/>
      <c r="M51" s="133">
        <v>3.0609999999999999</v>
      </c>
      <c r="N51" s="6"/>
      <c r="O51" s="97" t="str">
        <f t="shared" si="3"/>
        <v>USDOIS20Y_Quote</v>
      </c>
      <c r="P51" s="15">
        <v>3.0649999999999999</v>
      </c>
      <c r="Q51" s="98">
        <f>_xll.qlSimpleQuoteSetValue($O51,$P51/100,Trigger)</f>
        <v>0</v>
      </c>
      <c r="R51" s="10"/>
    </row>
    <row r="52" spans="1:18" x14ac:dyDescent="0.2">
      <c r="A52" s="9"/>
      <c r="B52" s="76" t="s">
        <v>63</v>
      </c>
      <c r="C52" s="42"/>
      <c r="D52" s="42" t="s">
        <v>155</v>
      </c>
      <c r="E52" s="43" t="str">
        <f t="shared" si="2"/>
        <v>USD25YOIS</v>
      </c>
      <c r="F52" s="43" t="str">
        <v>USD25YOIS=TTKL</v>
      </c>
      <c r="G52" s="15">
        <v>3.1549999999999998</v>
      </c>
      <c r="H52" s="15">
        <v>3.2050000000000001</v>
      </c>
      <c r="I52" s="15">
        <v>0</v>
      </c>
      <c r="J52" s="15">
        <v>0</v>
      </c>
      <c r="K52" s="77">
        <f>_xll.qlMidEquivalent($G52,$H52,$I52,$J52)</f>
        <v>3.1799999999999997</v>
      </c>
      <c r="L52" s="6"/>
      <c r="M52" s="133">
        <v>3.177</v>
      </c>
      <c r="N52" s="6"/>
      <c r="O52" s="97" t="str">
        <f t="shared" si="3"/>
        <v>USDOIS25Y_Quote</v>
      </c>
      <c r="P52" s="15">
        <v>3.1799999999999997</v>
      </c>
      <c r="Q52" s="98">
        <f>_xll.qlSimpleQuoteSetValue($O52,$P52/100,Trigger)</f>
        <v>0</v>
      </c>
      <c r="R52" s="10"/>
    </row>
    <row r="53" spans="1:18" x14ac:dyDescent="0.2">
      <c r="A53" s="9"/>
      <c r="B53" s="76" t="s">
        <v>65</v>
      </c>
      <c r="C53" s="42"/>
      <c r="D53" s="42" t="s">
        <v>155</v>
      </c>
      <c r="E53" s="43" t="str">
        <f t="shared" si="2"/>
        <v>USD27YOIS</v>
      </c>
      <c r="F53" s="43" t="str">
        <v>USD27YOIS=TTKL</v>
      </c>
      <c r="G53" s="15" t="s">
        <v>175</v>
      </c>
      <c r="H53" s="15" t="s">
        <v>175</v>
      </c>
      <c r="I53" s="15" t="s">
        <v>175</v>
      </c>
      <c r="J53" s="15" t="s">
        <v>175</v>
      </c>
      <c r="K53" s="77" t="e">
        <f>_xll.qlMidEquivalent($G53,$H53,$I53,$J53)</f>
        <v>#NUM!</v>
      </c>
      <c r="L53" s="6"/>
      <c r="M53" s="133" t="e">
        <v>#NUM!</v>
      </c>
      <c r="N53" s="6"/>
      <c r="O53" s="97" t="str">
        <f t="shared" si="3"/>
        <v>USDOIS27Y_Quote</v>
      </c>
      <c r="P53" s="15" t="e">
        <v>#NUM!</v>
      </c>
      <c r="Q53" s="98" t="e">
        <f>_xll.qlSimpleQuoteSetValue($O53,$P53/100,Trigger)</f>
        <v>#NUM!</v>
      </c>
      <c r="R53" s="10"/>
    </row>
    <row r="54" spans="1:18" x14ac:dyDescent="0.2">
      <c r="A54" s="9"/>
      <c r="B54" s="76" t="s">
        <v>68</v>
      </c>
      <c r="C54" s="42"/>
      <c r="D54" s="42" t="s">
        <v>155</v>
      </c>
      <c r="E54" s="43" t="str">
        <f t="shared" si="2"/>
        <v>USD30YOIS</v>
      </c>
      <c r="F54" s="43" t="str">
        <v>USD30YOIS=TTKL</v>
      </c>
      <c r="G54" s="15">
        <v>3.22</v>
      </c>
      <c r="H54" s="15">
        <v>3.27</v>
      </c>
      <c r="I54" s="15">
        <v>0</v>
      </c>
      <c r="J54" s="15">
        <v>0</v>
      </c>
      <c r="K54" s="77">
        <f>_xll.qlMidEquivalent($G54,$H54,$I54,$J54)</f>
        <v>3.2450000000000001</v>
      </c>
      <c r="L54" s="6"/>
      <c r="M54" s="133">
        <v>3.2429999999999999</v>
      </c>
      <c r="N54" s="6"/>
      <c r="O54" s="97" t="str">
        <f t="shared" si="3"/>
        <v>USDOIS30Y_Quote</v>
      </c>
      <c r="P54" s="15">
        <v>3.2450000000000001</v>
      </c>
      <c r="Q54" s="98">
        <f>_xll.qlSimpleQuoteSetValue($O54,$P54/100,Trigger)</f>
        <v>0</v>
      </c>
      <c r="R54" s="10"/>
    </row>
    <row r="55" spans="1:18" x14ac:dyDescent="0.2">
      <c r="A55" s="9"/>
      <c r="B55" s="76" t="s">
        <v>69</v>
      </c>
      <c r="C55" s="42"/>
      <c r="D55" s="42" t="s">
        <v>155</v>
      </c>
      <c r="E55" s="43" t="str">
        <f t="shared" si="2"/>
        <v>USD35YOIS</v>
      </c>
      <c r="F55" s="43" t="str">
        <v>USD35YOIS=TTKL</v>
      </c>
      <c r="G55" s="15">
        <v>3.238</v>
      </c>
      <c r="H55" s="15">
        <v>3.2879999999999998</v>
      </c>
      <c r="I55" s="15">
        <v>0</v>
      </c>
      <c r="J55" s="15">
        <v>0</v>
      </c>
      <c r="K55" s="77">
        <f>_xll.qlMidEquivalent($G55,$H55,$I55,$J55)</f>
        <v>3.2629999999999999</v>
      </c>
      <c r="L55" s="6"/>
      <c r="M55" s="133">
        <v>3.26</v>
      </c>
      <c r="N55" s="6"/>
      <c r="O55" s="97" t="str">
        <f t="shared" si="3"/>
        <v>USDOIS35Y_Quote</v>
      </c>
      <c r="P55" s="15">
        <v>3.2629999999999999</v>
      </c>
      <c r="Q55" s="98">
        <f>_xll.qlSimpleQuoteSetValue($O55,$P55/100,Trigger)</f>
        <v>0</v>
      </c>
      <c r="R55" s="10"/>
    </row>
    <row r="56" spans="1:18" x14ac:dyDescent="0.2">
      <c r="A56" s="9"/>
      <c r="B56" s="76" t="s">
        <v>70</v>
      </c>
      <c r="C56" s="42"/>
      <c r="D56" s="42" t="s">
        <v>155</v>
      </c>
      <c r="E56" s="43" t="str">
        <f t="shared" si="2"/>
        <v>USD40YOIS</v>
      </c>
      <c r="F56" s="43" t="str">
        <v>USD40YOIS=TTKL</v>
      </c>
      <c r="G56" s="15">
        <v>3.2389999999999999</v>
      </c>
      <c r="H56" s="15">
        <v>3.2890000000000001</v>
      </c>
      <c r="I56" s="15">
        <v>0</v>
      </c>
      <c r="J56" s="15">
        <v>0</v>
      </c>
      <c r="K56" s="77">
        <f>_xll.qlMidEquivalent($G56,$H56,$I56,$J56)</f>
        <v>3.2640000000000002</v>
      </c>
      <c r="L56" s="6"/>
      <c r="M56" s="133">
        <v>3.262</v>
      </c>
      <c r="N56" s="6"/>
      <c r="O56" s="97" t="str">
        <f t="shared" si="3"/>
        <v>USDOIS40Y_Quote</v>
      </c>
      <c r="P56" s="15">
        <v>3.2640000000000002</v>
      </c>
      <c r="Q56" s="98">
        <f>_xll.qlSimpleQuoteSetValue($O56,$P56/100,Trigger)</f>
        <v>0</v>
      </c>
      <c r="R56" s="10"/>
    </row>
    <row r="57" spans="1:18" x14ac:dyDescent="0.2">
      <c r="A57" s="9"/>
      <c r="B57" s="76" t="s">
        <v>173</v>
      </c>
      <c r="C57" s="42"/>
      <c r="D57" s="42" t="s">
        <v>155</v>
      </c>
      <c r="E57" s="43" t="str">
        <f t="shared" si="2"/>
        <v>USD45YOIS</v>
      </c>
      <c r="F57" s="43" t="str">
        <v>USD45YOIS=TTKL</v>
      </c>
      <c r="G57" s="15">
        <v>3.23</v>
      </c>
      <c r="H57" s="15">
        <v>3.28</v>
      </c>
      <c r="I57" s="15">
        <v>0</v>
      </c>
      <c r="J57" s="15">
        <v>0</v>
      </c>
      <c r="K57" s="77">
        <f>_xll.qlMidEquivalent($G57,$H57,$I57,$J57)</f>
        <v>3.2549999999999999</v>
      </c>
      <c r="L57" s="6"/>
      <c r="M57" s="133">
        <v>3.2530000000000001</v>
      </c>
      <c r="N57" s="6"/>
      <c r="O57" s="97" t="str">
        <f t="shared" si="3"/>
        <v>USDOIS45Y_Quote</v>
      </c>
      <c r="P57" s="15">
        <v>3.2549999999999999</v>
      </c>
      <c r="Q57" s="98">
        <f>_xll.qlSimpleQuoteSetValue($O57,$P57/100,Trigger)</f>
        <v>0</v>
      </c>
      <c r="R57" s="10"/>
    </row>
    <row r="58" spans="1:18" x14ac:dyDescent="0.2">
      <c r="A58" s="9"/>
      <c r="B58" s="78" t="s">
        <v>71</v>
      </c>
      <c r="C58" s="109"/>
      <c r="D58" s="109" t="s">
        <v>155</v>
      </c>
      <c r="E58" s="80" t="str">
        <f t="shared" si="2"/>
        <v>USD50YOIS</v>
      </c>
      <c r="F58" s="80" t="str">
        <v>USD50YOIS=TTKL</v>
      </c>
      <c r="G58" s="81">
        <v>3.2189999999999999</v>
      </c>
      <c r="H58" s="81">
        <v>3.2690000000000001</v>
      </c>
      <c r="I58" s="81">
        <v>0</v>
      </c>
      <c r="J58" s="81">
        <v>0</v>
      </c>
      <c r="K58" s="82">
        <f>_xll.qlMidEquivalent($G58,$H58,$I58,$J58)</f>
        <v>3.2439999999999998</v>
      </c>
      <c r="L58" s="6"/>
      <c r="M58" s="133">
        <v>3.242</v>
      </c>
      <c r="N58" s="6"/>
      <c r="O58" s="97" t="str">
        <f t="shared" si="3"/>
        <v>USDOIS50Y_Quote</v>
      </c>
      <c r="P58" s="15">
        <v>3.2439999999999998</v>
      </c>
      <c r="Q58" s="98">
        <f>_xll.qlSimpleQuoteSetValue($O58,$P58/100,Trigger)</f>
        <v>0</v>
      </c>
      <c r="R58" s="10"/>
    </row>
    <row r="59" spans="1:18" x14ac:dyDescent="0.2">
      <c r="A59" s="9"/>
      <c r="B59" s="76"/>
    </row>
    <row r="60" spans="1:18" x14ac:dyDescent="0.2">
      <c r="A60" s="9"/>
      <c r="B60" s="76"/>
    </row>
    <row r="61" spans="1:18" x14ac:dyDescent="0.2">
      <c r="A61" s="9"/>
      <c r="B61" s="76"/>
    </row>
    <row r="62" spans="1:18" x14ac:dyDescent="0.2">
      <c r="A62" s="9"/>
      <c r="B62" s="76"/>
    </row>
    <row r="63" spans="1:18" x14ac:dyDescent="0.2">
      <c r="A63" s="9"/>
      <c r="B63" s="76"/>
    </row>
  </sheetData>
  <phoneticPr fontId="4" type="noConversion"/>
  <conditionalFormatting sqref="Q5:Q58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11"/>
  <sheetViews>
    <sheetView workbookViewId="0">
      <selection activeCell="Q3" sqref="Q3"/>
    </sheetView>
  </sheetViews>
  <sheetFormatPr defaultRowHeight="12.75" x14ac:dyDescent="0.2"/>
  <cols>
    <col min="1" max="1" width="5" customWidth="1"/>
    <col min="2" max="2" width="3.7109375" bestFit="1" customWidth="1"/>
    <col min="3" max="3" width="1.85546875" bestFit="1" customWidth="1"/>
    <col min="4" max="4" width="2.85546875" bestFit="1" customWidth="1"/>
    <col min="5" max="5" width="9.42578125" bestFit="1" customWidth="1"/>
    <col min="6" max="6" width="13.7109375" bestFit="1" customWidth="1"/>
    <col min="7" max="9" width="5.7109375" bestFit="1" customWidth="1"/>
    <col min="10" max="10" width="10" bestFit="1" customWidth="1"/>
    <col min="11" max="11" width="9" customWidth="1"/>
    <col min="12" max="12" width="5" customWidth="1"/>
    <col min="13" max="13" width="5.28515625" bestFit="1" customWidth="1"/>
    <col min="14" max="14" width="5" customWidth="1"/>
    <col min="15" max="15" width="14.5703125" bestFit="1" customWidth="1"/>
    <col min="16" max="16" width="7.7109375" bestFit="1" customWidth="1"/>
    <col min="17" max="17" width="7" bestFit="1" customWidth="1"/>
    <col min="18" max="18" width="5" customWidth="1"/>
    <col min="19" max="19" width="5.140625" customWidth="1"/>
  </cols>
  <sheetData>
    <row r="1" spans="1:18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18" x14ac:dyDescent="0.2">
      <c r="A2" s="5"/>
      <c r="B2" s="7"/>
      <c r="C2" s="7"/>
      <c r="D2" s="7"/>
      <c r="E2" s="7"/>
      <c r="F2" s="117" t="s">
        <v>5</v>
      </c>
      <c r="G2" s="7"/>
      <c r="H2" s="7"/>
      <c r="I2" s="7"/>
      <c r="J2" s="7"/>
      <c r="K2" s="7"/>
      <c r="L2" s="6"/>
      <c r="M2" s="6"/>
      <c r="N2" s="6"/>
      <c r="O2" s="188" t="s">
        <v>79</v>
      </c>
      <c r="P2" s="189" t="s">
        <v>34</v>
      </c>
      <c r="Q2" s="7"/>
      <c r="R2" s="8"/>
    </row>
    <row r="3" spans="1:18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_xll.ohTrigger(Q5:Q10)</f>
        <v>2</v>
      </c>
      <c r="R3" s="10"/>
    </row>
    <row r="4" spans="1:18" ht="22.5" x14ac:dyDescent="0.2">
      <c r="A4" s="9"/>
      <c r="B4" s="83"/>
      <c r="C4" s="84"/>
      <c r="D4" s="84"/>
      <c r="E4" s="84"/>
      <c r="F4" s="85" t="str">
        <f>_xll.RData(F5:F10,G4:J4,"RTFEED:IDN",ReutersRtMode,,G5)</f>
        <v>Updated at 20:17:02</v>
      </c>
      <c r="G4" s="86" t="s">
        <v>0</v>
      </c>
      <c r="H4" s="86" t="s">
        <v>1</v>
      </c>
      <c r="I4" s="86" t="s">
        <v>25</v>
      </c>
      <c r="J4" s="86" t="s">
        <v>26</v>
      </c>
      <c r="K4" s="87" t="s">
        <v>27</v>
      </c>
      <c r="L4" s="6"/>
      <c r="M4" s="90" t="s">
        <v>115</v>
      </c>
      <c r="N4" s="6"/>
      <c r="O4" s="91" t="s">
        <v>31</v>
      </c>
      <c r="P4" s="92" t="s">
        <v>17</v>
      </c>
      <c r="Q4" s="93" t="s">
        <v>24</v>
      </c>
      <c r="R4" s="10"/>
    </row>
    <row r="5" spans="1:18" x14ac:dyDescent="0.2">
      <c r="A5" s="9"/>
      <c r="B5" s="170" t="s">
        <v>81</v>
      </c>
      <c r="C5" s="171" t="s">
        <v>106</v>
      </c>
      <c r="D5" s="171" t="s">
        <v>107</v>
      </c>
      <c r="E5" s="172" t="str">
        <f t="shared" ref="E5:E10" si="0">Currency&amp;$C5&amp;$D5&amp;$B5</f>
        <v>USDE1X2S</v>
      </c>
      <c r="F5" s="172" t="str">
        <f t="array" ref="F5:F10">Instruments&amp;"="&amp;VLOOKUP(Contributor,ContributorTable,2,FALSE)</f>
        <v>USDE1X2S=ICAP</v>
      </c>
      <c r="G5" s="95" t="s">
        <v>175</v>
      </c>
      <c r="H5" s="95" t="s">
        <v>175</v>
      </c>
      <c r="I5" s="95" t="s">
        <v>175</v>
      </c>
      <c r="J5" s="95" t="s">
        <v>175</v>
      </c>
      <c r="K5" s="174" t="e">
        <f>_xll.qlMidEquivalent($G5,$H5,$I5,$J5)</f>
        <v>#NUM!</v>
      </c>
      <c r="L5" s="6"/>
      <c r="M5" s="193" t="e">
        <v>#NUM!</v>
      </c>
      <c r="N5" s="6"/>
      <c r="O5" s="94" t="str">
        <f t="shared" ref="O5:O10" si="1">$E5&amp;$P$2</f>
        <v>USDE1X2S_Quote</v>
      </c>
      <c r="P5" s="95" t="e">
        <f t="array" ref="P5:P10">QuoteLive</f>
        <v>#NUM!</v>
      </c>
      <c r="Q5" s="96"/>
      <c r="R5" s="10"/>
    </row>
    <row r="6" spans="1:18" x14ac:dyDescent="0.2">
      <c r="A6" s="9"/>
      <c r="B6" s="76" t="s">
        <v>83</v>
      </c>
      <c r="C6" s="42" t="s">
        <v>106</v>
      </c>
      <c r="D6" s="42" t="s">
        <v>107</v>
      </c>
      <c r="E6" s="43" t="str">
        <f t="shared" si="0"/>
        <v>USDE1X4S</v>
      </c>
      <c r="F6" s="43" t="str">
        <v>USDE1X4S=ICAP</v>
      </c>
      <c r="G6" s="15" t="s">
        <v>175</v>
      </c>
      <c r="H6" s="15" t="s">
        <v>175</v>
      </c>
      <c r="I6" s="15" t="s">
        <v>175</v>
      </c>
      <c r="J6" s="15" t="s">
        <v>175</v>
      </c>
      <c r="K6" s="77" t="e">
        <f>_xll.qlMidEquivalent($G6,$H6,$I6,$J6)</f>
        <v>#NUM!</v>
      </c>
      <c r="L6" s="6"/>
      <c r="M6" s="133" t="e">
        <v>#NUM!</v>
      </c>
      <c r="N6" s="6"/>
      <c r="O6" s="97" t="str">
        <f t="shared" si="1"/>
        <v>USDE1X4S_Quote</v>
      </c>
      <c r="P6" s="15" t="e">
        <v>#NUM!</v>
      </c>
      <c r="Q6" s="98"/>
      <c r="R6" s="10"/>
    </row>
    <row r="7" spans="1:18" x14ac:dyDescent="0.2">
      <c r="A7" s="9"/>
      <c r="B7" s="76" t="s">
        <v>82</v>
      </c>
      <c r="C7" s="42" t="s">
        <v>106</v>
      </c>
      <c r="D7" s="42" t="s">
        <v>108</v>
      </c>
      <c r="E7" s="43" t="str">
        <f t="shared" si="0"/>
        <v>USDE2X3S</v>
      </c>
      <c r="F7" s="43" t="str">
        <v>USDE2X3S=ICAP</v>
      </c>
      <c r="G7" s="15" t="s">
        <v>175</v>
      </c>
      <c r="H7" s="15" t="s">
        <v>175</v>
      </c>
      <c r="I7" s="15" t="s">
        <v>175</v>
      </c>
      <c r="J7" s="15" t="s">
        <v>175</v>
      </c>
      <c r="K7" s="77" t="e">
        <f>_xll.qlMidEquivalent($G7,$H7,$I7,$J7)</f>
        <v>#NUM!</v>
      </c>
      <c r="L7" s="6"/>
      <c r="M7" s="133" t="e">
        <v>#NUM!</v>
      </c>
      <c r="N7" s="6"/>
      <c r="O7" s="97" t="str">
        <f t="shared" si="1"/>
        <v>USDE2X3S_Quote</v>
      </c>
      <c r="P7" s="15" t="e">
        <v>#NUM!</v>
      </c>
      <c r="Q7" s="98"/>
      <c r="R7" s="10"/>
    </row>
    <row r="8" spans="1:18" x14ac:dyDescent="0.2">
      <c r="A8" s="9"/>
      <c r="B8" s="76" t="s">
        <v>111</v>
      </c>
      <c r="C8" s="42" t="s">
        <v>106</v>
      </c>
      <c r="D8" s="42" t="s">
        <v>108</v>
      </c>
      <c r="E8" s="43" t="str">
        <f t="shared" si="0"/>
        <v>USDE2X5S</v>
      </c>
      <c r="F8" s="43" t="str">
        <v>USDE2X5S=ICAP</v>
      </c>
      <c r="G8" s="15" t="s">
        <v>175</v>
      </c>
      <c r="H8" s="15" t="s">
        <v>175</v>
      </c>
      <c r="I8" s="15" t="s">
        <v>175</v>
      </c>
      <c r="J8" s="15" t="s">
        <v>175</v>
      </c>
      <c r="K8" s="77" t="e">
        <f>_xll.qlMidEquivalent($G8,$H8,$I8,$J8)</f>
        <v>#NUM!</v>
      </c>
      <c r="L8" s="6"/>
      <c r="M8" s="133" t="e">
        <v>#NUM!</v>
      </c>
      <c r="N8" s="6"/>
      <c r="O8" s="97" t="str">
        <f t="shared" si="1"/>
        <v>USDE2X5S_Quote</v>
      </c>
      <c r="P8" s="15" t="e">
        <v>#NUM!</v>
      </c>
      <c r="Q8" s="98"/>
      <c r="R8" s="10"/>
    </row>
    <row r="9" spans="1:18" x14ac:dyDescent="0.2">
      <c r="A9" s="9"/>
      <c r="B9" s="76" t="s">
        <v>112</v>
      </c>
      <c r="C9" s="42" t="s">
        <v>106</v>
      </c>
      <c r="D9" s="42" t="s">
        <v>109</v>
      </c>
      <c r="E9" s="43" t="str">
        <f t="shared" si="0"/>
        <v>USDE3X6S</v>
      </c>
      <c r="F9" s="43" t="str">
        <v>USDE3X6S=ICAP</v>
      </c>
      <c r="G9" s="15" t="s">
        <v>175</v>
      </c>
      <c r="H9" s="15" t="s">
        <v>175</v>
      </c>
      <c r="I9" s="15" t="s">
        <v>175</v>
      </c>
      <c r="J9" s="15" t="s">
        <v>175</v>
      </c>
      <c r="K9" s="77" t="e">
        <f>_xll.qlMidEquivalent($G9,$H9,$I9,$J9)</f>
        <v>#NUM!</v>
      </c>
      <c r="L9" s="6"/>
      <c r="M9" s="133" t="e">
        <v>#NUM!</v>
      </c>
      <c r="N9" s="6"/>
      <c r="O9" s="97" t="str">
        <f t="shared" si="1"/>
        <v>USDE3X6S_Quote</v>
      </c>
      <c r="P9" s="15" t="e">
        <v>#NUM!</v>
      </c>
      <c r="Q9" s="98"/>
      <c r="R9" s="10"/>
    </row>
    <row r="10" spans="1:18" x14ac:dyDescent="0.2">
      <c r="A10" s="9"/>
      <c r="B10" s="78" t="s">
        <v>113</v>
      </c>
      <c r="C10" s="109" t="s">
        <v>106</v>
      </c>
      <c r="D10" s="109" t="s">
        <v>110</v>
      </c>
      <c r="E10" s="80" t="str">
        <f t="shared" si="0"/>
        <v>USDE6X12S</v>
      </c>
      <c r="F10" s="80" t="str">
        <v>USDE6X12S=ICAP</v>
      </c>
      <c r="G10" s="81" t="s">
        <v>175</v>
      </c>
      <c r="H10" s="81" t="s">
        <v>175</v>
      </c>
      <c r="I10" s="81" t="s">
        <v>175</v>
      </c>
      <c r="J10" s="81" t="s">
        <v>175</v>
      </c>
      <c r="K10" s="82" t="e">
        <f>_xll.qlMidEquivalent($G10,$H10,$I10,$J10)</f>
        <v>#NUM!</v>
      </c>
      <c r="L10" s="6"/>
      <c r="M10" s="134" t="e">
        <v>#NUM!</v>
      </c>
      <c r="N10" s="6"/>
      <c r="O10" s="99" t="str">
        <f t="shared" si="1"/>
        <v>USDE6X12S_Quote</v>
      </c>
      <c r="P10" s="81" t="e">
        <v>#NUM!</v>
      </c>
      <c r="Q10" s="100"/>
      <c r="R10" s="10"/>
    </row>
    <row r="11" spans="1:18" ht="13.5" thickBot="1" x14ac:dyDescent="0.25">
      <c r="A11" s="11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4"/>
    </row>
  </sheetData>
  <phoneticPr fontId="4" type="noConversion"/>
  <conditionalFormatting sqref="Q5:Q10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108</vt:i4>
      </vt:variant>
    </vt:vector>
  </HeadingPairs>
  <TitlesOfParts>
    <vt:vector size="124" baseType="lpstr">
      <vt:lpstr>General Settings</vt:lpstr>
      <vt:lpstr>SpecialTriggers</vt:lpstr>
      <vt:lpstr>Deposits</vt:lpstr>
      <vt:lpstr>FRA</vt:lpstr>
      <vt:lpstr>Futures1M</vt:lpstr>
      <vt:lpstr>Futures3M</vt:lpstr>
      <vt:lpstr>FuturesConvexityAdjustment</vt:lpstr>
      <vt:lpstr>Swap1M</vt:lpstr>
      <vt:lpstr>SwapIMMDated</vt:lpstr>
      <vt:lpstr>Swap3M</vt:lpstr>
      <vt:lpstr>Swap6M</vt:lpstr>
      <vt:lpstr>BasisSwap1MXM</vt:lpstr>
      <vt:lpstr>BasisSwap3M6M</vt:lpstr>
      <vt:lpstr>BasisSwapXM12M</vt:lpstr>
      <vt:lpstr>EONIAOIS</vt:lpstr>
      <vt:lpstr>FwdEONIAOIS</vt:lpstr>
      <vt:lpstr>BasisSwap1MXM!Contributor</vt:lpstr>
      <vt:lpstr>BasisSwap3M6M!Contributor</vt:lpstr>
      <vt:lpstr>BasisSwapXM12M!Contributor</vt:lpstr>
      <vt:lpstr>Deposits!Contributor</vt:lpstr>
      <vt:lpstr>EONIAOIS!Contributor</vt:lpstr>
      <vt:lpstr>FRA!Contributor</vt:lpstr>
      <vt:lpstr>FuturesConvexityAdjustment!Contributor</vt:lpstr>
      <vt:lpstr>FwdEONIAOIS!Contributor</vt:lpstr>
      <vt:lpstr>Swap1M!Contributor</vt:lpstr>
      <vt:lpstr>Swap3M!Contributor</vt:lpstr>
      <vt:lpstr>Swap6M!Contributor</vt:lpstr>
      <vt:lpstr>SwapIMMDated!Contributor</vt:lpstr>
      <vt:lpstr>Deposits!Contributors</vt:lpstr>
      <vt:lpstr>Contributors</vt:lpstr>
      <vt:lpstr>Deposits!ContributorTable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BasisSwap1MXM!Counter</vt:lpstr>
      <vt:lpstr>BasisSwap3M6M!Counter</vt:lpstr>
      <vt:lpstr>BasisSwapXM12M!Counter</vt:lpstr>
      <vt:lpstr>Deposits!Counter</vt:lpstr>
      <vt:lpstr>EONIAOIS!Counter</vt:lpstr>
      <vt:lpstr>FRA!Counter</vt:lpstr>
      <vt:lpstr>Futures1M!Counter</vt:lpstr>
      <vt:lpstr>Futures3M!Counter</vt:lpstr>
      <vt:lpstr>FuturesConvexityAdjustment!Counter</vt:lpstr>
      <vt:lpstr>FwdEONIAOIS!Counter</vt:lpstr>
      <vt:lpstr>Swap1M!Counter</vt:lpstr>
      <vt:lpstr>Swap3M!Counter</vt:lpstr>
      <vt:lpstr>Swap6M!Counter</vt:lpstr>
      <vt:lpstr>SwapIMMDated!Counter</vt:lpstr>
      <vt:lpstr>Currency</vt:lpstr>
      <vt:lpstr>Futures1M!FuturesCodes</vt:lpstr>
      <vt:lpstr>Futures3M!FuturesCodes</vt:lpstr>
      <vt:lpstr>Futures1M!FuturesDates</vt:lpstr>
      <vt:lpstr>Futures3M!FuturesDates</vt:lpstr>
      <vt:lpstr>GENERAL_SETTINGS</vt:lpstr>
      <vt:lpstr>BasisSwap1MXM!Instruments</vt:lpstr>
      <vt:lpstr>BasisSwap3M6M!Instruments</vt:lpstr>
      <vt:lpstr>BasisSwapXM12M!Instruments</vt:lpstr>
      <vt:lpstr>Deposits!Instruments</vt:lpstr>
      <vt:lpstr>EONIAOIS!Instruments</vt:lpstr>
      <vt:lpstr>FRA!Instruments</vt:lpstr>
      <vt:lpstr>Futures1M!Instruments</vt:lpstr>
      <vt:lpstr>FwdEONIAOIS!Instruments</vt:lpstr>
      <vt:lpstr>Swap1M!Instruments</vt:lpstr>
      <vt:lpstr>Swap3M!Instruments</vt:lpstr>
      <vt:lpstr>Swap6M!Instruments</vt:lpstr>
      <vt:lpstr>SwapIMMDated!Instruments</vt:lpstr>
      <vt:lpstr>InterpolationType</vt:lpstr>
      <vt:lpstr>LastUpdate</vt:lpstr>
      <vt:lpstr>Futures1M!LiffeCodes</vt:lpstr>
      <vt:lpstr>Futures3M!LiffeCodes</vt:lpstr>
      <vt:lpstr>LiveDataFeed</vt:lpstr>
      <vt:lpstr>BasisSwap1MXM!Quote</vt:lpstr>
      <vt:lpstr>BasisSwap3M6M!Quote</vt:lpstr>
      <vt:lpstr>BasisSwapXM12M!Quote</vt:lpstr>
      <vt:lpstr>Deposits!Quote</vt:lpstr>
      <vt:lpstr>EONIAOIS!Quote</vt:lpstr>
      <vt:lpstr>FRA!Quote</vt:lpstr>
      <vt:lpstr>Futures1M!Quote</vt:lpstr>
      <vt:lpstr>Futures3M!Quote</vt:lpstr>
      <vt:lpstr>FuturesConvexityAdjustment!Quote</vt:lpstr>
      <vt:lpstr>FwdEONIAOIS!Quote</vt:lpstr>
      <vt:lpstr>Swap1M!Quote</vt:lpstr>
      <vt:lpstr>Swap3M!Quote</vt:lpstr>
      <vt:lpstr>Swap6M!Quote</vt:lpstr>
      <vt:lpstr>SwapIMMDated!Quote</vt:lpstr>
      <vt:lpstr>BasisSwap1MXM!QuoteLive</vt:lpstr>
      <vt:lpstr>BasisSwap3M6M!QuoteLive</vt:lpstr>
      <vt:lpstr>BasisSwapXM12M!QuoteLive</vt:lpstr>
      <vt:lpstr>Deposits!QuoteLive</vt:lpstr>
      <vt:lpstr>EONIAOIS!QuoteLive</vt:lpstr>
      <vt:lpstr>FRA!QuoteLive</vt:lpstr>
      <vt:lpstr>Futures1M!QuoteLive</vt:lpstr>
      <vt:lpstr>Futures3M!QuoteLive</vt:lpstr>
      <vt:lpstr>FuturesConvexityAdjustment!QuoteLive</vt:lpstr>
      <vt:lpstr>FwdEONIAOIS!QuoteLive</vt:lpstr>
      <vt:lpstr>Swap1M!QuoteLive</vt:lpstr>
      <vt:lpstr>Swap3M!QuoteLive</vt:lpstr>
      <vt:lpstr>Swap6M!QuoteLive</vt:lpstr>
      <vt:lpstr>SwapIMMDated!QuoteLive</vt:lpstr>
      <vt:lpstr>BasisSwap1MXM!QuoteStatic</vt:lpstr>
      <vt:lpstr>BasisSwap3M6M!QuoteStatic</vt:lpstr>
      <vt:lpstr>BasisSwapXM12M!QuoteStatic</vt:lpstr>
      <vt:lpstr>Deposits!QuoteStatic</vt:lpstr>
      <vt:lpstr>EONIAOIS!QuoteStatic</vt:lpstr>
      <vt:lpstr>FRA!QuoteStatic</vt:lpstr>
      <vt:lpstr>Futures1M!QuoteStatic</vt:lpstr>
      <vt:lpstr>Futures3M!QuoteStatic</vt:lpstr>
      <vt:lpstr>FuturesConvexityAdjustment!QuoteStatic</vt:lpstr>
      <vt:lpstr>FwdEONIAOIS!QuoteStatic</vt:lpstr>
      <vt:lpstr>Swap1M!QuoteStatic</vt:lpstr>
      <vt:lpstr>Swap3M!QuoteStatic</vt:lpstr>
      <vt:lpstr>Swap6M!QuoteStatic</vt:lpstr>
      <vt:lpstr>SwapIMMDated!QuoteStatic</vt:lpstr>
      <vt:lpstr>ReutersRtMode</vt:lpstr>
      <vt:lpstr>Swap3M4Y</vt:lpstr>
      <vt:lpstr>Swap6M4Y</vt:lpstr>
      <vt:lpstr>Trigger</vt:lpstr>
      <vt:lpstr>TriggerCounter</vt:lpstr>
      <vt:lpstr>TriggerTOY1M</vt:lpstr>
      <vt:lpstr>TriggerTOY3M</vt:lpstr>
      <vt:lpstr>TriggerTOY6M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dcterms:created xsi:type="dcterms:W3CDTF">2006-04-19T07:39:08Z</dcterms:created>
  <dcterms:modified xsi:type="dcterms:W3CDTF">2013-10-23T18:17:13Z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-2107225021</vt:i4>
  </property>
  <property fmtid="{D5CDD505-2E9C-101B-9397-08002B2CF9AE}" pid="3" name="_EmailSubject">
    <vt:lpwstr>RateHelpersReutersFeed.xls</vt:lpwstr>
  </property>
  <property fmtid="{D5CDD505-2E9C-101B-9397-08002B2CF9AE}" pid="4" name="_AuthorEmail">
    <vt:lpwstr>katiuscia.manzoni@caboto.it</vt:lpwstr>
  </property>
  <property fmtid="{D5CDD505-2E9C-101B-9397-08002B2CF9AE}" pid="5" name="_AuthorEmailDisplayName">
    <vt:lpwstr>MANZONI KATIUSCIA</vt:lpwstr>
  </property>
  <property fmtid="{D5CDD505-2E9C-101B-9397-08002B2CF9AE}" pid="6" name="_PreviousAdHocReviewCycleID">
    <vt:i4>790511981</vt:i4>
  </property>
  <property fmtid="{D5CDD505-2E9C-101B-9397-08002B2CF9AE}" pid="7" name="_ReviewingToolsShownOnce">
    <vt:lpwstr/>
  </property>
</Properties>
</file>